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os\Desktop\Global and Cultural trend project\"/>
    </mc:Choice>
  </mc:AlternateContent>
  <xr:revisionPtr revIDLastSave="0" documentId="13_ncr:1_{98819BBF-B3FB-4DCC-8A8B-22AFACF71BC5}" xr6:coauthVersionLast="47" xr6:coauthVersionMax="47" xr10:uidLastSave="{00000000-0000-0000-0000-000000000000}"/>
  <bookViews>
    <workbookView xWindow="-108" yWindow="-108" windowWidth="23256" windowHeight="12576" firstSheet="18" activeTab="22" xr2:uid="{197AC54F-EE5C-4487-A041-1E8123A7F3E6}"/>
  </bookViews>
  <sheets>
    <sheet name="CVD Risk by Age Band" sheetId="3" r:id="rId1"/>
    <sheet name="CVD Risk by Sex" sheetId="4" r:id="rId2"/>
    <sheet name="Sex &amp; Smoking Risk Profile" sheetId="6" r:id="rId3"/>
    <sheet name="High-Risk Cohort Analysis" sheetId="7" r:id="rId4"/>
    <sheet name="BMI &amp; CVD Risk Analysis" sheetId="8" r:id="rId5"/>
    <sheet name="Central Obesity vs. LDL Trend" sheetId="9" r:id="rId6"/>
    <sheet name="Waist vs. BMI Risk Audit" sheetId="10" r:id="rId7"/>
    <sheet name="Hidden Risk Factor Analysis" sheetId="11" r:id="rId8"/>
    <sheet name="BP Category &amp; Risk Pivot" sheetId="12" r:id="rId9"/>
    <sheet name="BP Severity vs. Risk Score" sheetId="13" r:id="rId10"/>
    <sheet name="LDL-Driven Risk (Normal BP)" sheetId="14" r:id="rId11"/>
    <sheet name="SBP vs. Risk Score Scatter" sheetId="15" r:id="rId12"/>
    <sheet name="Cholesterol-Risk Distribution" sheetId="16" r:id="rId13"/>
    <sheet name="Ratio vs. LDL Risk Analysis" sheetId="17" r:id="rId14"/>
    <sheet name="Diabetic vs. Non-Diabetic Audit" sheetId="18" r:id="rId15"/>
    <sheet name="High HDL |  High Risk Audit" sheetId="19" r:id="rId16"/>
    <sheet name="Lifestyle Risk Index Analysis" sheetId="20" r:id="rId17"/>
    <sheet name="Activity Level &amp; Risk Analysis" sheetId="21" r:id="rId18"/>
    <sheet name="Smoking Risk by Age Cohort" sheetId="22" r:id="rId19"/>
    <sheet name="BMI Validation Audit" sheetId="23" r:id="rId20"/>
    <sheet name="Metric Correlation Matrix" sheetId="24" r:id="rId21"/>
    <sheet name="CVD Dataset" sheetId="1" r:id="rId22"/>
    <sheet name="Questions" sheetId="2" r:id="rId23"/>
  </sheets>
  <definedNames>
    <definedName name="Slicer_CVD_Risk_Level">#N/A</definedName>
  </definedNames>
  <calcPr calcId="191029"/>
  <pivotCaches>
    <pivotCache cacheId="0" r:id="rId24"/>
    <pivotCache cacheId="1" r:id="rId25"/>
    <pivotCache cacheId="76" r:id="rId26"/>
  </pivotCaches>
  <extLs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1" i="24" l="1"/>
  <c r="A17" i="24"/>
  <c r="A13" i="24"/>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4" i="1"/>
  <c r="G3" i="1"/>
  <c r="G4" i="1"/>
  <c r="G5" i="1"/>
  <c r="G6" i="1"/>
  <c r="G7" i="1"/>
  <c r="G8" i="1"/>
  <c r="G9" i="1"/>
  <c r="G10" i="1"/>
  <c r="G11" i="1"/>
  <c r="G12" i="1"/>
  <c r="G13"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A13" i="17"/>
  <c r="A10" i="17"/>
  <c r="B13" i="15"/>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B16" i="10"/>
  <c r="B12" i="10"/>
  <c r="E16" i="9"/>
  <c r="E19" i="9"/>
  <c r="A27" i="8"/>
  <c r="D13" i="7"/>
  <c r="D12" i="7"/>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2" i="1"/>
  <c r="H16" i="4"/>
  <c r="H17" i="4"/>
  <c r="H15" i="4"/>
  <c r="J13" i="3"/>
  <c r="J14" i="3"/>
  <c r="J15" i="3"/>
  <c r="J16" i="3"/>
  <c r="J17" i="3"/>
  <c r="J12" i="3"/>
  <c r="A20" i="20" l="1"/>
</calcChain>
</file>

<file path=xl/sharedStrings.xml><?xml version="1.0" encoding="utf-8"?>
<sst xmlns="http://schemas.openxmlformats.org/spreadsheetml/2006/main" count="20412" uniqueCount="1470">
  <si>
    <t>Sex</t>
  </si>
  <si>
    <t>Age</t>
  </si>
  <si>
    <t>Weight (kg)</t>
  </si>
  <si>
    <t>Height (m)</t>
  </si>
  <si>
    <t>BMI</t>
  </si>
  <si>
    <t>Abdominal Circumference (cm)</t>
  </si>
  <si>
    <t>Blood Pressure (mmHg)</t>
  </si>
  <si>
    <t>Total Cholesterol (mg/dL)</t>
  </si>
  <si>
    <t>HDL (mg/dL)</t>
  </si>
  <si>
    <t>Fasting Blood Sugar (mg/dL)</t>
  </si>
  <si>
    <t>Smoking Status</t>
  </si>
  <si>
    <t>Diabetes Status</t>
  </si>
  <si>
    <t>Physical Activity Level</t>
  </si>
  <si>
    <t>Family History of CVD</t>
  </si>
  <si>
    <t>Height (cm)</t>
  </si>
  <si>
    <t>Waist-to-Height Ratio</t>
  </si>
  <si>
    <t>Systolic BP</t>
  </si>
  <si>
    <t>Diastolic BP</t>
  </si>
  <si>
    <t>Blood Pressure Category</t>
  </si>
  <si>
    <t>Estimated LDL (mg/dL)</t>
  </si>
  <si>
    <t>CVD Risk Score</t>
  </si>
  <si>
    <t>CVD Risk Level</t>
  </si>
  <si>
    <t>F</t>
  </si>
  <si>
    <t>125/79</t>
  </si>
  <si>
    <t>N</t>
  </si>
  <si>
    <t>Y</t>
  </si>
  <si>
    <t>Low</t>
  </si>
  <si>
    <t>Elevated</t>
  </si>
  <si>
    <t>INTERMEDIARY</t>
  </si>
  <si>
    <t>139/70</t>
  </si>
  <si>
    <t>High</t>
  </si>
  <si>
    <t>Hypertension Stage 1</t>
  </si>
  <si>
    <t>HIGH</t>
  </si>
  <si>
    <t>M</t>
  </si>
  <si>
    <t>104/77</t>
  </si>
  <si>
    <t>Normal</t>
  </si>
  <si>
    <t>140/83</t>
  </si>
  <si>
    <t>144/83</t>
  </si>
  <si>
    <t>142/90</t>
  </si>
  <si>
    <t>Moderate</t>
  </si>
  <si>
    <t>Hypertension Stage 2</t>
  </si>
  <si>
    <t>96/63</t>
  </si>
  <si>
    <t>115/73</t>
  </si>
  <si>
    <t>107/95</t>
  </si>
  <si>
    <t>133/83</t>
  </si>
  <si>
    <t>129/87</t>
  </si>
  <si>
    <t>134/91</t>
  </si>
  <si>
    <t>102/63</t>
  </si>
  <si>
    <t>142/92</t>
  </si>
  <si>
    <t>101/64</t>
  </si>
  <si>
    <t>101/67</t>
  </si>
  <si>
    <t>138/99</t>
  </si>
  <si>
    <t>129/100</t>
  </si>
  <si>
    <t>138/96</t>
  </si>
  <si>
    <t>LOW</t>
  </si>
  <si>
    <t>95/92</t>
  </si>
  <si>
    <t>132/92</t>
  </si>
  <si>
    <t>120/89</t>
  </si>
  <si>
    <t>121/79</t>
  </si>
  <si>
    <t>102/74</t>
  </si>
  <si>
    <t>98/99</t>
  </si>
  <si>
    <t>137/70</t>
  </si>
  <si>
    <t>148/97</t>
  </si>
  <si>
    <t>128/66</t>
  </si>
  <si>
    <t>97/63</t>
  </si>
  <si>
    <t>91/95</t>
  </si>
  <si>
    <t>97/75</t>
  </si>
  <si>
    <t>109/64</t>
  </si>
  <si>
    <t>106/87</t>
  </si>
  <si>
    <t>100/83</t>
  </si>
  <si>
    <t>122/84</t>
  </si>
  <si>
    <t>136/80</t>
  </si>
  <si>
    <t>99/99</t>
  </si>
  <si>
    <t>144/73</t>
  </si>
  <si>
    <t>130/75</t>
  </si>
  <si>
    <t>134/64</t>
  </si>
  <si>
    <t>117/85</t>
  </si>
  <si>
    <t>116/61</t>
  </si>
  <si>
    <t>105/64</t>
  </si>
  <si>
    <t>129/78</t>
  </si>
  <si>
    <t>94/61</t>
  </si>
  <si>
    <t>129/75</t>
  </si>
  <si>
    <t>110/74</t>
  </si>
  <si>
    <t>120/77</t>
  </si>
  <si>
    <t>145/84</t>
  </si>
  <si>
    <t>97/73</t>
  </si>
  <si>
    <t>135/96</t>
  </si>
  <si>
    <t>135/75</t>
  </si>
  <si>
    <t>102/71</t>
  </si>
  <si>
    <t>148/92</t>
  </si>
  <si>
    <t>139/66</t>
  </si>
  <si>
    <t>94/81</t>
  </si>
  <si>
    <t>104/60</t>
  </si>
  <si>
    <t>129/71</t>
  </si>
  <si>
    <t>98/73</t>
  </si>
  <si>
    <t>149/84</t>
  </si>
  <si>
    <t>103/98</t>
  </si>
  <si>
    <t>99/92</t>
  </si>
  <si>
    <t>114/91</t>
  </si>
  <si>
    <t>116/64</t>
  </si>
  <si>
    <t>93/65</t>
  </si>
  <si>
    <t>113/63</t>
  </si>
  <si>
    <t>142/66</t>
  </si>
  <si>
    <t>142/69</t>
  </si>
  <si>
    <t>140/68</t>
  </si>
  <si>
    <t>102/79</t>
  </si>
  <si>
    <t>96/65</t>
  </si>
  <si>
    <t>101/81</t>
  </si>
  <si>
    <t>112/83</t>
  </si>
  <si>
    <t>93/67</t>
  </si>
  <si>
    <t>132/73</t>
  </si>
  <si>
    <t>98/63</t>
  </si>
  <si>
    <t>120/74</t>
  </si>
  <si>
    <t>90/95</t>
  </si>
  <si>
    <t>94/78</t>
  </si>
  <si>
    <t>127/96</t>
  </si>
  <si>
    <t>120/87</t>
  </si>
  <si>
    <t>99/90</t>
  </si>
  <si>
    <t>114/63</t>
  </si>
  <si>
    <t>132/97</t>
  </si>
  <si>
    <t>111/68</t>
  </si>
  <si>
    <t>97/69</t>
  </si>
  <si>
    <t>120/71</t>
  </si>
  <si>
    <t>130/97</t>
  </si>
  <si>
    <t>119/65</t>
  </si>
  <si>
    <t>120/96</t>
  </si>
  <si>
    <t>111/93</t>
  </si>
  <si>
    <t>105/100</t>
  </si>
  <si>
    <t>100/91</t>
  </si>
  <si>
    <t>98/64</t>
  </si>
  <si>
    <t>135/80</t>
  </si>
  <si>
    <t>124/72</t>
  </si>
  <si>
    <t>127/98</t>
  </si>
  <si>
    <t>90/78</t>
  </si>
  <si>
    <t>103/96</t>
  </si>
  <si>
    <t>103/81</t>
  </si>
  <si>
    <t>111/98</t>
  </si>
  <si>
    <t>92/73</t>
  </si>
  <si>
    <t>99/97</t>
  </si>
  <si>
    <t>107/67</t>
  </si>
  <si>
    <t>137/68</t>
  </si>
  <si>
    <t>104/81</t>
  </si>
  <si>
    <t>113/99</t>
  </si>
  <si>
    <t>90/67</t>
  </si>
  <si>
    <t>122/88</t>
  </si>
  <si>
    <t>133/97</t>
  </si>
  <si>
    <t>135/100</t>
  </si>
  <si>
    <t>114/96</t>
  </si>
  <si>
    <t>117/97</t>
  </si>
  <si>
    <t>139/61</t>
  </si>
  <si>
    <t>117/61</t>
  </si>
  <si>
    <t>108/81</t>
  </si>
  <si>
    <t>94/92</t>
  </si>
  <si>
    <t>137/82</t>
  </si>
  <si>
    <t>128/91</t>
  </si>
  <si>
    <t>94/79</t>
  </si>
  <si>
    <t>149/66</t>
  </si>
  <si>
    <t>135/77</t>
  </si>
  <si>
    <t>100/76</t>
  </si>
  <si>
    <t>95/84</t>
  </si>
  <si>
    <t>110/83</t>
  </si>
  <si>
    <t>92/90</t>
  </si>
  <si>
    <t>111/94</t>
  </si>
  <si>
    <t>107/66</t>
  </si>
  <si>
    <t>98/72</t>
  </si>
  <si>
    <t>150/96</t>
  </si>
  <si>
    <t>96/69</t>
  </si>
  <si>
    <t>130/95</t>
  </si>
  <si>
    <t>140/85</t>
  </si>
  <si>
    <t>138/73</t>
  </si>
  <si>
    <t>101/82</t>
  </si>
  <si>
    <t>126/64</t>
  </si>
  <si>
    <t>135/82</t>
  </si>
  <si>
    <t>150/71</t>
  </si>
  <si>
    <t>116/93</t>
  </si>
  <si>
    <t>96/90</t>
  </si>
  <si>
    <t>117/93</t>
  </si>
  <si>
    <t>97/84</t>
  </si>
  <si>
    <t>145/96</t>
  </si>
  <si>
    <t>127/77</t>
  </si>
  <si>
    <t>98/60</t>
  </si>
  <si>
    <t>91/79</t>
  </si>
  <si>
    <t>147/82</t>
  </si>
  <si>
    <t>117/91</t>
  </si>
  <si>
    <t>119/81</t>
  </si>
  <si>
    <t>136/61</t>
  </si>
  <si>
    <t>149/81</t>
  </si>
  <si>
    <t>97/79</t>
  </si>
  <si>
    <t>140/86</t>
  </si>
  <si>
    <t>121/67</t>
  </si>
  <si>
    <t>150/84</t>
  </si>
  <si>
    <t>131/79</t>
  </si>
  <si>
    <t>119/92</t>
  </si>
  <si>
    <t>144/72</t>
  </si>
  <si>
    <t>144/70</t>
  </si>
  <si>
    <t>137/64</t>
  </si>
  <si>
    <t>124/76</t>
  </si>
  <si>
    <t>142/79</t>
  </si>
  <si>
    <t>92/84</t>
  </si>
  <si>
    <t>133/75</t>
  </si>
  <si>
    <t>125/73</t>
  </si>
  <si>
    <t>97/74</t>
  </si>
  <si>
    <t>146/73</t>
  </si>
  <si>
    <t>91/61</t>
  </si>
  <si>
    <t>119/89</t>
  </si>
  <si>
    <t>133/65</t>
  </si>
  <si>
    <t>118/89</t>
  </si>
  <si>
    <t>121/94</t>
  </si>
  <si>
    <t>141/69</t>
  </si>
  <si>
    <t>130/71</t>
  </si>
  <si>
    <t>111/84</t>
  </si>
  <si>
    <t>102/60</t>
  </si>
  <si>
    <t>107/61</t>
  </si>
  <si>
    <t>133/77</t>
  </si>
  <si>
    <t>112/91</t>
  </si>
  <si>
    <t>122/65</t>
  </si>
  <si>
    <t>90/92</t>
  </si>
  <si>
    <t>133/70</t>
  </si>
  <si>
    <t>142/64</t>
  </si>
  <si>
    <t>117/62</t>
  </si>
  <si>
    <t>141/65</t>
  </si>
  <si>
    <t>113/94</t>
  </si>
  <si>
    <t>122/80</t>
  </si>
  <si>
    <t>97/64</t>
  </si>
  <si>
    <t>144/74</t>
  </si>
  <si>
    <t>130/73</t>
  </si>
  <si>
    <t>95/62</t>
  </si>
  <si>
    <t>121/83</t>
  </si>
  <si>
    <t>118/84</t>
  </si>
  <si>
    <t>143/89</t>
  </si>
  <si>
    <t>139/76</t>
  </si>
  <si>
    <t>97/89</t>
  </si>
  <si>
    <t>118/61</t>
  </si>
  <si>
    <t>91/64</t>
  </si>
  <si>
    <t>98/94</t>
  </si>
  <si>
    <t>114/92</t>
  </si>
  <si>
    <t>110/81</t>
  </si>
  <si>
    <t>98/87</t>
  </si>
  <si>
    <t>107/88</t>
  </si>
  <si>
    <t>90/72</t>
  </si>
  <si>
    <t>149/68</t>
  </si>
  <si>
    <t>90/80</t>
  </si>
  <si>
    <t>135/61</t>
  </si>
  <si>
    <t>127/71</t>
  </si>
  <si>
    <t>111/86</t>
  </si>
  <si>
    <t>140/70</t>
  </si>
  <si>
    <t>96/73</t>
  </si>
  <si>
    <t>143/67</t>
  </si>
  <si>
    <t>148/91</t>
  </si>
  <si>
    <t>124/70</t>
  </si>
  <si>
    <t>128/81</t>
  </si>
  <si>
    <t>92/89</t>
  </si>
  <si>
    <t>141/78</t>
  </si>
  <si>
    <t>137/76</t>
  </si>
  <si>
    <t>133/63</t>
  </si>
  <si>
    <t>131/95</t>
  </si>
  <si>
    <t>129/86</t>
  </si>
  <si>
    <t>119/61</t>
  </si>
  <si>
    <t>127/84</t>
  </si>
  <si>
    <t>139/86</t>
  </si>
  <si>
    <t>126/71</t>
  </si>
  <si>
    <t>140/69</t>
  </si>
  <si>
    <t>127/91</t>
  </si>
  <si>
    <t>103/73</t>
  </si>
  <si>
    <t>126/86</t>
  </si>
  <si>
    <t>150/61</t>
  </si>
  <si>
    <t>94/64</t>
  </si>
  <si>
    <t>110/92</t>
  </si>
  <si>
    <t>98/66</t>
  </si>
  <si>
    <t>125/65</t>
  </si>
  <si>
    <t>121/68</t>
  </si>
  <si>
    <t>133/86</t>
  </si>
  <si>
    <t>101/98</t>
  </si>
  <si>
    <t>121/100</t>
  </si>
  <si>
    <t>148/96</t>
  </si>
  <si>
    <t>100/62</t>
  </si>
  <si>
    <t>103/82</t>
  </si>
  <si>
    <t>110/78</t>
  </si>
  <si>
    <t>94/73</t>
  </si>
  <si>
    <t>109/83</t>
  </si>
  <si>
    <t>113/69</t>
  </si>
  <si>
    <t>136/76</t>
  </si>
  <si>
    <t>139/64</t>
  </si>
  <si>
    <t>114/69</t>
  </si>
  <si>
    <t>118/64</t>
  </si>
  <si>
    <t>124/66</t>
  </si>
  <si>
    <t>94/93</t>
  </si>
  <si>
    <t>117/66</t>
  </si>
  <si>
    <t>103/99</t>
  </si>
  <si>
    <t>114/90</t>
  </si>
  <si>
    <t>116/69</t>
  </si>
  <si>
    <t>136/93</t>
  </si>
  <si>
    <t>99/82</t>
  </si>
  <si>
    <t>100/96</t>
  </si>
  <si>
    <t>140/95</t>
  </si>
  <si>
    <t>101/72</t>
  </si>
  <si>
    <t>99/76</t>
  </si>
  <si>
    <t>150/91</t>
  </si>
  <si>
    <t>139/81</t>
  </si>
  <si>
    <t>104/83</t>
  </si>
  <si>
    <t>147/64</t>
  </si>
  <si>
    <t>117/69</t>
  </si>
  <si>
    <t>115/100</t>
  </si>
  <si>
    <t>141/85</t>
  </si>
  <si>
    <t>110/77</t>
  </si>
  <si>
    <t>136/85</t>
  </si>
  <si>
    <t>145/62</t>
  </si>
  <si>
    <t>113/72</t>
  </si>
  <si>
    <t>123/75</t>
  </si>
  <si>
    <t>99/75</t>
  </si>
  <si>
    <t>106/61</t>
  </si>
  <si>
    <t>129/77</t>
  </si>
  <si>
    <t>101/78</t>
  </si>
  <si>
    <t>98/76</t>
  </si>
  <si>
    <t>108/67</t>
  </si>
  <si>
    <t>121/88</t>
  </si>
  <si>
    <t>91/88</t>
  </si>
  <si>
    <t>100/90</t>
  </si>
  <si>
    <t>104/85</t>
  </si>
  <si>
    <t>129/63</t>
  </si>
  <si>
    <t>128/88</t>
  </si>
  <si>
    <t>124/91</t>
  </si>
  <si>
    <t>131/67</t>
  </si>
  <si>
    <t>124/90</t>
  </si>
  <si>
    <t>111/78</t>
  </si>
  <si>
    <t>128/93</t>
  </si>
  <si>
    <t>109/67</t>
  </si>
  <si>
    <t>116/83</t>
  </si>
  <si>
    <t>136/60</t>
  </si>
  <si>
    <t>149/61</t>
  </si>
  <si>
    <t>133/74</t>
  </si>
  <si>
    <t>142/67</t>
  </si>
  <si>
    <t>149/93</t>
  </si>
  <si>
    <t>93/89</t>
  </si>
  <si>
    <t>123/77</t>
  </si>
  <si>
    <t>106/83</t>
  </si>
  <si>
    <t>117/64</t>
  </si>
  <si>
    <t>100/80</t>
  </si>
  <si>
    <t>99/70</t>
  </si>
  <si>
    <t>145/60</t>
  </si>
  <si>
    <t>104/96</t>
  </si>
  <si>
    <t>110/71</t>
  </si>
  <si>
    <t>123/89</t>
  </si>
  <si>
    <t>93/85</t>
  </si>
  <si>
    <t>95/66</t>
  </si>
  <si>
    <t>129/94</t>
  </si>
  <si>
    <t>99/83</t>
  </si>
  <si>
    <t>116/72</t>
  </si>
  <si>
    <t>110/93</t>
  </si>
  <si>
    <t>111/76</t>
  </si>
  <si>
    <t>125/61</t>
  </si>
  <si>
    <t>93/63</t>
  </si>
  <si>
    <t>141/79</t>
  </si>
  <si>
    <t>138/100</t>
  </si>
  <si>
    <t>108/65</t>
  </si>
  <si>
    <t>137/81</t>
  </si>
  <si>
    <t>135/91</t>
  </si>
  <si>
    <t>109/70</t>
  </si>
  <si>
    <t>129/80</t>
  </si>
  <si>
    <t>136/97</t>
  </si>
  <si>
    <t>96/93</t>
  </si>
  <si>
    <t>103/69</t>
  </si>
  <si>
    <t>135/90</t>
  </si>
  <si>
    <t>148/64</t>
  </si>
  <si>
    <t>150/78</t>
  </si>
  <si>
    <t>127/78</t>
  </si>
  <si>
    <t>117/81</t>
  </si>
  <si>
    <t>125/100</t>
  </si>
  <si>
    <t>126/80</t>
  </si>
  <si>
    <t>132/86</t>
  </si>
  <si>
    <t>92/74</t>
  </si>
  <si>
    <t>93/88</t>
  </si>
  <si>
    <t>126/60</t>
  </si>
  <si>
    <t>120/83</t>
  </si>
  <si>
    <t>134/82</t>
  </si>
  <si>
    <t>130/87</t>
  </si>
  <si>
    <t>95/60</t>
  </si>
  <si>
    <t>128/75</t>
  </si>
  <si>
    <t>140/89</t>
  </si>
  <si>
    <t>116/100</t>
  </si>
  <si>
    <t>133/94</t>
  </si>
  <si>
    <t>143/93</t>
  </si>
  <si>
    <t>146/61</t>
  </si>
  <si>
    <t>119/75</t>
  </si>
  <si>
    <t>139/85</t>
  </si>
  <si>
    <t>113/96</t>
  </si>
  <si>
    <t>108/61</t>
  </si>
  <si>
    <t>105/88</t>
  </si>
  <si>
    <t>143/98</t>
  </si>
  <si>
    <t>117/84</t>
  </si>
  <si>
    <t>139/79</t>
  </si>
  <si>
    <t>120/72</t>
  </si>
  <si>
    <t>135/88</t>
  </si>
  <si>
    <t>139/63</t>
  </si>
  <si>
    <t>107/74</t>
  </si>
  <si>
    <t>123/93</t>
  </si>
  <si>
    <t>148/85</t>
  </si>
  <si>
    <t>122/71</t>
  </si>
  <si>
    <t>96/72</t>
  </si>
  <si>
    <t>119/69</t>
  </si>
  <si>
    <t>97/87</t>
  </si>
  <si>
    <t>111/90</t>
  </si>
  <si>
    <t>113/95</t>
  </si>
  <si>
    <t>133/87</t>
  </si>
  <si>
    <t>102/91</t>
  </si>
  <si>
    <t>103/88</t>
  </si>
  <si>
    <t>135/85</t>
  </si>
  <si>
    <t>97/71</t>
  </si>
  <si>
    <t>108/87</t>
  </si>
  <si>
    <t>127/75</t>
  </si>
  <si>
    <t>149/78</t>
  </si>
  <si>
    <t>149/91</t>
  </si>
  <si>
    <t>93/78</t>
  </si>
  <si>
    <t>141/95</t>
  </si>
  <si>
    <t>112/97</t>
  </si>
  <si>
    <t>133/64</t>
  </si>
  <si>
    <t>150/64</t>
  </si>
  <si>
    <t>98/88</t>
  </si>
  <si>
    <t>128/64</t>
  </si>
  <si>
    <t>142/87</t>
  </si>
  <si>
    <t>96/85</t>
  </si>
  <si>
    <t>104/84</t>
  </si>
  <si>
    <t>132/87</t>
  </si>
  <si>
    <t>131/88</t>
  </si>
  <si>
    <t>122/75</t>
  </si>
  <si>
    <t>141/70</t>
  </si>
  <si>
    <t>95/97</t>
  </si>
  <si>
    <t>108/64</t>
  </si>
  <si>
    <t>91/65</t>
  </si>
  <si>
    <t>143/70</t>
  </si>
  <si>
    <t>126/74</t>
  </si>
  <si>
    <t>135/66</t>
  </si>
  <si>
    <t>115/64</t>
  </si>
  <si>
    <t>121/92</t>
  </si>
  <si>
    <t>119/99</t>
  </si>
  <si>
    <t>134/89</t>
  </si>
  <si>
    <t>141/76</t>
  </si>
  <si>
    <t>145/71</t>
  </si>
  <si>
    <t>148/95</t>
  </si>
  <si>
    <t>111/69</t>
  </si>
  <si>
    <t>134/69</t>
  </si>
  <si>
    <t>120/70</t>
  </si>
  <si>
    <t>114/70</t>
  </si>
  <si>
    <t>134/67</t>
  </si>
  <si>
    <t>95/94</t>
  </si>
  <si>
    <t>116/86</t>
  </si>
  <si>
    <t>146/95</t>
  </si>
  <si>
    <t>130/94</t>
  </si>
  <si>
    <t>129/61</t>
  </si>
  <si>
    <t>112/85</t>
  </si>
  <si>
    <t>112/71</t>
  </si>
  <si>
    <t>123/83</t>
  </si>
  <si>
    <t>116/89</t>
  </si>
  <si>
    <t>122/91</t>
  </si>
  <si>
    <t>99/89</t>
  </si>
  <si>
    <t>102/93</t>
  </si>
  <si>
    <t>126/66</t>
  </si>
  <si>
    <t>139/82</t>
  </si>
  <si>
    <t>141/82</t>
  </si>
  <si>
    <t>129/92</t>
  </si>
  <si>
    <t>95/96</t>
  </si>
  <si>
    <t>113/79</t>
  </si>
  <si>
    <t>140/98</t>
  </si>
  <si>
    <t>106/73</t>
  </si>
  <si>
    <t>115/94</t>
  </si>
  <si>
    <t>113/91</t>
  </si>
  <si>
    <t>92/66</t>
  </si>
  <si>
    <t>115/75</t>
  </si>
  <si>
    <t>132/69</t>
  </si>
  <si>
    <t>103/64</t>
  </si>
  <si>
    <t>96/78</t>
  </si>
  <si>
    <t>111/85</t>
  </si>
  <si>
    <t>132/95</t>
  </si>
  <si>
    <t>97/80</t>
  </si>
  <si>
    <t>92/96</t>
  </si>
  <si>
    <t>91/71</t>
  </si>
  <si>
    <t>98/90</t>
  </si>
  <si>
    <t>150/97</t>
  </si>
  <si>
    <t>133/71</t>
  </si>
  <si>
    <t>127/80</t>
  </si>
  <si>
    <t>143/75</t>
  </si>
  <si>
    <t>123/87</t>
  </si>
  <si>
    <t>125/63</t>
  </si>
  <si>
    <t>115/71</t>
  </si>
  <si>
    <t>147/63</t>
  </si>
  <si>
    <t>149/89</t>
  </si>
  <si>
    <t>145/63</t>
  </si>
  <si>
    <t>136/95</t>
  </si>
  <si>
    <t>103/80</t>
  </si>
  <si>
    <t>107/64</t>
  </si>
  <si>
    <t>141/81</t>
  </si>
  <si>
    <t>126/62</t>
  </si>
  <si>
    <t>136/83</t>
  </si>
  <si>
    <t>135/87</t>
  </si>
  <si>
    <t>100/63</t>
  </si>
  <si>
    <t>94/86</t>
  </si>
  <si>
    <t>102/62</t>
  </si>
  <si>
    <t>135/76</t>
  </si>
  <si>
    <t>126/76</t>
  </si>
  <si>
    <t>90/82</t>
  </si>
  <si>
    <t>131/80</t>
  </si>
  <si>
    <t>91/66</t>
  </si>
  <si>
    <t>104/93</t>
  </si>
  <si>
    <t>148/87</t>
  </si>
  <si>
    <t>120/94</t>
  </si>
  <si>
    <t>96/98</t>
  </si>
  <si>
    <t>117/98</t>
  </si>
  <si>
    <t>144/86</t>
  </si>
  <si>
    <t>102/86</t>
  </si>
  <si>
    <t>111/83</t>
  </si>
  <si>
    <t>112/84</t>
  </si>
  <si>
    <t>108/66</t>
  </si>
  <si>
    <t>125/99</t>
  </si>
  <si>
    <t>119/88</t>
  </si>
  <si>
    <t>132/71</t>
  </si>
  <si>
    <t>118/76</t>
  </si>
  <si>
    <t>102/99</t>
  </si>
  <si>
    <t>130/89</t>
  </si>
  <si>
    <t>116/91</t>
  </si>
  <si>
    <t>109/76</t>
  </si>
  <si>
    <t>142/73</t>
  </si>
  <si>
    <t>124/92</t>
  </si>
  <si>
    <t>91/81</t>
  </si>
  <si>
    <t>130/99</t>
  </si>
  <si>
    <t>142/72</t>
  </si>
  <si>
    <t>119/83</t>
  </si>
  <si>
    <t>118/100</t>
  </si>
  <si>
    <t>147/74</t>
  </si>
  <si>
    <t>142/76</t>
  </si>
  <si>
    <t>127/93</t>
  </si>
  <si>
    <t>91/70</t>
  </si>
  <si>
    <t>116/87</t>
  </si>
  <si>
    <t>147/79</t>
  </si>
  <si>
    <t>97/72</t>
  </si>
  <si>
    <t>119/72</t>
  </si>
  <si>
    <t>137/91</t>
  </si>
  <si>
    <t>93/61</t>
  </si>
  <si>
    <t>134/72</t>
  </si>
  <si>
    <t>150/80</t>
  </si>
  <si>
    <t>125/64</t>
  </si>
  <si>
    <t>102/84</t>
  </si>
  <si>
    <t>117/86</t>
  </si>
  <si>
    <t>112/79</t>
  </si>
  <si>
    <t>120/100</t>
  </si>
  <si>
    <t>113/87</t>
  </si>
  <si>
    <t>120/97</t>
  </si>
  <si>
    <t>93/73</t>
  </si>
  <si>
    <t>96/71</t>
  </si>
  <si>
    <t>136/67</t>
  </si>
  <si>
    <t>94/85</t>
  </si>
  <si>
    <t>112/63</t>
  </si>
  <si>
    <t>146/74</t>
  </si>
  <si>
    <t>139/89</t>
  </si>
  <si>
    <t>129/88</t>
  </si>
  <si>
    <t>106/66</t>
  </si>
  <si>
    <t>138/81</t>
  </si>
  <si>
    <t>91/80</t>
  </si>
  <si>
    <t>140/88</t>
  </si>
  <si>
    <t>128/94</t>
  </si>
  <si>
    <t>115/60</t>
  </si>
  <si>
    <t>102/82</t>
  </si>
  <si>
    <t>101/96</t>
  </si>
  <si>
    <t>106/92</t>
  </si>
  <si>
    <t>145/93</t>
  </si>
  <si>
    <t>144/85</t>
  </si>
  <si>
    <t>143/100</t>
  </si>
  <si>
    <t>92/60</t>
  </si>
  <si>
    <t>140/66</t>
  </si>
  <si>
    <t>139/93</t>
  </si>
  <si>
    <t>148/100</t>
  </si>
  <si>
    <t>146/91</t>
  </si>
  <si>
    <t>107/75</t>
  </si>
  <si>
    <t>119/70</t>
  </si>
  <si>
    <t>106/88</t>
  </si>
  <si>
    <t>116/70</t>
  </si>
  <si>
    <t>118/97</t>
  </si>
  <si>
    <t>121/66</t>
  </si>
  <si>
    <t>113/89</t>
  </si>
  <si>
    <t>131/69</t>
  </si>
  <si>
    <t>119/63</t>
  </si>
  <si>
    <t>124/65</t>
  </si>
  <si>
    <t>101/65</t>
  </si>
  <si>
    <t>115/90</t>
  </si>
  <si>
    <t>134/85</t>
  </si>
  <si>
    <t>106/94</t>
  </si>
  <si>
    <t>142/96</t>
  </si>
  <si>
    <t>145/92</t>
  </si>
  <si>
    <t>139/77</t>
  </si>
  <si>
    <t>118/95</t>
  </si>
  <si>
    <t>119/95</t>
  </si>
  <si>
    <t>139/98</t>
  </si>
  <si>
    <t>105/95</t>
  </si>
  <si>
    <t>125/88</t>
  </si>
  <si>
    <t>131/81</t>
  </si>
  <si>
    <t>98/83</t>
  </si>
  <si>
    <t>147/77</t>
  </si>
  <si>
    <t>139/78</t>
  </si>
  <si>
    <t>131/100</t>
  </si>
  <si>
    <t>103/83</t>
  </si>
  <si>
    <t>117/92</t>
  </si>
  <si>
    <t>130/98</t>
  </si>
  <si>
    <t>103/85</t>
  </si>
  <si>
    <t>150/98</t>
  </si>
  <si>
    <t>114/89</t>
  </si>
  <si>
    <t>127/74</t>
  </si>
  <si>
    <t>140/72</t>
  </si>
  <si>
    <t>130/81</t>
  </si>
  <si>
    <t>91/69</t>
  </si>
  <si>
    <t>121/61</t>
  </si>
  <si>
    <t>113/77</t>
  </si>
  <si>
    <t>119/97</t>
  </si>
  <si>
    <t>109/84</t>
  </si>
  <si>
    <t>126/91</t>
  </si>
  <si>
    <t>128/67</t>
  </si>
  <si>
    <t>91/98</t>
  </si>
  <si>
    <t>105/72</t>
  </si>
  <si>
    <t>134/60</t>
  </si>
  <si>
    <t>95/100</t>
  </si>
  <si>
    <t>112/61</t>
  </si>
  <si>
    <t>104/66</t>
  </si>
  <si>
    <t>148/98</t>
  </si>
  <si>
    <t>115/72</t>
  </si>
  <si>
    <t>125/87</t>
  </si>
  <si>
    <t>132/65</t>
  </si>
  <si>
    <t>123/72</t>
  </si>
  <si>
    <t>142/61</t>
  </si>
  <si>
    <t>118/86</t>
  </si>
  <si>
    <t>126/73</t>
  </si>
  <si>
    <t>113/98</t>
  </si>
  <si>
    <t>146/89</t>
  </si>
  <si>
    <t>107/83</t>
  </si>
  <si>
    <t>137/89</t>
  </si>
  <si>
    <t>119/68</t>
  </si>
  <si>
    <t>105/93</t>
  </si>
  <si>
    <t>95/86</t>
  </si>
  <si>
    <t>127/89</t>
  </si>
  <si>
    <t>136/77</t>
  </si>
  <si>
    <t>118/68</t>
  </si>
  <si>
    <t>130/66</t>
  </si>
  <si>
    <t>98/85</t>
  </si>
  <si>
    <t>129/82</t>
  </si>
  <si>
    <t>120/69</t>
  </si>
  <si>
    <t>124/73</t>
  </si>
  <si>
    <t>140/62</t>
  </si>
  <si>
    <t>148/67</t>
  </si>
  <si>
    <t>122/74</t>
  </si>
  <si>
    <t>119/74</t>
  </si>
  <si>
    <t>122/73</t>
  </si>
  <si>
    <t>131/68</t>
  </si>
  <si>
    <t>107/100</t>
  </si>
  <si>
    <t>95/82</t>
  </si>
  <si>
    <t>96/60</t>
  </si>
  <si>
    <t>143/82</t>
  </si>
  <si>
    <t>98/92</t>
  </si>
  <si>
    <t>110/76</t>
  </si>
  <si>
    <t>112/80</t>
  </si>
  <si>
    <t>148/65</t>
  </si>
  <si>
    <t>90/74</t>
  </si>
  <si>
    <t>101/77</t>
  </si>
  <si>
    <t>127/70</t>
  </si>
  <si>
    <t>132/83</t>
  </si>
  <si>
    <t>111/97</t>
  </si>
  <si>
    <t>144/81</t>
  </si>
  <si>
    <t>130/68</t>
  </si>
  <si>
    <t>102/73</t>
  </si>
  <si>
    <t>118/78</t>
  </si>
  <si>
    <t>118/81</t>
  </si>
  <si>
    <t>108/100</t>
  </si>
  <si>
    <t>111/87</t>
  </si>
  <si>
    <t>92/69</t>
  </si>
  <si>
    <t>94/71</t>
  </si>
  <si>
    <t>119/73</t>
  </si>
  <si>
    <t>127/86</t>
  </si>
  <si>
    <t>114/85</t>
  </si>
  <si>
    <t>113/73</t>
  </si>
  <si>
    <t>119/66</t>
  </si>
  <si>
    <t>142/93</t>
  </si>
  <si>
    <t>148/73</t>
  </si>
  <si>
    <t>126/95</t>
  </si>
  <si>
    <t>138/84</t>
  </si>
  <si>
    <t>126/82</t>
  </si>
  <si>
    <t>113/75</t>
  </si>
  <si>
    <t>92/70</t>
  </si>
  <si>
    <t>90/79</t>
  </si>
  <si>
    <t>126/89</t>
  </si>
  <si>
    <t>132/78</t>
  </si>
  <si>
    <t>149/69</t>
  </si>
  <si>
    <t>110/86</t>
  </si>
  <si>
    <t>143/64</t>
  </si>
  <si>
    <t>118/72</t>
  </si>
  <si>
    <t>125/80</t>
  </si>
  <si>
    <t>93/71</t>
  </si>
  <si>
    <t>150/67</t>
  </si>
  <si>
    <t>117/60</t>
  </si>
  <si>
    <t>141/68</t>
  </si>
  <si>
    <t>150/81</t>
  </si>
  <si>
    <t>131/73</t>
  </si>
  <si>
    <t>125/90</t>
  </si>
  <si>
    <t>124/61</t>
  </si>
  <si>
    <t>134/90</t>
  </si>
  <si>
    <t>108/71</t>
  </si>
  <si>
    <t>92/95</t>
  </si>
  <si>
    <t>126/77</t>
  </si>
  <si>
    <t>109/91</t>
  </si>
  <si>
    <t>137/65</t>
  </si>
  <si>
    <t>150/86</t>
  </si>
  <si>
    <t>110/72</t>
  </si>
  <si>
    <t>101/73</t>
  </si>
  <si>
    <t>123/62</t>
  </si>
  <si>
    <t>150/79</t>
  </si>
  <si>
    <t>129/98</t>
  </si>
  <si>
    <t>144/91</t>
  </si>
  <si>
    <t>108/73</t>
  </si>
  <si>
    <t>134/88</t>
  </si>
  <si>
    <t>149/92</t>
  </si>
  <si>
    <t>140/77</t>
  </si>
  <si>
    <t>142/88</t>
  </si>
  <si>
    <t>123/99</t>
  </si>
  <si>
    <t>110/64</t>
  </si>
  <si>
    <t>99/62</t>
  </si>
  <si>
    <t>98/65</t>
  </si>
  <si>
    <t>104/70</t>
  </si>
  <si>
    <t>147/71</t>
  </si>
  <si>
    <t>95/90</t>
  </si>
  <si>
    <t>141/62</t>
  </si>
  <si>
    <t>103/63</t>
  </si>
  <si>
    <t>98/89</t>
  </si>
  <si>
    <t>130/93</t>
  </si>
  <si>
    <t>139/62</t>
  </si>
  <si>
    <t>121/84</t>
  </si>
  <si>
    <t>136/78</t>
  </si>
  <si>
    <t>102/100</t>
  </si>
  <si>
    <t>124/98</t>
  </si>
  <si>
    <t>111/73</t>
  </si>
  <si>
    <t>144/92</t>
  </si>
  <si>
    <t>114/88</t>
  </si>
  <si>
    <t>127/87</t>
  </si>
  <si>
    <t>137/88</t>
  </si>
  <si>
    <t>90/63</t>
  </si>
  <si>
    <t>139/96</t>
  </si>
  <si>
    <t>112/93</t>
  </si>
  <si>
    <t>95/81</t>
  </si>
  <si>
    <t>110/98</t>
  </si>
  <si>
    <t>132/76</t>
  </si>
  <si>
    <t>116/95</t>
  </si>
  <si>
    <t>107/80</t>
  </si>
  <si>
    <t>136/92</t>
  </si>
  <si>
    <t>102/61</t>
  </si>
  <si>
    <t>116/65</t>
  </si>
  <si>
    <t>92/62</t>
  </si>
  <si>
    <t>145/79</t>
  </si>
  <si>
    <t>95/93</t>
  </si>
  <si>
    <t>144/63</t>
  </si>
  <si>
    <t>116/85</t>
  </si>
  <si>
    <t>144/96</t>
  </si>
  <si>
    <t>118/96</t>
  </si>
  <si>
    <t>136/75</t>
  </si>
  <si>
    <t>117/83</t>
  </si>
  <si>
    <t>127/99</t>
  </si>
  <si>
    <t>146/60</t>
  </si>
  <si>
    <t>138/68</t>
  </si>
  <si>
    <t>118/67</t>
  </si>
  <si>
    <t>128/60</t>
  </si>
  <si>
    <t>111/77</t>
  </si>
  <si>
    <t>102/92</t>
  </si>
  <si>
    <t>122/94</t>
  </si>
  <si>
    <t>132/77</t>
  </si>
  <si>
    <t>91/91</t>
  </si>
  <si>
    <t>95/89</t>
  </si>
  <si>
    <t>143/81</t>
  </si>
  <si>
    <t>94/69</t>
  </si>
  <si>
    <t>141/63</t>
  </si>
  <si>
    <t>111/72</t>
  </si>
  <si>
    <t>121/65</t>
  </si>
  <si>
    <t>119/60</t>
  </si>
  <si>
    <t>114/86</t>
  </si>
  <si>
    <t>114/73</t>
  </si>
  <si>
    <t>123/76</t>
  </si>
  <si>
    <t>124/78</t>
  </si>
  <si>
    <t>109/61</t>
  </si>
  <si>
    <t>104/64</t>
  </si>
  <si>
    <t>104/95</t>
  </si>
  <si>
    <t>98/86</t>
  </si>
  <si>
    <t>131/66</t>
  </si>
  <si>
    <t>146/65</t>
  </si>
  <si>
    <t>141/71</t>
  </si>
  <si>
    <t>130/61</t>
  </si>
  <si>
    <t>140/67</t>
  </si>
  <si>
    <t>104/62</t>
  </si>
  <si>
    <t>92/100</t>
  </si>
  <si>
    <t>126/100</t>
  </si>
  <si>
    <t>131/62</t>
  </si>
  <si>
    <t>122/97</t>
  </si>
  <si>
    <t>112/75</t>
  </si>
  <si>
    <t>102/64</t>
  </si>
  <si>
    <t>133/76</t>
  </si>
  <si>
    <t>117/74</t>
  </si>
  <si>
    <t>139/68</t>
  </si>
  <si>
    <t>90/70</t>
  </si>
  <si>
    <t>97/67</t>
  </si>
  <si>
    <t>126/99</t>
  </si>
  <si>
    <t>120/91</t>
  </si>
  <si>
    <t>113/70</t>
  </si>
  <si>
    <t>94/68</t>
  </si>
  <si>
    <t>145/65</t>
  </si>
  <si>
    <t>133/95</t>
  </si>
  <si>
    <t>149/60</t>
  </si>
  <si>
    <t>102/95</t>
  </si>
  <si>
    <t>132/84</t>
  </si>
  <si>
    <t>135/83</t>
  </si>
  <si>
    <t>131/75</t>
  </si>
  <si>
    <t>138/76</t>
  </si>
  <si>
    <t>130/77</t>
  </si>
  <si>
    <t>101/92</t>
  </si>
  <si>
    <t>144/99</t>
  </si>
  <si>
    <t>106/77</t>
  </si>
  <si>
    <t>139/60</t>
  </si>
  <si>
    <t>142/84</t>
  </si>
  <si>
    <t>126/81</t>
  </si>
  <si>
    <t>148/94</t>
  </si>
  <si>
    <t>107/89</t>
  </si>
  <si>
    <t>147/85</t>
  </si>
  <si>
    <t>141/96</t>
  </si>
  <si>
    <t>104/80</t>
  </si>
  <si>
    <t>129/60</t>
  </si>
  <si>
    <t>146/99</t>
  </si>
  <si>
    <t>90/97</t>
  </si>
  <si>
    <t>139/91</t>
  </si>
  <si>
    <t>121/93</t>
  </si>
  <si>
    <t>124/80</t>
  </si>
  <si>
    <t>146/80</t>
  </si>
  <si>
    <t>93/95</t>
  </si>
  <si>
    <t>134/68</t>
  </si>
  <si>
    <t>106/69</t>
  </si>
  <si>
    <t>143/95</t>
  </si>
  <si>
    <t>143/66</t>
  </si>
  <si>
    <t>101/79</t>
  </si>
  <si>
    <t>116/66</t>
  </si>
  <si>
    <t>95/88</t>
  </si>
  <si>
    <t>131/84</t>
  </si>
  <si>
    <t>101/86</t>
  </si>
  <si>
    <t>134/81</t>
  </si>
  <si>
    <t>130/65</t>
  </si>
  <si>
    <t>138/61</t>
  </si>
  <si>
    <t>146/90</t>
  </si>
  <si>
    <t>92/94</t>
  </si>
  <si>
    <t>135/69</t>
  </si>
  <si>
    <t>154/60</t>
  </si>
  <si>
    <t>147/78</t>
  </si>
  <si>
    <t>154/69</t>
  </si>
  <si>
    <t>105/110</t>
  </si>
  <si>
    <t>125/118</t>
  </si>
  <si>
    <t>105/84</t>
  </si>
  <si>
    <t>129/93</t>
  </si>
  <si>
    <t>144/93</t>
  </si>
  <si>
    <t>159/91</t>
  </si>
  <si>
    <t>149/107</t>
  </si>
  <si>
    <t>120/102</t>
  </si>
  <si>
    <t>108/95</t>
  </si>
  <si>
    <t>168/60</t>
  </si>
  <si>
    <t>147/87</t>
  </si>
  <si>
    <t>99/80</t>
  </si>
  <si>
    <t>152/109</t>
  </si>
  <si>
    <t>104/99</t>
  </si>
  <si>
    <t>155/119</t>
  </si>
  <si>
    <t>140/106</t>
  </si>
  <si>
    <t>113/119</t>
  </si>
  <si>
    <t>136/114</t>
  </si>
  <si>
    <t>103/68</t>
  </si>
  <si>
    <t>174/119</t>
  </si>
  <si>
    <t>121/72</t>
  </si>
  <si>
    <t>109/78</t>
  </si>
  <si>
    <t>162/118</t>
  </si>
  <si>
    <t>155/70</t>
  </si>
  <si>
    <t>169/89</t>
  </si>
  <si>
    <t>154/62</t>
  </si>
  <si>
    <t>163/73</t>
  </si>
  <si>
    <t>161/114</t>
  </si>
  <si>
    <t>163/91</t>
  </si>
  <si>
    <t>149/101</t>
  </si>
  <si>
    <t>121/115</t>
  </si>
  <si>
    <t>131/92</t>
  </si>
  <si>
    <t>108/115</t>
  </si>
  <si>
    <t>102/102</t>
  </si>
  <si>
    <t>157/75</t>
  </si>
  <si>
    <t>171/99</t>
  </si>
  <si>
    <t>143/96</t>
  </si>
  <si>
    <t>124/110</t>
  </si>
  <si>
    <t>167/83</t>
  </si>
  <si>
    <t>125/93</t>
  </si>
  <si>
    <t>153/95</t>
  </si>
  <si>
    <t>162/114</t>
  </si>
  <si>
    <t>141/83</t>
  </si>
  <si>
    <t>168/86</t>
  </si>
  <si>
    <t>92/61</t>
  </si>
  <si>
    <t>122/119</t>
  </si>
  <si>
    <t>133/101</t>
  </si>
  <si>
    <t>120/110</t>
  </si>
  <si>
    <t>94/63</t>
  </si>
  <si>
    <t>154/114</t>
  </si>
  <si>
    <t>105/108</t>
  </si>
  <si>
    <t>139/83</t>
  </si>
  <si>
    <t>145/91</t>
  </si>
  <si>
    <t>164/87</t>
  </si>
  <si>
    <t>158/74</t>
  </si>
  <si>
    <t>90/87</t>
  </si>
  <si>
    <t>154/70</t>
  </si>
  <si>
    <t>103/107</t>
  </si>
  <si>
    <t>128/97</t>
  </si>
  <si>
    <t>147/81</t>
  </si>
  <si>
    <t>177/98</t>
  </si>
  <si>
    <t>172/77</t>
  </si>
  <si>
    <t>165/85</t>
  </si>
  <si>
    <t>129/113</t>
  </si>
  <si>
    <t>126/61</t>
  </si>
  <si>
    <t>179/90</t>
  </si>
  <si>
    <t>171/113</t>
  </si>
  <si>
    <t>162/117</t>
  </si>
  <si>
    <t>102/70</t>
  </si>
  <si>
    <t>108/84</t>
  </si>
  <si>
    <t>127/106</t>
  </si>
  <si>
    <t>117/108</t>
  </si>
  <si>
    <t>167/108</t>
  </si>
  <si>
    <t>109/86</t>
  </si>
  <si>
    <t>132/72</t>
  </si>
  <si>
    <t>174/76</t>
  </si>
  <si>
    <t>144/76</t>
  </si>
  <si>
    <t>102/96</t>
  </si>
  <si>
    <t>100/84</t>
  </si>
  <si>
    <t>113/65</t>
  </si>
  <si>
    <t>170/89</t>
  </si>
  <si>
    <t>139/106</t>
  </si>
  <si>
    <t>92/88</t>
  </si>
  <si>
    <t>131/115</t>
  </si>
  <si>
    <t>172/108</t>
  </si>
  <si>
    <t>121/105</t>
  </si>
  <si>
    <t>179/79</t>
  </si>
  <si>
    <t>94/117</t>
  </si>
  <si>
    <t>155/79</t>
  </si>
  <si>
    <t>130/109</t>
  </si>
  <si>
    <t>103/90</t>
  </si>
  <si>
    <t>137/113</t>
  </si>
  <si>
    <t>152/114</t>
  </si>
  <si>
    <t>109/118</t>
  </si>
  <si>
    <t>155/110</t>
  </si>
  <si>
    <t>170/76</t>
  </si>
  <si>
    <t>124/101</t>
  </si>
  <si>
    <t>165/99</t>
  </si>
  <si>
    <t>173/96</t>
  </si>
  <si>
    <t>178/90</t>
  </si>
  <si>
    <t>159/78</t>
  </si>
  <si>
    <t>138/71</t>
  </si>
  <si>
    <t>161/97</t>
  </si>
  <si>
    <t>179/97</t>
  </si>
  <si>
    <t>125/116</t>
  </si>
  <si>
    <t>125/72</t>
  </si>
  <si>
    <t>112/113</t>
  </si>
  <si>
    <t>100/67</t>
  </si>
  <si>
    <t>113/67</t>
  </si>
  <si>
    <t>92/93</t>
  </si>
  <si>
    <t>172/66</t>
  </si>
  <si>
    <t>162/95</t>
  </si>
  <si>
    <t>179/71</t>
  </si>
  <si>
    <t>93/117</t>
  </si>
  <si>
    <t>93/93</t>
  </si>
  <si>
    <t>99/71</t>
  </si>
  <si>
    <t>174/78</t>
  </si>
  <si>
    <t>99/108</t>
  </si>
  <si>
    <t>166/77</t>
  </si>
  <si>
    <t>105/68</t>
  </si>
  <si>
    <t>136/101</t>
  </si>
  <si>
    <t>112/119</t>
  </si>
  <si>
    <t>159/89</t>
  </si>
  <si>
    <t>157/61</t>
  </si>
  <si>
    <t>151/77</t>
  </si>
  <si>
    <t>110/114</t>
  </si>
  <si>
    <t>171/80</t>
  </si>
  <si>
    <t>140/61</t>
  </si>
  <si>
    <t>113/66</t>
  </si>
  <si>
    <t>98/91</t>
  </si>
  <si>
    <t>146/72</t>
  </si>
  <si>
    <t>112/77</t>
  </si>
  <si>
    <t>132/60</t>
  </si>
  <si>
    <t>162/106</t>
  </si>
  <si>
    <t>164/90</t>
  </si>
  <si>
    <t>133/115</t>
  </si>
  <si>
    <t>117/116</t>
  </si>
  <si>
    <t>154/97</t>
  </si>
  <si>
    <t>110/67</t>
  </si>
  <si>
    <t>175/98</t>
  </si>
  <si>
    <t>110/90</t>
  </si>
  <si>
    <t>146/96</t>
  </si>
  <si>
    <t>156/64</t>
  </si>
  <si>
    <t>99/78</t>
  </si>
  <si>
    <t>145/103</t>
  </si>
  <si>
    <t>151/78</t>
  </si>
  <si>
    <t>155/81</t>
  </si>
  <si>
    <t>151/90</t>
  </si>
  <si>
    <t>173/109</t>
  </si>
  <si>
    <t>136/72</t>
  </si>
  <si>
    <t>128/61</t>
  </si>
  <si>
    <t>158/84</t>
  </si>
  <si>
    <t>136/112</t>
  </si>
  <si>
    <t>95/105</t>
  </si>
  <si>
    <t>141/87</t>
  </si>
  <si>
    <t>103/119</t>
  </si>
  <si>
    <t>177/72</t>
  </si>
  <si>
    <t>166/115</t>
  </si>
  <si>
    <t>138/89</t>
  </si>
  <si>
    <t>147/119</t>
  </si>
  <si>
    <t>144/90</t>
  </si>
  <si>
    <t>168/110</t>
  </si>
  <si>
    <t>123/91</t>
  </si>
  <si>
    <t>91/105</t>
  </si>
  <si>
    <t>154/71</t>
  </si>
  <si>
    <t>164/63</t>
  </si>
  <si>
    <t>142/74</t>
  </si>
  <si>
    <t>147/73</t>
  </si>
  <si>
    <t>121/73</t>
  </si>
  <si>
    <t>129/65</t>
  </si>
  <si>
    <t>92/86</t>
  </si>
  <si>
    <t>116/82</t>
  </si>
  <si>
    <t>91/92</t>
  </si>
  <si>
    <t>101/95</t>
  </si>
  <si>
    <t>161/99</t>
  </si>
  <si>
    <t>157/109</t>
  </si>
  <si>
    <t>172/79</t>
  </si>
  <si>
    <t>126/106</t>
  </si>
  <si>
    <t>116/71</t>
  </si>
  <si>
    <t>168/63</t>
  </si>
  <si>
    <t>162/94</t>
  </si>
  <si>
    <t>124/100</t>
  </si>
  <si>
    <t>156/103</t>
  </si>
  <si>
    <t>171/76</t>
  </si>
  <si>
    <t>152/61</t>
  </si>
  <si>
    <t>95/115</t>
  </si>
  <si>
    <t>120/61</t>
  </si>
  <si>
    <t>168/61</t>
  </si>
  <si>
    <t>97/101</t>
  </si>
  <si>
    <t>144/105</t>
  </si>
  <si>
    <t>152/108</t>
  </si>
  <si>
    <t>156/68</t>
  </si>
  <si>
    <t>146/118</t>
  </si>
  <si>
    <t>157/65</t>
  </si>
  <si>
    <t>123/114</t>
  </si>
  <si>
    <t>111/82</t>
  </si>
  <si>
    <t>178/111</t>
  </si>
  <si>
    <t>139/108</t>
  </si>
  <si>
    <t>93/96</t>
  </si>
  <si>
    <t>167/90</t>
  </si>
  <si>
    <t>173/102</t>
  </si>
  <si>
    <t>119/100</t>
  </si>
  <si>
    <t>179/94</t>
  </si>
  <si>
    <t>140/105</t>
  </si>
  <si>
    <t>140/87</t>
  </si>
  <si>
    <t>132/101</t>
  </si>
  <si>
    <t>106/89</t>
  </si>
  <si>
    <t>159/82</t>
  </si>
  <si>
    <t>125/78</t>
  </si>
  <si>
    <t>125/85</t>
  </si>
  <si>
    <t>144/95</t>
  </si>
  <si>
    <t>109/82</t>
  </si>
  <si>
    <t>102/88</t>
  </si>
  <si>
    <t>164/81</t>
  </si>
  <si>
    <t>106/105</t>
  </si>
  <si>
    <t>129/99</t>
  </si>
  <si>
    <t>164/100</t>
  </si>
  <si>
    <t>166/116</t>
  </si>
  <si>
    <t>117/113</t>
  </si>
  <si>
    <t>95/87</t>
  </si>
  <si>
    <t>102/69</t>
  </si>
  <si>
    <t>103/72</t>
  </si>
  <si>
    <t>112/117</t>
  </si>
  <si>
    <t>130/70</t>
  </si>
  <si>
    <t>90/66</t>
  </si>
  <si>
    <t>111/108</t>
  </si>
  <si>
    <t>145/110</t>
  </si>
  <si>
    <t>102/97</t>
  </si>
  <si>
    <t>176/89</t>
  </si>
  <si>
    <t>126/113</t>
  </si>
  <si>
    <t>160/71</t>
  </si>
  <si>
    <t>100/75</t>
  </si>
  <si>
    <t>146/69</t>
  </si>
  <si>
    <t>144/115</t>
  </si>
  <si>
    <t>93/105</t>
  </si>
  <si>
    <t>178/109</t>
  </si>
  <si>
    <t>95/110</t>
  </si>
  <si>
    <t>160/78</t>
  </si>
  <si>
    <t>155/68</t>
  </si>
  <si>
    <t>173/114</t>
  </si>
  <si>
    <t>151/93</t>
  </si>
  <si>
    <t>156/66</t>
  </si>
  <si>
    <t>172/68</t>
  </si>
  <si>
    <t>108/117</t>
  </si>
  <si>
    <t>165/101</t>
  </si>
  <si>
    <t>178/65</t>
  </si>
  <si>
    <t>159/100</t>
  </si>
  <si>
    <t>159/101</t>
  </si>
  <si>
    <t>103/71</t>
  </si>
  <si>
    <t>157/67</t>
  </si>
  <si>
    <t>141/118</t>
  </si>
  <si>
    <t>94/67</t>
  </si>
  <si>
    <t>156/118</t>
  </si>
  <si>
    <t>101/60</t>
  </si>
  <si>
    <t>138/65</t>
  </si>
  <si>
    <t>136/74</t>
  </si>
  <si>
    <t>143/65</t>
  </si>
  <si>
    <t>150/100</t>
  </si>
  <si>
    <t>147/90</t>
  </si>
  <si>
    <t>128/101</t>
  </si>
  <si>
    <t>163/61</t>
  </si>
  <si>
    <t>150/108</t>
  </si>
  <si>
    <t>175/105</t>
  </si>
  <si>
    <t>164/118</t>
  </si>
  <si>
    <t>94/77</t>
  </si>
  <si>
    <t>99/77</t>
  </si>
  <si>
    <t>126/84</t>
  </si>
  <si>
    <t>178/63</t>
  </si>
  <si>
    <t>170/116</t>
  </si>
  <si>
    <t>147/108</t>
  </si>
  <si>
    <t>141/108</t>
  </si>
  <si>
    <t>99/73</t>
  </si>
  <si>
    <t>161/92</t>
  </si>
  <si>
    <t>162/79</t>
  </si>
  <si>
    <t>132/63</t>
  </si>
  <si>
    <t>107/65</t>
  </si>
  <si>
    <t>163/78</t>
  </si>
  <si>
    <t>117/96</t>
  </si>
  <si>
    <t>101/91</t>
  </si>
  <si>
    <t>154/112</t>
  </si>
  <si>
    <t>143/84</t>
  </si>
  <si>
    <t>173/68</t>
  </si>
  <si>
    <t>178/108</t>
  </si>
  <si>
    <t>99/64</t>
  </si>
  <si>
    <t>134/76</t>
  </si>
  <si>
    <t>130/78</t>
  </si>
  <si>
    <t>159/60</t>
  </si>
  <si>
    <t>95/111</t>
  </si>
  <si>
    <t>148/93</t>
  </si>
  <si>
    <t>177/67</t>
  </si>
  <si>
    <t>143/62</t>
  </si>
  <si>
    <t>93/79</t>
  </si>
  <si>
    <t>133/110</t>
  </si>
  <si>
    <t>139/72</t>
  </si>
  <si>
    <t>147/107</t>
  </si>
  <si>
    <t>90/109</t>
  </si>
  <si>
    <t>169/119</t>
  </si>
  <si>
    <t>149/82</t>
  </si>
  <si>
    <t>125/94</t>
  </si>
  <si>
    <t>129/85</t>
  </si>
  <si>
    <t>143/91</t>
  </si>
  <si>
    <t>104/113</t>
  </si>
  <si>
    <t>115/105</t>
  </si>
  <si>
    <t>105/107</t>
  </si>
  <si>
    <t>160/99</t>
  </si>
  <si>
    <t>170/100</t>
  </si>
  <si>
    <t>112/92</t>
  </si>
  <si>
    <t>159/75</t>
  </si>
  <si>
    <t>115/70</t>
  </si>
  <si>
    <t>166/80</t>
  </si>
  <si>
    <t>173/73</t>
  </si>
  <si>
    <t>101/83</t>
  </si>
  <si>
    <t>147/110</t>
  </si>
  <si>
    <t>114/97</t>
  </si>
  <si>
    <t>156/99</t>
  </si>
  <si>
    <t>122/115</t>
  </si>
  <si>
    <t>97/113</t>
  </si>
  <si>
    <t>91/107</t>
  </si>
  <si>
    <t>176/100</t>
  </si>
  <si>
    <t>127/66</t>
  </si>
  <si>
    <t>122/112</t>
  </si>
  <si>
    <t>161/85</t>
  </si>
  <si>
    <t>101/63</t>
  </si>
  <si>
    <t>124/60</t>
  </si>
  <si>
    <t>119/86</t>
  </si>
  <si>
    <t>166/96</t>
  </si>
  <si>
    <t>176/92</t>
  </si>
  <si>
    <t>162/80</t>
  </si>
  <si>
    <t>96/68</t>
  </si>
  <si>
    <t>148/84</t>
  </si>
  <si>
    <t>142/95</t>
  </si>
  <si>
    <t>115/113</t>
  </si>
  <si>
    <t>103/93</t>
  </si>
  <si>
    <t>175/69</t>
  </si>
  <si>
    <t>107/92</t>
  </si>
  <si>
    <t>118/119</t>
  </si>
  <si>
    <t>108/101</t>
  </si>
  <si>
    <t>153/103</t>
  </si>
  <si>
    <t>116/68</t>
  </si>
  <si>
    <t>160/82</t>
  </si>
  <si>
    <t>162/110</t>
  </si>
  <si>
    <t>97/92</t>
  </si>
  <si>
    <t>177/76</t>
  </si>
  <si>
    <t>139/113</t>
  </si>
  <si>
    <t>115/114</t>
  </si>
  <si>
    <t>145/68</t>
  </si>
  <si>
    <t>136/115</t>
  </si>
  <si>
    <t>134/98</t>
  </si>
  <si>
    <t>110/116</t>
  </si>
  <si>
    <t>125/112</t>
  </si>
  <si>
    <t>120/75</t>
  </si>
  <si>
    <t>178/100</t>
  </si>
  <si>
    <t>176/103</t>
  </si>
  <si>
    <t>137/84</t>
  </si>
  <si>
    <t>142/101</t>
  </si>
  <si>
    <t>178/73</t>
  </si>
  <si>
    <t>154/99</t>
  </si>
  <si>
    <t>151/101</t>
  </si>
  <si>
    <t>179/74</t>
  </si>
  <si>
    <t>177/107</t>
  </si>
  <si>
    <t>128/110</t>
  </si>
  <si>
    <t>166/111</t>
  </si>
  <si>
    <t>159/81</t>
  </si>
  <si>
    <t>134/110</t>
  </si>
  <si>
    <t>144/77</t>
  </si>
  <si>
    <t>172/111</t>
  </si>
  <si>
    <t>175/107</t>
  </si>
  <si>
    <t>164/78</t>
  </si>
  <si>
    <t>106/115</t>
  </si>
  <si>
    <t>120/76</t>
  </si>
  <si>
    <t>173/70</t>
  </si>
  <si>
    <t>121/96</t>
  </si>
  <si>
    <t>124/102</t>
  </si>
  <si>
    <t>178/81</t>
  </si>
  <si>
    <t>108/88</t>
  </si>
  <si>
    <t>178/77</t>
  </si>
  <si>
    <t>147/116</t>
  </si>
  <si>
    <t>105/104</t>
  </si>
  <si>
    <t>139/90</t>
  </si>
  <si>
    <t>172/63</t>
  </si>
  <si>
    <t>91/108</t>
  </si>
  <si>
    <t>92/107</t>
  </si>
  <si>
    <t>148/71</t>
  </si>
  <si>
    <t>112/106</t>
  </si>
  <si>
    <t>120/78</t>
  </si>
  <si>
    <t>165/72</t>
  </si>
  <si>
    <t>102/90</t>
  </si>
  <si>
    <t>169/87</t>
  </si>
  <si>
    <t>117/77</t>
  </si>
  <si>
    <t>163/82</t>
  </si>
  <si>
    <t>96/89</t>
  </si>
  <si>
    <t>107/91</t>
  </si>
  <si>
    <t>131/98</t>
  </si>
  <si>
    <t>179/91</t>
  </si>
  <si>
    <t>90/111</t>
  </si>
  <si>
    <t>110/112</t>
  </si>
  <si>
    <t>176/95</t>
  </si>
  <si>
    <t>169/95</t>
  </si>
  <si>
    <t>149/71</t>
  </si>
  <si>
    <t>91/97</t>
  </si>
  <si>
    <t>147/105</t>
  </si>
  <si>
    <t>171/75</t>
  </si>
  <si>
    <t>104/107</t>
  </si>
  <si>
    <t>177/62</t>
  </si>
  <si>
    <t>148/81</t>
  </si>
  <si>
    <t>142/107</t>
  </si>
  <si>
    <t>128/99</t>
  </si>
  <si>
    <t>106/79</t>
  </si>
  <si>
    <t>170/62</t>
  </si>
  <si>
    <t>115/115</t>
  </si>
  <si>
    <t>177/81</t>
  </si>
  <si>
    <t>129/108</t>
  </si>
  <si>
    <t>125/86</t>
  </si>
  <si>
    <t>122/85</t>
  </si>
  <si>
    <t>125/111</t>
  </si>
  <si>
    <t>171/86</t>
  </si>
  <si>
    <t>128/84</t>
  </si>
  <si>
    <t>148/63</t>
  </si>
  <si>
    <t>105/102</t>
  </si>
  <si>
    <t>105/118</t>
  </si>
  <si>
    <t>144/64</t>
  </si>
  <si>
    <t>146/75</t>
  </si>
  <si>
    <t>149/80</t>
  </si>
  <si>
    <t>165/86</t>
  </si>
  <si>
    <t>124/86</t>
  </si>
  <si>
    <t>142/114</t>
  </si>
  <si>
    <t>95/65</t>
  </si>
  <si>
    <t>164/101</t>
  </si>
  <si>
    <t>129/101</t>
  </si>
  <si>
    <t>105/113</t>
  </si>
  <si>
    <t>142/118</t>
  </si>
  <si>
    <t>169/65</t>
  </si>
  <si>
    <t>154/87</t>
  </si>
  <si>
    <t>97/96</t>
  </si>
  <si>
    <t>174/82</t>
  </si>
  <si>
    <t>175/80</t>
  </si>
  <si>
    <t>105/87</t>
  </si>
  <si>
    <t>162/60</t>
  </si>
  <si>
    <t>102/115</t>
  </si>
  <si>
    <t>150/90</t>
  </si>
  <si>
    <t>❤️ Cardiovascular Disease Risk — Excel Data Analysis Questions (30)</t>
  </si>
  <si>
    <t>(Dataset: CVD Dataset.csv — Bangladesh, 2024–2025)</t>
  </si>
  <si>
    <t>🧬 Demographic &amp; Risk Exposure Analysis</t>
  </si>
  <si>
    <t>1️⃣ Create an age-band classification (25–35, 36–45, 46–55, 56–65, 66+) and calculate % of High Risk patients and Average CVD Risk Score per band. Which age group shows the highest risk concentration?</t>
  </si>
  <si>
    <t>Why this question is asked:</t>
  </si>
  <si>
    <t>Cardiovascular risk increases with age but not always uniformly.</t>
  </si>
  <si>
    <t>Business purpose:</t>
  </si>
  <si>
    <t>Helps hospitals design age-targeted screening and preventive strategies.</t>
  </si>
  <si>
    <t>2️⃣ Perform gender-based risk comparison: Average CVD Risk Score by Sex and % High Risk by Sex. Is risk significantly different between males and females?</t>
  </si>
  <si>
    <t>Why:</t>
  </si>
  <si>
    <t>Risk profiles differ biologically and behaviorally.</t>
  </si>
  <si>
    <t>Purpose:</t>
  </si>
  <si>
    <t>Enables gender-specific public health policies.</t>
  </si>
  <si>
    <t>3️⃣ Create a cross-tab of Sex × Smoking Status × Risk Level. Which demographic segment is most vulnerable?</t>
  </si>
  <si>
    <t>Risk is often amplified by lifestyle within demographic groups.</t>
  </si>
  <si>
    <t>Improves targeted awareness campaigns.</t>
  </si>
  <si>
    <t>4️⃣ Build a cohort segmentation: Age &gt; 50, Diabetes = Yes, Hypertension Stage 1/2. What % of this cohort is classified as High CVD Risk?</t>
  </si>
  <si>
    <t>Comorbidities compound cardiovascular risk.</t>
  </si>
  <si>
    <t>Identifies ultra-high-risk population segments for intervention.</t>
  </si>
  <si>
    <t>⚖️ Anthropometric &amp; Obesity Impact Analysis</t>
  </si>
  <si>
    <t>5️⃣ Create BMI Categories (Underweight, Normal, Overweight, Obese). Calculate risk distribution and average risk score per category. Does obesity strongly correlate with risk score?</t>
  </si>
  <si>
    <t>Obesity is a primary modifiable CVD driver.</t>
  </si>
  <si>
    <t>Supports obesity reduction initiatives.</t>
  </si>
  <si>
    <t>6️⃣ Create Waist-to-Height Ratio quartiles (Q1–Q4) and compare average LDL and Risk Score across quartiles. Does central obesity outperform BMI in predicting risk?</t>
  </si>
  <si>
    <t>Central fat distribution may be more predictive than overall weight.</t>
  </si>
  <si>
    <t>Improves screening accuracy.</t>
  </si>
  <si>
    <t>7️⃣ Compare correlation of Abdominal Circumference and BMI with CVD Risk Score using Excel CORREL. Which is stronger?</t>
  </si>
  <si>
    <t>Some obesity measures may be redundant.</t>
  </si>
  <si>
    <t>Supports feature selection for modeling.</t>
  </si>
  <si>
    <t>8️⃣ Identify patients with Normal BMI but High Risk Level. What hidden factors (cholesterol, diabetes, BP) explain this?</t>
  </si>
  <si>
    <t>Not all high-risk patients are overweight.</t>
  </si>
  <si>
    <t>Prevents missed diagnoses.</t>
  </si>
  <si>
    <t>💓 Blood Pressure &amp; Clinical Risk Analysis</t>
  </si>
  <si>
    <t>9️⃣ Create BP Category vs Risk Level pivot. What % of Hypertension Stage 2 patients fall into High Risk?</t>
  </si>
  <si>
    <t>Severe hypertension should strongly predict risk.</t>
  </si>
  <si>
    <t>Supports aggressive BP control policies.</t>
  </si>
  <si>
    <t>🔟 Calculate average Risk Score for Normal, Elevated, Stage 1, and Stage 2 BP. Is risk score linearly increasing with severity?</t>
  </si>
  <si>
    <t>Risk may escalate non-linearly.</t>
  </si>
  <si>
    <t>Refines clinical escalation guidelines.</t>
  </si>
  <si>
    <t>1️⃣1️⃣ Identify patients with Normal BP, High LDL, and High Risk. What % of total high-risk patients fall into this group?</t>
  </si>
  <si>
    <t>Some risk is lipid-driven rather than BP-driven.</t>
  </si>
  <si>
    <t>Improves lipid-focused intervention planning.</t>
  </si>
  <si>
    <t>1️⃣2️⃣ Build a scatter analysis (Systolic BP vs Risk Score). Is the relationship linear or clustered?</t>
  </si>
  <si>
    <t>Understanding pattern helps predictive modeling.</t>
  </si>
  <si>
    <t>Supports regression model development.</t>
  </si>
  <si>
    <t>🧪 Biochemical Marker Impact Analysis</t>
  </si>
  <si>
    <t>1️⃣3️⃣ Segment Total Cholesterol into &lt;150, 150–180, &gt;180. How does Risk Score behave across these groups?</t>
  </si>
  <si>
    <t>Cholesterol is a primary atherosclerosis driver.</t>
  </si>
  <si>
    <t>Strengthens lipid control programs.</t>
  </si>
  <si>
    <t>1️⃣4️⃣ Create LDL/HDL ratio column. Does LDL/HDL ratio predict High Risk better than LDL alone?</t>
  </si>
  <si>
    <t>Ratio may better represent lipid imbalance.</t>
  </si>
  <si>
    <t>Improves predictive risk scoring models.</t>
  </si>
  <si>
    <t>1️⃣5️⃣ Compare diabetic vs non-diabetic patients on Avg Fasting Blood Sugar and Avg Risk Score. What is incremental risk due to diabetes?</t>
  </si>
  <si>
    <t>Diabetes accelerates vascular damage.</t>
  </si>
  <si>
    <t>Supports integrated diabetes-cardiology programs.</t>
  </si>
  <si>
    <t>1️⃣6️⃣ Identify High HDL but High Risk patients. What other variables are driving their risk?</t>
  </si>
  <si>
    <t>Good cholesterol alone may not offset other factors.</t>
  </si>
  <si>
    <t>Improves multi-factor risk understanding.</t>
  </si>
  <si>
    <t>🚬 Lifestyle &amp; Behavioral Risk Analysis</t>
  </si>
  <si>
    <t>1️⃣7️⃣ Create a combined lifestyle risk index (Smoking, Diabetes, Low Physical Activity, Family History = 1 point each). Does Risk Score increase as index increases?</t>
  </si>
  <si>
    <t>Lifestyle risks accumulate.</t>
  </si>
  <si>
    <t>Quantifies behavioral risk burden.</t>
  </si>
  <si>
    <t>1️⃣8️⃣ Analyze Physical Activity Level vs Average Risk Score. Is there visible protective effect?</t>
  </si>
  <si>
    <t>Sedentary lifestyle increases CVD probability.</t>
  </si>
  <si>
    <t>Supports preventive health campaigns.</t>
  </si>
  <si>
    <t>1️⃣9️⃣ Segment smokers by age groups. Does smoking amplify risk more in older patients?</t>
  </si>
  <si>
    <t>Smoking damage compounds with age.</t>
  </si>
  <si>
    <t>Improves age-specific anti-smoking interventions.</t>
  </si>
  <si>
    <t>🔥 Real-World &amp; Performance Problems (Senior-Level Thinking)</t>
  </si>
  <si>
    <t>Data accuracy affects clinical decisions.</t>
  </si>
  <si>
    <t>Performs dataset audit and quality control.</t>
  </si>
  <si>
    <t>Multicollinearity weakens predictive models.</t>
  </si>
  <si>
    <t>Improves ML model efficiency.</t>
  </si>
  <si>
    <t>Row Labels</t>
  </si>
  <si>
    <t>Grand Total</t>
  </si>
  <si>
    <t>25-34</t>
  </si>
  <si>
    <t>35-44</t>
  </si>
  <si>
    <t>45-54</t>
  </si>
  <si>
    <t>55-64</t>
  </si>
  <si>
    <t>65-74</t>
  </si>
  <si>
    <t>75-84</t>
  </si>
  <si>
    <t>Average of CVD Risk Score</t>
  </si>
  <si>
    <t>Count of CVD Risk Level</t>
  </si>
  <si>
    <t>Column Labels</t>
  </si>
  <si>
    <t>Total Average of CVD Risk Score</t>
  </si>
  <si>
    <t>Total Count of CVD Risk Level</t>
  </si>
  <si>
    <t>Age Band</t>
  </si>
  <si>
    <t>% Distribution Of High Risk Patients</t>
  </si>
  <si>
    <t>The 45–54 age band shows the highest risk concentration, with 62.27% of patients classified as High Risk.
Although the 75–84 age group shows the highest average CVD risk score, the sample size is relatively small and should be interpreted cautiously.
This suggests that middle-aged cohorts may represent the largest actionable risk segment for preventive intervention.</t>
  </si>
  <si>
    <t>High Risk Patients</t>
  </si>
  <si>
    <t>Not High Risk Patients</t>
  </si>
  <si>
    <t>Gender</t>
  </si>
  <si>
    <t>Count of High Risk Patients</t>
  </si>
  <si>
    <t>Total Count of High Risk Patients</t>
  </si>
  <si>
    <t>% OF High Risk Patients</t>
  </si>
  <si>
    <t>High Risk Patients (1 or 0)</t>
  </si>
  <si>
    <t>The overall average CVD Risk Score is nearly identical between males (16.99) and females (16.94), indicating minimal gender-based difference in risk severity.
Females show a slightly higher proportion of High Risk patients (49.03%) compared to males (46.16%), but the gap is modest.
This suggests that gender alone is not a dominant risk differentiator in this dataset, and prevention strategies should focus more on clinical and lifestyle factors.</t>
  </si>
  <si>
    <t>Total Patients</t>
  </si>
  <si>
    <t>Risk Level</t>
  </si>
  <si>
    <t>Smoking significantly increases cardiovascular risk across both genders.
Female smokers show the highest vulnerability, with ~58% of patients classified as High Risk, followed closely by male smokers (~56.6%).
Non-smokers in both genders show considerably lower High Risk proportions.
This indicates smoking is a strong amplifying factor regardless of gender and should be a primary target for prevention campaigns.</t>
  </si>
  <si>
    <t>High_Risk_Cohort_Flag</t>
  </si>
  <si>
    <t>Low Risk Flag</t>
  </si>
  <si>
    <t>High Risk Flag</t>
  </si>
  <si>
    <t>Sum of High Risk Patients (1 or 0)</t>
  </si>
  <si>
    <t>Count of Sex</t>
  </si>
  <si>
    <t>% of high risk patients</t>
  </si>
  <si>
    <t>Among patients belonging to the cohort (Age &gt; 50, Diabetes = Yes, Hypertension Stage 1/2), 57.42% are classified as High CVD Risk.
This percentage is higher than the non-cohort group (46.06%), confirming that combined comorbidities substantially increase cardiovascular risk.
This cohort represents a critical target population for intensive preventive interventions.</t>
  </si>
  <si>
    <t>BMI Category</t>
  </si>
  <si>
    <t>Normal Weight</t>
  </si>
  <si>
    <t>Obese</t>
  </si>
  <si>
    <t>Overweight</t>
  </si>
  <si>
    <t>Underweight</t>
  </si>
  <si>
    <t>correlation between bmi and cvd risk score</t>
  </si>
  <si>
    <t>Total Count of Sex</t>
  </si>
  <si>
    <t>Obese patients show the highest average CVD Risk Score (18.42), followed by overweight, normal, and underweight groups, indicating a clear upward trend in risk with increasing BMI.
The correlation coefficient (r = 0.61) suggests a moderate-to-strong positive relationship between BMI and cardiovascular risk.
This indicates that obesity is a significant contributing factor and should be a primary focus of preventive healthcare strategies.</t>
  </si>
  <si>
    <t>Waist-to-Height Ratio Quartiles</t>
  </si>
  <si>
    <t>Q2</t>
  </si>
  <si>
    <t>Q3</t>
  </si>
  <si>
    <t>Q1</t>
  </si>
  <si>
    <t>Q4</t>
  </si>
  <si>
    <t/>
  </si>
  <si>
    <t>Average of Estimated LDL (mg/dL)</t>
  </si>
  <si>
    <t>BMI vs CVD Risk Score</t>
  </si>
  <si>
    <t>Waist-to-Height Ratio vs CVD Risk Score</t>
  </si>
  <si>
    <t>Patients in the highest Waist-to-Height Ratio quartile (Q4) show the highest average LDL (117.87 mg/dL) and CVD Risk Score (17.47), indicating that central obesity is strongly associated with cardiovascular risk.
The upward trend from Q1 to Q4 suggests a dose-response relationship.
If correlation strength exceeds that of BMI (r = 0.61), central obesity may be a stronger predictor of cardiovascular risk and should be emphasized in screening protocols.</t>
  </si>
  <si>
    <t>Abdominal Circumference vs CVD Risk Score</t>
  </si>
  <si>
    <t>BMI demonstrates a moderate-to-strong positive correlation with CVD Risk Score (r = 0.62), whereas Abdominal Circumference shows a negligible relationship (r ≈ 0.09).
This suggests BMI is a significantly stronger linear predictor of cardiovascular risk in this dataset.
From a feature selection perspective, BMI provides more predictive value, while Abdominal Circumference may be redundant if included alongside BMI.</t>
  </si>
  <si>
    <t>Total High Risk Patient</t>
  </si>
  <si>
    <t>Average of Total Cholesterol (mg/dL)</t>
  </si>
  <si>
    <t>Average of Fasting Blood Sugar (mg/dL)</t>
  </si>
  <si>
    <t>Among patients with Normal BMI, 151 individuals are classified as High Risk.
Despite normal weight, this subgroup shows elevated fasting blood sugar (~121 mg/dL), borderline high systolic blood pressure (~127 mmHg), and increased cholesterol (~208 mg/dL).
This indicates that metabolic factors — rather than obesity alone — are driving cardiovascular risk in this population.
Therefore, relying solely on BMI as a screening tool may lead to under-identification of high-risk individuals.</t>
  </si>
  <si>
    <t>44.15% of patients with Hypertension Stage 2 are classified as High Risk.
Surprisingly, this proportion is slightly lower than Stage 1 (50.70%) and Elevated BP (52.00%).
This suggests that while blood pressure contributes to risk, other clinical factors (such as diabetes, cholesterol, or age) may have stronger influence in the overall risk classification.</t>
  </si>
  <si>
    <t>The average CVD Risk Score generally increases with BP severity, from 15.70 (Normal) to 17.56 (Stage 2).
However, the progression is not perfectly linear, as Stage 1 (16.89) shows a slightly lower average risk score than Elevated BP (17.21).
This suggests that while blood pressure severity contributes to risk escalation, other clinical factors may influence overall risk classification.</t>
  </si>
  <si>
    <t>Lipid Focused Category</t>
  </si>
  <si>
    <t>High Lipid Category</t>
  </si>
  <si>
    <t>Normal Category</t>
  </si>
  <si>
    <t>Approximately 11.4% of all High Risk patients exhibit Normal Blood Pressure but elevated LDL levels, indicating a lipid-driven risk profile independent of hypertension.
While this subgroup is smaller relative to the total high-risk population, it represents a clinically important segment that may benefit from targeted lipid-lowering interventions.</t>
  </si>
  <si>
    <t>Diastolic  BP (lower limit)</t>
  </si>
  <si>
    <t>Systolic BP (Upper  limit)</t>
  </si>
  <si>
    <t>Correlation Between Systolic BP and Risk Score</t>
  </si>
  <si>
    <t>The scatter plot shows a moderate positive linear relationship between Systolic BP and CVD Risk Score (r = 0.48).
Risk score generally increases as systolic BP increases, though the dispersion of points suggests additional factors also influence risk.
The relationship appears approximately linear rather than clustered, supporting the suitability of linear regression modeling.</t>
  </si>
  <si>
    <t>Total Cholesterol Category</t>
  </si>
  <si>
    <t>&gt;180</t>
  </si>
  <si>
    <t>150-180</t>
  </si>
  <si>
    <t>&lt;150</t>
  </si>
  <si>
    <t>Cholestrol Category</t>
  </si>
  <si>
    <t>Average CVD Risk Score increases consistently across cholesterol categories, from 15.62 in the &lt;150 mg/dL group to 17.88 in the &gt;180 mg/dL group.
This indicates a clear dose-response relationship between total cholesterol levels and cardiovascular risk, supporting cholesterol as a strong risk-stratifying factor.</t>
  </si>
  <si>
    <t>LDL/HDL</t>
  </si>
  <si>
    <t>LDL/HDL ratio VS CVD high Risk</t>
  </si>
  <si>
    <t>LDL VS CVD high risk</t>
  </si>
  <si>
    <t>The LDL/HDL ratio shows a weaker association with High CVD Risk (r = 0.32) compared to LDL alone (r = 0.48).
This indicates that, within this dataset, absolute LDL levels provide stronger discriminatory power for identifying high-risk patients than the LDL/HDL ratio.
From a feature selection perspective, LDL alone would be preferred over LDL/HDL ratio due to higher explanatory strength and reduced redundancy.</t>
  </si>
  <si>
    <t>Diabetes</t>
  </si>
  <si>
    <t>Non-Diabetic</t>
  </si>
  <si>
    <t>Diabetic</t>
  </si>
  <si>
    <t>Diabetic patients exhibit a significantly higher average CVD Risk Score (18.05) compared to non-diabetic patients (15.85), representing an incremental risk increase of approximately +2.2 points.
Interestingly, average fasting blood sugar levels are similar between the two groups, suggesting that diabetes status captures broader metabolic and vascular risk beyond a single glucose measurement.
This highlights diabetes as a strong independent risk amplifier for cardiovascular disease.</t>
  </si>
  <si>
    <t>High HDL + High Risk Flag</t>
  </si>
  <si>
    <t>Average of Age</t>
  </si>
  <si>
    <t>Average of BMI</t>
  </si>
  <si>
    <t>Average of Systolic BP (Upper  limit)</t>
  </si>
  <si>
    <t>Average of Diastolic  BP (lower limit)</t>
  </si>
  <si>
    <t>Patients with High HDL but High CVD Risk exhibit higher BMI (~30.4), elevated systolic blood pressure (~126.5 mmHg), and borderline LDL levels (~113 mg/dL) compared to the overall population.
Despite protective HDL levels, the presence of obesity, hypertension, and metabolic risk factors offsets HDL’s protective effect, resulting in elevated cardiovascular risk.
This highlights that HDL alone is insufficient to counteract cumulative cardiometabolic risk, reinforcing the need for multi-factor risk assessment.</t>
  </si>
  <si>
    <t>lifestyle risk index</t>
  </si>
  <si>
    <t>Lifestyle Risk Index</t>
  </si>
  <si>
    <t>Correlation between Lifestyle Risk Index and Risk Score</t>
  </si>
  <si>
    <t>The average CVD Risk Score increases consistently as the Lifestyle Risk Index rises from 0 to 4, indicating a cumulative effect of adverse lifestyle factors on cardiovascular risk.
Although the correlation between the index and risk score is modest (r ≈ 0.25), the monotonic upward trend confirms that lifestyle risks additively contribute to overall cardiovascular risk.
This suggests lifestyle factors act as important amplifiers rather than sole drivers of risk.</t>
  </si>
  <si>
    <t>Physical Activity</t>
  </si>
  <si>
    <t>The average CVD Risk Score shows only marginal differences across physical activity levels, with High activity associated with a slightly lower risk score.
However, the differences are minimal, indicating that physical activity alone does not exhibit a strong standalone protective effect in this dataset.
This suggests that physical activity likely acts as a secondary modifier of cardiovascular risk and must be evaluated in combination with other metabolic and clinical factors.</t>
  </si>
  <si>
    <t>Age Group</t>
  </si>
  <si>
    <t>Smoking_Status</t>
  </si>
  <si>
    <t>Among smokers, cardiovascular risk peaks in the 45–54 age group, where over 75% are classified as High Risk. While smoking elevates risk across all ages, its amplification effect is strongest in middle age rather than in the oldest cohorts, possibly due to survivor bias in later years.</t>
  </si>
  <si>
    <t>Calculated BMI</t>
  </si>
  <si>
    <t>is BMI same to Calculated BMI</t>
  </si>
  <si>
    <t>2️⃣0️⃣Validate BMI calculation using Weight / (Height in meters²). How many mismatches exist?</t>
  </si>
  <si>
    <t>Total BMI mismatches to Calculated BMI</t>
  </si>
  <si>
    <t>Using recalculated BMI from weight and height in meters² and applying a tolerance-based validation (±0.1), 598 records show a true mismatch between stored BMI and calculated BMI. This indicates potential data quality issues such as unit inconsistencies or incorrect BMI derivation, warranting further data cleansing.</t>
  </si>
  <si>
    <t>2️⃣1️⃣Create correlation matrix for BMI, Waist-to-Height Ratio, and Abdominal Circumference. Which predictor is redundant?</t>
  </si>
  <si>
    <t>BMI VS Waist-to-Height Ratio</t>
  </si>
  <si>
    <t>Waist-to-Height Ratio VS Abdominal Circumference</t>
  </si>
  <si>
    <t>BMI VS Abdominal Circumference</t>
  </si>
  <si>
    <t>Waist-to-Height Ratio and Abdominal Circumference are redundant predictors due to very high correlation (~0.90). In a predictive model, one of them should be removed to avoid multicollinearity. Waist-to-Height Ratio is preferable because it is normalized for height and generalizes better across populations.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</si>
</sst>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18" fillId="0" borderId="0" xfId="0" applyFont="1" applyAlignment="1">
      <alignment vertical="center"/>
    </xf>
    <xf numFmtId="0" fontId="19" fillId="0" borderId="0" xfId="0" applyFont="1" applyAlignment="1">
      <alignment vertical="center"/>
    </xf>
    <xf numFmtId="0" fontId="0" fillId="0" borderId="0" xfId="0" applyAlignment="1">
      <alignment horizontal="center" wrapText="1"/>
    </xf>
    <xf numFmtId="0" fontId="0" fillId="0" borderId="10" xfId="0" pivotButton="1"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10" fontId="0" fillId="0" borderId="10" xfId="0" applyNumberFormat="1" applyBorder="1" applyAlignment="1">
      <alignment horizontal="center"/>
    </xf>
    <xf numFmtId="0" fontId="0" fillId="0" borderId="10" xfId="0" applyBorder="1"/>
    <xf numFmtId="2" fontId="0" fillId="0" borderId="10" xfId="0" applyNumberFormat="1" applyBorder="1"/>
    <xf numFmtId="0" fontId="0" fillId="34" borderId="10" xfId="0" applyFill="1" applyBorder="1"/>
    <xf numFmtId="0" fontId="16" fillId="34" borderId="10" xfId="0" applyFont="1" applyFill="1" applyBorder="1" applyAlignment="1">
      <alignment wrapText="1"/>
    </xf>
    <xf numFmtId="0" fontId="0" fillId="0" borderId="0" xfId="0" applyAlignment="1">
      <alignment wrapText="1"/>
    </xf>
    <xf numFmtId="0" fontId="0" fillId="0" borderId="10" xfId="0" pivotButton="1" applyBorder="1"/>
    <xf numFmtId="0" fontId="0" fillId="0" borderId="10" xfId="0" applyBorder="1" applyAlignment="1">
      <alignment wrapText="1"/>
    </xf>
    <xf numFmtId="0" fontId="0" fillId="0" borderId="10" xfId="0" applyBorder="1" applyAlignment="1">
      <alignment horizontal="left"/>
    </xf>
    <xf numFmtId="0" fontId="16" fillId="34" borderId="10" xfId="0" applyFont="1" applyFill="1" applyBorder="1"/>
    <xf numFmtId="0" fontId="16" fillId="34" borderId="10" xfId="0" applyFont="1" applyFill="1" applyBorder="1" applyAlignment="1">
      <alignment horizontal="center"/>
    </xf>
    <xf numFmtId="0" fontId="0" fillId="0" borderId="0" xfId="0" pivotButton="1" applyAlignment="1">
      <alignment wrapText="1"/>
    </xf>
    <xf numFmtId="0" fontId="0" fillId="0" borderId="0" xfId="0" applyAlignment="1">
      <alignment horizontal="left" wrapText="1"/>
    </xf>
    <xf numFmtId="2" fontId="0" fillId="0" borderId="0" xfId="0" applyNumberFormat="1" applyAlignment="1">
      <alignment wrapText="1"/>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0" fillId="0" borderId="10" xfId="0" applyBorder="1" applyAlignment="1">
      <alignment horizontal="center" wrapText="1"/>
    </xf>
    <xf numFmtId="1" fontId="0" fillId="0" borderId="0" xfId="0" applyNumberFormat="1" applyAlignment="1">
      <alignment horizontal="center"/>
    </xf>
    <xf numFmtId="0" fontId="0" fillId="0" borderId="10" xfId="0" pivotButton="1" applyBorder="1" applyAlignment="1">
      <alignment wrapText="1"/>
    </xf>
    <xf numFmtId="0" fontId="0" fillId="0" borderId="10" xfId="0" applyBorder="1" applyAlignment="1">
      <alignment horizontal="left" wrapText="1"/>
    </xf>
    <xf numFmtId="2" fontId="0" fillId="0" borderId="10" xfId="0" applyNumberFormat="1" applyBorder="1" applyAlignment="1">
      <alignment wrapText="1"/>
    </xf>
    <xf numFmtId="10" fontId="0" fillId="0" borderId="0" xfId="0" applyNumberFormat="1"/>
    <xf numFmtId="0" fontId="16" fillId="0" borderId="10" xfId="0" pivotButton="1" applyFont="1" applyBorder="1"/>
    <xf numFmtId="0" fontId="16" fillId="0" borderId="10" xfId="0" applyFont="1" applyBorder="1" applyAlignment="1">
      <alignment horizontal="left"/>
    </xf>
    <xf numFmtId="0" fontId="0" fillId="0" borderId="10" xfId="0" pivotButton="1" applyBorder="1" applyAlignment="1">
      <alignment horizontal="center" wrapText="1"/>
    </xf>
    <xf numFmtId="164" fontId="0" fillId="0" borderId="10" xfId="0" applyNumberFormat="1" applyBorder="1" applyAlignment="1">
      <alignment horizontal="center" wrapText="1"/>
    </xf>
    <xf numFmtId="2" fontId="0" fillId="0" borderId="10" xfId="0" applyNumberFormat="1" applyBorder="1" applyAlignment="1">
      <alignment horizontal="center" wrapText="1"/>
    </xf>
    <xf numFmtId="0" fontId="0" fillId="0" borderId="0" xfId="0" applyAlignment="1">
      <alignment horizontal="center" wrapText="1"/>
    </xf>
    <xf numFmtId="0" fontId="0" fillId="33" borderId="11" xfId="0" applyFill="1" applyBorder="1" applyAlignment="1">
      <alignment horizontal="center" wrapText="1"/>
    </xf>
    <xf numFmtId="0" fontId="0" fillId="33" borderId="0" xfId="0" applyFill="1" applyAlignment="1">
      <alignment horizontal="center" wrapText="1"/>
    </xf>
    <xf numFmtId="0" fontId="0" fillId="33" borderId="10" xfId="0" applyFill="1" applyBorder="1" applyAlignment="1">
      <alignment horizontal="center" wrapText="1"/>
    </xf>
    <xf numFmtId="0" fontId="0" fillId="0" borderId="10" xfId="0" applyBorder="1" applyAlignment="1">
      <alignment horizontal="center"/>
    </xf>
    <xf numFmtId="0" fontId="16" fillId="33" borderId="10" xfId="0" applyFont="1" applyFill="1" applyBorder="1" applyAlignment="1">
      <alignment horizontal="center"/>
    </xf>
    <xf numFmtId="0" fontId="0" fillId="0" borderId="10" xfId="0" applyBorder="1" applyAlignment="1">
      <alignment horizontal="center" wrapText="1"/>
    </xf>
    <xf numFmtId="0" fontId="0" fillId="33" borderId="10" xfId="0" applyFill="1" applyBorder="1" applyAlignment="1">
      <alignment horizontal="center"/>
    </xf>
    <xf numFmtId="0" fontId="0" fillId="0" borderId="10" xfId="0" applyNumberFormat="1" applyBorder="1" applyAlignment="1">
      <alignment horizontal="center"/>
    </xf>
    <xf numFmtId="0" fontId="0" fillId="0" borderId="0" xfId="0" applyNumberFormat="1" applyAlignment="1">
      <alignment wrapText="1"/>
    </xf>
    <xf numFmtId="0" fontId="0" fillId="0" borderId="10" xfId="0" applyNumberFormat="1" applyBorder="1" applyAlignment="1">
      <alignment wrapText="1"/>
    </xf>
    <xf numFmtId="0" fontId="0" fillId="33" borderId="0" xfId="0"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36">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genera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'CVD Dataset'!$AE$1</c:f>
              <c:strCache>
                <c:ptCount val="1"/>
                <c:pt idx="0">
                  <c:v>CVD Risk Score</c:v>
                </c:pt>
              </c:strCache>
            </c:strRef>
          </c:tx>
          <c:spPr>
            <a:ln w="19050" cap="rnd">
              <a:noFill/>
              <a:round/>
            </a:ln>
            <a:effectLst/>
          </c:spPr>
          <c:marker>
            <c:symbol val="circle"/>
            <c:size val="5"/>
            <c:spPr>
              <a:solidFill>
                <a:schemeClr val="accent1"/>
              </a:solidFill>
              <a:ln w="9525">
                <a:solidFill>
                  <a:schemeClr val="accent1"/>
                </a:solidFill>
              </a:ln>
              <a:effectLst/>
            </c:spPr>
          </c:marker>
          <c:xVal>
            <c:numRef>
              <c:f>'CVD Dataset'!$K$2:$K$1530</c:f>
              <c:numCache>
                <c:formatCode>0</c:formatCode>
                <c:ptCount val="1529"/>
                <c:pt idx="0">
                  <c:v>125</c:v>
                </c:pt>
                <c:pt idx="1">
                  <c:v>139</c:v>
                </c:pt>
                <c:pt idx="2" formatCode="General">
                  <c:v>104</c:v>
                </c:pt>
                <c:pt idx="3" formatCode="General">
                  <c:v>140</c:v>
                </c:pt>
                <c:pt idx="4" formatCode="General">
                  <c:v>144</c:v>
                </c:pt>
                <c:pt idx="5" formatCode="General">
                  <c:v>142</c:v>
                </c:pt>
                <c:pt idx="6" formatCode="General">
                  <c:v>96</c:v>
                </c:pt>
                <c:pt idx="7" formatCode="General">
                  <c:v>115</c:v>
                </c:pt>
                <c:pt idx="8" formatCode="General">
                  <c:v>107</c:v>
                </c:pt>
                <c:pt idx="9" formatCode="General">
                  <c:v>133</c:v>
                </c:pt>
                <c:pt idx="10" formatCode="General">
                  <c:v>129</c:v>
                </c:pt>
                <c:pt idx="11" formatCode="General">
                  <c:v>134</c:v>
                </c:pt>
                <c:pt idx="12" formatCode="General">
                  <c:v>102</c:v>
                </c:pt>
                <c:pt idx="13" formatCode="General">
                  <c:v>142</c:v>
                </c:pt>
                <c:pt idx="14" formatCode="General">
                  <c:v>101</c:v>
                </c:pt>
                <c:pt idx="15" formatCode="General">
                  <c:v>101</c:v>
                </c:pt>
                <c:pt idx="16" formatCode="General">
                  <c:v>138</c:v>
                </c:pt>
                <c:pt idx="17" formatCode="General">
                  <c:v>129</c:v>
                </c:pt>
                <c:pt idx="18" formatCode="General">
                  <c:v>138</c:v>
                </c:pt>
                <c:pt idx="19" formatCode="General">
                  <c:v>95</c:v>
                </c:pt>
                <c:pt idx="20" formatCode="General">
                  <c:v>132</c:v>
                </c:pt>
                <c:pt idx="21" formatCode="General">
                  <c:v>120</c:v>
                </c:pt>
                <c:pt idx="22" formatCode="General">
                  <c:v>121</c:v>
                </c:pt>
                <c:pt idx="23" formatCode="General">
                  <c:v>102</c:v>
                </c:pt>
                <c:pt idx="24" formatCode="General">
                  <c:v>98</c:v>
                </c:pt>
                <c:pt idx="25" formatCode="General">
                  <c:v>137</c:v>
                </c:pt>
                <c:pt idx="26" formatCode="General">
                  <c:v>148</c:v>
                </c:pt>
                <c:pt idx="27" formatCode="General">
                  <c:v>128</c:v>
                </c:pt>
                <c:pt idx="28" formatCode="General">
                  <c:v>97</c:v>
                </c:pt>
                <c:pt idx="29" formatCode="General">
                  <c:v>91</c:v>
                </c:pt>
                <c:pt idx="30" formatCode="General">
                  <c:v>97</c:v>
                </c:pt>
                <c:pt idx="31" formatCode="General">
                  <c:v>109</c:v>
                </c:pt>
                <c:pt idx="32" formatCode="General">
                  <c:v>106</c:v>
                </c:pt>
                <c:pt idx="33" formatCode="General">
                  <c:v>100</c:v>
                </c:pt>
                <c:pt idx="34" formatCode="General">
                  <c:v>122</c:v>
                </c:pt>
                <c:pt idx="35" formatCode="General">
                  <c:v>136</c:v>
                </c:pt>
                <c:pt idx="36" formatCode="General">
                  <c:v>99</c:v>
                </c:pt>
                <c:pt idx="37" formatCode="General">
                  <c:v>144</c:v>
                </c:pt>
                <c:pt idx="38" formatCode="General">
                  <c:v>130</c:v>
                </c:pt>
                <c:pt idx="39" formatCode="General">
                  <c:v>134</c:v>
                </c:pt>
                <c:pt idx="40" formatCode="General">
                  <c:v>117</c:v>
                </c:pt>
                <c:pt idx="41" formatCode="General">
                  <c:v>116</c:v>
                </c:pt>
                <c:pt idx="42" formatCode="General">
                  <c:v>105</c:v>
                </c:pt>
                <c:pt idx="43" formatCode="General">
                  <c:v>129</c:v>
                </c:pt>
                <c:pt idx="44" formatCode="General">
                  <c:v>94</c:v>
                </c:pt>
                <c:pt idx="45" formatCode="General">
                  <c:v>129</c:v>
                </c:pt>
                <c:pt idx="46" formatCode="General">
                  <c:v>110</c:v>
                </c:pt>
                <c:pt idx="47" formatCode="General">
                  <c:v>120</c:v>
                </c:pt>
                <c:pt idx="48" formatCode="General">
                  <c:v>145</c:v>
                </c:pt>
                <c:pt idx="49" formatCode="General">
                  <c:v>97</c:v>
                </c:pt>
                <c:pt idx="50" formatCode="General">
                  <c:v>135</c:v>
                </c:pt>
                <c:pt idx="51" formatCode="General">
                  <c:v>135</c:v>
                </c:pt>
                <c:pt idx="52" formatCode="General">
                  <c:v>102</c:v>
                </c:pt>
                <c:pt idx="53" formatCode="General">
                  <c:v>148</c:v>
                </c:pt>
                <c:pt idx="54" formatCode="General">
                  <c:v>139</c:v>
                </c:pt>
                <c:pt idx="55" formatCode="General">
                  <c:v>94</c:v>
                </c:pt>
                <c:pt idx="56" formatCode="General">
                  <c:v>104</c:v>
                </c:pt>
                <c:pt idx="57" formatCode="General">
                  <c:v>129</c:v>
                </c:pt>
                <c:pt idx="58" formatCode="General">
                  <c:v>98</c:v>
                </c:pt>
                <c:pt idx="59" formatCode="General">
                  <c:v>129</c:v>
                </c:pt>
                <c:pt idx="60" formatCode="General">
                  <c:v>149</c:v>
                </c:pt>
                <c:pt idx="61" formatCode="General">
                  <c:v>103</c:v>
                </c:pt>
                <c:pt idx="62" formatCode="General">
                  <c:v>99</c:v>
                </c:pt>
                <c:pt idx="63" formatCode="General">
                  <c:v>114</c:v>
                </c:pt>
                <c:pt idx="64" formatCode="General">
                  <c:v>116</c:v>
                </c:pt>
                <c:pt idx="65" formatCode="General">
                  <c:v>93</c:v>
                </c:pt>
                <c:pt idx="66" formatCode="General">
                  <c:v>113</c:v>
                </c:pt>
                <c:pt idx="67" formatCode="General">
                  <c:v>142</c:v>
                </c:pt>
                <c:pt idx="68" formatCode="General">
                  <c:v>142</c:v>
                </c:pt>
                <c:pt idx="69" formatCode="General">
                  <c:v>140</c:v>
                </c:pt>
                <c:pt idx="70" formatCode="General">
                  <c:v>102</c:v>
                </c:pt>
                <c:pt idx="71" formatCode="General">
                  <c:v>96</c:v>
                </c:pt>
                <c:pt idx="72" formatCode="General">
                  <c:v>101</c:v>
                </c:pt>
                <c:pt idx="73" formatCode="General">
                  <c:v>112</c:v>
                </c:pt>
                <c:pt idx="74" formatCode="General">
                  <c:v>93</c:v>
                </c:pt>
                <c:pt idx="75" formatCode="General">
                  <c:v>132</c:v>
                </c:pt>
                <c:pt idx="76" formatCode="General">
                  <c:v>98</c:v>
                </c:pt>
                <c:pt idx="77" formatCode="General">
                  <c:v>120</c:v>
                </c:pt>
                <c:pt idx="78" formatCode="General">
                  <c:v>90</c:v>
                </c:pt>
                <c:pt idx="79" formatCode="General">
                  <c:v>94</c:v>
                </c:pt>
                <c:pt idx="80" formatCode="General">
                  <c:v>127</c:v>
                </c:pt>
                <c:pt idx="81" formatCode="General">
                  <c:v>120</c:v>
                </c:pt>
                <c:pt idx="82" formatCode="General">
                  <c:v>99</c:v>
                </c:pt>
                <c:pt idx="83" formatCode="General">
                  <c:v>114</c:v>
                </c:pt>
                <c:pt idx="84" formatCode="General">
                  <c:v>132</c:v>
                </c:pt>
                <c:pt idx="85" formatCode="General">
                  <c:v>111</c:v>
                </c:pt>
                <c:pt idx="86" formatCode="General">
                  <c:v>97</c:v>
                </c:pt>
                <c:pt idx="87" formatCode="General">
                  <c:v>120</c:v>
                </c:pt>
                <c:pt idx="88" formatCode="General">
                  <c:v>130</c:v>
                </c:pt>
                <c:pt idx="89" formatCode="General">
                  <c:v>119</c:v>
                </c:pt>
                <c:pt idx="90" formatCode="General">
                  <c:v>120</c:v>
                </c:pt>
                <c:pt idx="91" formatCode="General">
                  <c:v>145</c:v>
                </c:pt>
                <c:pt idx="92" formatCode="General">
                  <c:v>111</c:v>
                </c:pt>
                <c:pt idx="93" formatCode="General">
                  <c:v>105</c:v>
                </c:pt>
                <c:pt idx="94" formatCode="General">
                  <c:v>100</c:v>
                </c:pt>
                <c:pt idx="95" formatCode="General">
                  <c:v>98</c:v>
                </c:pt>
                <c:pt idx="96" formatCode="General">
                  <c:v>135</c:v>
                </c:pt>
                <c:pt idx="97" formatCode="General">
                  <c:v>124</c:v>
                </c:pt>
                <c:pt idx="98" formatCode="General">
                  <c:v>127</c:v>
                </c:pt>
                <c:pt idx="99" formatCode="General">
                  <c:v>90</c:v>
                </c:pt>
                <c:pt idx="100" formatCode="General">
                  <c:v>103</c:v>
                </c:pt>
                <c:pt idx="101" formatCode="General">
                  <c:v>103</c:v>
                </c:pt>
                <c:pt idx="102" formatCode="General">
                  <c:v>111</c:v>
                </c:pt>
                <c:pt idx="103" formatCode="General">
                  <c:v>130</c:v>
                </c:pt>
                <c:pt idx="104" formatCode="General">
                  <c:v>92</c:v>
                </c:pt>
                <c:pt idx="105" formatCode="General">
                  <c:v>99</c:v>
                </c:pt>
                <c:pt idx="106" formatCode="General">
                  <c:v>107</c:v>
                </c:pt>
                <c:pt idx="107" formatCode="General">
                  <c:v>137</c:v>
                </c:pt>
                <c:pt idx="108" formatCode="General">
                  <c:v>104</c:v>
                </c:pt>
                <c:pt idx="109" formatCode="General">
                  <c:v>113</c:v>
                </c:pt>
                <c:pt idx="110" formatCode="General">
                  <c:v>90</c:v>
                </c:pt>
                <c:pt idx="111" formatCode="General">
                  <c:v>122</c:v>
                </c:pt>
                <c:pt idx="112" formatCode="General">
                  <c:v>133</c:v>
                </c:pt>
                <c:pt idx="113" formatCode="General">
                  <c:v>135</c:v>
                </c:pt>
                <c:pt idx="114" formatCode="General">
                  <c:v>114</c:v>
                </c:pt>
                <c:pt idx="115" formatCode="General">
                  <c:v>117</c:v>
                </c:pt>
                <c:pt idx="116" formatCode="General">
                  <c:v>103</c:v>
                </c:pt>
                <c:pt idx="117" formatCode="General">
                  <c:v>114</c:v>
                </c:pt>
                <c:pt idx="118" formatCode="General">
                  <c:v>139</c:v>
                </c:pt>
                <c:pt idx="119" formatCode="General">
                  <c:v>117</c:v>
                </c:pt>
                <c:pt idx="120" formatCode="General">
                  <c:v>108</c:v>
                </c:pt>
                <c:pt idx="121" formatCode="General">
                  <c:v>94</c:v>
                </c:pt>
                <c:pt idx="122" formatCode="General">
                  <c:v>137</c:v>
                </c:pt>
                <c:pt idx="123" formatCode="General">
                  <c:v>128</c:v>
                </c:pt>
                <c:pt idx="124" formatCode="General">
                  <c:v>94</c:v>
                </c:pt>
                <c:pt idx="125" formatCode="General">
                  <c:v>149</c:v>
                </c:pt>
                <c:pt idx="126" formatCode="General">
                  <c:v>135</c:v>
                </c:pt>
                <c:pt idx="127" formatCode="General">
                  <c:v>100</c:v>
                </c:pt>
                <c:pt idx="128" formatCode="General">
                  <c:v>95</c:v>
                </c:pt>
                <c:pt idx="129" formatCode="General">
                  <c:v>110</c:v>
                </c:pt>
                <c:pt idx="130" formatCode="General">
                  <c:v>92</c:v>
                </c:pt>
                <c:pt idx="131" formatCode="General">
                  <c:v>111</c:v>
                </c:pt>
                <c:pt idx="132" formatCode="General">
                  <c:v>107</c:v>
                </c:pt>
                <c:pt idx="133" formatCode="General">
                  <c:v>98</c:v>
                </c:pt>
                <c:pt idx="134" formatCode="General">
                  <c:v>150</c:v>
                </c:pt>
                <c:pt idx="135" formatCode="General">
                  <c:v>96</c:v>
                </c:pt>
                <c:pt idx="136" formatCode="General">
                  <c:v>130</c:v>
                </c:pt>
                <c:pt idx="137" formatCode="General">
                  <c:v>140</c:v>
                </c:pt>
                <c:pt idx="138" formatCode="General">
                  <c:v>138</c:v>
                </c:pt>
                <c:pt idx="139" formatCode="General">
                  <c:v>101</c:v>
                </c:pt>
                <c:pt idx="140" formatCode="General">
                  <c:v>126</c:v>
                </c:pt>
                <c:pt idx="141" formatCode="General">
                  <c:v>135</c:v>
                </c:pt>
                <c:pt idx="142" formatCode="General">
                  <c:v>150</c:v>
                </c:pt>
                <c:pt idx="143" formatCode="General">
                  <c:v>116</c:v>
                </c:pt>
                <c:pt idx="144" formatCode="General">
                  <c:v>96</c:v>
                </c:pt>
                <c:pt idx="145" formatCode="General">
                  <c:v>117</c:v>
                </c:pt>
                <c:pt idx="146" formatCode="General">
                  <c:v>105</c:v>
                </c:pt>
                <c:pt idx="147" formatCode="General">
                  <c:v>97</c:v>
                </c:pt>
                <c:pt idx="148" formatCode="General">
                  <c:v>145</c:v>
                </c:pt>
                <c:pt idx="149" formatCode="General">
                  <c:v>127</c:v>
                </c:pt>
                <c:pt idx="150" formatCode="General">
                  <c:v>98</c:v>
                </c:pt>
                <c:pt idx="151" formatCode="General">
                  <c:v>91</c:v>
                </c:pt>
                <c:pt idx="152" formatCode="General">
                  <c:v>147</c:v>
                </c:pt>
                <c:pt idx="153" formatCode="General">
                  <c:v>117</c:v>
                </c:pt>
                <c:pt idx="154" formatCode="General">
                  <c:v>119</c:v>
                </c:pt>
                <c:pt idx="155" formatCode="General">
                  <c:v>136</c:v>
                </c:pt>
                <c:pt idx="156" formatCode="General">
                  <c:v>149</c:v>
                </c:pt>
                <c:pt idx="157" formatCode="General">
                  <c:v>97</c:v>
                </c:pt>
                <c:pt idx="158" formatCode="General">
                  <c:v>140</c:v>
                </c:pt>
                <c:pt idx="159" formatCode="General">
                  <c:v>121</c:v>
                </c:pt>
                <c:pt idx="160" formatCode="General">
                  <c:v>150</c:v>
                </c:pt>
                <c:pt idx="161" formatCode="General">
                  <c:v>131</c:v>
                </c:pt>
                <c:pt idx="162" formatCode="General">
                  <c:v>119</c:v>
                </c:pt>
                <c:pt idx="163" formatCode="General">
                  <c:v>144</c:v>
                </c:pt>
                <c:pt idx="164" formatCode="General">
                  <c:v>144</c:v>
                </c:pt>
                <c:pt idx="165" formatCode="General">
                  <c:v>137</c:v>
                </c:pt>
                <c:pt idx="166" formatCode="General">
                  <c:v>124</c:v>
                </c:pt>
                <c:pt idx="167" formatCode="General">
                  <c:v>142</c:v>
                </c:pt>
                <c:pt idx="168" formatCode="General">
                  <c:v>102</c:v>
                </c:pt>
                <c:pt idx="169" formatCode="General">
                  <c:v>92</c:v>
                </c:pt>
                <c:pt idx="170" formatCode="General">
                  <c:v>133</c:v>
                </c:pt>
                <c:pt idx="171" formatCode="General">
                  <c:v>125</c:v>
                </c:pt>
                <c:pt idx="172" formatCode="General">
                  <c:v>97</c:v>
                </c:pt>
                <c:pt idx="173" formatCode="General">
                  <c:v>146</c:v>
                </c:pt>
                <c:pt idx="174" formatCode="General">
                  <c:v>91</c:v>
                </c:pt>
                <c:pt idx="175" formatCode="General">
                  <c:v>119</c:v>
                </c:pt>
                <c:pt idx="176" formatCode="General">
                  <c:v>133</c:v>
                </c:pt>
                <c:pt idx="177" formatCode="General">
                  <c:v>118</c:v>
                </c:pt>
                <c:pt idx="178" formatCode="General">
                  <c:v>118</c:v>
                </c:pt>
                <c:pt idx="179" formatCode="General">
                  <c:v>121</c:v>
                </c:pt>
                <c:pt idx="180" formatCode="General">
                  <c:v>141</c:v>
                </c:pt>
                <c:pt idx="181" formatCode="General">
                  <c:v>102</c:v>
                </c:pt>
                <c:pt idx="182" formatCode="General">
                  <c:v>130</c:v>
                </c:pt>
                <c:pt idx="183" formatCode="General">
                  <c:v>111</c:v>
                </c:pt>
                <c:pt idx="184" formatCode="General">
                  <c:v>102</c:v>
                </c:pt>
                <c:pt idx="185" formatCode="General">
                  <c:v>107</c:v>
                </c:pt>
                <c:pt idx="186" formatCode="General">
                  <c:v>133</c:v>
                </c:pt>
                <c:pt idx="187" formatCode="General">
                  <c:v>112</c:v>
                </c:pt>
                <c:pt idx="188" formatCode="General">
                  <c:v>122</c:v>
                </c:pt>
                <c:pt idx="189" formatCode="General">
                  <c:v>90</c:v>
                </c:pt>
                <c:pt idx="190" formatCode="General">
                  <c:v>133</c:v>
                </c:pt>
                <c:pt idx="191" formatCode="General">
                  <c:v>142</c:v>
                </c:pt>
                <c:pt idx="192" formatCode="General">
                  <c:v>117</c:v>
                </c:pt>
                <c:pt idx="193" formatCode="General">
                  <c:v>141</c:v>
                </c:pt>
                <c:pt idx="194" formatCode="General">
                  <c:v>113</c:v>
                </c:pt>
                <c:pt idx="195" formatCode="General">
                  <c:v>122</c:v>
                </c:pt>
                <c:pt idx="196" formatCode="General">
                  <c:v>97</c:v>
                </c:pt>
                <c:pt idx="197" formatCode="General">
                  <c:v>144</c:v>
                </c:pt>
                <c:pt idx="198" formatCode="General">
                  <c:v>130</c:v>
                </c:pt>
                <c:pt idx="199" formatCode="General">
                  <c:v>95</c:v>
                </c:pt>
                <c:pt idx="200" formatCode="General">
                  <c:v>121</c:v>
                </c:pt>
                <c:pt idx="201" formatCode="General">
                  <c:v>118</c:v>
                </c:pt>
                <c:pt idx="202" formatCode="General">
                  <c:v>143</c:v>
                </c:pt>
                <c:pt idx="203" formatCode="General">
                  <c:v>139</c:v>
                </c:pt>
                <c:pt idx="204" formatCode="General">
                  <c:v>97</c:v>
                </c:pt>
                <c:pt idx="205" formatCode="General">
                  <c:v>118</c:v>
                </c:pt>
                <c:pt idx="206" formatCode="General">
                  <c:v>91</c:v>
                </c:pt>
                <c:pt idx="207" formatCode="General">
                  <c:v>98</c:v>
                </c:pt>
                <c:pt idx="208" formatCode="General">
                  <c:v>114</c:v>
                </c:pt>
                <c:pt idx="209" formatCode="General">
                  <c:v>110</c:v>
                </c:pt>
                <c:pt idx="210" formatCode="General">
                  <c:v>98</c:v>
                </c:pt>
                <c:pt idx="211" formatCode="General">
                  <c:v>107</c:v>
                </c:pt>
                <c:pt idx="212" formatCode="General">
                  <c:v>90</c:v>
                </c:pt>
                <c:pt idx="213" formatCode="General">
                  <c:v>150</c:v>
                </c:pt>
                <c:pt idx="214" formatCode="General">
                  <c:v>149</c:v>
                </c:pt>
                <c:pt idx="215" formatCode="General">
                  <c:v>90</c:v>
                </c:pt>
                <c:pt idx="216" formatCode="General">
                  <c:v>135</c:v>
                </c:pt>
                <c:pt idx="217" formatCode="General">
                  <c:v>127</c:v>
                </c:pt>
                <c:pt idx="218" formatCode="General">
                  <c:v>97</c:v>
                </c:pt>
                <c:pt idx="219" formatCode="General">
                  <c:v>111</c:v>
                </c:pt>
                <c:pt idx="220" formatCode="General">
                  <c:v>140</c:v>
                </c:pt>
                <c:pt idx="221" formatCode="General">
                  <c:v>96</c:v>
                </c:pt>
                <c:pt idx="222" formatCode="General">
                  <c:v>143</c:v>
                </c:pt>
                <c:pt idx="223" formatCode="General">
                  <c:v>139</c:v>
                </c:pt>
                <c:pt idx="224" formatCode="General">
                  <c:v>148</c:v>
                </c:pt>
                <c:pt idx="225" formatCode="General">
                  <c:v>103</c:v>
                </c:pt>
                <c:pt idx="226" formatCode="General">
                  <c:v>124</c:v>
                </c:pt>
                <c:pt idx="227" formatCode="General">
                  <c:v>128</c:v>
                </c:pt>
                <c:pt idx="228" formatCode="General">
                  <c:v>149</c:v>
                </c:pt>
                <c:pt idx="229" formatCode="General">
                  <c:v>92</c:v>
                </c:pt>
                <c:pt idx="230" formatCode="General">
                  <c:v>141</c:v>
                </c:pt>
                <c:pt idx="231" formatCode="General">
                  <c:v>137</c:v>
                </c:pt>
                <c:pt idx="232" formatCode="General">
                  <c:v>133</c:v>
                </c:pt>
                <c:pt idx="233" formatCode="General">
                  <c:v>131</c:v>
                </c:pt>
                <c:pt idx="234" formatCode="General">
                  <c:v>129</c:v>
                </c:pt>
                <c:pt idx="235" formatCode="General">
                  <c:v>119</c:v>
                </c:pt>
                <c:pt idx="236" formatCode="General">
                  <c:v>143</c:v>
                </c:pt>
                <c:pt idx="237" formatCode="General">
                  <c:v>127</c:v>
                </c:pt>
                <c:pt idx="238" formatCode="General">
                  <c:v>139</c:v>
                </c:pt>
                <c:pt idx="239" formatCode="General">
                  <c:v>126</c:v>
                </c:pt>
                <c:pt idx="240" formatCode="General">
                  <c:v>140</c:v>
                </c:pt>
                <c:pt idx="241" formatCode="General">
                  <c:v>127</c:v>
                </c:pt>
                <c:pt idx="242" formatCode="General">
                  <c:v>103</c:v>
                </c:pt>
                <c:pt idx="243" formatCode="General">
                  <c:v>126</c:v>
                </c:pt>
                <c:pt idx="244" formatCode="General">
                  <c:v>150</c:v>
                </c:pt>
                <c:pt idx="245" formatCode="General">
                  <c:v>94</c:v>
                </c:pt>
                <c:pt idx="246" formatCode="General">
                  <c:v>110</c:v>
                </c:pt>
                <c:pt idx="247" formatCode="General">
                  <c:v>98</c:v>
                </c:pt>
                <c:pt idx="248" formatCode="General">
                  <c:v>125</c:v>
                </c:pt>
                <c:pt idx="249" formatCode="General">
                  <c:v>121</c:v>
                </c:pt>
                <c:pt idx="250" formatCode="General">
                  <c:v>133</c:v>
                </c:pt>
                <c:pt idx="251" formatCode="General">
                  <c:v>101</c:v>
                </c:pt>
                <c:pt idx="252" formatCode="General">
                  <c:v>121</c:v>
                </c:pt>
                <c:pt idx="253" formatCode="General">
                  <c:v>148</c:v>
                </c:pt>
                <c:pt idx="254" formatCode="General">
                  <c:v>100</c:v>
                </c:pt>
                <c:pt idx="255" formatCode="General">
                  <c:v>103</c:v>
                </c:pt>
                <c:pt idx="256" formatCode="General">
                  <c:v>110</c:v>
                </c:pt>
                <c:pt idx="257" formatCode="General">
                  <c:v>94</c:v>
                </c:pt>
                <c:pt idx="258" formatCode="General">
                  <c:v>109</c:v>
                </c:pt>
                <c:pt idx="259" formatCode="General">
                  <c:v>113</c:v>
                </c:pt>
                <c:pt idx="260" formatCode="General">
                  <c:v>135</c:v>
                </c:pt>
                <c:pt idx="261" formatCode="General">
                  <c:v>136</c:v>
                </c:pt>
                <c:pt idx="262" formatCode="General">
                  <c:v>139</c:v>
                </c:pt>
                <c:pt idx="263" formatCode="General">
                  <c:v>141</c:v>
                </c:pt>
                <c:pt idx="264" formatCode="General">
                  <c:v>114</c:v>
                </c:pt>
                <c:pt idx="265" formatCode="General">
                  <c:v>118</c:v>
                </c:pt>
                <c:pt idx="266" formatCode="General">
                  <c:v>124</c:v>
                </c:pt>
                <c:pt idx="267" formatCode="General">
                  <c:v>94</c:v>
                </c:pt>
                <c:pt idx="268" formatCode="General">
                  <c:v>104</c:v>
                </c:pt>
                <c:pt idx="269" formatCode="General">
                  <c:v>117</c:v>
                </c:pt>
                <c:pt idx="270" formatCode="General">
                  <c:v>103</c:v>
                </c:pt>
                <c:pt idx="271" formatCode="General">
                  <c:v>114</c:v>
                </c:pt>
                <c:pt idx="272" formatCode="General">
                  <c:v>116</c:v>
                </c:pt>
                <c:pt idx="273" formatCode="General">
                  <c:v>136</c:v>
                </c:pt>
                <c:pt idx="274" formatCode="General">
                  <c:v>99</c:v>
                </c:pt>
                <c:pt idx="275" formatCode="General">
                  <c:v>100</c:v>
                </c:pt>
                <c:pt idx="276" formatCode="General">
                  <c:v>140</c:v>
                </c:pt>
                <c:pt idx="277" formatCode="General">
                  <c:v>101</c:v>
                </c:pt>
                <c:pt idx="278" formatCode="General">
                  <c:v>99</c:v>
                </c:pt>
                <c:pt idx="279" formatCode="General">
                  <c:v>150</c:v>
                </c:pt>
                <c:pt idx="280" formatCode="General">
                  <c:v>139</c:v>
                </c:pt>
                <c:pt idx="281" formatCode="General">
                  <c:v>104</c:v>
                </c:pt>
                <c:pt idx="282" formatCode="General">
                  <c:v>111</c:v>
                </c:pt>
                <c:pt idx="283" formatCode="General">
                  <c:v>147</c:v>
                </c:pt>
                <c:pt idx="284" formatCode="General">
                  <c:v>117</c:v>
                </c:pt>
                <c:pt idx="285" formatCode="General">
                  <c:v>115</c:v>
                </c:pt>
                <c:pt idx="286" formatCode="General">
                  <c:v>141</c:v>
                </c:pt>
                <c:pt idx="287" formatCode="General">
                  <c:v>110</c:v>
                </c:pt>
                <c:pt idx="288" formatCode="General">
                  <c:v>102</c:v>
                </c:pt>
                <c:pt idx="289" formatCode="General">
                  <c:v>136</c:v>
                </c:pt>
                <c:pt idx="290" formatCode="General">
                  <c:v>145</c:v>
                </c:pt>
                <c:pt idx="291" formatCode="General">
                  <c:v>113</c:v>
                </c:pt>
                <c:pt idx="292" formatCode="General">
                  <c:v>123</c:v>
                </c:pt>
                <c:pt idx="293" formatCode="General">
                  <c:v>99</c:v>
                </c:pt>
                <c:pt idx="294" formatCode="General">
                  <c:v>106</c:v>
                </c:pt>
                <c:pt idx="295" formatCode="General">
                  <c:v>129</c:v>
                </c:pt>
                <c:pt idx="296" formatCode="General">
                  <c:v>101</c:v>
                </c:pt>
                <c:pt idx="297" formatCode="General">
                  <c:v>98</c:v>
                </c:pt>
                <c:pt idx="298" formatCode="General">
                  <c:v>108</c:v>
                </c:pt>
                <c:pt idx="299" formatCode="General">
                  <c:v>121</c:v>
                </c:pt>
                <c:pt idx="300" formatCode="General">
                  <c:v>91</c:v>
                </c:pt>
                <c:pt idx="301" formatCode="General">
                  <c:v>91</c:v>
                </c:pt>
                <c:pt idx="302" formatCode="General">
                  <c:v>100</c:v>
                </c:pt>
                <c:pt idx="303" formatCode="General">
                  <c:v>104</c:v>
                </c:pt>
                <c:pt idx="304" formatCode="General">
                  <c:v>129</c:v>
                </c:pt>
                <c:pt idx="305" formatCode="General">
                  <c:v>128</c:v>
                </c:pt>
                <c:pt idx="306" formatCode="General">
                  <c:v>124</c:v>
                </c:pt>
                <c:pt idx="307" formatCode="General">
                  <c:v>131</c:v>
                </c:pt>
                <c:pt idx="308" formatCode="General">
                  <c:v>124</c:v>
                </c:pt>
                <c:pt idx="309" formatCode="General">
                  <c:v>111</c:v>
                </c:pt>
                <c:pt idx="310" formatCode="General">
                  <c:v>137</c:v>
                </c:pt>
                <c:pt idx="311" formatCode="General">
                  <c:v>128</c:v>
                </c:pt>
                <c:pt idx="312" formatCode="General">
                  <c:v>129</c:v>
                </c:pt>
                <c:pt idx="313" formatCode="General">
                  <c:v>109</c:v>
                </c:pt>
                <c:pt idx="314" formatCode="General">
                  <c:v>116</c:v>
                </c:pt>
                <c:pt idx="315" formatCode="General">
                  <c:v>136</c:v>
                </c:pt>
                <c:pt idx="316" formatCode="General">
                  <c:v>149</c:v>
                </c:pt>
                <c:pt idx="317" formatCode="General">
                  <c:v>133</c:v>
                </c:pt>
                <c:pt idx="318" formatCode="General">
                  <c:v>142</c:v>
                </c:pt>
                <c:pt idx="319" formatCode="General">
                  <c:v>149</c:v>
                </c:pt>
                <c:pt idx="320" formatCode="General">
                  <c:v>138</c:v>
                </c:pt>
                <c:pt idx="321" formatCode="General">
                  <c:v>93</c:v>
                </c:pt>
                <c:pt idx="322" formatCode="General">
                  <c:v>123</c:v>
                </c:pt>
                <c:pt idx="323" formatCode="General">
                  <c:v>106</c:v>
                </c:pt>
                <c:pt idx="324" formatCode="General">
                  <c:v>117</c:v>
                </c:pt>
                <c:pt idx="325" formatCode="General">
                  <c:v>100</c:v>
                </c:pt>
                <c:pt idx="326" formatCode="General">
                  <c:v>99</c:v>
                </c:pt>
                <c:pt idx="327" formatCode="General">
                  <c:v>145</c:v>
                </c:pt>
                <c:pt idx="328" formatCode="General">
                  <c:v>104</c:v>
                </c:pt>
                <c:pt idx="329" formatCode="General">
                  <c:v>110</c:v>
                </c:pt>
                <c:pt idx="330" formatCode="General">
                  <c:v>123</c:v>
                </c:pt>
                <c:pt idx="331" formatCode="General">
                  <c:v>93</c:v>
                </c:pt>
                <c:pt idx="332" formatCode="General">
                  <c:v>95</c:v>
                </c:pt>
                <c:pt idx="333" formatCode="General">
                  <c:v>129</c:v>
                </c:pt>
                <c:pt idx="334" formatCode="General">
                  <c:v>99</c:v>
                </c:pt>
                <c:pt idx="335" formatCode="General">
                  <c:v>116</c:v>
                </c:pt>
                <c:pt idx="336" formatCode="General">
                  <c:v>110</c:v>
                </c:pt>
                <c:pt idx="337" formatCode="General">
                  <c:v>116</c:v>
                </c:pt>
                <c:pt idx="338" formatCode="General">
                  <c:v>111</c:v>
                </c:pt>
                <c:pt idx="339" formatCode="General">
                  <c:v>123</c:v>
                </c:pt>
                <c:pt idx="340" formatCode="General">
                  <c:v>125</c:v>
                </c:pt>
                <c:pt idx="341" formatCode="General">
                  <c:v>93</c:v>
                </c:pt>
                <c:pt idx="342" formatCode="General">
                  <c:v>141</c:v>
                </c:pt>
                <c:pt idx="343" formatCode="General">
                  <c:v>138</c:v>
                </c:pt>
                <c:pt idx="344" formatCode="General">
                  <c:v>108</c:v>
                </c:pt>
                <c:pt idx="345" formatCode="General">
                  <c:v>137</c:v>
                </c:pt>
                <c:pt idx="346" formatCode="General">
                  <c:v>135</c:v>
                </c:pt>
                <c:pt idx="347" formatCode="General">
                  <c:v>109</c:v>
                </c:pt>
                <c:pt idx="348" formatCode="General">
                  <c:v>129</c:v>
                </c:pt>
                <c:pt idx="349" formatCode="General">
                  <c:v>136</c:v>
                </c:pt>
                <c:pt idx="350" formatCode="General">
                  <c:v>96</c:v>
                </c:pt>
                <c:pt idx="351" formatCode="General">
                  <c:v>136</c:v>
                </c:pt>
                <c:pt idx="352" formatCode="General">
                  <c:v>103</c:v>
                </c:pt>
                <c:pt idx="353" formatCode="General">
                  <c:v>135</c:v>
                </c:pt>
                <c:pt idx="354" formatCode="General">
                  <c:v>121</c:v>
                </c:pt>
                <c:pt idx="355" formatCode="General">
                  <c:v>148</c:v>
                </c:pt>
                <c:pt idx="356" formatCode="General">
                  <c:v>150</c:v>
                </c:pt>
                <c:pt idx="357" formatCode="General">
                  <c:v>127</c:v>
                </c:pt>
                <c:pt idx="358" formatCode="General">
                  <c:v>117</c:v>
                </c:pt>
                <c:pt idx="359" formatCode="General">
                  <c:v>125</c:v>
                </c:pt>
                <c:pt idx="360" formatCode="General">
                  <c:v>126</c:v>
                </c:pt>
                <c:pt idx="361" formatCode="General">
                  <c:v>132</c:v>
                </c:pt>
                <c:pt idx="362" formatCode="General">
                  <c:v>92</c:v>
                </c:pt>
                <c:pt idx="363" formatCode="General">
                  <c:v>93</c:v>
                </c:pt>
                <c:pt idx="364" formatCode="General">
                  <c:v>126</c:v>
                </c:pt>
                <c:pt idx="365" formatCode="General">
                  <c:v>120</c:v>
                </c:pt>
                <c:pt idx="366" formatCode="General">
                  <c:v>134</c:v>
                </c:pt>
                <c:pt idx="367" formatCode="General">
                  <c:v>130</c:v>
                </c:pt>
                <c:pt idx="368" formatCode="General">
                  <c:v>95</c:v>
                </c:pt>
                <c:pt idx="369" formatCode="General">
                  <c:v>114</c:v>
                </c:pt>
                <c:pt idx="370" formatCode="General">
                  <c:v>128</c:v>
                </c:pt>
                <c:pt idx="371" formatCode="General">
                  <c:v>140</c:v>
                </c:pt>
                <c:pt idx="372" formatCode="General">
                  <c:v>116</c:v>
                </c:pt>
                <c:pt idx="373" formatCode="General">
                  <c:v>100</c:v>
                </c:pt>
                <c:pt idx="374" formatCode="General">
                  <c:v>133</c:v>
                </c:pt>
                <c:pt idx="375" formatCode="General">
                  <c:v>143</c:v>
                </c:pt>
                <c:pt idx="376" formatCode="General">
                  <c:v>146</c:v>
                </c:pt>
                <c:pt idx="377" formatCode="General">
                  <c:v>119</c:v>
                </c:pt>
                <c:pt idx="378" formatCode="General">
                  <c:v>139</c:v>
                </c:pt>
                <c:pt idx="379" formatCode="General">
                  <c:v>139</c:v>
                </c:pt>
                <c:pt idx="380" formatCode="General">
                  <c:v>113</c:v>
                </c:pt>
                <c:pt idx="381" formatCode="General">
                  <c:v>108</c:v>
                </c:pt>
                <c:pt idx="382" formatCode="General">
                  <c:v>105</c:v>
                </c:pt>
                <c:pt idx="383" formatCode="General">
                  <c:v>143</c:v>
                </c:pt>
                <c:pt idx="384" formatCode="General">
                  <c:v>117</c:v>
                </c:pt>
                <c:pt idx="385" formatCode="General">
                  <c:v>139</c:v>
                </c:pt>
                <c:pt idx="386" formatCode="General">
                  <c:v>98</c:v>
                </c:pt>
                <c:pt idx="387" formatCode="General">
                  <c:v>120</c:v>
                </c:pt>
                <c:pt idx="388" formatCode="General">
                  <c:v>135</c:v>
                </c:pt>
                <c:pt idx="389" formatCode="General">
                  <c:v>139</c:v>
                </c:pt>
                <c:pt idx="390" formatCode="General">
                  <c:v>107</c:v>
                </c:pt>
                <c:pt idx="391" formatCode="General">
                  <c:v>123</c:v>
                </c:pt>
                <c:pt idx="392" formatCode="General">
                  <c:v>148</c:v>
                </c:pt>
                <c:pt idx="393" formatCode="General">
                  <c:v>122</c:v>
                </c:pt>
                <c:pt idx="394" formatCode="General">
                  <c:v>96</c:v>
                </c:pt>
                <c:pt idx="395" formatCode="General">
                  <c:v>119</c:v>
                </c:pt>
                <c:pt idx="396" formatCode="General">
                  <c:v>97</c:v>
                </c:pt>
                <c:pt idx="397" formatCode="General">
                  <c:v>111</c:v>
                </c:pt>
                <c:pt idx="398" formatCode="General">
                  <c:v>113</c:v>
                </c:pt>
                <c:pt idx="399" formatCode="General">
                  <c:v>113</c:v>
                </c:pt>
                <c:pt idx="400" formatCode="General">
                  <c:v>133</c:v>
                </c:pt>
                <c:pt idx="401" formatCode="General">
                  <c:v>102</c:v>
                </c:pt>
                <c:pt idx="402" formatCode="General">
                  <c:v>103</c:v>
                </c:pt>
                <c:pt idx="403" formatCode="General">
                  <c:v>135</c:v>
                </c:pt>
                <c:pt idx="404" formatCode="General">
                  <c:v>97</c:v>
                </c:pt>
                <c:pt idx="405" formatCode="General">
                  <c:v>108</c:v>
                </c:pt>
                <c:pt idx="406" formatCode="General">
                  <c:v>108</c:v>
                </c:pt>
                <c:pt idx="407" formatCode="General">
                  <c:v>127</c:v>
                </c:pt>
                <c:pt idx="408" formatCode="General">
                  <c:v>149</c:v>
                </c:pt>
                <c:pt idx="409" formatCode="General">
                  <c:v>149</c:v>
                </c:pt>
                <c:pt idx="410" formatCode="General">
                  <c:v>93</c:v>
                </c:pt>
                <c:pt idx="411" formatCode="General">
                  <c:v>141</c:v>
                </c:pt>
                <c:pt idx="412" formatCode="General">
                  <c:v>112</c:v>
                </c:pt>
                <c:pt idx="413" formatCode="General">
                  <c:v>127</c:v>
                </c:pt>
                <c:pt idx="414" formatCode="General">
                  <c:v>145</c:v>
                </c:pt>
                <c:pt idx="415" formatCode="General">
                  <c:v>94</c:v>
                </c:pt>
                <c:pt idx="416" formatCode="General">
                  <c:v>133</c:v>
                </c:pt>
                <c:pt idx="417" formatCode="General">
                  <c:v>150</c:v>
                </c:pt>
                <c:pt idx="418" formatCode="General">
                  <c:v>132</c:v>
                </c:pt>
                <c:pt idx="419" formatCode="General">
                  <c:v>143</c:v>
                </c:pt>
                <c:pt idx="420" formatCode="General">
                  <c:v>98</c:v>
                </c:pt>
                <c:pt idx="421" formatCode="General">
                  <c:v>128</c:v>
                </c:pt>
                <c:pt idx="422" formatCode="General">
                  <c:v>142</c:v>
                </c:pt>
                <c:pt idx="423" formatCode="General">
                  <c:v>96</c:v>
                </c:pt>
                <c:pt idx="424" formatCode="General">
                  <c:v>104</c:v>
                </c:pt>
                <c:pt idx="425" formatCode="General">
                  <c:v>132</c:v>
                </c:pt>
                <c:pt idx="426" formatCode="General">
                  <c:v>131</c:v>
                </c:pt>
                <c:pt idx="427" formatCode="General">
                  <c:v>122</c:v>
                </c:pt>
                <c:pt idx="428" formatCode="General">
                  <c:v>142</c:v>
                </c:pt>
                <c:pt idx="429" formatCode="General">
                  <c:v>141</c:v>
                </c:pt>
                <c:pt idx="430" formatCode="General">
                  <c:v>101</c:v>
                </c:pt>
                <c:pt idx="431" formatCode="General">
                  <c:v>95</c:v>
                </c:pt>
                <c:pt idx="432" formatCode="General">
                  <c:v>108</c:v>
                </c:pt>
                <c:pt idx="433" formatCode="General">
                  <c:v>91</c:v>
                </c:pt>
                <c:pt idx="434" formatCode="General">
                  <c:v>143</c:v>
                </c:pt>
                <c:pt idx="435" formatCode="General">
                  <c:v>126</c:v>
                </c:pt>
                <c:pt idx="436" formatCode="General">
                  <c:v>135</c:v>
                </c:pt>
                <c:pt idx="437" formatCode="General">
                  <c:v>115</c:v>
                </c:pt>
                <c:pt idx="438" formatCode="General">
                  <c:v>121</c:v>
                </c:pt>
                <c:pt idx="439" formatCode="General">
                  <c:v>119</c:v>
                </c:pt>
                <c:pt idx="440" formatCode="General">
                  <c:v>134</c:v>
                </c:pt>
                <c:pt idx="441" formatCode="General">
                  <c:v>141</c:v>
                </c:pt>
                <c:pt idx="442" formatCode="General">
                  <c:v>145</c:v>
                </c:pt>
                <c:pt idx="443" formatCode="General">
                  <c:v>148</c:v>
                </c:pt>
                <c:pt idx="444" formatCode="General">
                  <c:v>111</c:v>
                </c:pt>
                <c:pt idx="445" formatCode="General">
                  <c:v>134</c:v>
                </c:pt>
                <c:pt idx="446" formatCode="General">
                  <c:v>120</c:v>
                </c:pt>
                <c:pt idx="447" formatCode="General">
                  <c:v>114</c:v>
                </c:pt>
                <c:pt idx="448" formatCode="General">
                  <c:v>134</c:v>
                </c:pt>
                <c:pt idx="449" formatCode="General">
                  <c:v>95</c:v>
                </c:pt>
                <c:pt idx="450" formatCode="General">
                  <c:v>116</c:v>
                </c:pt>
                <c:pt idx="451" formatCode="General">
                  <c:v>146</c:v>
                </c:pt>
                <c:pt idx="452" formatCode="General">
                  <c:v>104</c:v>
                </c:pt>
                <c:pt idx="453" formatCode="General">
                  <c:v>98</c:v>
                </c:pt>
                <c:pt idx="454" formatCode="General">
                  <c:v>130</c:v>
                </c:pt>
                <c:pt idx="455" formatCode="General">
                  <c:v>129</c:v>
                </c:pt>
                <c:pt idx="456" formatCode="General">
                  <c:v>112</c:v>
                </c:pt>
                <c:pt idx="457" formatCode="General">
                  <c:v>112</c:v>
                </c:pt>
                <c:pt idx="458" formatCode="General">
                  <c:v>123</c:v>
                </c:pt>
                <c:pt idx="459" formatCode="General">
                  <c:v>116</c:v>
                </c:pt>
                <c:pt idx="460" formatCode="General">
                  <c:v>122</c:v>
                </c:pt>
                <c:pt idx="461" formatCode="General">
                  <c:v>99</c:v>
                </c:pt>
                <c:pt idx="462" formatCode="General">
                  <c:v>102</c:v>
                </c:pt>
                <c:pt idx="463" formatCode="General">
                  <c:v>126</c:v>
                </c:pt>
                <c:pt idx="464" formatCode="General">
                  <c:v>93</c:v>
                </c:pt>
                <c:pt idx="465" formatCode="General">
                  <c:v>120</c:v>
                </c:pt>
                <c:pt idx="466" formatCode="General">
                  <c:v>149</c:v>
                </c:pt>
                <c:pt idx="467" formatCode="General">
                  <c:v>125</c:v>
                </c:pt>
                <c:pt idx="468" formatCode="General">
                  <c:v>139</c:v>
                </c:pt>
                <c:pt idx="469" formatCode="General">
                  <c:v>141</c:v>
                </c:pt>
                <c:pt idx="470" formatCode="General">
                  <c:v>129</c:v>
                </c:pt>
                <c:pt idx="471" formatCode="General">
                  <c:v>95</c:v>
                </c:pt>
                <c:pt idx="472" formatCode="General">
                  <c:v>113</c:v>
                </c:pt>
                <c:pt idx="473" formatCode="General">
                  <c:v>140</c:v>
                </c:pt>
                <c:pt idx="474" formatCode="General">
                  <c:v>106</c:v>
                </c:pt>
                <c:pt idx="475" formatCode="General">
                  <c:v>115</c:v>
                </c:pt>
                <c:pt idx="476" formatCode="General">
                  <c:v>143</c:v>
                </c:pt>
                <c:pt idx="477" formatCode="General">
                  <c:v>139</c:v>
                </c:pt>
                <c:pt idx="478" formatCode="General">
                  <c:v>113</c:v>
                </c:pt>
                <c:pt idx="479" formatCode="General">
                  <c:v>92</c:v>
                </c:pt>
                <c:pt idx="480" formatCode="General">
                  <c:v>115</c:v>
                </c:pt>
                <c:pt idx="481" formatCode="General">
                  <c:v>132</c:v>
                </c:pt>
                <c:pt idx="482" formatCode="General">
                  <c:v>103</c:v>
                </c:pt>
                <c:pt idx="483" formatCode="General">
                  <c:v>97</c:v>
                </c:pt>
                <c:pt idx="484" formatCode="General">
                  <c:v>96</c:v>
                </c:pt>
                <c:pt idx="485" formatCode="General">
                  <c:v>111</c:v>
                </c:pt>
                <c:pt idx="486" formatCode="General">
                  <c:v>132</c:v>
                </c:pt>
                <c:pt idx="487" formatCode="General">
                  <c:v>97</c:v>
                </c:pt>
                <c:pt idx="488" formatCode="General">
                  <c:v>92</c:v>
                </c:pt>
                <c:pt idx="489" formatCode="General">
                  <c:v>140</c:v>
                </c:pt>
                <c:pt idx="490" formatCode="General">
                  <c:v>119</c:v>
                </c:pt>
                <c:pt idx="491" formatCode="General">
                  <c:v>91</c:v>
                </c:pt>
                <c:pt idx="492" formatCode="General">
                  <c:v>121</c:v>
                </c:pt>
                <c:pt idx="493" formatCode="General">
                  <c:v>98</c:v>
                </c:pt>
                <c:pt idx="494" formatCode="General">
                  <c:v>150</c:v>
                </c:pt>
                <c:pt idx="495" formatCode="General">
                  <c:v>133</c:v>
                </c:pt>
                <c:pt idx="496" formatCode="General">
                  <c:v>127</c:v>
                </c:pt>
                <c:pt idx="497" formatCode="General">
                  <c:v>113</c:v>
                </c:pt>
                <c:pt idx="498" formatCode="General">
                  <c:v>143</c:v>
                </c:pt>
                <c:pt idx="499" formatCode="General">
                  <c:v>123</c:v>
                </c:pt>
                <c:pt idx="500" formatCode="General">
                  <c:v>125</c:v>
                </c:pt>
                <c:pt idx="501" formatCode="General">
                  <c:v>115</c:v>
                </c:pt>
                <c:pt idx="502" formatCode="General">
                  <c:v>142</c:v>
                </c:pt>
                <c:pt idx="503" formatCode="General">
                  <c:v>124</c:v>
                </c:pt>
                <c:pt idx="504" formatCode="General">
                  <c:v>147</c:v>
                </c:pt>
                <c:pt idx="505" formatCode="General">
                  <c:v>149</c:v>
                </c:pt>
                <c:pt idx="506" formatCode="General">
                  <c:v>145</c:v>
                </c:pt>
                <c:pt idx="507" formatCode="General">
                  <c:v>136</c:v>
                </c:pt>
                <c:pt idx="508" formatCode="General">
                  <c:v>103</c:v>
                </c:pt>
                <c:pt idx="509" formatCode="General">
                  <c:v>107</c:v>
                </c:pt>
                <c:pt idx="510" formatCode="General">
                  <c:v>141</c:v>
                </c:pt>
                <c:pt idx="511" formatCode="General">
                  <c:v>126</c:v>
                </c:pt>
                <c:pt idx="512" formatCode="General">
                  <c:v>136</c:v>
                </c:pt>
                <c:pt idx="513" formatCode="General">
                  <c:v>135</c:v>
                </c:pt>
                <c:pt idx="514" formatCode="General">
                  <c:v>100</c:v>
                </c:pt>
                <c:pt idx="515" formatCode="General">
                  <c:v>94</c:v>
                </c:pt>
                <c:pt idx="516" formatCode="General">
                  <c:v>102</c:v>
                </c:pt>
                <c:pt idx="517" formatCode="General">
                  <c:v>135</c:v>
                </c:pt>
                <c:pt idx="518" formatCode="General">
                  <c:v>103</c:v>
                </c:pt>
                <c:pt idx="519" formatCode="General">
                  <c:v>126</c:v>
                </c:pt>
                <c:pt idx="520" formatCode="General">
                  <c:v>90</c:v>
                </c:pt>
                <c:pt idx="521" formatCode="General">
                  <c:v>131</c:v>
                </c:pt>
                <c:pt idx="522" formatCode="General">
                  <c:v>94</c:v>
                </c:pt>
                <c:pt idx="523" formatCode="General">
                  <c:v>91</c:v>
                </c:pt>
                <c:pt idx="524" formatCode="General">
                  <c:v>104</c:v>
                </c:pt>
                <c:pt idx="525" formatCode="General">
                  <c:v>148</c:v>
                </c:pt>
                <c:pt idx="526" formatCode="General">
                  <c:v>98</c:v>
                </c:pt>
                <c:pt idx="527" formatCode="General">
                  <c:v>120</c:v>
                </c:pt>
                <c:pt idx="528" formatCode="General">
                  <c:v>96</c:v>
                </c:pt>
                <c:pt idx="529" formatCode="General">
                  <c:v>105</c:v>
                </c:pt>
                <c:pt idx="530" formatCode="General">
                  <c:v>142</c:v>
                </c:pt>
                <c:pt idx="531" formatCode="General">
                  <c:v>117</c:v>
                </c:pt>
                <c:pt idx="532" formatCode="General">
                  <c:v>133</c:v>
                </c:pt>
                <c:pt idx="533" formatCode="General">
                  <c:v>144</c:v>
                </c:pt>
                <c:pt idx="534" formatCode="General">
                  <c:v>102</c:v>
                </c:pt>
                <c:pt idx="535" formatCode="General">
                  <c:v>111</c:v>
                </c:pt>
                <c:pt idx="536" formatCode="General">
                  <c:v>126</c:v>
                </c:pt>
                <c:pt idx="537" formatCode="General">
                  <c:v>112</c:v>
                </c:pt>
                <c:pt idx="538" formatCode="General">
                  <c:v>108</c:v>
                </c:pt>
                <c:pt idx="539" formatCode="General">
                  <c:v>125</c:v>
                </c:pt>
                <c:pt idx="540" formatCode="General">
                  <c:v>119</c:v>
                </c:pt>
                <c:pt idx="541" formatCode="General">
                  <c:v>120</c:v>
                </c:pt>
                <c:pt idx="542" formatCode="General">
                  <c:v>132</c:v>
                </c:pt>
                <c:pt idx="543" formatCode="General">
                  <c:v>118</c:v>
                </c:pt>
                <c:pt idx="544" formatCode="General">
                  <c:v>110</c:v>
                </c:pt>
                <c:pt idx="545" formatCode="General">
                  <c:v>102</c:v>
                </c:pt>
                <c:pt idx="546" formatCode="General">
                  <c:v>130</c:v>
                </c:pt>
                <c:pt idx="547" formatCode="General">
                  <c:v>141</c:v>
                </c:pt>
                <c:pt idx="548" formatCode="General">
                  <c:v>95</c:v>
                </c:pt>
                <c:pt idx="549" formatCode="General">
                  <c:v>110</c:v>
                </c:pt>
                <c:pt idx="550" formatCode="General">
                  <c:v>116</c:v>
                </c:pt>
                <c:pt idx="551" formatCode="General">
                  <c:v>109</c:v>
                </c:pt>
                <c:pt idx="552" formatCode="General">
                  <c:v>112</c:v>
                </c:pt>
                <c:pt idx="553" formatCode="General">
                  <c:v>142</c:v>
                </c:pt>
                <c:pt idx="554" formatCode="General">
                  <c:v>124</c:v>
                </c:pt>
                <c:pt idx="555" formatCode="General">
                  <c:v>91</c:v>
                </c:pt>
                <c:pt idx="556" formatCode="General">
                  <c:v>148</c:v>
                </c:pt>
                <c:pt idx="557" formatCode="General">
                  <c:v>130</c:v>
                </c:pt>
                <c:pt idx="558" formatCode="General">
                  <c:v>142</c:v>
                </c:pt>
                <c:pt idx="559" formatCode="General">
                  <c:v>119</c:v>
                </c:pt>
                <c:pt idx="560" formatCode="General">
                  <c:v>118</c:v>
                </c:pt>
                <c:pt idx="561" formatCode="General">
                  <c:v>147</c:v>
                </c:pt>
                <c:pt idx="562" formatCode="General">
                  <c:v>142</c:v>
                </c:pt>
                <c:pt idx="563" formatCode="General">
                  <c:v>127</c:v>
                </c:pt>
                <c:pt idx="564" formatCode="General">
                  <c:v>91</c:v>
                </c:pt>
                <c:pt idx="565" formatCode="General">
                  <c:v>116</c:v>
                </c:pt>
                <c:pt idx="566" formatCode="General">
                  <c:v>147</c:v>
                </c:pt>
                <c:pt idx="567" formatCode="General">
                  <c:v>97</c:v>
                </c:pt>
                <c:pt idx="568" formatCode="General">
                  <c:v>119</c:v>
                </c:pt>
                <c:pt idx="569" formatCode="General">
                  <c:v>119</c:v>
                </c:pt>
                <c:pt idx="570" formatCode="General">
                  <c:v>137</c:v>
                </c:pt>
                <c:pt idx="571" formatCode="General">
                  <c:v>93</c:v>
                </c:pt>
                <c:pt idx="572" formatCode="General">
                  <c:v>134</c:v>
                </c:pt>
                <c:pt idx="573" formatCode="General">
                  <c:v>103</c:v>
                </c:pt>
                <c:pt idx="574" formatCode="General">
                  <c:v>118</c:v>
                </c:pt>
                <c:pt idx="575" formatCode="General">
                  <c:v>150</c:v>
                </c:pt>
                <c:pt idx="576" formatCode="General">
                  <c:v>125</c:v>
                </c:pt>
                <c:pt idx="577" formatCode="General">
                  <c:v>102</c:v>
                </c:pt>
                <c:pt idx="578" formatCode="General">
                  <c:v>117</c:v>
                </c:pt>
                <c:pt idx="579" formatCode="General">
                  <c:v>112</c:v>
                </c:pt>
                <c:pt idx="580" formatCode="General">
                  <c:v>120</c:v>
                </c:pt>
                <c:pt idx="581" formatCode="General">
                  <c:v>113</c:v>
                </c:pt>
                <c:pt idx="582" formatCode="General">
                  <c:v>113</c:v>
                </c:pt>
                <c:pt idx="583" formatCode="General">
                  <c:v>102</c:v>
                </c:pt>
                <c:pt idx="584" formatCode="General">
                  <c:v>118</c:v>
                </c:pt>
                <c:pt idx="585" formatCode="General">
                  <c:v>120</c:v>
                </c:pt>
                <c:pt idx="586" formatCode="General">
                  <c:v>93</c:v>
                </c:pt>
                <c:pt idx="587" formatCode="General">
                  <c:v>96</c:v>
                </c:pt>
                <c:pt idx="588" formatCode="General">
                  <c:v>136</c:v>
                </c:pt>
                <c:pt idx="589" formatCode="General">
                  <c:v>94</c:v>
                </c:pt>
                <c:pt idx="590" formatCode="General">
                  <c:v>112</c:v>
                </c:pt>
                <c:pt idx="591" formatCode="General">
                  <c:v>146</c:v>
                </c:pt>
                <c:pt idx="592" formatCode="General">
                  <c:v>147</c:v>
                </c:pt>
                <c:pt idx="593" formatCode="General">
                  <c:v>139</c:v>
                </c:pt>
                <c:pt idx="594" formatCode="General">
                  <c:v>129</c:v>
                </c:pt>
                <c:pt idx="595" formatCode="General">
                  <c:v>106</c:v>
                </c:pt>
                <c:pt idx="596" formatCode="General">
                  <c:v>138</c:v>
                </c:pt>
                <c:pt idx="597" formatCode="General">
                  <c:v>91</c:v>
                </c:pt>
                <c:pt idx="598" formatCode="General">
                  <c:v>140</c:v>
                </c:pt>
                <c:pt idx="599" formatCode="General">
                  <c:v>128</c:v>
                </c:pt>
                <c:pt idx="600" formatCode="General">
                  <c:v>115</c:v>
                </c:pt>
                <c:pt idx="601" formatCode="General">
                  <c:v>102</c:v>
                </c:pt>
                <c:pt idx="602" formatCode="General">
                  <c:v>101</c:v>
                </c:pt>
                <c:pt idx="603" formatCode="General">
                  <c:v>142</c:v>
                </c:pt>
                <c:pt idx="604" formatCode="General">
                  <c:v>106</c:v>
                </c:pt>
                <c:pt idx="605" formatCode="General">
                  <c:v>145</c:v>
                </c:pt>
                <c:pt idx="606" formatCode="General">
                  <c:v>144</c:v>
                </c:pt>
                <c:pt idx="607" formatCode="General">
                  <c:v>143</c:v>
                </c:pt>
                <c:pt idx="608" formatCode="General">
                  <c:v>92</c:v>
                </c:pt>
                <c:pt idx="609" formatCode="General">
                  <c:v>104</c:v>
                </c:pt>
                <c:pt idx="610" formatCode="General">
                  <c:v>140</c:v>
                </c:pt>
                <c:pt idx="611" formatCode="General">
                  <c:v>127</c:v>
                </c:pt>
                <c:pt idx="612" formatCode="General">
                  <c:v>139</c:v>
                </c:pt>
                <c:pt idx="613" formatCode="General">
                  <c:v>148</c:v>
                </c:pt>
                <c:pt idx="614" formatCode="General">
                  <c:v>146</c:v>
                </c:pt>
                <c:pt idx="615" formatCode="General">
                  <c:v>114</c:v>
                </c:pt>
                <c:pt idx="616" formatCode="General">
                  <c:v>107</c:v>
                </c:pt>
                <c:pt idx="617" formatCode="General">
                  <c:v>119</c:v>
                </c:pt>
                <c:pt idx="618" formatCode="General">
                  <c:v>106</c:v>
                </c:pt>
                <c:pt idx="619" formatCode="General">
                  <c:v>116</c:v>
                </c:pt>
                <c:pt idx="620" formatCode="General">
                  <c:v>118</c:v>
                </c:pt>
                <c:pt idx="621" formatCode="General">
                  <c:v>128</c:v>
                </c:pt>
                <c:pt idx="622" formatCode="General">
                  <c:v>121</c:v>
                </c:pt>
                <c:pt idx="623" formatCode="General">
                  <c:v>113</c:v>
                </c:pt>
                <c:pt idx="624" formatCode="General">
                  <c:v>131</c:v>
                </c:pt>
                <c:pt idx="625" formatCode="General">
                  <c:v>119</c:v>
                </c:pt>
                <c:pt idx="626" formatCode="General">
                  <c:v>116</c:v>
                </c:pt>
                <c:pt idx="627" formatCode="General">
                  <c:v>124</c:v>
                </c:pt>
                <c:pt idx="628" formatCode="General">
                  <c:v>101</c:v>
                </c:pt>
                <c:pt idx="629" formatCode="General">
                  <c:v>115</c:v>
                </c:pt>
                <c:pt idx="630" formatCode="General">
                  <c:v>100</c:v>
                </c:pt>
                <c:pt idx="631" formatCode="General">
                  <c:v>113</c:v>
                </c:pt>
                <c:pt idx="632" formatCode="General">
                  <c:v>134</c:v>
                </c:pt>
                <c:pt idx="633" formatCode="General">
                  <c:v>106</c:v>
                </c:pt>
                <c:pt idx="634" formatCode="General">
                  <c:v>142</c:v>
                </c:pt>
                <c:pt idx="635" formatCode="General">
                  <c:v>145</c:v>
                </c:pt>
                <c:pt idx="636" formatCode="General">
                  <c:v>139</c:v>
                </c:pt>
                <c:pt idx="637" formatCode="General">
                  <c:v>118</c:v>
                </c:pt>
                <c:pt idx="638" formatCode="General">
                  <c:v>119</c:v>
                </c:pt>
                <c:pt idx="639" formatCode="General">
                  <c:v>139</c:v>
                </c:pt>
                <c:pt idx="640" formatCode="General">
                  <c:v>105</c:v>
                </c:pt>
                <c:pt idx="641" formatCode="General">
                  <c:v>125</c:v>
                </c:pt>
                <c:pt idx="642" formatCode="General">
                  <c:v>120</c:v>
                </c:pt>
                <c:pt idx="643" formatCode="General">
                  <c:v>131</c:v>
                </c:pt>
                <c:pt idx="644" formatCode="General">
                  <c:v>139</c:v>
                </c:pt>
                <c:pt idx="645" formatCode="General">
                  <c:v>98</c:v>
                </c:pt>
                <c:pt idx="646" formatCode="General">
                  <c:v>131</c:v>
                </c:pt>
                <c:pt idx="647" formatCode="General">
                  <c:v>131</c:v>
                </c:pt>
                <c:pt idx="648" formatCode="General">
                  <c:v>123</c:v>
                </c:pt>
                <c:pt idx="649" formatCode="General">
                  <c:v>147</c:v>
                </c:pt>
                <c:pt idx="650" formatCode="General">
                  <c:v>139</c:v>
                </c:pt>
                <c:pt idx="651" formatCode="General">
                  <c:v>125</c:v>
                </c:pt>
                <c:pt idx="652" formatCode="General">
                  <c:v>131</c:v>
                </c:pt>
                <c:pt idx="653" formatCode="General">
                  <c:v>103</c:v>
                </c:pt>
                <c:pt idx="654" formatCode="General">
                  <c:v>117</c:v>
                </c:pt>
                <c:pt idx="655" formatCode="General">
                  <c:v>130</c:v>
                </c:pt>
                <c:pt idx="656" formatCode="General">
                  <c:v>97</c:v>
                </c:pt>
                <c:pt idx="657" formatCode="General">
                  <c:v>120</c:v>
                </c:pt>
                <c:pt idx="658" formatCode="General">
                  <c:v>130</c:v>
                </c:pt>
                <c:pt idx="659" formatCode="General">
                  <c:v>117</c:v>
                </c:pt>
                <c:pt idx="660" formatCode="General">
                  <c:v>103</c:v>
                </c:pt>
                <c:pt idx="661" formatCode="General">
                  <c:v>150</c:v>
                </c:pt>
                <c:pt idx="662" formatCode="General">
                  <c:v>136</c:v>
                </c:pt>
                <c:pt idx="663" formatCode="General">
                  <c:v>114</c:v>
                </c:pt>
                <c:pt idx="664" formatCode="General">
                  <c:v>127</c:v>
                </c:pt>
                <c:pt idx="665" formatCode="General">
                  <c:v>102</c:v>
                </c:pt>
                <c:pt idx="666" formatCode="General">
                  <c:v>140</c:v>
                </c:pt>
                <c:pt idx="667" formatCode="General">
                  <c:v>118</c:v>
                </c:pt>
                <c:pt idx="668" formatCode="General">
                  <c:v>130</c:v>
                </c:pt>
                <c:pt idx="669" formatCode="General">
                  <c:v>91</c:v>
                </c:pt>
                <c:pt idx="670" formatCode="General">
                  <c:v>121</c:v>
                </c:pt>
                <c:pt idx="671" formatCode="General">
                  <c:v>113</c:v>
                </c:pt>
                <c:pt idx="672" formatCode="General">
                  <c:v>131</c:v>
                </c:pt>
                <c:pt idx="673" formatCode="General">
                  <c:v>119</c:v>
                </c:pt>
                <c:pt idx="674" formatCode="General">
                  <c:v>133</c:v>
                </c:pt>
                <c:pt idx="675" formatCode="General">
                  <c:v>109</c:v>
                </c:pt>
                <c:pt idx="676" formatCode="General">
                  <c:v>126</c:v>
                </c:pt>
                <c:pt idx="677" formatCode="General">
                  <c:v>128</c:v>
                </c:pt>
                <c:pt idx="678" formatCode="General">
                  <c:v>117</c:v>
                </c:pt>
                <c:pt idx="679" formatCode="General">
                  <c:v>91</c:v>
                </c:pt>
                <c:pt idx="680" formatCode="General">
                  <c:v>105</c:v>
                </c:pt>
                <c:pt idx="681" formatCode="General">
                  <c:v>134</c:v>
                </c:pt>
                <c:pt idx="682" formatCode="General">
                  <c:v>95</c:v>
                </c:pt>
                <c:pt idx="683" formatCode="General">
                  <c:v>96</c:v>
                </c:pt>
                <c:pt idx="684" formatCode="General">
                  <c:v>129</c:v>
                </c:pt>
                <c:pt idx="685" formatCode="General">
                  <c:v>137</c:v>
                </c:pt>
                <c:pt idx="686" formatCode="General">
                  <c:v>112</c:v>
                </c:pt>
                <c:pt idx="687" formatCode="General">
                  <c:v>104</c:v>
                </c:pt>
                <c:pt idx="688" formatCode="General">
                  <c:v>148</c:v>
                </c:pt>
                <c:pt idx="689" formatCode="General">
                  <c:v>115</c:v>
                </c:pt>
                <c:pt idx="690" formatCode="General">
                  <c:v>125</c:v>
                </c:pt>
                <c:pt idx="691" formatCode="General">
                  <c:v>141</c:v>
                </c:pt>
                <c:pt idx="692" formatCode="General">
                  <c:v>132</c:v>
                </c:pt>
                <c:pt idx="693" formatCode="General">
                  <c:v>123</c:v>
                </c:pt>
                <c:pt idx="694" formatCode="General">
                  <c:v>142</c:v>
                </c:pt>
                <c:pt idx="695" formatCode="General">
                  <c:v>118</c:v>
                </c:pt>
                <c:pt idx="696" formatCode="General">
                  <c:v>126</c:v>
                </c:pt>
                <c:pt idx="697" formatCode="General">
                  <c:v>113</c:v>
                </c:pt>
                <c:pt idx="698" formatCode="General">
                  <c:v>146</c:v>
                </c:pt>
                <c:pt idx="699" formatCode="General">
                  <c:v>107</c:v>
                </c:pt>
                <c:pt idx="700" formatCode="General">
                  <c:v>137</c:v>
                </c:pt>
                <c:pt idx="701" formatCode="General">
                  <c:v>119</c:v>
                </c:pt>
                <c:pt idx="702" formatCode="General">
                  <c:v>105</c:v>
                </c:pt>
                <c:pt idx="703" formatCode="General">
                  <c:v>107</c:v>
                </c:pt>
                <c:pt idx="704" formatCode="General">
                  <c:v>95</c:v>
                </c:pt>
                <c:pt idx="705" formatCode="General">
                  <c:v>94</c:v>
                </c:pt>
                <c:pt idx="706" formatCode="General">
                  <c:v>127</c:v>
                </c:pt>
                <c:pt idx="707" formatCode="General">
                  <c:v>136</c:v>
                </c:pt>
                <c:pt idx="708" formatCode="General">
                  <c:v>118</c:v>
                </c:pt>
                <c:pt idx="709" formatCode="General">
                  <c:v>130</c:v>
                </c:pt>
                <c:pt idx="710" formatCode="General">
                  <c:v>98</c:v>
                </c:pt>
                <c:pt idx="711" formatCode="General">
                  <c:v>103</c:v>
                </c:pt>
                <c:pt idx="712" formatCode="General">
                  <c:v>113</c:v>
                </c:pt>
                <c:pt idx="713" formatCode="General">
                  <c:v>129</c:v>
                </c:pt>
                <c:pt idx="714" formatCode="General">
                  <c:v>120</c:v>
                </c:pt>
                <c:pt idx="715" formatCode="General">
                  <c:v>124</c:v>
                </c:pt>
                <c:pt idx="716" formatCode="General">
                  <c:v>140</c:v>
                </c:pt>
                <c:pt idx="717" formatCode="General">
                  <c:v>120</c:v>
                </c:pt>
                <c:pt idx="718" formatCode="General">
                  <c:v>124</c:v>
                </c:pt>
                <c:pt idx="719" formatCode="General">
                  <c:v>148</c:v>
                </c:pt>
                <c:pt idx="720" formatCode="General">
                  <c:v>122</c:v>
                </c:pt>
                <c:pt idx="721" formatCode="General">
                  <c:v>119</c:v>
                </c:pt>
                <c:pt idx="722" formatCode="General">
                  <c:v>122</c:v>
                </c:pt>
                <c:pt idx="723" formatCode="General">
                  <c:v>131</c:v>
                </c:pt>
                <c:pt idx="724" formatCode="General">
                  <c:v>107</c:v>
                </c:pt>
                <c:pt idx="725" formatCode="General">
                  <c:v>95</c:v>
                </c:pt>
                <c:pt idx="726" formatCode="General">
                  <c:v>96</c:v>
                </c:pt>
                <c:pt idx="727" formatCode="General">
                  <c:v>122</c:v>
                </c:pt>
                <c:pt idx="728" formatCode="General">
                  <c:v>143</c:v>
                </c:pt>
                <c:pt idx="729" formatCode="General">
                  <c:v>98</c:v>
                </c:pt>
                <c:pt idx="730" formatCode="General">
                  <c:v>110</c:v>
                </c:pt>
                <c:pt idx="731" formatCode="General">
                  <c:v>112</c:v>
                </c:pt>
                <c:pt idx="732" formatCode="General">
                  <c:v>129</c:v>
                </c:pt>
                <c:pt idx="733" formatCode="General">
                  <c:v>139</c:v>
                </c:pt>
                <c:pt idx="734" formatCode="General">
                  <c:v>130</c:v>
                </c:pt>
                <c:pt idx="735" formatCode="General">
                  <c:v>129</c:v>
                </c:pt>
                <c:pt idx="736" formatCode="General">
                  <c:v>148</c:v>
                </c:pt>
                <c:pt idx="737" formatCode="General">
                  <c:v>90</c:v>
                </c:pt>
                <c:pt idx="738" formatCode="General">
                  <c:v>101</c:v>
                </c:pt>
                <c:pt idx="739" formatCode="General">
                  <c:v>127</c:v>
                </c:pt>
                <c:pt idx="740" formatCode="General">
                  <c:v>132</c:v>
                </c:pt>
                <c:pt idx="741" formatCode="General">
                  <c:v>111</c:v>
                </c:pt>
                <c:pt idx="742" formatCode="General">
                  <c:v>144</c:v>
                </c:pt>
                <c:pt idx="743" formatCode="General">
                  <c:v>130</c:v>
                </c:pt>
                <c:pt idx="744" formatCode="General">
                  <c:v>102</c:v>
                </c:pt>
                <c:pt idx="745" formatCode="General">
                  <c:v>118</c:v>
                </c:pt>
                <c:pt idx="746" formatCode="General">
                  <c:v>118</c:v>
                </c:pt>
                <c:pt idx="747" formatCode="General">
                  <c:v>108</c:v>
                </c:pt>
                <c:pt idx="748" formatCode="General">
                  <c:v>135</c:v>
                </c:pt>
                <c:pt idx="749" formatCode="General">
                  <c:v>111</c:v>
                </c:pt>
                <c:pt idx="750" formatCode="General">
                  <c:v>92</c:v>
                </c:pt>
                <c:pt idx="751" formatCode="General">
                  <c:v>94</c:v>
                </c:pt>
                <c:pt idx="752" formatCode="General">
                  <c:v>119</c:v>
                </c:pt>
                <c:pt idx="753" formatCode="General">
                  <c:v>127</c:v>
                </c:pt>
                <c:pt idx="754" formatCode="General">
                  <c:v>114</c:v>
                </c:pt>
                <c:pt idx="755" formatCode="General">
                  <c:v>113</c:v>
                </c:pt>
                <c:pt idx="756" formatCode="General">
                  <c:v>119</c:v>
                </c:pt>
                <c:pt idx="757" formatCode="General">
                  <c:v>142</c:v>
                </c:pt>
                <c:pt idx="758" formatCode="General">
                  <c:v>148</c:v>
                </c:pt>
                <c:pt idx="759" formatCode="General">
                  <c:v>126</c:v>
                </c:pt>
                <c:pt idx="760" formatCode="General">
                  <c:v>138</c:v>
                </c:pt>
                <c:pt idx="761" formatCode="General">
                  <c:v>126</c:v>
                </c:pt>
                <c:pt idx="762" formatCode="General">
                  <c:v>121</c:v>
                </c:pt>
                <c:pt idx="763" formatCode="General">
                  <c:v>113</c:v>
                </c:pt>
                <c:pt idx="764" formatCode="General">
                  <c:v>92</c:v>
                </c:pt>
                <c:pt idx="765" formatCode="General">
                  <c:v>90</c:v>
                </c:pt>
                <c:pt idx="766" formatCode="General">
                  <c:v>126</c:v>
                </c:pt>
                <c:pt idx="767" formatCode="General">
                  <c:v>132</c:v>
                </c:pt>
                <c:pt idx="768" formatCode="General">
                  <c:v>121</c:v>
                </c:pt>
                <c:pt idx="769" formatCode="General">
                  <c:v>137</c:v>
                </c:pt>
                <c:pt idx="770" formatCode="General">
                  <c:v>130</c:v>
                </c:pt>
                <c:pt idx="771" formatCode="General">
                  <c:v>149</c:v>
                </c:pt>
                <c:pt idx="772" formatCode="General">
                  <c:v>110</c:v>
                </c:pt>
                <c:pt idx="773" formatCode="General">
                  <c:v>143</c:v>
                </c:pt>
                <c:pt idx="774" formatCode="General">
                  <c:v>118</c:v>
                </c:pt>
                <c:pt idx="775" formatCode="General">
                  <c:v>125</c:v>
                </c:pt>
                <c:pt idx="776" formatCode="General">
                  <c:v>93</c:v>
                </c:pt>
                <c:pt idx="777" formatCode="General">
                  <c:v>150</c:v>
                </c:pt>
                <c:pt idx="778" formatCode="General">
                  <c:v>117</c:v>
                </c:pt>
                <c:pt idx="779" formatCode="General">
                  <c:v>141</c:v>
                </c:pt>
                <c:pt idx="780" formatCode="General">
                  <c:v>150</c:v>
                </c:pt>
                <c:pt idx="781" formatCode="General">
                  <c:v>131</c:v>
                </c:pt>
                <c:pt idx="782" formatCode="General">
                  <c:v>142</c:v>
                </c:pt>
                <c:pt idx="783" formatCode="General">
                  <c:v>125</c:v>
                </c:pt>
                <c:pt idx="784" formatCode="General">
                  <c:v>124</c:v>
                </c:pt>
                <c:pt idx="785" formatCode="General">
                  <c:v>129</c:v>
                </c:pt>
                <c:pt idx="786" formatCode="General">
                  <c:v>134</c:v>
                </c:pt>
                <c:pt idx="787" formatCode="General">
                  <c:v>108</c:v>
                </c:pt>
                <c:pt idx="788" formatCode="General">
                  <c:v>92</c:v>
                </c:pt>
                <c:pt idx="789" formatCode="General">
                  <c:v>126</c:v>
                </c:pt>
                <c:pt idx="790" formatCode="General">
                  <c:v>109</c:v>
                </c:pt>
                <c:pt idx="791" formatCode="General">
                  <c:v>150</c:v>
                </c:pt>
                <c:pt idx="792" formatCode="General">
                  <c:v>137</c:v>
                </c:pt>
                <c:pt idx="793" formatCode="General">
                  <c:v>150</c:v>
                </c:pt>
                <c:pt idx="794" formatCode="General">
                  <c:v>110</c:v>
                </c:pt>
                <c:pt idx="795" formatCode="General">
                  <c:v>101</c:v>
                </c:pt>
                <c:pt idx="796" formatCode="General">
                  <c:v>123</c:v>
                </c:pt>
                <c:pt idx="797" formatCode="General">
                  <c:v>150</c:v>
                </c:pt>
                <c:pt idx="798" formatCode="General">
                  <c:v>129</c:v>
                </c:pt>
                <c:pt idx="799" formatCode="General">
                  <c:v>144</c:v>
                </c:pt>
                <c:pt idx="800" formatCode="General">
                  <c:v>108</c:v>
                </c:pt>
                <c:pt idx="801" formatCode="General">
                  <c:v>134</c:v>
                </c:pt>
                <c:pt idx="802" formatCode="General">
                  <c:v>149</c:v>
                </c:pt>
                <c:pt idx="803" formatCode="General">
                  <c:v>140</c:v>
                </c:pt>
                <c:pt idx="804" formatCode="General">
                  <c:v>142</c:v>
                </c:pt>
                <c:pt idx="805" formatCode="General">
                  <c:v>108</c:v>
                </c:pt>
                <c:pt idx="806" formatCode="General">
                  <c:v>123</c:v>
                </c:pt>
                <c:pt idx="807" formatCode="General">
                  <c:v>113</c:v>
                </c:pt>
                <c:pt idx="808" formatCode="General">
                  <c:v>110</c:v>
                </c:pt>
                <c:pt idx="809" formatCode="General">
                  <c:v>99</c:v>
                </c:pt>
                <c:pt idx="810" formatCode="General">
                  <c:v>111</c:v>
                </c:pt>
                <c:pt idx="811" formatCode="General">
                  <c:v>98</c:v>
                </c:pt>
                <c:pt idx="812" formatCode="General">
                  <c:v>90</c:v>
                </c:pt>
                <c:pt idx="813" formatCode="General">
                  <c:v>104</c:v>
                </c:pt>
                <c:pt idx="814" formatCode="General">
                  <c:v>147</c:v>
                </c:pt>
                <c:pt idx="815" formatCode="General">
                  <c:v>95</c:v>
                </c:pt>
                <c:pt idx="816" formatCode="General">
                  <c:v>141</c:v>
                </c:pt>
                <c:pt idx="817" formatCode="General">
                  <c:v>103</c:v>
                </c:pt>
                <c:pt idx="818" formatCode="General">
                  <c:v>98</c:v>
                </c:pt>
                <c:pt idx="819" formatCode="General">
                  <c:v>130</c:v>
                </c:pt>
                <c:pt idx="820" formatCode="General">
                  <c:v>139</c:v>
                </c:pt>
                <c:pt idx="821" formatCode="General">
                  <c:v>121</c:v>
                </c:pt>
                <c:pt idx="822" formatCode="General">
                  <c:v>136</c:v>
                </c:pt>
                <c:pt idx="823" formatCode="General">
                  <c:v>134</c:v>
                </c:pt>
                <c:pt idx="824" formatCode="General">
                  <c:v>102</c:v>
                </c:pt>
                <c:pt idx="825" formatCode="General">
                  <c:v>124</c:v>
                </c:pt>
                <c:pt idx="826" formatCode="General">
                  <c:v>123</c:v>
                </c:pt>
                <c:pt idx="827" formatCode="General">
                  <c:v>111</c:v>
                </c:pt>
                <c:pt idx="828" formatCode="General">
                  <c:v>144</c:v>
                </c:pt>
                <c:pt idx="829" formatCode="General">
                  <c:v>114</c:v>
                </c:pt>
                <c:pt idx="830" formatCode="General">
                  <c:v>140</c:v>
                </c:pt>
                <c:pt idx="831" formatCode="General">
                  <c:v>127</c:v>
                </c:pt>
                <c:pt idx="832" formatCode="General">
                  <c:v>137</c:v>
                </c:pt>
                <c:pt idx="833" formatCode="General">
                  <c:v>90</c:v>
                </c:pt>
                <c:pt idx="834" formatCode="General">
                  <c:v>139</c:v>
                </c:pt>
                <c:pt idx="835" formatCode="General">
                  <c:v>103</c:v>
                </c:pt>
                <c:pt idx="836" formatCode="General">
                  <c:v>113</c:v>
                </c:pt>
                <c:pt idx="837" formatCode="General">
                  <c:v>112</c:v>
                </c:pt>
                <c:pt idx="838" formatCode="General">
                  <c:v>96</c:v>
                </c:pt>
                <c:pt idx="839" formatCode="General">
                  <c:v>118</c:v>
                </c:pt>
                <c:pt idx="840" formatCode="General">
                  <c:v>94</c:v>
                </c:pt>
                <c:pt idx="841" formatCode="General">
                  <c:v>95</c:v>
                </c:pt>
                <c:pt idx="842" formatCode="General">
                  <c:v>110</c:v>
                </c:pt>
                <c:pt idx="843" formatCode="General">
                  <c:v>132</c:v>
                </c:pt>
                <c:pt idx="844" formatCode="General">
                  <c:v>116</c:v>
                </c:pt>
                <c:pt idx="845" formatCode="General">
                  <c:v>107</c:v>
                </c:pt>
                <c:pt idx="846" formatCode="General">
                  <c:v>136</c:v>
                </c:pt>
                <c:pt idx="847" formatCode="General">
                  <c:v>102</c:v>
                </c:pt>
                <c:pt idx="848" formatCode="General">
                  <c:v>116</c:v>
                </c:pt>
                <c:pt idx="849" formatCode="General">
                  <c:v>92</c:v>
                </c:pt>
                <c:pt idx="850" formatCode="General">
                  <c:v>145</c:v>
                </c:pt>
                <c:pt idx="851" formatCode="General">
                  <c:v>95</c:v>
                </c:pt>
                <c:pt idx="852" formatCode="General">
                  <c:v>144</c:v>
                </c:pt>
                <c:pt idx="853" formatCode="General">
                  <c:v>116</c:v>
                </c:pt>
                <c:pt idx="854" formatCode="General">
                  <c:v>116</c:v>
                </c:pt>
                <c:pt idx="855" formatCode="General">
                  <c:v>144</c:v>
                </c:pt>
                <c:pt idx="856" formatCode="General">
                  <c:v>107</c:v>
                </c:pt>
                <c:pt idx="857" formatCode="General">
                  <c:v>118</c:v>
                </c:pt>
                <c:pt idx="858" formatCode="General">
                  <c:v>136</c:v>
                </c:pt>
                <c:pt idx="859" formatCode="General">
                  <c:v>117</c:v>
                </c:pt>
                <c:pt idx="860" formatCode="General">
                  <c:v>127</c:v>
                </c:pt>
                <c:pt idx="861" formatCode="General">
                  <c:v>146</c:v>
                </c:pt>
                <c:pt idx="862" formatCode="General">
                  <c:v>138</c:v>
                </c:pt>
                <c:pt idx="863" formatCode="General">
                  <c:v>118</c:v>
                </c:pt>
                <c:pt idx="864" formatCode="General">
                  <c:v>128</c:v>
                </c:pt>
                <c:pt idx="865" formatCode="General">
                  <c:v>111</c:v>
                </c:pt>
                <c:pt idx="866" formatCode="General">
                  <c:v>102</c:v>
                </c:pt>
                <c:pt idx="867" formatCode="General">
                  <c:v>141</c:v>
                </c:pt>
                <c:pt idx="868" formatCode="General">
                  <c:v>122</c:v>
                </c:pt>
                <c:pt idx="869" formatCode="General">
                  <c:v>127</c:v>
                </c:pt>
                <c:pt idx="870" formatCode="General">
                  <c:v>132</c:v>
                </c:pt>
                <c:pt idx="871" formatCode="General">
                  <c:v>91</c:v>
                </c:pt>
                <c:pt idx="872" formatCode="General">
                  <c:v>130</c:v>
                </c:pt>
                <c:pt idx="873" formatCode="General">
                  <c:v>95</c:v>
                </c:pt>
                <c:pt idx="874" formatCode="General">
                  <c:v>143</c:v>
                </c:pt>
                <c:pt idx="875" formatCode="General">
                  <c:v>94</c:v>
                </c:pt>
                <c:pt idx="876" formatCode="General">
                  <c:v>102</c:v>
                </c:pt>
                <c:pt idx="877" formatCode="General">
                  <c:v>141</c:v>
                </c:pt>
                <c:pt idx="878" formatCode="General">
                  <c:v>111</c:v>
                </c:pt>
                <c:pt idx="879" formatCode="General">
                  <c:v>100</c:v>
                </c:pt>
                <c:pt idx="880" formatCode="General">
                  <c:v>121</c:v>
                </c:pt>
                <c:pt idx="881" formatCode="General">
                  <c:v>147</c:v>
                </c:pt>
                <c:pt idx="882" formatCode="General">
                  <c:v>139</c:v>
                </c:pt>
                <c:pt idx="883" formatCode="General">
                  <c:v>119</c:v>
                </c:pt>
                <c:pt idx="884" formatCode="General">
                  <c:v>114</c:v>
                </c:pt>
                <c:pt idx="885" formatCode="General">
                  <c:v>114</c:v>
                </c:pt>
                <c:pt idx="886" formatCode="General">
                  <c:v>99</c:v>
                </c:pt>
                <c:pt idx="887" formatCode="General">
                  <c:v>123</c:v>
                </c:pt>
                <c:pt idx="888" formatCode="General">
                  <c:v>124</c:v>
                </c:pt>
                <c:pt idx="889" formatCode="General">
                  <c:v>109</c:v>
                </c:pt>
                <c:pt idx="890" formatCode="General">
                  <c:v>104</c:v>
                </c:pt>
                <c:pt idx="891" formatCode="General">
                  <c:v>127</c:v>
                </c:pt>
                <c:pt idx="892" formatCode="General">
                  <c:v>104</c:v>
                </c:pt>
                <c:pt idx="893" formatCode="General">
                  <c:v>98</c:v>
                </c:pt>
                <c:pt idx="894" formatCode="General">
                  <c:v>131</c:v>
                </c:pt>
                <c:pt idx="895" formatCode="General">
                  <c:v>146</c:v>
                </c:pt>
                <c:pt idx="896" formatCode="General">
                  <c:v>113</c:v>
                </c:pt>
                <c:pt idx="897" formatCode="General">
                  <c:v>141</c:v>
                </c:pt>
                <c:pt idx="898" formatCode="General">
                  <c:v>130</c:v>
                </c:pt>
                <c:pt idx="899" formatCode="General">
                  <c:v>118</c:v>
                </c:pt>
                <c:pt idx="900" formatCode="General">
                  <c:v>140</c:v>
                </c:pt>
                <c:pt idx="901" formatCode="General">
                  <c:v>104</c:v>
                </c:pt>
                <c:pt idx="902" formatCode="General">
                  <c:v>127</c:v>
                </c:pt>
                <c:pt idx="903" formatCode="General">
                  <c:v>92</c:v>
                </c:pt>
                <c:pt idx="904" formatCode="General">
                  <c:v>126</c:v>
                </c:pt>
                <c:pt idx="905" formatCode="General">
                  <c:v>131</c:v>
                </c:pt>
                <c:pt idx="906" formatCode="General">
                  <c:v>136</c:v>
                </c:pt>
                <c:pt idx="907" formatCode="General">
                  <c:v>122</c:v>
                </c:pt>
                <c:pt idx="908" formatCode="General">
                  <c:v>112</c:v>
                </c:pt>
                <c:pt idx="909" formatCode="General">
                  <c:v>125</c:v>
                </c:pt>
                <c:pt idx="910" formatCode="General">
                  <c:v>102</c:v>
                </c:pt>
                <c:pt idx="911" formatCode="General">
                  <c:v>99</c:v>
                </c:pt>
                <c:pt idx="912" formatCode="General">
                  <c:v>133</c:v>
                </c:pt>
                <c:pt idx="913" formatCode="General">
                  <c:v>117</c:v>
                </c:pt>
                <c:pt idx="914" formatCode="General">
                  <c:v>139</c:v>
                </c:pt>
                <c:pt idx="915" formatCode="General">
                  <c:v>140</c:v>
                </c:pt>
                <c:pt idx="916" formatCode="General">
                  <c:v>90</c:v>
                </c:pt>
                <c:pt idx="917" formatCode="General">
                  <c:v>146</c:v>
                </c:pt>
                <c:pt idx="918" formatCode="General">
                  <c:v>97</c:v>
                </c:pt>
                <c:pt idx="919" formatCode="General">
                  <c:v>126</c:v>
                </c:pt>
                <c:pt idx="920" formatCode="General">
                  <c:v>120</c:v>
                </c:pt>
                <c:pt idx="921" formatCode="General">
                  <c:v>113</c:v>
                </c:pt>
                <c:pt idx="922" formatCode="General">
                  <c:v>119</c:v>
                </c:pt>
                <c:pt idx="923" formatCode="General">
                  <c:v>115</c:v>
                </c:pt>
                <c:pt idx="924" formatCode="General">
                  <c:v>113</c:v>
                </c:pt>
                <c:pt idx="925" formatCode="General">
                  <c:v>94</c:v>
                </c:pt>
                <c:pt idx="926" formatCode="General">
                  <c:v>111</c:v>
                </c:pt>
                <c:pt idx="927" formatCode="General">
                  <c:v>145</c:v>
                </c:pt>
                <c:pt idx="928" formatCode="General">
                  <c:v>133</c:v>
                </c:pt>
                <c:pt idx="929" formatCode="General">
                  <c:v>149</c:v>
                </c:pt>
                <c:pt idx="930" formatCode="General">
                  <c:v>102</c:v>
                </c:pt>
                <c:pt idx="931" formatCode="General">
                  <c:v>132</c:v>
                </c:pt>
                <c:pt idx="932" formatCode="General">
                  <c:v>135</c:v>
                </c:pt>
                <c:pt idx="933" formatCode="General">
                  <c:v>116</c:v>
                </c:pt>
                <c:pt idx="934" formatCode="General">
                  <c:v>90</c:v>
                </c:pt>
                <c:pt idx="935" formatCode="General">
                  <c:v>131</c:v>
                </c:pt>
                <c:pt idx="936" formatCode="General">
                  <c:v>138</c:v>
                </c:pt>
                <c:pt idx="937" formatCode="General">
                  <c:v>130</c:v>
                </c:pt>
                <c:pt idx="938" formatCode="General">
                  <c:v>101</c:v>
                </c:pt>
                <c:pt idx="939" formatCode="General">
                  <c:v>144</c:v>
                </c:pt>
                <c:pt idx="940" formatCode="General">
                  <c:v>106</c:v>
                </c:pt>
                <c:pt idx="941" formatCode="General">
                  <c:v>139</c:v>
                </c:pt>
                <c:pt idx="942" formatCode="General">
                  <c:v>112</c:v>
                </c:pt>
                <c:pt idx="943" formatCode="General">
                  <c:v>142</c:v>
                </c:pt>
                <c:pt idx="944" formatCode="General">
                  <c:v>93</c:v>
                </c:pt>
                <c:pt idx="945" formatCode="General">
                  <c:v>104</c:v>
                </c:pt>
                <c:pt idx="946" formatCode="General">
                  <c:v>126</c:v>
                </c:pt>
                <c:pt idx="947" formatCode="General">
                  <c:v>148</c:v>
                </c:pt>
                <c:pt idx="948" formatCode="General">
                  <c:v>106</c:v>
                </c:pt>
                <c:pt idx="949" formatCode="General">
                  <c:v>107</c:v>
                </c:pt>
                <c:pt idx="950" formatCode="General">
                  <c:v>133</c:v>
                </c:pt>
                <c:pt idx="951" formatCode="General">
                  <c:v>147</c:v>
                </c:pt>
                <c:pt idx="952" formatCode="General">
                  <c:v>144</c:v>
                </c:pt>
                <c:pt idx="953" formatCode="General">
                  <c:v>141</c:v>
                </c:pt>
                <c:pt idx="954" formatCode="General">
                  <c:v>104</c:v>
                </c:pt>
                <c:pt idx="955" formatCode="General">
                  <c:v>129</c:v>
                </c:pt>
                <c:pt idx="956" formatCode="General">
                  <c:v>146</c:v>
                </c:pt>
                <c:pt idx="957" formatCode="General">
                  <c:v>90</c:v>
                </c:pt>
                <c:pt idx="958" formatCode="General">
                  <c:v>139</c:v>
                </c:pt>
                <c:pt idx="959" formatCode="General">
                  <c:v>121</c:v>
                </c:pt>
                <c:pt idx="960" formatCode="General">
                  <c:v>126</c:v>
                </c:pt>
                <c:pt idx="961" formatCode="General">
                  <c:v>132</c:v>
                </c:pt>
                <c:pt idx="962" formatCode="General">
                  <c:v>124</c:v>
                </c:pt>
                <c:pt idx="963" formatCode="General">
                  <c:v>146</c:v>
                </c:pt>
                <c:pt idx="964" formatCode="General">
                  <c:v>93</c:v>
                </c:pt>
                <c:pt idx="965" formatCode="General">
                  <c:v>134</c:v>
                </c:pt>
                <c:pt idx="966" formatCode="General">
                  <c:v>121</c:v>
                </c:pt>
                <c:pt idx="967" formatCode="General">
                  <c:v>92</c:v>
                </c:pt>
                <c:pt idx="968" formatCode="General">
                  <c:v>131</c:v>
                </c:pt>
                <c:pt idx="969" formatCode="General">
                  <c:v>134</c:v>
                </c:pt>
                <c:pt idx="970" formatCode="General">
                  <c:v>106</c:v>
                </c:pt>
                <c:pt idx="971" formatCode="General">
                  <c:v>110</c:v>
                </c:pt>
                <c:pt idx="972" formatCode="General">
                  <c:v>143</c:v>
                </c:pt>
                <c:pt idx="973" formatCode="General">
                  <c:v>98</c:v>
                </c:pt>
                <c:pt idx="974" formatCode="General">
                  <c:v>143</c:v>
                </c:pt>
                <c:pt idx="975" formatCode="General">
                  <c:v>101</c:v>
                </c:pt>
                <c:pt idx="976" formatCode="General">
                  <c:v>116</c:v>
                </c:pt>
                <c:pt idx="977" formatCode="General">
                  <c:v>106</c:v>
                </c:pt>
                <c:pt idx="978" formatCode="General">
                  <c:v>95</c:v>
                </c:pt>
                <c:pt idx="979" formatCode="General">
                  <c:v>131</c:v>
                </c:pt>
                <c:pt idx="980" formatCode="General">
                  <c:v>101</c:v>
                </c:pt>
                <c:pt idx="981" formatCode="General">
                  <c:v>134</c:v>
                </c:pt>
                <c:pt idx="982" formatCode="General">
                  <c:v>130</c:v>
                </c:pt>
                <c:pt idx="983" formatCode="General">
                  <c:v>138</c:v>
                </c:pt>
                <c:pt idx="984" formatCode="General">
                  <c:v>146</c:v>
                </c:pt>
                <c:pt idx="985" formatCode="General">
                  <c:v>92</c:v>
                </c:pt>
                <c:pt idx="986" formatCode="General">
                  <c:v>135</c:v>
                </c:pt>
                <c:pt idx="987" formatCode="General">
                  <c:v>154</c:v>
                </c:pt>
                <c:pt idx="988" formatCode="General">
                  <c:v>147</c:v>
                </c:pt>
                <c:pt idx="989" formatCode="General">
                  <c:v>154</c:v>
                </c:pt>
                <c:pt idx="990" formatCode="General">
                  <c:v>105</c:v>
                </c:pt>
                <c:pt idx="991" formatCode="General">
                  <c:v>125</c:v>
                </c:pt>
                <c:pt idx="992" formatCode="General">
                  <c:v>105</c:v>
                </c:pt>
                <c:pt idx="993" formatCode="General">
                  <c:v>129</c:v>
                </c:pt>
                <c:pt idx="994" formatCode="General">
                  <c:v>144</c:v>
                </c:pt>
                <c:pt idx="995" formatCode="General">
                  <c:v>159</c:v>
                </c:pt>
                <c:pt idx="996" formatCode="General">
                  <c:v>149</c:v>
                </c:pt>
                <c:pt idx="997" formatCode="General">
                  <c:v>120</c:v>
                </c:pt>
                <c:pt idx="998" formatCode="General">
                  <c:v>108</c:v>
                </c:pt>
                <c:pt idx="999" formatCode="General">
                  <c:v>120</c:v>
                </c:pt>
                <c:pt idx="1000" formatCode="General">
                  <c:v>168</c:v>
                </c:pt>
                <c:pt idx="1001" formatCode="General">
                  <c:v>147</c:v>
                </c:pt>
                <c:pt idx="1002" formatCode="General">
                  <c:v>99</c:v>
                </c:pt>
                <c:pt idx="1003" formatCode="General">
                  <c:v>152</c:v>
                </c:pt>
                <c:pt idx="1004" formatCode="General">
                  <c:v>104</c:v>
                </c:pt>
                <c:pt idx="1005" formatCode="General">
                  <c:v>155</c:v>
                </c:pt>
                <c:pt idx="1006" formatCode="General">
                  <c:v>140</c:v>
                </c:pt>
                <c:pt idx="1007" formatCode="General">
                  <c:v>113</c:v>
                </c:pt>
                <c:pt idx="1008" formatCode="General">
                  <c:v>136</c:v>
                </c:pt>
                <c:pt idx="1009" formatCode="General">
                  <c:v>103</c:v>
                </c:pt>
                <c:pt idx="1010" formatCode="General">
                  <c:v>174</c:v>
                </c:pt>
                <c:pt idx="1011" formatCode="General">
                  <c:v>121</c:v>
                </c:pt>
                <c:pt idx="1012" formatCode="General">
                  <c:v>116</c:v>
                </c:pt>
                <c:pt idx="1013" formatCode="General">
                  <c:v>121</c:v>
                </c:pt>
                <c:pt idx="1014" formatCode="General">
                  <c:v>109</c:v>
                </c:pt>
                <c:pt idx="1015" formatCode="General">
                  <c:v>162</c:v>
                </c:pt>
                <c:pt idx="1016" formatCode="General">
                  <c:v>155</c:v>
                </c:pt>
                <c:pt idx="1017" formatCode="General">
                  <c:v>169</c:v>
                </c:pt>
                <c:pt idx="1018" formatCode="General">
                  <c:v>154</c:v>
                </c:pt>
                <c:pt idx="1019" formatCode="General">
                  <c:v>163</c:v>
                </c:pt>
                <c:pt idx="1020" formatCode="General">
                  <c:v>161</c:v>
                </c:pt>
                <c:pt idx="1021" formatCode="General">
                  <c:v>163</c:v>
                </c:pt>
                <c:pt idx="1022" formatCode="General">
                  <c:v>148</c:v>
                </c:pt>
                <c:pt idx="1023" formatCode="General">
                  <c:v>149</c:v>
                </c:pt>
                <c:pt idx="1024" formatCode="General">
                  <c:v>121</c:v>
                </c:pt>
                <c:pt idx="1025" formatCode="General">
                  <c:v>131</c:v>
                </c:pt>
                <c:pt idx="1026" formatCode="General">
                  <c:v>108</c:v>
                </c:pt>
                <c:pt idx="1027" formatCode="General">
                  <c:v>102</c:v>
                </c:pt>
                <c:pt idx="1028" formatCode="General">
                  <c:v>157</c:v>
                </c:pt>
                <c:pt idx="1029" formatCode="General">
                  <c:v>171</c:v>
                </c:pt>
                <c:pt idx="1030" formatCode="General">
                  <c:v>143</c:v>
                </c:pt>
                <c:pt idx="1031" formatCode="General">
                  <c:v>118</c:v>
                </c:pt>
                <c:pt idx="1032" formatCode="General">
                  <c:v>124</c:v>
                </c:pt>
                <c:pt idx="1033" formatCode="General">
                  <c:v>167</c:v>
                </c:pt>
                <c:pt idx="1034" formatCode="General">
                  <c:v>125</c:v>
                </c:pt>
                <c:pt idx="1035" formatCode="General">
                  <c:v>153</c:v>
                </c:pt>
                <c:pt idx="1036" formatCode="General">
                  <c:v>162</c:v>
                </c:pt>
                <c:pt idx="1037" formatCode="General">
                  <c:v>141</c:v>
                </c:pt>
                <c:pt idx="1038" formatCode="General">
                  <c:v>168</c:v>
                </c:pt>
                <c:pt idx="1039" formatCode="General">
                  <c:v>92</c:v>
                </c:pt>
                <c:pt idx="1040" formatCode="General">
                  <c:v>122</c:v>
                </c:pt>
                <c:pt idx="1041" formatCode="General">
                  <c:v>133</c:v>
                </c:pt>
                <c:pt idx="1042" formatCode="General">
                  <c:v>120</c:v>
                </c:pt>
                <c:pt idx="1043" formatCode="General">
                  <c:v>103</c:v>
                </c:pt>
                <c:pt idx="1044" formatCode="General">
                  <c:v>94</c:v>
                </c:pt>
                <c:pt idx="1045" formatCode="General">
                  <c:v>154</c:v>
                </c:pt>
                <c:pt idx="1046" formatCode="General">
                  <c:v>105</c:v>
                </c:pt>
                <c:pt idx="1047" formatCode="General">
                  <c:v>139</c:v>
                </c:pt>
                <c:pt idx="1048" formatCode="General">
                  <c:v>96</c:v>
                </c:pt>
                <c:pt idx="1049" formatCode="General">
                  <c:v>145</c:v>
                </c:pt>
                <c:pt idx="1050" formatCode="General">
                  <c:v>117</c:v>
                </c:pt>
                <c:pt idx="1051" formatCode="General">
                  <c:v>164</c:v>
                </c:pt>
                <c:pt idx="1052" formatCode="General">
                  <c:v>158</c:v>
                </c:pt>
                <c:pt idx="1053" formatCode="General">
                  <c:v>90</c:v>
                </c:pt>
                <c:pt idx="1054" formatCode="General">
                  <c:v>154</c:v>
                </c:pt>
                <c:pt idx="1055" formatCode="General">
                  <c:v>103</c:v>
                </c:pt>
                <c:pt idx="1056" formatCode="General">
                  <c:v>128</c:v>
                </c:pt>
                <c:pt idx="1057" formatCode="General">
                  <c:v>147</c:v>
                </c:pt>
                <c:pt idx="1058" formatCode="General">
                  <c:v>177</c:v>
                </c:pt>
                <c:pt idx="1059" formatCode="General">
                  <c:v>172</c:v>
                </c:pt>
                <c:pt idx="1060" formatCode="General">
                  <c:v>165</c:v>
                </c:pt>
                <c:pt idx="1061" formatCode="General">
                  <c:v>129</c:v>
                </c:pt>
                <c:pt idx="1062" formatCode="General">
                  <c:v>126</c:v>
                </c:pt>
                <c:pt idx="1063" formatCode="General">
                  <c:v>179</c:v>
                </c:pt>
                <c:pt idx="1064" formatCode="General">
                  <c:v>171</c:v>
                </c:pt>
                <c:pt idx="1065" formatCode="General">
                  <c:v>162</c:v>
                </c:pt>
                <c:pt idx="1066" formatCode="General">
                  <c:v>146</c:v>
                </c:pt>
                <c:pt idx="1067" formatCode="General">
                  <c:v>127</c:v>
                </c:pt>
                <c:pt idx="1068" formatCode="General">
                  <c:v>102</c:v>
                </c:pt>
                <c:pt idx="1069" formatCode="General">
                  <c:v>108</c:v>
                </c:pt>
                <c:pt idx="1070" formatCode="General">
                  <c:v>102</c:v>
                </c:pt>
                <c:pt idx="1071" formatCode="General">
                  <c:v>127</c:v>
                </c:pt>
                <c:pt idx="1072" formatCode="General">
                  <c:v>117</c:v>
                </c:pt>
                <c:pt idx="1073" formatCode="General">
                  <c:v>167</c:v>
                </c:pt>
                <c:pt idx="1074" formatCode="General">
                  <c:v>109</c:v>
                </c:pt>
                <c:pt idx="1075" formatCode="General">
                  <c:v>132</c:v>
                </c:pt>
                <c:pt idx="1076" formatCode="General">
                  <c:v>174</c:v>
                </c:pt>
                <c:pt idx="1077" formatCode="General">
                  <c:v>144</c:v>
                </c:pt>
                <c:pt idx="1078" formatCode="General">
                  <c:v>102</c:v>
                </c:pt>
                <c:pt idx="1079" formatCode="General">
                  <c:v>100</c:v>
                </c:pt>
                <c:pt idx="1080" formatCode="General">
                  <c:v>113</c:v>
                </c:pt>
                <c:pt idx="1081" formatCode="General">
                  <c:v>170</c:v>
                </c:pt>
                <c:pt idx="1082" formatCode="General">
                  <c:v>139</c:v>
                </c:pt>
                <c:pt idx="1083" formatCode="General">
                  <c:v>92</c:v>
                </c:pt>
                <c:pt idx="1084" formatCode="General">
                  <c:v>131</c:v>
                </c:pt>
                <c:pt idx="1085" formatCode="General">
                  <c:v>109</c:v>
                </c:pt>
                <c:pt idx="1086" formatCode="General">
                  <c:v>172</c:v>
                </c:pt>
                <c:pt idx="1087" formatCode="General">
                  <c:v>108</c:v>
                </c:pt>
                <c:pt idx="1088" formatCode="General">
                  <c:v>121</c:v>
                </c:pt>
                <c:pt idx="1089" formatCode="General">
                  <c:v>179</c:v>
                </c:pt>
                <c:pt idx="1090" formatCode="General">
                  <c:v>94</c:v>
                </c:pt>
                <c:pt idx="1091" formatCode="General">
                  <c:v>155</c:v>
                </c:pt>
                <c:pt idx="1092" formatCode="General">
                  <c:v>130</c:v>
                </c:pt>
                <c:pt idx="1093" formatCode="General">
                  <c:v>103</c:v>
                </c:pt>
                <c:pt idx="1094" formatCode="General">
                  <c:v>137</c:v>
                </c:pt>
                <c:pt idx="1095" formatCode="General">
                  <c:v>152</c:v>
                </c:pt>
                <c:pt idx="1096" formatCode="General">
                  <c:v>109</c:v>
                </c:pt>
                <c:pt idx="1097" formatCode="General">
                  <c:v>155</c:v>
                </c:pt>
                <c:pt idx="1098" formatCode="General">
                  <c:v>170</c:v>
                </c:pt>
                <c:pt idx="1099" formatCode="General">
                  <c:v>134</c:v>
                </c:pt>
                <c:pt idx="1100" formatCode="General">
                  <c:v>124</c:v>
                </c:pt>
                <c:pt idx="1101" formatCode="General">
                  <c:v>165</c:v>
                </c:pt>
                <c:pt idx="1102" formatCode="General">
                  <c:v>117</c:v>
                </c:pt>
                <c:pt idx="1103" formatCode="General">
                  <c:v>173</c:v>
                </c:pt>
                <c:pt idx="1104" formatCode="General">
                  <c:v>111</c:v>
                </c:pt>
                <c:pt idx="1105" formatCode="General">
                  <c:v>178</c:v>
                </c:pt>
                <c:pt idx="1106" formatCode="General">
                  <c:v>159</c:v>
                </c:pt>
                <c:pt idx="1107" formatCode="General">
                  <c:v>118</c:v>
                </c:pt>
                <c:pt idx="1108" formatCode="General">
                  <c:v>138</c:v>
                </c:pt>
                <c:pt idx="1109" formatCode="General">
                  <c:v>114</c:v>
                </c:pt>
                <c:pt idx="1110" formatCode="General">
                  <c:v>161</c:v>
                </c:pt>
                <c:pt idx="1111" formatCode="General">
                  <c:v>179</c:v>
                </c:pt>
                <c:pt idx="1112" formatCode="General">
                  <c:v>125</c:v>
                </c:pt>
                <c:pt idx="1113" formatCode="General">
                  <c:v>125</c:v>
                </c:pt>
                <c:pt idx="1114" formatCode="General">
                  <c:v>112</c:v>
                </c:pt>
                <c:pt idx="1115" formatCode="General">
                  <c:v>100</c:v>
                </c:pt>
                <c:pt idx="1116" formatCode="General">
                  <c:v>113</c:v>
                </c:pt>
                <c:pt idx="1117" formatCode="General">
                  <c:v>92</c:v>
                </c:pt>
                <c:pt idx="1118" formatCode="General">
                  <c:v>172</c:v>
                </c:pt>
                <c:pt idx="1119" formatCode="General">
                  <c:v>162</c:v>
                </c:pt>
                <c:pt idx="1120" formatCode="General">
                  <c:v>179</c:v>
                </c:pt>
                <c:pt idx="1121" formatCode="General">
                  <c:v>93</c:v>
                </c:pt>
                <c:pt idx="1122" formatCode="General">
                  <c:v>126</c:v>
                </c:pt>
                <c:pt idx="1123" formatCode="General">
                  <c:v>93</c:v>
                </c:pt>
                <c:pt idx="1124" formatCode="General">
                  <c:v>99</c:v>
                </c:pt>
                <c:pt idx="1125" formatCode="General">
                  <c:v>174</c:v>
                </c:pt>
                <c:pt idx="1126" formatCode="General">
                  <c:v>99</c:v>
                </c:pt>
                <c:pt idx="1127" formatCode="General">
                  <c:v>166</c:v>
                </c:pt>
                <c:pt idx="1128" formatCode="General">
                  <c:v>105</c:v>
                </c:pt>
                <c:pt idx="1129" formatCode="General">
                  <c:v>136</c:v>
                </c:pt>
                <c:pt idx="1130" formatCode="General">
                  <c:v>112</c:v>
                </c:pt>
                <c:pt idx="1131" formatCode="General">
                  <c:v>159</c:v>
                </c:pt>
                <c:pt idx="1132" formatCode="General">
                  <c:v>103</c:v>
                </c:pt>
                <c:pt idx="1133" formatCode="General">
                  <c:v>157</c:v>
                </c:pt>
                <c:pt idx="1134" formatCode="General">
                  <c:v>113</c:v>
                </c:pt>
                <c:pt idx="1135" formatCode="General">
                  <c:v>151</c:v>
                </c:pt>
                <c:pt idx="1136" formatCode="General">
                  <c:v>110</c:v>
                </c:pt>
                <c:pt idx="1137" formatCode="General">
                  <c:v>171</c:v>
                </c:pt>
                <c:pt idx="1138" formatCode="General">
                  <c:v>158</c:v>
                </c:pt>
                <c:pt idx="1139" formatCode="General">
                  <c:v>140</c:v>
                </c:pt>
                <c:pt idx="1140" formatCode="General">
                  <c:v>113</c:v>
                </c:pt>
                <c:pt idx="1141" formatCode="General">
                  <c:v>98</c:v>
                </c:pt>
                <c:pt idx="1142" formatCode="General">
                  <c:v>146</c:v>
                </c:pt>
                <c:pt idx="1143" formatCode="General">
                  <c:v>112</c:v>
                </c:pt>
                <c:pt idx="1144" formatCode="General">
                  <c:v>132</c:v>
                </c:pt>
                <c:pt idx="1145" formatCode="General">
                  <c:v>162</c:v>
                </c:pt>
                <c:pt idx="1146" formatCode="General">
                  <c:v>113</c:v>
                </c:pt>
                <c:pt idx="1147" formatCode="General">
                  <c:v>164</c:v>
                </c:pt>
                <c:pt idx="1148" formatCode="General">
                  <c:v>133</c:v>
                </c:pt>
                <c:pt idx="1149" formatCode="General">
                  <c:v>117</c:v>
                </c:pt>
                <c:pt idx="1150" formatCode="General">
                  <c:v>154</c:v>
                </c:pt>
                <c:pt idx="1151" formatCode="General">
                  <c:v>117</c:v>
                </c:pt>
                <c:pt idx="1152" formatCode="General">
                  <c:v>110</c:v>
                </c:pt>
                <c:pt idx="1153" formatCode="General">
                  <c:v>175</c:v>
                </c:pt>
                <c:pt idx="1154" formatCode="General">
                  <c:v>110</c:v>
                </c:pt>
                <c:pt idx="1155" formatCode="General">
                  <c:v>146</c:v>
                </c:pt>
                <c:pt idx="1156" formatCode="General">
                  <c:v>133</c:v>
                </c:pt>
                <c:pt idx="1157" formatCode="General">
                  <c:v>156</c:v>
                </c:pt>
                <c:pt idx="1158" formatCode="General">
                  <c:v>99</c:v>
                </c:pt>
                <c:pt idx="1159" formatCode="General">
                  <c:v>145</c:v>
                </c:pt>
                <c:pt idx="1160" formatCode="General">
                  <c:v>151</c:v>
                </c:pt>
                <c:pt idx="1161" formatCode="General">
                  <c:v>155</c:v>
                </c:pt>
                <c:pt idx="1162" formatCode="General">
                  <c:v>151</c:v>
                </c:pt>
                <c:pt idx="1163" formatCode="General">
                  <c:v>173</c:v>
                </c:pt>
                <c:pt idx="1164" formatCode="General">
                  <c:v>136</c:v>
                </c:pt>
                <c:pt idx="1165" formatCode="General">
                  <c:v>128</c:v>
                </c:pt>
                <c:pt idx="1166" formatCode="General">
                  <c:v>158</c:v>
                </c:pt>
                <c:pt idx="1167" formatCode="General">
                  <c:v>136</c:v>
                </c:pt>
                <c:pt idx="1168" formatCode="General">
                  <c:v>95</c:v>
                </c:pt>
                <c:pt idx="1169" formatCode="General">
                  <c:v>141</c:v>
                </c:pt>
                <c:pt idx="1170" formatCode="General">
                  <c:v>103</c:v>
                </c:pt>
                <c:pt idx="1171" formatCode="General">
                  <c:v>177</c:v>
                </c:pt>
                <c:pt idx="1172" formatCode="General">
                  <c:v>166</c:v>
                </c:pt>
                <c:pt idx="1173" formatCode="General">
                  <c:v>138</c:v>
                </c:pt>
                <c:pt idx="1174" formatCode="General">
                  <c:v>147</c:v>
                </c:pt>
                <c:pt idx="1175" formatCode="General">
                  <c:v>144</c:v>
                </c:pt>
                <c:pt idx="1176" formatCode="General">
                  <c:v>110</c:v>
                </c:pt>
                <c:pt idx="1177" formatCode="General">
                  <c:v>168</c:v>
                </c:pt>
                <c:pt idx="1178" formatCode="General">
                  <c:v>123</c:v>
                </c:pt>
                <c:pt idx="1179" formatCode="General">
                  <c:v>91</c:v>
                </c:pt>
                <c:pt idx="1180" formatCode="General">
                  <c:v>154</c:v>
                </c:pt>
                <c:pt idx="1181" formatCode="General">
                  <c:v>105</c:v>
                </c:pt>
                <c:pt idx="1182" formatCode="General">
                  <c:v>164</c:v>
                </c:pt>
                <c:pt idx="1183" formatCode="General">
                  <c:v>142</c:v>
                </c:pt>
                <c:pt idx="1184" formatCode="General">
                  <c:v>147</c:v>
                </c:pt>
                <c:pt idx="1185" formatCode="General">
                  <c:v>121</c:v>
                </c:pt>
                <c:pt idx="1186" formatCode="General">
                  <c:v>129</c:v>
                </c:pt>
                <c:pt idx="1187" formatCode="General">
                  <c:v>92</c:v>
                </c:pt>
                <c:pt idx="1188" formatCode="General">
                  <c:v>116</c:v>
                </c:pt>
                <c:pt idx="1189" formatCode="General">
                  <c:v>91</c:v>
                </c:pt>
                <c:pt idx="1190" formatCode="General">
                  <c:v>101</c:v>
                </c:pt>
                <c:pt idx="1191" formatCode="General">
                  <c:v>161</c:v>
                </c:pt>
                <c:pt idx="1192" formatCode="General">
                  <c:v>124</c:v>
                </c:pt>
                <c:pt idx="1193" formatCode="General">
                  <c:v>157</c:v>
                </c:pt>
                <c:pt idx="1194" formatCode="General">
                  <c:v>172</c:v>
                </c:pt>
                <c:pt idx="1195" formatCode="General">
                  <c:v>126</c:v>
                </c:pt>
                <c:pt idx="1196" formatCode="General">
                  <c:v>129</c:v>
                </c:pt>
                <c:pt idx="1197" formatCode="General">
                  <c:v>141</c:v>
                </c:pt>
                <c:pt idx="1198" formatCode="General">
                  <c:v>116</c:v>
                </c:pt>
                <c:pt idx="1199" formatCode="General">
                  <c:v>168</c:v>
                </c:pt>
                <c:pt idx="1200" formatCode="General">
                  <c:v>162</c:v>
                </c:pt>
                <c:pt idx="1201" formatCode="General">
                  <c:v>124</c:v>
                </c:pt>
                <c:pt idx="1202" formatCode="General">
                  <c:v>156</c:v>
                </c:pt>
                <c:pt idx="1203" formatCode="General">
                  <c:v>171</c:v>
                </c:pt>
                <c:pt idx="1204" formatCode="General">
                  <c:v>152</c:v>
                </c:pt>
                <c:pt idx="1205" formatCode="General">
                  <c:v>95</c:v>
                </c:pt>
                <c:pt idx="1206" formatCode="General">
                  <c:v>120</c:v>
                </c:pt>
                <c:pt idx="1207" formatCode="General">
                  <c:v>168</c:v>
                </c:pt>
                <c:pt idx="1208" formatCode="General">
                  <c:v>97</c:v>
                </c:pt>
                <c:pt idx="1209" formatCode="General">
                  <c:v>144</c:v>
                </c:pt>
                <c:pt idx="1210" formatCode="General">
                  <c:v>152</c:v>
                </c:pt>
                <c:pt idx="1211" formatCode="General">
                  <c:v>156</c:v>
                </c:pt>
                <c:pt idx="1212" formatCode="General">
                  <c:v>154</c:v>
                </c:pt>
                <c:pt idx="1213" formatCode="General">
                  <c:v>146</c:v>
                </c:pt>
                <c:pt idx="1214" formatCode="General">
                  <c:v>157</c:v>
                </c:pt>
                <c:pt idx="1215" formatCode="General">
                  <c:v>123</c:v>
                </c:pt>
                <c:pt idx="1216" formatCode="General">
                  <c:v>111</c:v>
                </c:pt>
                <c:pt idx="1217" formatCode="General">
                  <c:v>178</c:v>
                </c:pt>
                <c:pt idx="1218" formatCode="General">
                  <c:v>127</c:v>
                </c:pt>
                <c:pt idx="1219" formatCode="General">
                  <c:v>139</c:v>
                </c:pt>
                <c:pt idx="1220" formatCode="General">
                  <c:v>93</c:v>
                </c:pt>
                <c:pt idx="1221" formatCode="General">
                  <c:v>167</c:v>
                </c:pt>
                <c:pt idx="1222" formatCode="General">
                  <c:v>173</c:v>
                </c:pt>
                <c:pt idx="1223" formatCode="General">
                  <c:v>119</c:v>
                </c:pt>
                <c:pt idx="1224" formatCode="General">
                  <c:v>179</c:v>
                </c:pt>
                <c:pt idx="1225" formatCode="General">
                  <c:v>132</c:v>
                </c:pt>
                <c:pt idx="1226" formatCode="General">
                  <c:v>140</c:v>
                </c:pt>
                <c:pt idx="1227" formatCode="General">
                  <c:v>140</c:v>
                </c:pt>
                <c:pt idx="1228" formatCode="General">
                  <c:v>116</c:v>
                </c:pt>
                <c:pt idx="1229" formatCode="General">
                  <c:v>142</c:v>
                </c:pt>
                <c:pt idx="1230" formatCode="General">
                  <c:v>132</c:v>
                </c:pt>
                <c:pt idx="1231" formatCode="General">
                  <c:v>121</c:v>
                </c:pt>
                <c:pt idx="1232" formatCode="General">
                  <c:v>102</c:v>
                </c:pt>
                <c:pt idx="1233" formatCode="General">
                  <c:v>106</c:v>
                </c:pt>
                <c:pt idx="1234" formatCode="General">
                  <c:v>159</c:v>
                </c:pt>
                <c:pt idx="1235" formatCode="General">
                  <c:v>164</c:v>
                </c:pt>
                <c:pt idx="1236" formatCode="General">
                  <c:v>125</c:v>
                </c:pt>
                <c:pt idx="1237" formatCode="General">
                  <c:v>125</c:v>
                </c:pt>
                <c:pt idx="1238" formatCode="General">
                  <c:v>144</c:v>
                </c:pt>
                <c:pt idx="1239" formatCode="General">
                  <c:v>109</c:v>
                </c:pt>
                <c:pt idx="1240" formatCode="General">
                  <c:v>102</c:v>
                </c:pt>
                <c:pt idx="1241" formatCode="General">
                  <c:v>164</c:v>
                </c:pt>
                <c:pt idx="1242" formatCode="General">
                  <c:v>106</c:v>
                </c:pt>
                <c:pt idx="1243" formatCode="General">
                  <c:v>129</c:v>
                </c:pt>
                <c:pt idx="1244" formatCode="General">
                  <c:v>164</c:v>
                </c:pt>
                <c:pt idx="1245" formatCode="General">
                  <c:v>168</c:v>
                </c:pt>
                <c:pt idx="1246" formatCode="General">
                  <c:v>166</c:v>
                </c:pt>
                <c:pt idx="1247" formatCode="General">
                  <c:v>117</c:v>
                </c:pt>
                <c:pt idx="1248" formatCode="General">
                  <c:v>95</c:v>
                </c:pt>
                <c:pt idx="1249" formatCode="General">
                  <c:v>102</c:v>
                </c:pt>
                <c:pt idx="1250" formatCode="General">
                  <c:v>103</c:v>
                </c:pt>
                <c:pt idx="1251" formatCode="General">
                  <c:v>112</c:v>
                </c:pt>
                <c:pt idx="1252" formatCode="General">
                  <c:v>130</c:v>
                </c:pt>
                <c:pt idx="1253" formatCode="General">
                  <c:v>90</c:v>
                </c:pt>
                <c:pt idx="1254" formatCode="General">
                  <c:v>111</c:v>
                </c:pt>
                <c:pt idx="1255" formatCode="General">
                  <c:v>145</c:v>
                </c:pt>
                <c:pt idx="1256" formatCode="General">
                  <c:v>102</c:v>
                </c:pt>
                <c:pt idx="1257" formatCode="General">
                  <c:v>176</c:v>
                </c:pt>
                <c:pt idx="1258" formatCode="General">
                  <c:v>126</c:v>
                </c:pt>
                <c:pt idx="1259" formatCode="General">
                  <c:v>160</c:v>
                </c:pt>
                <c:pt idx="1260" formatCode="General">
                  <c:v>100</c:v>
                </c:pt>
                <c:pt idx="1261" formatCode="General">
                  <c:v>146</c:v>
                </c:pt>
                <c:pt idx="1262" formatCode="General">
                  <c:v>144</c:v>
                </c:pt>
                <c:pt idx="1263" formatCode="General">
                  <c:v>93</c:v>
                </c:pt>
                <c:pt idx="1264" formatCode="General">
                  <c:v>178</c:v>
                </c:pt>
                <c:pt idx="1265" formatCode="General">
                  <c:v>95</c:v>
                </c:pt>
                <c:pt idx="1266" formatCode="General">
                  <c:v>160</c:v>
                </c:pt>
                <c:pt idx="1267" formatCode="General">
                  <c:v>155</c:v>
                </c:pt>
                <c:pt idx="1268" formatCode="General">
                  <c:v>173</c:v>
                </c:pt>
                <c:pt idx="1269" formatCode="General">
                  <c:v>151</c:v>
                </c:pt>
                <c:pt idx="1270" formatCode="General">
                  <c:v>141</c:v>
                </c:pt>
                <c:pt idx="1271" formatCode="General">
                  <c:v>156</c:v>
                </c:pt>
                <c:pt idx="1272" formatCode="General">
                  <c:v>132</c:v>
                </c:pt>
                <c:pt idx="1273" formatCode="General">
                  <c:v>172</c:v>
                </c:pt>
                <c:pt idx="1274" formatCode="General">
                  <c:v>108</c:v>
                </c:pt>
                <c:pt idx="1275" formatCode="General">
                  <c:v>165</c:v>
                </c:pt>
                <c:pt idx="1276" formatCode="General">
                  <c:v>128</c:v>
                </c:pt>
                <c:pt idx="1277" formatCode="General">
                  <c:v>178</c:v>
                </c:pt>
                <c:pt idx="1278" formatCode="General">
                  <c:v>159</c:v>
                </c:pt>
                <c:pt idx="1279" formatCode="General">
                  <c:v>159</c:v>
                </c:pt>
                <c:pt idx="1280" formatCode="General">
                  <c:v>101</c:v>
                </c:pt>
                <c:pt idx="1281" formatCode="General">
                  <c:v>103</c:v>
                </c:pt>
                <c:pt idx="1282" formatCode="General">
                  <c:v>157</c:v>
                </c:pt>
                <c:pt idx="1283" formatCode="General">
                  <c:v>141</c:v>
                </c:pt>
                <c:pt idx="1284" formatCode="General">
                  <c:v>94</c:v>
                </c:pt>
                <c:pt idx="1285" formatCode="General">
                  <c:v>156</c:v>
                </c:pt>
                <c:pt idx="1286" formatCode="General">
                  <c:v>101</c:v>
                </c:pt>
                <c:pt idx="1287" formatCode="General">
                  <c:v>138</c:v>
                </c:pt>
                <c:pt idx="1288" formatCode="General">
                  <c:v>99</c:v>
                </c:pt>
                <c:pt idx="1289" formatCode="General">
                  <c:v>136</c:v>
                </c:pt>
                <c:pt idx="1290" formatCode="General">
                  <c:v>143</c:v>
                </c:pt>
                <c:pt idx="1291" formatCode="General">
                  <c:v>150</c:v>
                </c:pt>
                <c:pt idx="1292" formatCode="General">
                  <c:v>92</c:v>
                </c:pt>
                <c:pt idx="1293" formatCode="General">
                  <c:v>147</c:v>
                </c:pt>
                <c:pt idx="1294" formatCode="General">
                  <c:v>128</c:v>
                </c:pt>
                <c:pt idx="1295" formatCode="General">
                  <c:v>163</c:v>
                </c:pt>
                <c:pt idx="1296" formatCode="General">
                  <c:v>150</c:v>
                </c:pt>
                <c:pt idx="1297" formatCode="General">
                  <c:v>175</c:v>
                </c:pt>
                <c:pt idx="1298" formatCode="General">
                  <c:v>114</c:v>
                </c:pt>
                <c:pt idx="1299" formatCode="General">
                  <c:v>164</c:v>
                </c:pt>
                <c:pt idx="1300" formatCode="General">
                  <c:v>94</c:v>
                </c:pt>
                <c:pt idx="1301" formatCode="General">
                  <c:v>139</c:v>
                </c:pt>
                <c:pt idx="1302" formatCode="General">
                  <c:v>99</c:v>
                </c:pt>
                <c:pt idx="1303" formatCode="General">
                  <c:v>126</c:v>
                </c:pt>
                <c:pt idx="1304" formatCode="General">
                  <c:v>178</c:v>
                </c:pt>
                <c:pt idx="1305" formatCode="General">
                  <c:v>125</c:v>
                </c:pt>
                <c:pt idx="1306" formatCode="General">
                  <c:v>170</c:v>
                </c:pt>
                <c:pt idx="1307" formatCode="General">
                  <c:v>147</c:v>
                </c:pt>
                <c:pt idx="1308" formatCode="General">
                  <c:v>147</c:v>
                </c:pt>
                <c:pt idx="1309" formatCode="General">
                  <c:v>141</c:v>
                </c:pt>
                <c:pt idx="1310" formatCode="General">
                  <c:v>149</c:v>
                </c:pt>
                <c:pt idx="1311" formatCode="General">
                  <c:v>91</c:v>
                </c:pt>
                <c:pt idx="1312" formatCode="General">
                  <c:v>99</c:v>
                </c:pt>
                <c:pt idx="1313" formatCode="General">
                  <c:v>161</c:v>
                </c:pt>
                <c:pt idx="1314" formatCode="General">
                  <c:v>162</c:v>
                </c:pt>
                <c:pt idx="1315" formatCode="General">
                  <c:v>132</c:v>
                </c:pt>
                <c:pt idx="1316" formatCode="General">
                  <c:v>107</c:v>
                </c:pt>
                <c:pt idx="1317" formatCode="General">
                  <c:v>163</c:v>
                </c:pt>
                <c:pt idx="1318" formatCode="General">
                  <c:v>117</c:v>
                </c:pt>
                <c:pt idx="1319" formatCode="General">
                  <c:v>122</c:v>
                </c:pt>
                <c:pt idx="1320" formatCode="General">
                  <c:v>101</c:v>
                </c:pt>
                <c:pt idx="1321" formatCode="General">
                  <c:v>154</c:v>
                </c:pt>
                <c:pt idx="1322" formatCode="General">
                  <c:v>143</c:v>
                </c:pt>
                <c:pt idx="1323" formatCode="General">
                  <c:v>134</c:v>
                </c:pt>
                <c:pt idx="1324" formatCode="General">
                  <c:v>173</c:v>
                </c:pt>
                <c:pt idx="1325" formatCode="General">
                  <c:v>178</c:v>
                </c:pt>
                <c:pt idx="1326" formatCode="General">
                  <c:v>99</c:v>
                </c:pt>
                <c:pt idx="1327" formatCode="General">
                  <c:v>134</c:v>
                </c:pt>
                <c:pt idx="1328" formatCode="General">
                  <c:v>130</c:v>
                </c:pt>
                <c:pt idx="1329" formatCode="General">
                  <c:v>159</c:v>
                </c:pt>
                <c:pt idx="1330" formatCode="General">
                  <c:v>95</c:v>
                </c:pt>
                <c:pt idx="1331" formatCode="General">
                  <c:v>148</c:v>
                </c:pt>
                <c:pt idx="1332" formatCode="General">
                  <c:v>177</c:v>
                </c:pt>
                <c:pt idx="1333" formatCode="General">
                  <c:v>143</c:v>
                </c:pt>
                <c:pt idx="1334" formatCode="General">
                  <c:v>93</c:v>
                </c:pt>
                <c:pt idx="1335" formatCode="General">
                  <c:v>133</c:v>
                </c:pt>
                <c:pt idx="1336" formatCode="General">
                  <c:v>139</c:v>
                </c:pt>
                <c:pt idx="1337" formatCode="General">
                  <c:v>147</c:v>
                </c:pt>
                <c:pt idx="1338" formatCode="General">
                  <c:v>90</c:v>
                </c:pt>
                <c:pt idx="1339" formatCode="General">
                  <c:v>169</c:v>
                </c:pt>
                <c:pt idx="1340" formatCode="General">
                  <c:v>149</c:v>
                </c:pt>
                <c:pt idx="1341" formatCode="General">
                  <c:v>93</c:v>
                </c:pt>
                <c:pt idx="1342" formatCode="General">
                  <c:v>102</c:v>
                </c:pt>
                <c:pt idx="1343" formatCode="General">
                  <c:v>125</c:v>
                </c:pt>
                <c:pt idx="1344" formatCode="General">
                  <c:v>129</c:v>
                </c:pt>
                <c:pt idx="1345" formatCode="General">
                  <c:v>143</c:v>
                </c:pt>
                <c:pt idx="1346" formatCode="General">
                  <c:v>104</c:v>
                </c:pt>
                <c:pt idx="1347" formatCode="General">
                  <c:v>115</c:v>
                </c:pt>
                <c:pt idx="1348" formatCode="General">
                  <c:v>101</c:v>
                </c:pt>
                <c:pt idx="1349" formatCode="General">
                  <c:v>162</c:v>
                </c:pt>
                <c:pt idx="1350" formatCode="General">
                  <c:v>105</c:v>
                </c:pt>
                <c:pt idx="1351" formatCode="General">
                  <c:v>160</c:v>
                </c:pt>
                <c:pt idx="1352" formatCode="General">
                  <c:v>139</c:v>
                </c:pt>
                <c:pt idx="1353" formatCode="General">
                  <c:v>170</c:v>
                </c:pt>
                <c:pt idx="1354" formatCode="General">
                  <c:v>112</c:v>
                </c:pt>
                <c:pt idx="1355" formatCode="General">
                  <c:v>104</c:v>
                </c:pt>
                <c:pt idx="1356" formatCode="General">
                  <c:v>92</c:v>
                </c:pt>
                <c:pt idx="1357" formatCode="General">
                  <c:v>159</c:v>
                </c:pt>
                <c:pt idx="1358" formatCode="General">
                  <c:v>115</c:v>
                </c:pt>
                <c:pt idx="1359" formatCode="General">
                  <c:v>166</c:v>
                </c:pt>
                <c:pt idx="1360" formatCode="General">
                  <c:v>173</c:v>
                </c:pt>
                <c:pt idx="1361" formatCode="General">
                  <c:v>101</c:v>
                </c:pt>
                <c:pt idx="1362" formatCode="General">
                  <c:v>147</c:v>
                </c:pt>
                <c:pt idx="1363" formatCode="General">
                  <c:v>114</c:v>
                </c:pt>
                <c:pt idx="1364" formatCode="General">
                  <c:v>156</c:v>
                </c:pt>
                <c:pt idx="1365" formatCode="General">
                  <c:v>122</c:v>
                </c:pt>
                <c:pt idx="1366" formatCode="General">
                  <c:v>97</c:v>
                </c:pt>
                <c:pt idx="1367" formatCode="General">
                  <c:v>91</c:v>
                </c:pt>
                <c:pt idx="1368" formatCode="General">
                  <c:v>176</c:v>
                </c:pt>
                <c:pt idx="1369" formatCode="General">
                  <c:v>127</c:v>
                </c:pt>
                <c:pt idx="1370" formatCode="General">
                  <c:v>122</c:v>
                </c:pt>
                <c:pt idx="1371" formatCode="General">
                  <c:v>161</c:v>
                </c:pt>
                <c:pt idx="1372" formatCode="General">
                  <c:v>101</c:v>
                </c:pt>
                <c:pt idx="1373" formatCode="General">
                  <c:v>124</c:v>
                </c:pt>
                <c:pt idx="1374" formatCode="General">
                  <c:v>119</c:v>
                </c:pt>
                <c:pt idx="1375" formatCode="General">
                  <c:v>157</c:v>
                </c:pt>
                <c:pt idx="1376" formatCode="General">
                  <c:v>166</c:v>
                </c:pt>
                <c:pt idx="1377" formatCode="General">
                  <c:v>176</c:v>
                </c:pt>
                <c:pt idx="1378" formatCode="General">
                  <c:v>162</c:v>
                </c:pt>
                <c:pt idx="1379" formatCode="General">
                  <c:v>96</c:v>
                </c:pt>
                <c:pt idx="1380" formatCode="General">
                  <c:v>148</c:v>
                </c:pt>
                <c:pt idx="1381" formatCode="General">
                  <c:v>142</c:v>
                </c:pt>
                <c:pt idx="1382" formatCode="General">
                  <c:v>115</c:v>
                </c:pt>
                <c:pt idx="1383" formatCode="General">
                  <c:v>108</c:v>
                </c:pt>
                <c:pt idx="1384" formatCode="General">
                  <c:v>103</c:v>
                </c:pt>
                <c:pt idx="1385" formatCode="General">
                  <c:v>175</c:v>
                </c:pt>
                <c:pt idx="1386" formatCode="General">
                  <c:v>107</c:v>
                </c:pt>
                <c:pt idx="1387" formatCode="General">
                  <c:v>118</c:v>
                </c:pt>
                <c:pt idx="1388" formatCode="General">
                  <c:v>108</c:v>
                </c:pt>
                <c:pt idx="1389" formatCode="General">
                  <c:v>153</c:v>
                </c:pt>
                <c:pt idx="1390" formatCode="General">
                  <c:v>144</c:v>
                </c:pt>
                <c:pt idx="1391" formatCode="General">
                  <c:v>116</c:v>
                </c:pt>
                <c:pt idx="1392" formatCode="General">
                  <c:v>111</c:v>
                </c:pt>
                <c:pt idx="1393" formatCode="General">
                  <c:v>160</c:v>
                </c:pt>
                <c:pt idx="1394" formatCode="General">
                  <c:v>129</c:v>
                </c:pt>
                <c:pt idx="1395" formatCode="General">
                  <c:v>162</c:v>
                </c:pt>
                <c:pt idx="1396" formatCode="General">
                  <c:v>97</c:v>
                </c:pt>
                <c:pt idx="1397" formatCode="General">
                  <c:v>177</c:v>
                </c:pt>
                <c:pt idx="1398" formatCode="General">
                  <c:v>139</c:v>
                </c:pt>
                <c:pt idx="1399" formatCode="General">
                  <c:v>115</c:v>
                </c:pt>
                <c:pt idx="1400" formatCode="General">
                  <c:v>145</c:v>
                </c:pt>
                <c:pt idx="1401" formatCode="General">
                  <c:v>136</c:v>
                </c:pt>
                <c:pt idx="1402" formatCode="General">
                  <c:v>134</c:v>
                </c:pt>
                <c:pt idx="1403" formatCode="General">
                  <c:v>110</c:v>
                </c:pt>
                <c:pt idx="1404" formatCode="General">
                  <c:v>125</c:v>
                </c:pt>
                <c:pt idx="1405" formatCode="General">
                  <c:v>120</c:v>
                </c:pt>
                <c:pt idx="1406" formatCode="General">
                  <c:v>135</c:v>
                </c:pt>
                <c:pt idx="1407" formatCode="General">
                  <c:v>178</c:v>
                </c:pt>
                <c:pt idx="1408" formatCode="General">
                  <c:v>176</c:v>
                </c:pt>
                <c:pt idx="1409" formatCode="General">
                  <c:v>137</c:v>
                </c:pt>
                <c:pt idx="1410" formatCode="General">
                  <c:v>155</c:v>
                </c:pt>
                <c:pt idx="1411" formatCode="General">
                  <c:v>142</c:v>
                </c:pt>
                <c:pt idx="1412" formatCode="General">
                  <c:v>178</c:v>
                </c:pt>
                <c:pt idx="1413" formatCode="General">
                  <c:v>175</c:v>
                </c:pt>
                <c:pt idx="1414" formatCode="General">
                  <c:v>154</c:v>
                </c:pt>
                <c:pt idx="1415" formatCode="General">
                  <c:v>112</c:v>
                </c:pt>
                <c:pt idx="1416" formatCode="General">
                  <c:v>113</c:v>
                </c:pt>
                <c:pt idx="1417" formatCode="General">
                  <c:v>117</c:v>
                </c:pt>
                <c:pt idx="1418" formatCode="General">
                  <c:v>113</c:v>
                </c:pt>
                <c:pt idx="1419" formatCode="General">
                  <c:v>151</c:v>
                </c:pt>
                <c:pt idx="1420" formatCode="General">
                  <c:v>179</c:v>
                </c:pt>
                <c:pt idx="1421" formatCode="General">
                  <c:v>177</c:v>
                </c:pt>
                <c:pt idx="1422" formatCode="General">
                  <c:v>128</c:v>
                </c:pt>
                <c:pt idx="1423" formatCode="General">
                  <c:v>166</c:v>
                </c:pt>
                <c:pt idx="1424" formatCode="General">
                  <c:v>159</c:v>
                </c:pt>
                <c:pt idx="1425" formatCode="General">
                  <c:v>102</c:v>
                </c:pt>
                <c:pt idx="1426" formatCode="General">
                  <c:v>134</c:v>
                </c:pt>
                <c:pt idx="1427" formatCode="General">
                  <c:v>144</c:v>
                </c:pt>
                <c:pt idx="1428" formatCode="General">
                  <c:v>172</c:v>
                </c:pt>
                <c:pt idx="1429" formatCode="General">
                  <c:v>175</c:v>
                </c:pt>
                <c:pt idx="1430" formatCode="General">
                  <c:v>164</c:v>
                </c:pt>
                <c:pt idx="1431" formatCode="General">
                  <c:v>128</c:v>
                </c:pt>
                <c:pt idx="1432" formatCode="General">
                  <c:v>106</c:v>
                </c:pt>
                <c:pt idx="1433" formatCode="General">
                  <c:v>120</c:v>
                </c:pt>
                <c:pt idx="1434" formatCode="General">
                  <c:v>173</c:v>
                </c:pt>
                <c:pt idx="1435" formatCode="General">
                  <c:v>121</c:v>
                </c:pt>
                <c:pt idx="1436" formatCode="General">
                  <c:v>124</c:v>
                </c:pt>
                <c:pt idx="1437" formatCode="General">
                  <c:v>178</c:v>
                </c:pt>
                <c:pt idx="1438" formatCode="General">
                  <c:v>138</c:v>
                </c:pt>
                <c:pt idx="1439" formatCode="General">
                  <c:v>154</c:v>
                </c:pt>
                <c:pt idx="1440" formatCode="General">
                  <c:v>108</c:v>
                </c:pt>
                <c:pt idx="1441" formatCode="General">
                  <c:v>178</c:v>
                </c:pt>
                <c:pt idx="1442" formatCode="General">
                  <c:v>129</c:v>
                </c:pt>
                <c:pt idx="1443" formatCode="General">
                  <c:v>150</c:v>
                </c:pt>
                <c:pt idx="1444" formatCode="General">
                  <c:v>147</c:v>
                </c:pt>
                <c:pt idx="1445" formatCode="General">
                  <c:v>105</c:v>
                </c:pt>
                <c:pt idx="1446" formatCode="General">
                  <c:v>139</c:v>
                </c:pt>
                <c:pt idx="1447" formatCode="General">
                  <c:v>172</c:v>
                </c:pt>
                <c:pt idx="1448" formatCode="General">
                  <c:v>91</c:v>
                </c:pt>
                <c:pt idx="1449" formatCode="General">
                  <c:v>140</c:v>
                </c:pt>
                <c:pt idx="1450" formatCode="General">
                  <c:v>126</c:v>
                </c:pt>
                <c:pt idx="1451" formatCode="General">
                  <c:v>92</c:v>
                </c:pt>
                <c:pt idx="1452" formatCode="General">
                  <c:v>148</c:v>
                </c:pt>
                <c:pt idx="1453" formatCode="General">
                  <c:v>112</c:v>
                </c:pt>
                <c:pt idx="1454" formatCode="General">
                  <c:v>120</c:v>
                </c:pt>
                <c:pt idx="1455" formatCode="General">
                  <c:v>165</c:v>
                </c:pt>
                <c:pt idx="1456" formatCode="General">
                  <c:v>102</c:v>
                </c:pt>
                <c:pt idx="1457" formatCode="General">
                  <c:v>169</c:v>
                </c:pt>
                <c:pt idx="1458" formatCode="General">
                  <c:v>117</c:v>
                </c:pt>
                <c:pt idx="1459" formatCode="General">
                  <c:v>163</c:v>
                </c:pt>
                <c:pt idx="1460" formatCode="General">
                  <c:v>96</c:v>
                </c:pt>
                <c:pt idx="1461" formatCode="General">
                  <c:v>107</c:v>
                </c:pt>
                <c:pt idx="1462" formatCode="General">
                  <c:v>131</c:v>
                </c:pt>
                <c:pt idx="1463" formatCode="General">
                  <c:v>179</c:v>
                </c:pt>
                <c:pt idx="1464" formatCode="General">
                  <c:v>90</c:v>
                </c:pt>
                <c:pt idx="1465" formatCode="General">
                  <c:v>110</c:v>
                </c:pt>
                <c:pt idx="1466" formatCode="General">
                  <c:v>176</c:v>
                </c:pt>
                <c:pt idx="1467" formatCode="General">
                  <c:v>102</c:v>
                </c:pt>
                <c:pt idx="1468" formatCode="General">
                  <c:v>130</c:v>
                </c:pt>
                <c:pt idx="1469" formatCode="General">
                  <c:v>169</c:v>
                </c:pt>
                <c:pt idx="1470" formatCode="General">
                  <c:v>119</c:v>
                </c:pt>
                <c:pt idx="1471" formatCode="General">
                  <c:v>100</c:v>
                </c:pt>
                <c:pt idx="1472" formatCode="General">
                  <c:v>149</c:v>
                </c:pt>
                <c:pt idx="1473" formatCode="General">
                  <c:v>91</c:v>
                </c:pt>
                <c:pt idx="1474" formatCode="General">
                  <c:v>147</c:v>
                </c:pt>
                <c:pt idx="1475" formatCode="General">
                  <c:v>171</c:v>
                </c:pt>
                <c:pt idx="1476" formatCode="General">
                  <c:v>104</c:v>
                </c:pt>
                <c:pt idx="1477" formatCode="General">
                  <c:v>177</c:v>
                </c:pt>
                <c:pt idx="1478" formatCode="General">
                  <c:v>148</c:v>
                </c:pt>
                <c:pt idx="1479" formatCode="General">
                  <c:v>142</c:v>
                </c:pt>
                <c:pt idx="1480" formatCode="General">
                  <c:v>148</c:v>
                </c:pt>
                <c:pt idx="1481" formatCode="General">
                  <c:v>111</c:v>
                </c:pt>
                <c:pt idx="1482" formatCode="General">
                  <c:v>128</c:v>
                </c:pt>
                <c:pt idx="1483" formatCode="General">
                  <c:v>106</c:v>
                </c:pt>
                <c:pt idx="1484" formatCode="General">
                  <c:v>170</c:v>
                </c:pt>
                <c:pt idx="1485" formatCode="General">
                  <c:v>115</c:v>
                </c:pt>
                <c:pt idx="1486" formatCode="General">
                  <c:v>177</c:v>
                </c:pt>
                <c:pt idx="1487" formatCode="General">
                  <c:v>129</c:v>
                </c:pt>
                <c:pt idx="1488" formatCode="General">
                  <c:v>125</c:v>
                </c:pt>
                <c:pt idx="1489" formatCode="General">
                  <c:v>122</c:v>
                </c:pt>
                <c:pt idx="1490" formatCode="General">
                  <c:v>125</c:v>
                </c:pt>
                <c:pt idx="1491" formatCode="General">
                  <c:v>171</c:v>
                </c:pt>
                <c:pt idx="1492" formatCode="General">
                  <c:v>128</c:v>
                </c:pt>
                <c:pt idx="1493" formatCode="General">
                  <c:v>148</c:v>
                </c:pt>
                <c:pt idx="1494" formatCode="General">
                  <c:v>127</c:v>
                </c:pt>
                <c:pt idx="1495" formatCode="General">
                  <c:v>105</c:v>
                </c:pt>
                <c:pt idx="1496" formatCode="General">
                  <c:v>171</c:v>
                </c:pt>
                <c:pt idx="1497" formatCode="General">
                  <c:v>105</c:v>
                </c:pt>
                <c:pt idx="1498" formatCode="General">
                  <c:v>144</c:v>
                </c:pt>
                <c:pt idx="1499" formatCode="General">
                  <c:v>144</c:v>
                </c:pt>
                <c:pt idx="1500" formatCode="General">
                  <c:v>98</c:v>
                </c:pt>
                <c:pt idx="1501" formatCode="General">
                  <c:v>166</c:v>
                </c:pt>
                <c:pt idx="1502" formatCode="General">
                  <c:v>146</c:v>
                </c:pt>
                <c:pt idx="1503" formatCode="General">
                  <c:v>149</c:v>
                </c:pt>
                <c:pt idx="1504" formatCode="General">
                  <c:v>165</c:v>
                </c:pt>
                <c:pt idx="1505" formatCode="General">
                  <c:v>124</c:v>
                </c:pt>
                <c:pt idx="1506" formatCode="General">
                  <c:v>142</c:v>
                </c:pt>
                <c:pt idx="1507" formatCode="General">
                  <c:v>95</c:v>
                </c:pt>
                <c:pt idx="1508" formatCode="General">
                  <c:v>164</c:v>
                </c:pt>
                <c:pt idx="1509" formatCode="General">
                  <c:v>129</c:v>
                </c:pt>
                <c:pt idx="1510" formatCode="General">
                  <c:v>105</c:v>
                </c:pt>
                <c:pt idx="1511" formatCode="General">
                  <c:v>142</c:v>
                </c:pt>
                <c:pt idx="1512" formatCode="General">
                  <c:v>169</c:v>
                </c:pt>
                <c:pt idx="1513" formatCode="General">
                  <c:v>154</c:v>
                </c:pt>
                <c:pt idx="1514" formatCode="General">
                  <c:v>97</c:v>
                </c:pt>
                <c:pt idx="1515" formatCode="General">
                  <c:v>174</c:v>
                </c:pt>
                <c:pt idx="1516" formatCode="General">
                  <c:v>116</c:v>
                </c:pt>
                <c:pt idx="1517" formatCode="General">
                  <c:v>91</c:v>
                </c:pt>
                <c:pt idx="1518" formatCode="General">
                  <c:v>175</c:v>
                </c:pt>
                <c:pt idx="1519" formatCode="General">
                  <c:v>143</c:v>
                </c:pt>
                <c:pt idx="1520" formatCode="General">
                  <c:v>165</c:v>
                </c:pt>
                <c:pt idx="1521" formatCode="General">
                  <c:v>97</c:v>
                </c:pt>
                <c:pt idx="1522" formatCode="General">
                  <c:v>105</c:v>
                </c:pt>
                <c:pt idx="1523" formatCode="General">
                  <c:v>162</c:v>
                </c:pt>
                <c:pt idx="1524" formatCode="General">
                  <c:v>119</c:v>
                </c:pt>
                <c:pt idx="1525" formatCode="General">
                  <c:v>102</c:v>
                </c:pt>
                <c:pt idx="1526" formatCode="General">
                  <c:v>150</c:v>
                </c:pt>
                <c:pt idx="1527" formatCode="General">
                  <c:v>112</c:v>
                </c:pt>
                <c:pt idx="1528" formatCode="General">
                  <c:v>134</c:v>
                </c:pt>
              </c:numCache>
            </c:numRef>
          </c:xVal>
          <c:yVal>
            <c:numRef>
              <c:f>'CVD Dataset'!$AE$2:$AE$1530</c:f>
              <c:numCache>
                <c:formatCode>General</c:formatCode>
                <c:ptCount val="1529"/>
                <c:pt idx="0">
                  <c:v>17.93</c:v>
                </c:pt>
                <c:pt idx="1">
                  <c:v>20.51</c:v>
                </c:pt>
                <c:pt idx="2">
                  <c:v>12.64</c:v>
                </c:pt>
                <c:pt idx="3">
                  <c:v>16.36</c:v>
                </c:pt>
                <c:pt idx="4">
                  <c:v>17.88</c:v>
                </c:pt>
                <c:pt idx="5">
                  <c:v>16.96</c:v>
                </c:pt>
                <c:pt idx="6">
                  <c:v>17.600000000000001</c:v>
                </c:pt>
                <c:pt idx="7">
                  <c:v>18.11</c:v>
                </c:pt>
                <c:pt idx="8">
                  <c:v>15.25</c:v>
                </c:pt>
                <c:pt idx="9">
                  <c:v>17.91</c:v>
                </c:pt>
                <c:pt idx="10">
                  <c:v>19.73</c:v>
                </c:pt>
                <c:pt idx="11">
                  <c:v>18.600000000000001</c:v>
                </c:pt>
                <c:pt idx="12">
                  <c:v>15.76</c:v>
                </c:pt>
                <c:pt idx="13">
                  <c:v>20.36</c:v>
                </c:pt>
                <c:pt idx="15">
                  <c:v>16.010000000000002</c:v>
                </c:pt>
                <c:pt idx="16">
                  <c:v>17.760000000000002</c:v>
                </c:pt>
                <c:pt idx="17">
                  <c:v>17.73</c:v>
                </c:pt>
                <c:pt idx="18">
                  <c:v>13.64</c:v>
                </c:pt>
                <c:pt idx="19">
                  <c:v>11.95</c:v>
                </c:pt>
                <c:pt idx="20">
                  <c:v>19.7</c:v>
                </c:pt>
                <c:pt idx="21">
                  <c:v>16.68</c:v>
                </c:pt>
                <c:pt idx="22">
                  <c:v>16.03</c:v>
                </c:pt>
                <c:pt idx="23">
                  <c:v>12.8</c:v>
                </c:pt>
                <c:pt idx="24">
                  <c:v>17.28</c:v>
                </c:pt>
                <c:pt idx="25">
                  <c:v>15.87</c:v>
                </c:pt>
                <c:pt idx="26">
                  <c:v>17.66</c:v>
                </c:pt>
                <c:pt idx="27">
                  <c:v>19.52</c:v>
                </c:pt>
                <c:pt idx="28">
                  <c:v>18.989999999999998</c:v>
                </c:pt>
                <c:pt idx="29">
                  <c:v>14.61</c:v>
                </c:pt>
                <c:pt idx="30">
                  <c:v>12.69</c:v>
                </c:pt>
                <c:pt idx="31">
                  <c:v>14.27</c:v>
                </c:pt>
                <c:pt idx="32">
                  <c:v>17.66</c:v>
                </c:pt>
                <c:pt idx="33">
                  <c:v>14.9</c:v>
                </c:pt>
                <c:pt idx="34">
                  <c:v>14</c:v>
                </c:pt>
                <c:pt idx="35">
                  <c:v>18.440000000000001</c:v>
                </c:pt>
                <c:pt idx="36">
                  <c:v>16.59</c:v>
                </c:pt>
                <c:pt idx="37">
                  <c:v>18.88</c:v>
                </c:pt>
                <c:pt idx="38">
                  <c:v>16.86</c:v>
                </c:pt>
                <c:pt idx="40">
                  <c:v>16.170000000000002</c:v>
                </c:pt>
                <c:pt idx="41">
                  <c:v>17.399999999999999</c:v>
                </c:pt>
                <c:pt idx="42">
                  <c:v>12.33</c:v>
                </c:pt>
                <c:pt idx="43">
                  <c:v>15.25</c:v>
                </c:pt>
                <c:pt idx="44">
                  <c:v>16</c:v>
                </c:pt>
                <c:pt idx="45">
                  <c:v>21.61</c:v>
                </c:pt>
                <c:pt idx="46">
                  <c:v>16.04</c:v>
                </c:pt>
                <c:pt idx="47">
                  <c:v>20.32</c:v>
                </c:pt>
                <c:pt idx="48">
                  <c:v>18.71</c:v>
                </c:pt>
                <c:pt idx="49">
                  <c:v>13.73</c:v>
                </c:pt>
                <c:pt idx="51">
                  <c:v>14.83</c:v>
                </c:pt>
                <c:pt idx="52">
                  <c:v>15.68</c:v>
                </c:pt>
                <c:pt idx="53">
                  <c:v>16.02</c:v>
                </c:pt>
                <c:pt idx="54">
                  <c:v>20.09</c:v>
                </c:pt>
                <c:pt idx="55">
                  <c:v>15.8</c:v>
                </c:pt>
                <c:pt idx="56">
                  <c:v>14.6</c:v>
                </c:pt>
                <c:pt idx="57">
                  <c:v>17.649999999999999</c:v>
                </c:pt>
                <c:pt idx="58">
                  <c:v>14.06</c:v>
                </c:pt>
                <c:pt idx="59">
                  <c:v>17.29</c:v>
                </c:pt>
                <c:pt idx="60">
                  <c:v>21.03</c:v>
                </c:pt>
                <c:pt idx="61">
                  <c:v>17.170000000000002</c:v>
                </c:pt>
                <c:pt idx="62">
                  <c:v>17.71</c:v>
                </c:pt>
                <c:pt idx="63">
                  <c:v>17.52</c:v>
                </c:pt>
                <c:pt idx="64">
                  <c:v>14.14</c:v>
                </c:pt>
                <c:pt idx="65">
                  <c:v>14.73</c:v>
                </c:pt>
                <c:pt idx="66">
                  <c:v>16.850000000000001</c:v>
                </c:pt>
                <c:pt idx="67">
                  <c:v>14.18</c:v>
                </c:pt>
                <c:pt idx="68">
                  <c:v>13.96</c:v>
                </c:pt>
                <c:pt idx="69">
                  <c:v>21.34</c:v>
                </c:pt>
                <c:pt idx="70">
                  <c:v>12.14</c:v>
                </c:pt>
                <c:pt idx="71">
                  <c:v>15.3</c:v>
                </c:pt>
                <c:pt idx="72">
                  <c:v>18.37</c:v>
                </c:pt>
                <c:pt idx="73">
                  <c:v>19.88</c:v>
                </c:pt>
                <c:pt idx="74">
                  <c:v>16.79</c:v>
                </c:pt>
                <c:pt idx="75">
                  <c:v>20.58</c:v>
                </c:pt>
                <c:pt idx="76">
                  <c:v>12.6</c:v>
                </c:pt>
                <c:pt idx="77">
                  <c:v>20.260000000000002</c:v>
                </c:pt>
                <c:pt idx="78">
                  <c:v>17.420000000000002</c:v>
                </c:pt>
                <c:pt idx="80">
                  <c:v>14.31</c:v>
                </c:pt>
                <c:pt idx="81">
                  <c:v>16.059999999999999</c:v>
                </c:pt>
                <c:pt idx="82">
                  <c:v>18.75</c:v>
                </c:pt>
                <c:pt idx="83">
                  <c:v>18.62</c:v>
                </c:pt>
                <c:pt idx="84">
                  <c:v>14.06</c:v>
                </c:pt>
                <c:pt idx="85">
                  <c:v>14.03</c:v>
                </c:pt>
                <c:pt idx="86">
                  <c:v>12.75</c:v>
                </c:pt>
                <c:pt idx="87">
                  <c:v>19.66</c:v>
                </c:pt>
                <c:pt idx="88">
                  <c:v>16.78</c:v>
                </c:pt>
                <c:pt idx="90">
                  <c:v>16.760000000000002</c:v>
                </c:pt>
                <c:pt idx="91">
                  <c:v>18.510000000000002</c:v>
                </c:pt>
                <c:pt idx="92">
                  <c:v>13.63</c:v>
                </c:pt>
                <c:pt idx="93">
                  <c:v>16.63</c:v>
                </c:pt>
                <c:pt idx="94">
                  <c:v>14.56</c:v>
                </c:pt>
                <c:pt idx="95">
                  <c:v>17.8</c:v>
                </c:pt>
                <c:pt idx="96">
                  <c:v>15.45</c:v>
                </c:pt>
                <c:pt idx="97">
                  <c:v>18.899999999999999</c:v>
                </c:pt>
                <c:pt idx="98">
                  <c:v>19.77</c:v>
                </c:pt>
                <c:pt idx="99">
                  <c:v>14.34</c:v>
                </c:pt>
                <c:pt idx="100">
                  <c:v>19.63</c:v>
                </c:pt>
                <c:pt idx="101">
                  <c:v>14.15</c:v>
                </c:pt>
                <c:pt idx="102">
                  <c:v>18.37</c:v>
                </c:pt>
                <c:pt idx="103">
                  <c:v>17.079999999999998</c:v>
                </c:pt>
                <c:pt idx="104">
                  <c:v>12.16</c:v>
                </c:pt>
                <c:pt idx="105">
                  <c:v>16.11</c:v>
                </c:pt>
                <c:pt idx="106">
                  <c:v>16.11</c:v>
                </c:pt>
                <c:pt idx="107">
                  <c:v>13.03</c:v>
                </c:pt>
                <c:pt idx="108">
                  <c:v>17.7</c:v>
                </c:pt>
                <c:pt idx="109">
                  <c:v>15.53</c:v>
                </c:pt>
                <c:pt idx="110">
                  <c:v>13.36</c:v>
                </c:pt>
                <c:pt idx="111">
                  <c:v>17.079999999999998</c:v>
                </c:pt>
                <c:pt idx="112">
                  <c:v>19.09</c:v>
                </c:pt>
                <c:pt idx="114">
                  <c:v>14.12</c:v>
                </c:pt>
                <c:pt idx="115">
                  <c:v>16.07</c:v>
                </c:pt>
                <c:pt idx="116">
                  <c:v>15.95</c:v>
                </c:pt>
                <c:pt idx="117">
                  <c:v>17.260000000000002</c:v>
                </c:pt>
                <c:pt idx="118">
                  <c:v>16.77</c:v>
                </c:pt>
                <c:pt idx="119">
                  <c:v>18.829999999999998</c:v>
                </c:pt>
                <c:pt idx="120">
                  <c:v>11.06</c:v>
                </c:pt>
                <c:pt idx="121">
                  <c:v>15.48</c:v>
                </c:pt>
                <c:pt idx="122">
                  <c:v>21.85</c:v>
                </c:pt>
                <c:pt idx="123">
                  <c:v>21.14</c:v>
                </c:pt>
                <c:pt idx="124">
                  <c:v>16.82</c:v>
                </c:pt>
                <c:pt idx="125">
                  <c:v>14.81</c:v>
                </c:pt>
                <c:pt idx="126">
                  <c:v>20.27</c:v>
                </c:pt>
                <c:pt idx="127">
                  <c:v>15.54</c:v>
                </c:pt>
                <c:pt idx="128">
                  <c:v>14.89</c:v>
                </c:pt>
                <c:pt idx="129">
                  <c:v>14.84</c:v>
                </c:pt>
                <c:pt idx="130">
                  <c:v>14.5</c:v>
                </c:pt>
                <c:pt idx="131">
                  <c:v>17.53</c:v>
                </c:pt>
                <c:pt idx="132">
                  <c:v>17.93</c:v>
                </c:pt>
                <c:pt idx="133">
                  <c:v>14.74</c:v>
                </c:pt>
                <c:pt idx="134">
                  <c:v>20.8</c:v>
                </c:pt>
                <c:pt idx="135">
                  <c:v>13.5</c:v>
                </c:pt>
                <c:pt idx="136">
                  <c:v>14.62</c:v>
                </c:pt>
                <c:pt idx="137">
                  <c:v>15.64</c:v>
                </c:pt>
                <c:pt idx="138">
                  <c:v>14.56</c:v>
                </c:pt>
                <c:pt idx="139">
                  <c:v>17.95</c:v>
                </c:pt>
                <c:pt idx="140">
                  <c:v>16.079999999999998</c:v>
                </c:pt>
                <c:pt idx="141">
                  <c:v>21.09</c:v>
                </c:pt>
                <c:pt idx="142">
                  <c:v>19.3</c:v>
                </c:pt>
                <c:pt idx="143">
                  <c:v>17.5</c:v>
                </c:pt>
                <c:pt idx="144">
                  <c:v>13.16</c:v>
                </c:pt>
                <c:pt idx="145">
                  <c:v>20.309999999999999</c:v>
                </c:pt>
                <c:pt idx="146">
                  <c:v>14.01</c:v>
                </c:pt>
                <c:pt idx="147">
                  <c:v>11.11</c:v>
                </c:pt>
                <c:pt idx="148">
                  <c:v>19.329999999999998</c:v>
                </c:pt>
                <c:pt idx="149">
                  <c:v>13.97</c:v>
                </c:pt>
                <c:pt idx="150">
                  <c:v>17.34</c:v>
                </c:pt>
                <c:pt idx="151">
                  <c:v>17.75</c:v>
                </c:pt>
                <c:pt idx="152">
                  <c:v>14.45</c:v>
                </c:pt>
                <c:pt idx="153">
                  <c:v>18.77</c:v>
                </c:pt>
                <c:pt idx="154">
                  <c:v>18.55</c:v>
                </c:pt>
                <c:pt idx="155">
                  <c:v>17.86</c:v>
                </c:pt>
                <c:pt idx="156">
                  <c:v>19.39</c:v>
                </c:pt>
                <c:pt idx="157">
                  <c:v>17.41</c:v>
                </c:pt>
                <c:pt idx="158">
                  <c:v>20.079999999999998</c:v>
                </c:pt>
                <c:pt idx="159">
                  <c:v>17.309999999999999</c:v>
                </c:pt>
                <c:pt idx="160">
                  <c:v>15.74</c:v>
                </c:pt>
                <c:pt idx="161">
                  <c:v>14.81</c:v>
                </c:pt>
                <c:pt idx="162">
                  <c:v>13.89</c:v>
                </c:pt>
                <c:pt idx="163">
                  <c:v>16.68</c:v>
                </c:pt>
                <c:pt idx="164">
                  <c:v>14.38</c:v>
                </c:pt>
                <c:pt idx="165">
                  <c:v>18.55</c:v>
                </c:pt>
                <c:pt idx="166">
                  <c:v>12.44</c:v>
                </c:pt>
                <c:pt idx="167">
                  <c:v>16.440000000000001</c:v>
                </c:pt>
                <c:pt idx="168">
                  <c:v>14.26</c:v>
                </c:pt>
                <c:pt idx="169">
                  <c:v>11.6</c:v>
                </c:pt>
                <c:pt idx="170">
                  <c:v>21.83</c:v>
                </c:pt>
                <c:pt idx="171">
                  <c:v>19.29</c:v>
                </c:pt>
                <c:pt idx="172">
                  <c:v>14.53</c:v>
                </c:pt>
                <c:pt idx="173">
                  <c:v>18.600000000000001</c:v>
                </c:pt>
                <c:pt idx="175">
                  <c:v>14.99</c:v>
                </c:pt>
                <c:pt idx="176">
                  <c:v>19.61</c:v>
                </c:pt>
                <c:pt idx="177">
                  <c:v>18.2</c:v>
                </c:pt>
                <c:pt idx="178">
                  <c:v>18.440000000000001</c:v>
                </c:pt>
                <c:pt idx="179">
                  <c:v>17.309999999999999</c:v>
                </c:pt>
                <c:pt idx="180">
                  <c:v>15.83</c:v>
                </c:pt>
                <c:pt idx="181">
                  <c:v>17.7</c:v>
                </c:pt>
                <c:pt idx="182">
                  <c:v>13.84</c:v>
                </c:pt>
                <c:pt idx="183">
                  <c:v>15.55</c:v>
                </c:pt>
                <c:pt idx="184">
                  <c:v>14.72</c:v>
                </c:pt>
                <c:pt idx="185">
                  <c:v>10.53</c:v>
                </c:pt>
                <c:pt idx="186">
                  <c:v>14.89</c:v>
                </c:pt>
                <c:pt idx="187">
                  <c:v>12.96</c:v>
                </c:pt>
                <c:pt idx="188">
                  <c:v>16.7</c:v>
                </c:pt>
                <c:pt idx="189">
                  <c:v>15.26</c:v>
                </c:pt>
                <c:pt idx="190">
                  <c:v>20.49</c:v>
                </c:pt>
                <c:pt idx="191">
                  <c:v>19.18</c:v>
                </c:pt>
                <c:pt idx="192">
                  <c:v>15.25</c:v>
                </c:pt>
                <c:pt idx="193">
                  <c:v>14.87</c:v>
                </c:pt>
                <c:pt idx="194">
                  <c:v>16.73</c:v>
                </c:pt>
                <c:pt idx="195">
                  <c:v>15.78</c:v>
                </c:pt>
                <c:pt idx="196">
                  <c:v>13.97</c:v>
                </c:pt>
                <c:pt idx="197">
                  <c:v>14.04</c:v>
                </c:pt>
                <c:pt idx="198">
                  <c:v>18.100000000000001</c:v>
                </c:pt>
                <c:pt idx="199">
                  <c:v>14.71</c:v>
                </c:pt>
                <c:pt idx="200">
                  <c:v>15.57</c:v>
                </c:pt>
                <c:pt idx="201">
                  <c:v>12.68</c:v>
                </c:pt>
                <c:pt idx="202">
                  <c:v>13.65</c:v>
                </c:pt>
                <c:pt idx="203">
                  <c:v>13.55</c:v>
                </c:pt>
                <c:pt idx="204">
                  <c:v>16.829999999999998</c:v>
                </c:pt>
                <c:pt idx="205">
                  <c:v>15.32</c:v>
                </c:pt>
                <c:pt idx="206">
                  <c:v>15.55</c:v>
                </c:pt>
                <c:pt idx="207">
                  <c:v>14.62</c:v>
                </c:pt>
                <c:pt idx="208">
                  <c:v>15.18</c:v>
                </c:pt>
                <c:pt idx="209">
                  <c:v>15.48</c:v>
                </c:pt>
                <c:pt idx="210">
                  <c:v>14.78</c:v>
                </c:pt>
                <c:pt idx="211">
                  <c:v>14.97</c:v>
                </c:pt>
                <c:pt idx="212">
                  <c:v>13.68</c:v>
                </c:pt>
                <c:pt idx="213">
                  <c:v>15.76</c:v>
                </c:pt>
                <c:pt idx="214">
                  <c:v>15.17</c:v>
                </c:pt>
                <c:pt idx="215">
                  <c:v>16.059999999999999</c:v>
                </c:pt>
                <c:pt idx="216">
                  <c:v>16.850000000000001</c:v>
                </c:pt>
                <c:pt idx="217">
                  <c:v>15.41</c:v>
                </c:pt>
                <c:pt idx="218">
                  <c:v>11.11</c:v>
                </c:pt>
                <c:pt idx="219">
                  <c:v>19.53</c:v>
                </c:pt>
                <c:pt idx="220">
                  <c:v>21.84</c:v>
                </c:pt>
                <c:pt idx="221">
                  <c:v>16.48</c:v>
                </c:pt>
                <c:pt idx="222">
                  <c:v>19.39</c:v>
                </c:pt>
                <c:pt idx="223">
                  <c:v>14.01</c:v>
                </c:pt>
                <c:pt idx="224">
                  <c:v>17.96</c:v>
                </c:pt>
                <c:pt idx="225">
                  <c:v>15.97</c:v>
                </c:pt>
                <c:pt idx="226">
                  <c:v>15</c:v>
                </c:pt>
                <c:pt idx="227">
                  <c:v>19.86</c:v>
                </c:pt>
                <c:pt idx="228">
                  <c:v>21.25</c:v>
                </c:pt>
                <c:pt idx="229">
                  <c:v>14.92</c:v>
                </c:pt>
                <c:pt idx="230">
                  <c:v>19.489999999999998</c:v>
                </c:pt>
                <c:pt idx="231">
                  <c:v>16.63</c:v>
                </c:pt>
                <c:pt idx="232">
                  <c:v>17.11</c:v>
                </c:pt>
                <c:pt idx="233">
                  <c:v>16.61</c:v>
                </c:pt>
                <c:pt idx="234">
                  <c:v>15.97</c:v>
                </c:pt>
                <c:pt idx="235">
                  <c:v>13.55</c:v>
                </c:pt>
                <c:pt idx="236">
                  <c:v>15.41</c:v>
                </c:pt>
                <c:pt idx="237">
                  <c:v>19.91</c:v>
                </c:pt>
                <c:pt idx="238">
                  <c:v>18.09</c:v>
                </c:pt>
                <c:pt idx="239">
                  <c:v>20.260000000000002</c:v>
                </c:pt>
                <c:pt idx="240">
                  <c:v>19.440000000000001</c:v>
                </c:pt>
                <c:pt idx="241">
                  <c:v>17.91</c:v>
                </c:pt>
                <c:pt idx="242">
                  <c:v>17.75</c:v>
                </c:pt>
                <c:pt idx="243">
                  <c:v>15.12</c:v>
                </c:pt>
                <c:pt idx="244">
                  <c:v>19.62</c:v>
                </c:pt>
                <c:pt idx="245">
                  <c:v>16.8</c:v>
                </c:pt>
                <c:pt idx="247">
                  <c:v>12.04</c:v>
                </c:pt>
                <c:pt idx="248">
                  <c:v>17.95</c:v>
                </c:pt>
                <c:pt idx="249">
                  <c:v>18.87</c:v>
                </c:pt>
                <c:pt idx="250">
                  <c:v>14.67</c:v>
                </c:pt>
                <c:pt idx="251">
                  <c:v>15.47</c:v>
                </c:pt>
                <c:pt idx="252">
                  <c:v>17.13</c:v>
                </c:pt>
                <c:pt idx="253">
                  <c:v>19.64</c:v>
                </c:pt>
                <c:pt idx="254">
                  <c:v>16.72</c:v>
                </c:pt>
                <c:pt idx="255">
                  <c:v>14.51</c:v>
                </c:pt>
                <c:pt idx="256">
                  <c:v>15.5</c:v>
                </c:pt>
                <c:pt idx="257">
                  <c:v>15.86</c:v>
                </c:pt>
                <c:pt idx="258">
                  <c:v>13.81</c:v>
                </c:pt>
                <c:pt idx="259">
                  <c:v>13.59</c:v>
                </c:pt>
                <c:pt idx="260">
                  <c:v>18.809999999999999</c:v>
                </c:pt>
                <c:pt idx="261">
                  <c:v>16.48</c:v>
                </c:pt>
                <c:pt idx="263">
                  <c:v>15.15</c:v>
                </c:pt>
                <c:pt idx="264">
                  <c:v>18.3</c:v>
                </c:pt>
                <c:pt idx="265">
                  <c:v>16.059999999999999</c:v>
                </c:pt>
                <c:pt idx="266">
                  <c:v>16.48</c:v>
                </c:pt>
                <c:pt idx="267">
                  <c:v>17.739999999999998</c:v>
                </c:pt>
                <c:pt idx="268">
                  <c:v>14.42</c:v>
                </c:pt>
                <c:pt idx="269">
                  <c:v>18.95</c:v>
                </c:pt>
                <c:pt idx="270">
                  <c:v>18.010000000000002</c:v>
                </c:pt>
                <c:pt idx="271">
                  <c:v>14.68</c:v>
                </c:pt>
                <c:pt idx="272">
                  <c:v>14.56</c:v>
                </c:pt>
                <c:pt idx="273">
                  <c:v>16.739999999999998</c:v>
                </c:pt>
                <c:pt idx="274">
                  <c:v>17.37</c:v>
                </c:pt>
                <c:pt idx="275">
                  <c:v>15.56</c:v>
                </c:pt>
                <c:pt idx="276">
                  <c:v>18.64</c:v>
                </c:pt>
                <c:pt idx="277">
                  <c:v>15.57</c:v>
                </c:pt>
                <c:pt idx="278">
                  <c:v>13.91</c:v>
                </c:pt>
                <c:pt idx="279">
                  <c:v>16.02</c:v>
                </c:pt>
                <c:pt idx="280">
                  <c:v>17.690000000000001</c:v>
                </c:pt>
                <c:pt idx="281">
                  <c:v>20.260000000000002</c:v>
                </c:pt>
                <c:pt idx="282">
                  <c:v>14.69</c:v>
                </c:pt>
                <c:pt idx="283">
                  <c:v>13.29</c:v>
                </c:pt>
                <c:pt idx="284">
                  <c:v>16.309999999999999</c:v>
                </c:pt>
                <c:pt idx="285">
                  <c:v>16.170000000000002</c:v>
                </c:pt>
                <c:pt idx="286">
                  <c:v>17.850000000000001</c:v>
                </c:pt>
                <c:pt idx="287">
                  <c:v>12.92</c:v>
                </c:pt>
                <c:pt idx="288">
                  <c:v>16.420000000000002</c:v>
                </c:pt>
                <c:pt idx="289">
                  <c:v>19.440000000000001</c:v>
                </c:pt>
                <c:pt idx="290">
                  <c:v>19.79</c:v>
                </c:pt>
                <c:pt idx="291">
                  <c:v>16.93</c:v>
                </c:pt>
                <c:pt idx="292">
                  <c:v>16.57</c:v>
                </c:pt>
                <c:pt idx="293">
                  <c:v>12.13</c:v>
                </c:pt>
                <c:pt idx="294">
                  <c:v>13.88</c:v>
                </c:pt>
                <c:pt idx="295">
                  <c:v>15.57</c:v>
                </c:pt>
                <c:pt idx="296">
                  <c:v>15.13</c:v>
                </c:pt>
                <c:pt idx="297">
                  <c:v>18.14</c:v>
                </c:pt>
                <c:pt idx="298">
                  <c:v>13.36</c:v>
                </c:pt>
                <c:pt idx="300">
                  <c:v>17.489999999999998</c:v>
                </c:pt>
                <c:pt idx="301">
                  <c:v>15.29</c:v>
                </c:pt>
                <c:pt idx="302">
                  <c:v>13.66</c:v>
                </c:pt>
                <c:pt idx="303">
                  <c:v>16.28</c:v>
                </c:pt>
                <c:pt idx="304">
                  <c:v>18.87</c:v>
                </c:pt>
                <c:pt idx="306">
                  <c:v>17.3</c:v>
                </c:pt>
                <c:pt idx="307">
                  <c:v>16.79</c:v>
                </c:pt>
                <c:pt idx="308">
                  <c:v>13.96</c:v>
                </c:pt>
                <c:pt idx="309">
                  <c:v>16.95</c:v>
                </c:pt>
                <c:pt idx="310">
                  <c:v>16.649999999999999</c:v>
                </c:pt>
                <c:pt idx="311">
                  <c:v>16.82</c:v>
                </c:pt>
                <c:pt idx="312">
                  <c:v>13.15</c:v>
                </c:pt>
                <c:pt idx="313">
                  <c:v>16.87</c:v>
                </c:pt>
                <c:pt idx="314">
                  <c:v>15.06</c:v>
                </c:pt>
                <c:pt idx="315">
                  <c:v>14.14</c:v>
                </c:pt>
                <c:pt idx="316">
                  <c:v>24.17</c:v>
                </c:pt>
                <c:pt idx="317">
                  <c:v>16.25</c:v>
                </c:pt>
                <c:pt idx="318">
                  <c:v>13.82</c:v>
                </c:pt>
                <c:pt idx="319">
                  <c:v>19.27</c:v>
                </c:pt>
                <c:pt idx="320">
                  <c:v>18.36</c:v>
                </c:pt>
                <c:pt idx="321">
                  <c:v>15.27</c:v>
                </c:pt>
                <c:pt idx="322">
                  <c:v>17.149999999999999</c:v>
                </c:pt>
                <c:pt idx="324">
                  <c:v>16.989999999999998</c:v>
                </c:pt>
                <c:pt idx="325">
                  <c:v>14.22</c:v>
                </c:pt>
                <c:pt idx="326">
                  <c:v>14.81</c:v>
                </c:pt>
                <c:pt idx="327">
                  <c:v>17.170000000000002</c:v>
                </c:pt>
                <c:pt idx="328">
                  <c:v>16.260000000000002</c:v>
                </c:pt>
                <c:pt idx="329">
                  <c:v>15.92</c:v>
                </c:pt>
                <c:pt idx="330">
                  <c:v>17.05</c:v>
                </c:pt>
                <c:pt idx="331">
                  <c:v>12.25</c:v>
                </c:pt>
                <c:pt idx="332">
                  <c:v>12.01</c:v>
                </c:pt>
                <c:pt idx="333">
                  <c:v>13.55</c:v>
                </c:pt>
                <c:pt idx="334">
                  <c:v>17.329999999999998</c:v>
                </c:pt>
                <c:pt idx="335">
                  <c:v>15.02</c:v>
                </c:pt>
                <c:pt idx="336">
                  <c:v>15.58</c:v>
                </c:pt>
                <c:pt idx="337">
                  <c:v>19.420000000000002</c:v>
                </c:pt>
                <c:pt idx="338">
                  <c:v>20.010000000000002</c:v>
                </c:pt>
                <c:pt idx="339">
                  <c:v>14.35</c:v>
                </c:pt>
                <c:pt idx="340">
                  <c:v>17.350000000000001</c:v>
                </c:pt>
                <c:pt idx="341">
                  <c:v>13.95</c:v>
                </c:pt>
                <c:pt idx="342">
                  <c:v>14.75</c:v>
                </c:pt>
                <c:pt idx="343">
                  <c:v>18.48</c:v>
                </c:pt>
                <c:pt idx="344">
                  <c:v>15.64</c:v>
                </c:pt>
                <c:pt idx="345">
                  <c:v>19.190000000000001</c:v>
                </c:pt>
                <c:pt idx="346">
                  <c:v>16.87</c:v>
                </c:pt>
                <c:pt idx="347">
                  <c:v>16.149999999999999</c:v>
                </c:pt>
                <c:pt idx="348">
                  <c:v>14.65</c:v>
                </c:pt>
                <c:pt idx="349">
                  <c:v>14.74</c:v>
                </c:pt>
                <c:pt idx="350">
                  <c:v>19.28</c:v>
                </c:pt>
                <c:pt idx="351">
                  <c:v>14.04</c:v>
                </c:pt>
                <c:pt idx="352">
                  <c:v>16.829999999999998</c:v>
                </c:pt>
                <c:pt idx="353">
                  <c:v>21.07</c:v>
                </c:pt>
                <c:pt idx="354">
                  <c:v>15.99</c:v>
                </c:pt>
                <c:pt idx="355">
                  <c:v>17.82</c:v>
                </c:pt>
                <c:pt idx="356">
                  <c:v>20.22</c:v>
                </c:pt>
                <c:pt idx="357">
                  <c:v>14.47</c:v>
                </c:pt>
                <c:pt idx="358">
                  <c:v>16.75</c:v>
                </c:pt>
                <c:pt idx="359">
                  <c:v>17.809999999999999</c:v>
                </c:pt>
                <c:pt idx="360">
                  <c:v>18.32</c:v>
                </c:pt>
                <c:pt idx="361">
                  <c:v>16.420000000000002</c:v>
                </c:pt>
                <c:pt idx="362">
                  <c:v>15.4</c:v>
                </c:pt>
                <c:pt idx="363">
                  <c:v>19.37</c:v>
                </c:pt>
                <c:pt idx="364">
                  <c:v>20.34</c:v>
                </c:pt>
                <c:pt idx="366">
                  <c:v>19.2</c:v>
                </c:pt>
                <c:pt idx="367">
                  <c:v>18.66</c:v>
                </c:pt>
                <c:pt idx="368">
                  <c:v>14.51</c:v>
                </c:pt>
                <c:pt idx="369">
                  <c:v>16.82</c:v>
                </c:pt>
                <c:pt idx="370">
                  <c:v>16.940000000000001</c:v>
                </c:pt>
                <c:pt idx="371">
                  <c:v>16.78</c:v>
                </c:pt>
                <c:pt idx="372">
                  <c:v>14.36</c:v>
                </c:pt>
                <c:pt idx="373">
                  <c:v>14.48</c:v>
                </c:pt>
                <c:pt idx="374">
                  <c:v>16.97</c:v>
                </c:pt>
                <c:pt idx="375">
                  <c:v>17.63</c:v>
                </c:pt>
                <c:pt idx="376">
                  <c:v>16.2</c:v>
                </c:pt>
                <c:pt idx="377">
                  <c:v>13.69</c:v>
                </c:pt>
                <c:pt idx="378">
                  <c:v>20.85</c:v>
                </c:pt>
                <c:pt idx="379">
                  <c:v>16.11</c:v>
                </c:pt>
                <c:pt idx="380">
                  <c:v>16.329999999999998</c:v>
                </c:pt>
                <c:pt idx="381">
                  <c:v>11.74</c:v>
                </c:pt>
                <c:pt idx="382">
                  <c:v>17.23</c:v>
                </c:pt>
                <c:pt idx="383">
                  <c:v>17.55</c:v>
                </c:pt>
                <c:pt idx="384">
                  <c:v>15.53</c:v>
                </c:pt>
                <c:pt idx="385">
                  <c:v>15.81</c:v>
                </c:pt>
                <c:pt idx="386">
                  <c:v>15.88</c:v>
                </c:pt>
                <c:pt idx="387">
                  <c:v>18.239999999999998</c:v>
                </c:pt>
                <c:pt idx="388">
                  <c:v>18.55</c:v>
                </c:pt>
                <c:pt idx="389">
                  <c:v>20.25</c:v>
                </c:pt>
                <c:pt idx="390">
                  <c:v>16.39</c:v>
                </c:pt>
                <c:pt idx="391">
                  <c:v>19.95</c:v>
                </c:pt>
                <c:pt idx="392">
                  <c:v>15.82</c:v>
                </c:pt>
                <c:pt idx="393">
                  <c:v>15.84</c:v>
                </c:pt>
                <c:pt idx="394">
                  <c:v>15.36</c:v>
                </c:pt>
                <c:pt idx="396">
                  <c:v>16.87</c:v>
                </c:pt>
                <c:pt idx="397">
                  <c:v>17.13</c:v>
                </c:pt>
                <c:pt idx="398">
                  <c:v>13.47</c:v>
                </c:pt>
                <c:pt idx="399">
                  <c:v>13.65</c:v>
                </c:pt>
                <c:pt idx="400">
                  <c:v>15.79</c:v>
                </c:pt>
                <c:pt idx="401">
                  <c:v>19.579999999999998</c:v>
                </c:pt>
                <c:pt idx="402">
                  <c:v>15.81</c:v>
                </c:pt>
                <c:pt idx="403">
                  <c:v>17.89</c:v>
                </c:pt>
                <c:pt idx="404">
                  <c:v>17.25</c:v>
                </c:pt>
                <c:pt idx="405">
                  <c:v>13.8</c:v>
                </c:pt>
                <c:pt idx="406">
                  <c:v>16.940000000000001</c:v>
                </c:pt>
                <c:pt idx="407">
                  <c:v>16.329999999999998</c:v>
                </c:pt>
                <c:pt idx="408">
                  <c:v>20.03</c:v>
                </c:pt>
                <c:pt idx="409">
                  <c:v>19.690000000000001</c:v>
                </c:pt>
                <c:pt idx="410">
                  <c:v>14.97</c:v>
                </c:pt>
                <c:pt idx="411">
                  <c:v>20.329999999999998</c:v>
                </c:pt>
                <c:pt idx="412">
                  <c:v>15.96</c:v>
                </c:pt>
                <c:pt idx="413">
                  <c:v>19.91</c:v>
                </c:pt>
                <c:pt idx="414">
                  <c:v>18.809999999999999</c:v>
                </c:pt>
                <c:pt idx="415">
                  <c:v>14.32</c:v>
                </c:pt>
                <c:pt idx="416">
                  <c:v>17.09</c:v>
                </c:pt>
                <c:pt idx="417">
                  <c:v>19.02</c:v>
                </c:pt>
                <c:pt idx="418">
                  <c:v>17.18</c:v>
                </c:pt>
                <c:pt idx="419">
                  <c:v>21.73</c:v>
                </c:pt>
                <c:pt idx="420">
                  <c:v>17.38</c:v>
                </c:pt>
                <c:pt idx="422">
                  <c:v>16.14</c:v>
                </c:pt>
                <c:pt idx="423">
                  <c:v>15.14</c:v>
                </c:pt>
                <c:pt idx="424">
                  <c:v>16.399999999999999</c:v>
                </c:pt>
                <c:pt idx="425">
                  <c:v>13.78</c:v>
                </c:pt>
                <c:pt idx="426">
                  <c:v>17.649999999999999</c:v>
                </c:pt>
                <c:pt idx="427">
                  <c:v>18.760000000000002</c:v>
                </c:pt>
                <c:pt idx="428">
                  <c:v>23.58</c:v>
                </c:pt>
                <c:pt idx="429">
                  <c:v>17.89</c:v>
                </c:pt>
                <c:pt idx="430">
                  <c:v>16.91</c:v>
                </c:pt>
                <c:pt idx="431">
                  <c:v>15.01</c:v>
                </c:pt>
                <c:pt idx="432">
                  <c:v>15.08</c:v>
                </c:pt>
                <c:pt idx="433">
                  <c:v>17.05</c:v>
                </c:pt>
                <c:pt idx="434">
                  <c:v>17.690000000000001</c:v>
                </c:pt>
                <c:pt idx="435">
                  <c:v>17.920000000000002</c:v>
                </c:pt>
                <c:pt idx="436">
                  <c:v>13.83</c:v>
                </c:pt>
                <c:pt idx="437">
                  <c:v>18.71</c:v>
                </c:pt>
                <c:pt idx="438">
                  <c:v>16.43</c:v>
                </c:pt>
                <c:pt idx="439">
                  <c:v>18.03</c:v>
                </c:pt>
                <c:pt idx="440">
                  <c:v>15.54</c:v>
                </c:pt>
                <c:pt idx="441">
                  <c:v>16.850000000000001</c:v>
                </c:pt>
                <c:pt idx="442">
                  <c:v>14.67</c:v>
                </c:pt>
                <c:pt idx="443">
                  <c:v>20.6</c:v>
                </c:pt>
                <c:pt idx="444">
                  <c:v>15.93</c:v>
                </c:pt>
                <c:pt idx="445">
                  <c:v>17.82</c:v>
                </c:pt>
                <c:pt idx="446">
                  <c:v>18.36</c:v>
                </c:pt>
                <c:pt idx="447">
                  <c:v>17.62</c:v>
                </c:pt>
                <c:pt idx="448">
                  <c:v>16.239999999999998</c:v>
                </c:pt>
                <c:pt idx="449">
                  <c:v>12.59</c:v>
                </c:pt>
                <c:pt idx="450">
                  <c:v>14.08</c:v>
                </c:pt>
                <c:pt idx="452">
                  <c:v>14.92</c:v>
                </c:pt>
                <c:pt idx="453">
                  <c:v>13.44</c:v>
                </c:pt>
                <c:pt idx="454">
                  <c:v>18.62</c:v>
                </c:pt>
                <c:pt idx="455">
                  <c:v>15.87</c:v>
                </c:pt>
                <c:pt idx="456">
                  <c:v>13.3</c:v>
                </c:pt>
                <c:pt idx="457">
                  <c:v>17.7</c:v>
                </c:pt>
                <c:pt idx="458">
                  <c:v>15.07</c:v>
                </c:pt>
                <c:pt idx="459">
                  <c:v>12.16</c:v>
                </c:pt>
                <c:pt idx="460">
                  <c:v>15.36</c:v>
                </c:pt>
                <c:pt idx="461">
                  <c:v>15.59</c:v>
                </c:pt>
                <c:pt idx="462">
                  <c:v>18.36</c:v>
                </c:pt>
                <c:pt idx="463">
                  <c:v>18.420000000000002</c:v>
                </c:pt>
                <c:pt idx="464">
                  <c:v>20.309999999999999</c:v>
                </c:pt>
                <c:pt idx="466">
                  <c:v>19.79</c:v>
                </c:pt>
                <c:pt idx="467">
                  <c:v>18.79</c:v>
                </c:pt>
                <c:pt idx="468">
                  <c:v>12.87</c:v>
                </c:pt>
                <c:pt idx="469">
                  <c:v>16.61</c:v>
                </c:pt>
                <c:pt idx="470">
                  <c:v>17.39</c:v>
                </c:pt>
                <c:pt idx="471">
                  <c:v>17.05</c:v>
                </c:pt>
                <c:pt idx="472">
                  <c:v>13.27</c:v>
                </c:pt>
                <c:pt idx="473">
                  <c:v>17.899999999999999</c:v>
                </c:pt>
                <c:pt idx="474">
                  <c:v>13.26</c:v>
                </c:pt>
                <c:pt idx="475">
                  <c:v>17.829999999999998</c:v>
                </c:pt>
                <c:pt idx="476">
                  <c:v>17.329999999999998</c:v>
                </c:pt>
                <c:pt idx="477">
                  <c:v>20.69</c:v>
                </c:pt>
                <c:pt idx="478">
                  <c:v>16.53</c:v>
                </c:pt>
                <c:pt idx="479">
                  <c:v>12.46</c:v>
                </c:pt>
                <c:pt idx="480">
                  <c:v>15.69</c:v>
                </c:pt>
                <c:pt idx="481">
                  <c:v>17.399999999999999</c:v>
                </c:pt>
                <c:pt idx="482">
                  <c:v>18.77</c:v>
                </c:pt>
                <c:pt idx="483">
                  <c:v>15.87</c:v>
                </c:pt>
                <c:pt idx="484">
                  <c:v>16</c:v>
                </c:pt>
                <c:pt idx="485">
                  <c:v>11.25</c:v>
                </c:pt>
                <c:pt idx="486">
                  <c:v>13.66</c:v>
                </c:pt>
                <c:pt idx="487">
                  <c:v>14.21</c:v>
                </c:pt>
                <c:pt idx="488">
                  <c:v>16.559999999999999</c:v>
                </c:pt>
                <c:pt idx="490">
                  <c:v>19.39</c:v>
                </c:pt>
                <c:pt idx="491">
                  <c:v>17.149999999999999</c:v>
                </c:pt>
                <c:pt idx="492">
                  <c:v>16.79</c:v>
                </c:pt>
                <c:pt idx="493">
                  <c:v>12.18</c:v>
                </c:pt>
                <c:pt idx="494">
                  <c:v>19.54</c:v>
                </c:pt>
                <c:pt idx="495">
                  <c:v>15.41</c:v>
                </c:pt>
                <c:pt idx="496">
                  <c:v>20.11</c:v>
                </c:pt>
                <c:pt idx="497">
                  <c:v>14.73</c:v>
                </c:pt>
                <c:pt idx="498">
                  <c:v>19.43</c:v>
                </c:pt>
                <c:pt idx="499">
                  <c:v>17.63</c:v>
                </c:pt>
                <c:pt idx="500">
                  <c:v>17.53</c:v>
                </c:pt>
                <c:pt idx="501">
                  <c:v>14.95</c:v>
                </c:pt>
                <c:pt idx="502">
                  <c:v>18.899999999999999</c:v>
                </c:pt>
                <c:pt idx="503">
                  <c:v>13.74</c:v>
                </c:pt>
                <c:pt idx="504">
                  <c:v>20.41</c:v>
                </c:pt>
                <c:pt idx="505">
                  <c:v>16.329999999999998</c:v>
                </c:pt>
                <c:pt idx="506">
                  <c:v>15.49</c:v>
                </c:pt>
                <c:pt idx="507">
                  <c:v>14</c:v>
                </c:pt>
                <c:pt idx="508">
                  <c:v>13.37</c:v>
                </c:pt>
                <c:pt idx="509">
                  <c:v>16.45</c:v>
                </c:pt>
                <c:pt idx="510">
                  <c:v>15.19</c:v>
                </c:pt>
                <c:pt idx="511">
                  <c:v>17.7</c:v>
                </c:pt>
                <c:pt idx="512">
                  <c:v>20.6</c:v>
                </c:pt>
                <c:pt idx="513">
                  <c:v>21.27</c:v>
                </c:pt>
                <c:pt idx="514">
                  <c:v>16.34</c:v>
                </c:pt>
                <c:pt idx="515">
                  <c:v>16.28</c:v>
                </c:pt>
                <c:pt idx="516">
                  <c:v>13.78</c:v>
                </c:pt>
                <c:pt idx="517">
                  <c:v>17.829999999999998</c:v>
                </c:pt>
                <c:pt idx="518">
                  <c:v>16.829999999999998</c:v>
                </c:pt>
                <c:pt idx="519">
                  <c:v>13.66</c:v>
                </c:pt>
                <c:pt idx="520">
                  <c:v>19</c:v>
                </c:pt>
                <c:pt idx="521">
                  <c:v>15.67</c:v>
                </c:pt>
                <c:pt idx="522">
                  <c:v>16.100000000000001</c:v>
                </c:pt>
                <c:pt idx="523">
                  <c:v>18.37</c:v>
                </c:pt>
                <c:pt idx="524">
                  <c:v>20.059999999999999</c:v>
                </c:pt>
                <c:pt idx="525">
                  <c:v>17.62</c:v>
                </c:pt>
                <c:pt idx="526">
                  <c:v>14.22</c:v>
                </c:pt>
                <c:pt idx="527">
                  <c:v>14.4</c:v>
                </c:pt>
                <c:pt idx="528">
                  <c:v>15.64</c:v>
                </c:pt>
                <c:pt idx="529">
                  <c:v>14.09</c:v>
                </c:pt>
                <c:pt idx="530">
                  <c:v>19.82</c:v>
                </c:pt>
                <c:pt idx="531">
                  <c:v>16.670000000000002</c:v>
                </c:pt>
                <c:pt idx="532">
                  <c:v>16.309999999999999</c:v>
                </c:pt>
                <c:pt idx="533">
                  <c:v>17.28</c:v>
                </c:pt>
                <c:pt idx="534">
                  <c:v>13.54</c:v>
                </c:pt>
                <c:pt idx="536">
                  <c:v>19.739999999999998</c:v>
                </c:pt>
                <c:pt idx="537">
                  <c:v>14.4</c:v>
                </c:pt>
                <c:pt idx="538">
                  <c:v>16.64</c:v>
                </c:pt>
                <c:pt idx="539">
                  <c:v>16.57</c:v>
                </c:pt>
                <c:pt idx="540">
                  <c:v>14.11</c:v>
                </c:pt>
                <c:pt idx="541">
                  <c:v>19.12</c:v>
                </c:pt>
                <c:pt idx="542">
                  <c:v>18.02</c:v>
                </c:pt>
                <c:pt idx="543">
                  <c:v>15.04</c:v>
                </c:pt>
                <c:pt idx="544">
                  <c:v>17.8</c:v>
                </c:pt>
                <c:pt idx="545">
                  <c:v>20</c:v>
                </c:pt>
                <c:pt idx="546">
                  <c:v>18.62</c:v>
                </c:pt>
                <c:pt idx="547">
                  <c:v>17.77</c:v>
                </c:pt>
                <c:pt idx="548">
                  <c:v>14.43</c:v>
                </c:pt>
                <c:pt idx="549">
                  <c:v>15.96</c:v>
                </c:pt>
                <c:pt idx="550">
                  <c:v>14.62</c:v>
                </c:pt>
                <c:pt idx="551">
                  <c:v>18.149999999999999</c:v>
                </c:pt>
                <c:pt idx="552">
                  <c:v>14</c:v>
                </c:pt>
                <c:pt idx="553">
                  <c:v>19</c:v>
                </c:pt>
                <c:pt idx="554">
                  <c:v>18.84</c:v>
                </c:pt>
                <c:pt idx="555">
                  <c:v>14.45</c:v>
                </c:pt>
                <c:pt idx="556">
                  <c:v>18.760000000000002</c:v>
                </c:pt>
                <c:pt idx="557">
                  <c:v>15.26</c:v>
                </c:pt>
                <c:pt idx="558">
                  <c:v>15.38</c:v>
                </c:pt>
                <c:pt idx="559">
                  <c:v>12.99</c:v>
                </c:pt>
                <c:pt idx="560">
                  <c:v>12.98</c:v>
                </c:pt>
                <c:pt idx="561">
                  <c:v>21.69</c:v>
                </c:pt>
                <c:pt idx="562">
                  <c:v>20.58</c:v>
                </c:pt>
                <c:pt idx="563">
                  <c:v>18.79</c:v>
                </c:pt>
                <c:pt idx="564">
                  <c:v>13.59</c:v>
                </c:pt>
                <c:pt idx="565">
                  <c:v>19.440000000000001</c:v>
                </c:pt>
                <c:pt idx="566">
                  <c:v>18.41</c:v>
                </c:pt>
                <c:pt idx="567">
                  <c:v>15.99</c:v>
                </c:pt>
                <c:pt idx="569">
                  <c:v>16.010000000000002</c:v>
                </c:pt>
                <c:pt idx="570">
                  <c:v>18.649999999999999</c:v>
                </c:pt>
                <c:pt idx="571">
                  <c:v>13.77</c:v>
                </c:pt>
                <c:pt idx="572">
                  <c:v>16</c:v>
                </c:pt>
                <c:pt idx="573">
                  <c:v>17.989999999999998</c:v>
                </c:pt>
                <c:pt idx="574">
                  <c:v>16.559999999999999</c:v>
                </c:pt>
                <c:pt idx="575">
                  <c:v>23.88</c:v>
                </c:pt>
                <c:pt idx="576">
                  <c:v>16.850000000000001</c:v>
                </c:pt>
                <c:pt idx="577">
                  <c:v>12.74</c:v>
                </c:pt>
                <c:pt idx="578">
                  <c:v>14.49</c:v>
                </c:pt>
                <c:pt idx="579">
                  <c:v>19.059999999999999</c:v>
                </c:pt>
                <c:pt idx="580">
                  <c:v>16.32</c:v>
                </c:pt>
                <c:pt idx="581">
                  <c:v>14.25</c:v>
                </c:pt>
                <c:pt idx="582">
                  <c:v>16.649999999999999</c:v>
                </c:pt>
                <c:pt idx="583">
                  <c:v>15.34</c:v>
                </c:pt>
                <c:pt idx="584">
                  <c:v>15.7</c:v>
                </c:pt>
                <c:pt idx="585">
                  <c:v>16.78</c:v>
                </c:pt>
                <c:pt idx="587">
                  <c:v>17.68</c:v>
                </c:pt>
                <c:pt idx="588">
                  <c:v>15.84</c:v>
                </c:pt>
                <c:pt idx="589">
                  <c:v>16.88</c:v>
                </c:pt>
                <c:pt idx="590">
                  <c:v>21.04</c:v>
                </c:pt>
                <c:pt idx="591">
                  <c:v>19.16</c:v>
                </c:pt>
                <c:pt idx="592">
                  <c:v>17.87</c:v>
                </c:pt>
                <c:pt idx="593">
                  <c:v>14.75</c:v>
                </c:pt>
                <c:pt idx="594">
                  <c:v>17.93</c:v>
                </c:pt>
                <c:pt idx="595">
                  <c:v>14.4</c:v>
                </c:pt>
                <c:pt idx="596">
                  <c:v>17.88</c:v>
                </c:pt>
                <c:pt idx="597">
                  <c:v>13.95</c:v>
                </c:pt>
                <c:pt idx="598">
                  <c:v>14.16</c:v>
                </c:pt>
                <c:pt idx="599">
                  <c:v>16.88</c:v>
                </c:pt>
                <c:pt idx="600">
                  <c:v>16.41</c:v>
                </c:pt>
                <c:pt idx="601">
                  <c:v>15.88</c:v>
                </c:pt>
                <c:pt idx="602">
                  <c:v>15.91</c:v>
                </c:pt>
                <c:pt idx="603">
                  <c:v>16.52</c:v>
                </c:pt>
                <c:pt idx="604">
                  <c:v>16.940000000000001</c:v>
                </c:pt>
                <c:pt idx="605">
                  <c:v>23.51</c:v>
                </c:pt>
                <c:pt idx="606">
                  <c:v>13.6</c:v>
                </c:pt>
                <c:pt idx="607">
                  <c:v>17.63</c:v>
                </c:pt>
                <c:pt idx="608">
                  <c:v>14.4</c:v>
                </c:pt>
                <c:pt idx="609">
                  <c:v>18.12</c:v>
                </c:pt>
                <c:pt idx="610">
                  <c:v>17.600000000000001</c:v>
                </c:pt>
                <c:pt idx="611">
                  <c:v>17.89</c:v>
                </c:pt>
                <c:pt idx="612">
                  <c:v>19.53</c:v>
                </c:pt>
                <c:pt idx="613">
                  <c:v>20.12</c:v>
                </c:pt>
                <c:pt idx="614">
                  <c:v>19.84</c:v>
                </c:pt>
                <c:pt idx="615">
                  <c:v>15.36</c:v>
                </c:pt>
                <c:pt idx="616">
                  <c:v>12.07</c:v>
                </c:pt>
                <c:pt idx="617">
                  <c:v>12.27</c:v>
                </c:pt>
                <c:pt idx="618">
                  <c:v>13.16</c:v>
                </c:pt>
                <c:pt idx="619">
                  <c:v>16.52</c:v>
                </c:pt>
                <c:pt idx="620">
                  <c:v>16.32</c:v>
                </c:pt>
                <c:pt idx="621">
                  <c:v>15.48</c:v>
                </c:pt>
                <c:pt idx="622">
                  <c:v>17.170000000000002</c:v>
                </c:pt>
                <c:pt idx="623">
                  <c:v>13.35</c:v>
                </c:pt>
                <c:pt idx="624">
                  <c:v>19.53</c:v>
                </c:pt>
                <c:pt idx="625">
                  <c:v>17.329999999999998</c:v>
                </c:pt>
                <c:pt idx="626">
                  <c:v>16.18</c:v>
                </c:pt>
                <c:pt idx="627">
                  <c:v>20.82</c:v>
                </c:pt>
                <c:pt idx="628">
                  <c:v>20.63</c:v>
                </c:pt>
                <c:pt idx="629">
                  <c:v>15.81</c:v>
                </c:pt>
                <c:pt idx="630">
                  <c:v>13.92</c:v>
                </c:pt>
                <c:pt idx="631">
                  <c:v>14.99</c:v>
                </c:pt>
                <c:pt idx="632">
                  <c:v>15.2</c:v>
                </c:pt>
                <c:pt idx="633">
                  <c:v>17.46</c:v>
                </c:pt>
                <c:pt idx="634">
                  <c:v>15.3</c:v>
                </c:pt>
                <c:pt idx="635">
                  <c:v>17.170000000000002</c:v>
                </c:pt>
                <c:pt idx="636">
                  <c:v>19.010000000000002</c:v>
                </c:pt>
                <c:pt idx="637">
                  <c:v>16.52</c:v>
                </c:pt>
                <c:pt idx="638">
                  <c:v>17.05</c:v>
                </c:pt>
                <c:pt idx="639">
                  <c:v>16.309999999999999</c:v>
                </c:pt>
                <c:pt idx="640">
                  <c:v>18.63</c:v>
                </c:pt>
                <c:pt idx="641">
                  <c:v>18.11</c:v>
                </c:pt>
                <c:pt idx="642">
                  <c:v>19</c:v>
                </c:pt>
                <c:pt idx="643">
                  <c:v>15.13</c:v>
                </c:pt>
                <c:pt idx="644">
                  <c:v>16.59</c:v>
                </c:pt>
                <c:pt idx="645">
                  <c:v>13.4</c:v>
                </c:pt>
                <c:pt idx="646">
                  <c:v>15.23</c:v>
                </c:pt>
                <c:pt idx="647">
                  <c:v>16.91</c:v>
                </c:pt>
                <c:pt idx="648">
                  <c:v>15.29</c:v>
                </c:pt>
                <c:pt idx="649">
                  <c:v>18.91</c:v>
                </c:pt>
                <c:pt idx="650">
                  <c:v>15.37</c:v>
                </c:pt>
                <c:pt idx="651">
                  <c:v>17.71</c:v>
                </c:pt>
                <c:pt idx="652">
                  <c:v>17.649999999999999</c:v>
                </c:pt>
                <c:pt idx="653">
                  <c:v>11.61</c:v>
                </c:pt>
                <c:pt idx="655">
                  <c:v>21.74</c:v>
                </c:pt>
                <c:pt idx="656">
                  <c:v>18.29</c:v>
                </c:pt>
                <c:pt idx="657">
                  <c:v>17.260000000000002</c:v>
                </c:pt>
                <c:pt idx="658">
                  <c:v>15.52</c:v>
                </c:pt>
                <c:pt idx="659">
                  <c:v>16.87</c:v>
                </c:pt>
                <c:pt idx="660">
                  <c:v>17.77</c:v>
                </c:pt>
                <c:pt idx="661">
                  <c:v>14.12</c:v>
                </c:pt>
                <c:pt idx="662">
                  <c:v>19.66</c:v>
                </c:pt>
                <c:pt idx="663">
                  <c:v>17.52</c:v>
                </c:pt>
                <c:pt idx="664">
                  <c:v>14.69</c:v>
                </c:pt>
                <c:pt idx="665">
                  <c:v>14.16</c:v>
                </c:pt>
                <c:pt idx="666">
                  <c:v>17.34</c:v>
                </c:pt>
                <c:pt idx="667">
                  <c:v>15.08</c:v>
                </c:pt>
                <c:pt idx="668">
                  <c:v>17.86</c:v>
                </c:pt>
                <c:pt idx="669">
                  <c:v>14.21</c:v>
                </c:pt>
                <c:pt idx="670">
                  <c:v>19.29</c:v>
                </c:pt>
                <c:pt idx="671">
                  <c:v>12.59</c:v>
                </c:pt>
                <c:pt idx="672">
                  <c:v>18.23</c:v>
                </c:pt>
                <c:pt idx="673">
                  <c:v>15.15</c:v>
                </c:pt>
                <c:pt idx="674">
                  <c:v>16.670000000000002</c:v>
                </c:pt>
                <c:pt idx="675">
                  <c:v>16.39</c:v>
                </c:pt>
                <c:pt idx="676">
                  <c:v>18.14</c:v>
                </c:pt>
                <c:pt idx="677">
                  <c:v>17.14</c:v>
                </c:pt>
                <c:pt idx="678">
                  <c:v>15.57</c:v>
                </c:pt>
                <c:pt idx="679">
                  <c:v>15.97</c:v>
                </c:pt>
                <c:pt idx="680">
                  <c:v>16.510000000000002</c:v>
                </c:pt>
                <c:pt idx="681">
                  <c:v>16.600000000000001</c:v>
                </c:pt>
                <c:pt idx="682">
                  <c:v>16.350000000000001</c:v>
                </c:pt>
                <c:pt idx="685">
                  <c:v>19.45</c:v>
                </c:pt>
                <c:pt idx="686">
                  <c:v>13.12</c:v>
                </c:pt>
                <c:pt idx="687">
                  <c:v>12.04</c:v>
                </c:pt>
                <c:pt idx="688">
                  <c:v>18.78</c:v>
                </c:pt>
                <c:pt idx="690">
                  <c:v>13.85</c:v>
                </c:pt>
                <c:pt idx="691">
                  <c:v>14.19</c:v>
                </c:pt>
                <c:pt idx="692">
                  <c:v>16.68</c:v>
                </c:pt>
                <c:pt idx="694">
                  <c:v>20.28</c:v>
                </c:pt>
                <c:pt idx="695">
                  <c:v>13.98</c:v>
                </c:pt>
                <c:pt idx="696">
                  <c:v>16.079999999999998</c:v>
                </c:pt>
                <c:pt idx="697">
                  <c:v>18.87</c:v>
                </c:pt>
                <c:pt idx="698">
                  <c:v>16.2</c:v>
                </c:pt>
                <c:pt idx="699">
                  <c:v>18.489999999999998</c:v>
                </c:pt>
                <c:pt idx="700">
                  <c:v>20.73</c:v>
                </c:pt>
                <c:pt idx="701">
                  <c:v>14.21</c:v>
                </c:pt>
                <c:pt idx="702">
                  <c:v>17.43</c:v>
                </c:pt>
                <c:pt idx="703">
                  <c:v>13.45</c:v>
                </c:pt>
                <c:pt idx="704">
                  <c:v>14.27</c:v>
                </c:pt>
                <c:pt idx="705">
                  <c:v>12.1</c:v>
                </c:pt>
                <c:pt idx="706">
                  <c:v>16.71</c:v>
                </c:pt>
                <c:pt idx="707">
                  <c:v>17.18</c:v>
                </c:pt>
                <c:pt idx="708">
                  <c:v>14.66</c:v>
                </c:pt>
                <c:pt idx="709">
                  <c:v>13.56</c:v>
                </c:pt>
                <c:pt idx="710">
                  <c:v>13.72</c:v>
                </c:pt>
                <c:pt idx="712">
                  <c:v>16.690000000000001</c:v>
                </c:pt>
                <c:pt idx="713">
                  <c:v>19.61</c:v>
                </c:pt>
                <c:pt idx="714">
                  <c:v>16.32</c:v>
                </c:pt>
                <c:pt idx="715">
                  <c:v>13.76</c:v>
                </c:pt>
                <c:pt idx="716">
                  <c:v>19</c:v>
                </c:pt>
                <c:pt idx="717">
                  <c:v>21.58</c:v>
                </c:pt>
                <c:pt idx="718">
                  <c:v>21.06</c:v>
                </c:pt>
                <c:pt idx="719">
                  <c:v>20.440000000000001</c:v>
                </c:pt>
                <c:pt idx="720">
                  <c:v>18.96</c:v>
                </c:pt>
                <c:pt idx="721">
                  <c:v>16.09</c:v>
                </c:pt>
                <c:pt idx="722">
                  <c:v>21.88</c:v>
                </c:pt>
                <c:pt idx="723">
                  <c:v>19.73</c:v>
                </c:pt>
                <c:pt idx="724">
                  <c:v>12.75</c:v>
                </c:pt>
                <c:pt idx="725">
                  <c:v>17.21</c:v>
                </c:pt>
                <c:pt idx="726">
                  <c:v>16.66</c:v>
                </c:pt>
                <c:pt idx="727">
                  <c:v>16.940000000000001</c:v>
                </c:pt>
                <c:pt idx="728">
                  <c:v>21.77</c:v>
                </c:pt>
                <c:pt idx="729">
                  <c:v>19.059999999999999</c:v>
                </c:pt>
                <c:pt idx="730">
                  <c:v>15.2</c:v>
                </c:pt>
                <c:pt idx="731">
                  <c:v>16.7</c:v>
                </c:pt>
                <c:pt idx="732">
                  <c:v>17.25</c:v>
                </c:pt>
                <c:pt idx="733">
                  <c:v>21.83</c:v>
                </c:pt>
                <c:pt idx="734">
                  <c:v>14.18</c:v>
                </c:pt>
                <c:pt idx="735">
                  <c:v>15.61</c:v>
                </c:pt>
                <c:pt idx="736">
                  <c:v>18.5</c:v>
                </c:pt>
                <c:pt idx="737">
                  <c:v>15.52</c:v>
                </c:pt>
                <c:pt idx="738">
                  <c:v>15.45</c:v>
                </c:pt>
                <c:pt idx="739">
                  <c:v>21.19</c:v>
                </c:pt>
                <c:pt idx="740">
                  <c:v>16.559999999999999</c:v>
                </c:pt>
                <c:pt idx="741">
                  <c:v>18.010000000000002</c:v>
                </c:pt>
                <c:pt idx="742">
                  <c:v>19.440000000000001</c:v>
                </c:pt>
                <c:pt idx="744">
                  <c:v>15</c:v>
                </c:pt>
                <c:pt idx="745">
                  <c:v>16.920000000000002</c:v>
                </c:pt>
                <c:pt idx="747">
                  <c:v>14.94</c:v>
                </c:pt>
                <c:pt idx="748">
                  <c:v>15.59</c:v>
                </c:pt>
                <c:pt idx="749">
                  <c:v>15.59</c:v>
                </c:pt>
                <c:pt idx="750">
                  <c:v>13.56</c:v>
                </c:pt>
                <c:pt idx="751">
                  <c:v>17.059999999999999</c:v>
                </c:pt>
                <c:pt idx="752">
                  <c:v>16.97</c:v>
                </c:pt>
                <c:pt idx="753">
                  <c:v>15.93</c:v>
                </c:pt>
                <c:pt idx="754">
                  <c:v>14.08</c:v>
                </c:pt>
                <c:pt idx="755">
                  <c:v>19.170000000000002</c:v>
                </c:pt>
                <c:pt idx="756">
                  <c:v>19.29</c:v>
                </c:pt>
                <c:pt idx="757">
                  <c:v>17.059999999999999</c:v>
                </c:pt>
                <c:pt idx="758">
                  <c:v>17.22</c:v>
                </c:pt>
                <c:pt idx="759">
                  <c:v>15.4</c:v>
                </c:pt>
                <c:pt idx="760">
                  <c:v>20.68</c:v>
                </c:pt>
                <c:pt idx="761">
                  <c:v>12.76</c:v>
                </c:pt>
                <c:pt idx="762">
                  <c:v>16.190000000000001</c:v>
                </c:pt>
                <c:pt idx="763">
                  <c:v>17.87</c:v>
                </c:pt>
                <c:pt idx="764">
                  <c:v>17.079999999999998</c:v>
                </c:pt>
                <c:pt idx="765">
                  <c:v>14.5</c:v>
                </c:pt>
                <c:pt idx="767">
                  <c:v>12.86</c:v>
                </c:pt>
                <c:pt idx="768">
                  <c:v>15.87</c:v>
                </c:pt>
                <c:pt idx="769">
                  <c:v>15.45</c:v>
                </c:pt>
                <c:pt idx="770">
                  <c:v>14.16</c:v>
                </c:pt>
                <c:pt idx="771">
                  <c:v>16.27</c:v>
                </c:pt>
                <c:pt idx="772">
                  <c:v>20.14</c:v>
                </c:pt>
                <c:pt idx="775">
                  <c:v>15.83</c:v>
                </c:pt>
                <c:pt idx="776">
                  <c:v>17.95</c:v>
                </c:pt>
                <c:pt idx="777">
                  <c:v>19.82</c:v>
                </c:pt>
                <c:pt idx="778">
                  <c:v>14.51</c:v>
                </c:pt>
                <c:pt idx="779">
                  <c:v>19.510000000000002</c:v>
                </c:pt>
                <c:pt idx="780">
                  <c:v>16.66</c:v>
                </c:pt>
                <c:pt idx="781">
                  <c:v>16.89</c:v>
                </c:pt>
                <c:pt idx="782">
                  <c:v>16.52</c:v>
                </c:pt>
                <c:pt idx="783">
                  <c:v>17.63</c:v>
                </c:pt>
                <c:pt idx="784">
                  <c:v>17.559999999999999</c:v>
                </c:pt>
                <c:pt idx="785">
                  <c:v>18.27</c:v>
                </c:pt>
                <c:pt idx="787">
                  <c:v>15.28</c:v>
                </c:pt>
                <c:pt idx="788">
                  <c:v>13.78</c:v>
                </c:pt>
                <c:pt idx="790">
                  <c:v>16.91</c:v>
                </c:pt>
                <c:pt idx="791">
                  <c:v>19.940000000000001</c:v>
                </c:pt>
                <c:pt idx="792">
                  <c:v>13.53</c:v>
                </c:pt>
                <c:pt idx="793">
                  <c:v>18.98</c:v>
                </c:pt>
                <c:pt idx="794">
                  <c:v>17.22</c:v>
                </c:pt>
                <c:pt idx="795">
                  <c:v>15.31</c:v>
                </c:pt>
                <c:pt idx="796">
                  <c:v>18.23</c:v>
                </c:pt>
                <c:pt idx="797">
                  <c:v>14.08</c:v>
                </c:pt>
                <c:pt idx="798">
                  <c:v>19.27</c:v>
                </c:pt>
                <c:pt idx="799">
                  <c:v>17.64</c:v>
                </c:pt>
                <c:pt idx="800">
                  <c:v>14.22</c:v>
                </c:pt>
                <c:pt idx="801">
                  <c:v>21.08</c:v>
                </c:pt>
                <c:pt idx="802">
                  <c:v>17.63</c:v>
                </c:pt>
                <c:pt idx="803">
                  <c:v>20.02</c:v>
                </c:pt>
                <c:pt idx="804">
                  <c:v>16.66</c:v>
                </c:pt>
                <c:pt idx="806">
                  <c:v>16.41</c:v>
                </c:pt>
                <c:pt idx="807">
                  <c:v>17.95</c:v>
                </c:pt>
                <c:pt idx="808">
                  <c:v>17.16</c:v>
                </c:pt>
                <c:pt idx="809">
                  <c:v>14.17</c:v>
                </c:pt>
                <c:pt idx="810">
                  <c:v>15.15</c:v>
                </c:pt>
                <c:pt idx="811">
                  <c:v>15.98</c:v>
                </c:pt>
                <c:pt idx="812">
                  <c:v>12.6</c:v>
                </c:pt>
                <c:pt idx="813">
                  <c:v>21.08</c:v>
                </c:pt>
                <c:pt idx="814">
                  <c:v>17.03</c:v>
                </c:pt>
                <c:pt idx="815">
                  <c:v>15.33</c:v>
                </c:pt>
                <c:pt idx="816">
                  <c:v>18.309999999999999</c:v>
                </c:pt>
                <c:pt idx="817">
                  <c:v>14.97</c:v>
                </c:pt>
                <c:pt idx="819">
                  <c:v>17.98</c:v>
                </c:pt>
                <c:pt idx="820">
                  <c:v>20.09</c:v>
                </c:pt>
                <c:pt idx="821">
                  <c:v>19.309999999999999</c:v>
                </c:pt>
                <c:pt idx="822">
                  <c:v>17.62</c:v>
                </c:pt>
                <c:pt idx="823">
                  <c:v>18.600000000000001</c:v>
                </c:pt>
                <c:pt idx="824">
                  <c:v>17.14</c:v>
                </c:pt>
                <c:pt idx="825">
                  <c:v>17.34</c:v>
                </c:pt>
                <c:pt idx="826">
                  <c:v>15.43</c:v>
                </c:pt>
                <c:pt idx="827">
                  <c:v>14.59</c:v>
                </c:pt>
                <c:pt idx="828">
                  <c:v>16.899999999999999</c:v>
                </c:pt>
                <c:pt idx="829">
                  <c:v>21.44</c:v>
                </c:pt>
                <c:pt idx="830">
                  <c:v>16.46</c:v>
                </c:pt>
                <c:pt idx="831">
                  <c:v>20.61</c:v>
                </c:pt>
                <c:pt idx="832">
                  <c:v>15.03</c:v>
                </c:pt>
                <c:pt idx="833">
                  <c:v>14</c:v>
                </c:pt>
                <c:pt idx="834">
                  <c:v>21.59</c:v>
                </c:pt>
                <c:pt idx="835">
                  <c:v>16.25</c:v>
                </c:pt>
                <c:pt idx="836">
                  <c:v>19.25</c:v>
                </c:pt>
                <c:pt idx="837">
                  <c:v>14.02</c:v>
                </c:pt>
                <c:pt idx="838">
                  <c:v>12.14</c:v>
                </c:pt>
                <c:pt idx="839">
                  <c:v>15.66</c:v>
                </c:pt>
                <c:pt idx="840">
                  <c:v>14.16</c:v>
                </c:pt>
                <c:pt idx="841">
                  <c:v>16.71</c:v>
                </c:pt>
                <c:pt idx="842">
                  <c:v>12.98</c:v>
                </c:pt>
                <c:pt idx="843">
                  <c:v>16.02</c:v>
                </c:pt>
                <c:pt idx="844">
                  <c:v>20.66</c:v>
                </c:pt>
                <c:pt idx="845">
                  <c:v>12.95</c:v>
                </c:pt>
                <c:pt idx="846">
                  <c:v>18.239999999999998</c:v>
                </c:pt>
                <c:pt idx="847">
                  <c:v>17.739999999999998</c:v>
                </c:pt>
                <c:pt idx="848">
                  <c:v>18.78</c:v>
                </c:pt>
                <c:pt idx="850">
                  <c:v>18.09</c:v>
                </c:pt>
                <c:pt idx="851">
                  <c:v>18.23</c:v>
                </c:pt>
                <c:pt idx="852">
                  <c:v>17.440000000000001</c:v>
                </c:pt>
                <c:pt idx="853">
                  <c:v>13.48</c:v>
                </c:pt>
                <c:pt idx="854">
                  <c:v>16.66</c:v>
                </c:pt>
                <c:pt idx="855">
                  <c:v>20.059999999999999</c:v>
                </c:pt>
                <c:pt idx="856">
                  <c:v>12.31</c:v>
                </c:pt>
                <c:pt idx="857">
                  <c:v>14.44</c:v>
                </c:pt>
                <c:pt idx="858">
                  <c:v>13.72</c:v>
                </c:pt>
                <c:pt idx="860">
                  <c:v>18.75</c:v>
                </c:pt>
                <c:pt idx="861">
                  <c:v>22.74</c:v>
                </c:pt>
                <c:pt idx="862">
                  <c:v>19.34</c:v>
                </c:pt>
                <c:pt idx="863">
                  <c:v>17.82</c:v>
                </c:pt>
                <c:pt idx="864">
                  <c:v>12.66</c:v>
                </c:pt>
                <c:pt idx="865">
                  <c:v>13.99</c:v>
                </c:pt>
                <c:pt idx="867">
                  <c:v>14.29</c:v>
                </c:pt>
                <c:pt idx="868">
                  <c:v>15.92</c:v>
                </c:pt>
                <c:pt idx="869">
                  <c:v>21.89</c:v>
                </c:pt>
                <c:pt idx="870">
                  <c:v>14.92</c:v>
                </c:pt>
                <c:pt idx="871">
                  <c:v>11.69</c:v>
                </c:pt>
                <c:pt idx="872">
                  <c:v>17.78</c:v>
                </c:pt>
                <c:pt idx="874">
                  <c:v>14.53</c:v>
                </c:pt>
                <c:pt idx="876">
                  <c:v>11.3</c:v>
                </c:pt>
                <c:pt idx="877">
                  <c:v>17.07</c:v>
                </c:pt>
                <c:pt idx="878">
                  <c:v>13.15</c:v>
                </c:pt>
                <c:pt idx="879">
                  <c:v>13.82</c:v>
                </c:pt>
                <c:pt idx="880">
                  <c:v>14.91</c:v>
                </c:pt>
                <c:pt idx="881">
                  <c:v>16.11</c:v>
                </c:pt>
                <c:pt idx="882">
                  <c:v>17.41</c:v>
                </c:pt>
                <c:pt idx="884">
                  <c:v>15.1</c:v>
                </c:pt>
                <c:pt idx="885">
                  <c:v>14.6</c:v>
                </c:pt>
                <c:pt idx="886">
                  <c:v>15.25</c:v>
                </c:pt>
                <c:pt idx="887">
                  <c:v>20.010000000000002</c:v>
                </c:pt>
                <c:pt idx="888">
                  <c:v>13.54</c:v>
                </c:pt>
                <c:pt idx="889">
                  <c:v>15.21</c:v>
                </c:pt>
                <c:pt idx="890">
                  <c:v>16.62</c:v>
                </c:pt>
                <c:pt idx="891">
                  <c:v>14.93</c:v>
                </c:pt>
                <c:pt idx="892">
                  <c:v>18.62</c:v>
                </c:pt>
                <c:pt idx="893">
                  <c:v>15.04</c:v>
                </c:pt>
                <c:pt idx="894">
                  <c:v>18.29</c:v>
                </c:pt>
                <c:pt idx="895">
                  <c:v>15.94</c:v>
                </c:pt>
                <c:pt idx="896">
                  <c:v>18.75</c:v>
                </c:pt>
                <c:pt idx="897">
                  <c:v>15.17</c:v>
                </c:pt>
                <c:pt idx="898">
                  <c:v>13.52</c:v>
                </c:pt>
                <c:pt idx="899">
                  <c:v>21.78</c:v>
                </c:pt>
                <c:pt idx="900">
                  <c:v>16.04</c:v>
                </c:pt>
                <c:pt idx="901">
                  <c:v>17.98</c:v>
                </c:pt>
                <c:pt idx="902">
                  <c:v>15.41</c:v>
                </c:pt>
                <c:pt idx="903">
                  <c:v>16.579999999999998</c:v>
                </c:pt>
                <c:pt idx="904">
                  <c:v>15.94</c:v>
                </c:pt>
                <c:pt idx="905">
                  <c:v>19.13</c:v>
                </c:pt>
                <c:pt idx="906">
                  <c:v>21.76</c:v>
                </c:pt>
                <c:pt idx="907">
                  <c:v>15.9</c:v>
                </c:pt>
                <c:pt idx="908">
                  <c:v>17.8</c:v>
                </c:pt>
                <c:pt idx="909">
                  <c:v>16.13</c:v>
                </c:pt>
                <c:pt idx="910">
                  <c:v>18.940000000000001</c:v>
                </c:pt>
                <c:pt idx="911">
                  <c:v>13.89</c:v>
                </c:pt>
                <c:pt idx="912">
                  <c:v>14.41</c:v>
                </c:pt>
                <c:pt idx="913">
                  <c:v>19.79</c:v>
                </c:pt>
                <c:pt idx="914">
                  <c:v>15.45</c:v>
                </c:pt>
                <c:pt idx="915">
                  <c:v>18.399999999999999</c:v>
                </c:pt>
                <c:pt idx="916">
                  <c:v>13.54</c:v>
                </c:pt>
                <c:pt idx="917">
                  <c:v>15.06</c:v>
                </c:pt>
                <c:pt idx="918">
                  <c:v>15.89</c:v>
                </c:pt>
                <c:pt idx="919">
                  <c:v>17.920000000000002</c:v>
                </c:pt>
                <c:pt idx="920">
                  <c:v>17.420000000000002</c:v>
                </c:pt>
                <c:pt idx="921">
                  <c:v>16.97</c:v>
                </c:pt>
                <c:pt idx="922">
                  <c:v>16.329999999999998</c:v>
                </c:pt>
                <c:pt idx="923">
                  <c:v>17.809999999999999</c:v>
                </c:pt>
                <c:pt idx="924">
                  <c:v>20.87</c:v>
                </c:pt>
                <c:pt idx="925">
                  <c:v>18.239999999999998</c:v>
                </c:pt>
                <c:pt idx="926">
                  <c:v>16.23</c:v>
                </c:pt>
                <c:pt idx="927">
                  <c:v>15.29</c:v>
                </c:pt>
                <c:pt idx="928">
                  <c:v>18.63</c:v>
                </c:pt>
                <c:pt idx="929">
                  <c:v>16.53</c:v>
                </c:pt>
                <c:pt idx="930">
                  <c:v>19.100000000000001</c:v>
                </c:pt>
                <c:pt idx="931">
                  <c:v>18.16</c:v>
                </c:pt>
                <c:pt idx="932">
                  <c:v>15.03</c:v>
                </c:pt>
                <c:pt idx="933">
                  <c:v>16.28</c:v>
                </c:pt>
                <c:pt idx="934">
                  <c:v>13.08</c:v>
                </c:pt>
                <c:pt idx="935">
                  <c:v>19.57</c:v>
                </c:pt>
                <c:pt idx="936">
                  <c:v>17.600000000000001</c:v>
                </c:pt>
                <c:pt idx="937">
                  <c:v>17.100000000000001</c:v>
                </c:pt>
                <c:pt idx="938">
                  <c:v>19.13</c:v>
                </c:pt>
                <c:pt idx="939">
                  <c:v>19.559999999999999</c:v>
                </c:pt>
                <c:pt idx="940">
                  <c:v>18.48</c:v>
                </c:pt>
                <c:pt idx="941">
                  <c:v>17.25</c:v>
                </c:pt>
                <c:pt idx="942">
                  <c:v>16.86</c:v>
                </c:pt>
                <c:pt idx="943">
                  <c:v>20</c:v>
                </c:pt>
                <c:pt idx="944">
                  <c:v>12.03</c:v>
                </c:pt>
                <c:pt idx="945">
                  <c:v>20.02</c:v>
                </c:pt>
                <c:pt idx="946">
                  <c:v>15.52</c:v>
                </c:pt>
                <c:pt idx="947">
                  <c:v>16.559999999999999</c:v>
                </c:pt>
                <c:pt idx="948">
                  <c:v>11.7</c:v>
                </c:pt>
                <c:pt idx="949">
                  <c:v>13.21</c:v>
                </c:pt>
                <c:pt idx="950">
                  <c:v>15.71</c:v>
                </c:pt>
                <c:pt idx="951">
                  <c:v>16.809999999999999</c:v>
                </c:pt>
                <c:pt idx="952">
                  <c:v>16.399999999999999</c:v>
                </c:pt>
                <c:pt idx="953">
                  <c:v>16.29</c:v>
                </c:pt>
                <c:pt idx="954">
                  <c:v>13.26</c:v>
                </c:pt>
                <c:pt idx="955">
                  <c:v>15.27</c:v>
                </c:pt>
                <c:pt idx="956">
                  <c:v>19.16</c:v>
                </c:pt>
                <c:pt idx="957">
                  <c:v>12.24</c:v>
                </c:pt>
                <c:pt idx="958">
                  <c:v>19.309999999999999</c:v>
                </c:pt>
                <c:pt idx="959">
                  <c:v>15.79</c:v>
                </c:pt>
                <c:pt idx="960">
                  <c:v>12.38</c:v>
                </c:pt>
                <c:pt idx="961">
                  <c:v>17.98</c:v>
                </c:pt>
                <c:pt idx="962">
                  <c:v>17.64</c:v>
                </c:pt>
                <c:pt idx="963">
                  <c:v>18.899999999999999</c:v>
                </c:pt>
                <c:pt idx="964">
                  <c:v>15.19</c:v>
                </c:pt>
                <c:pt idx="965">
                  <c:v>18.02</c:v>
                </c:pt>
                <c:pt idx="966">
                  <c:v>16.170000000000002</c:v>
                </c:pt>
                <c:pt idx="967">
                  <c:v>10.86</c:v>
                </c:pt>
                <c:pt idx="968">
                  <c:v>17.29</c:v>
                </c:pt>
                <c:pt idx="969">
                  <c:v>13.88</c:v>
                </c:pt>
                <c:pt idx="970">
                  <c:v>17.16</c:v>
                </c:pt>
                <c:pt idx="971">
                  <c:v>17.260000000000002</c:v>
                </c:pt>
                <c:pt idx="972">
                  <c:v>19.649999999999999</c:v>
                </c:pt>
                <c:pt idx="973">
                  <c:v>15.86</c:v>
                </c:pt>
                <c:pt idx="974">
                  <c:v>16.87</c:v>
                </c:pt>
                <c:pt idx="975">
                  <c:v>14.39</c:v>
                </c:pt>
                <c:pt idx="976">
                  <c:v>16.399999999999999</c:v>
                </c:pt>
                <c:pt idx="977">
                  <c:v>15.72</c:v>
                </c:pt>
                <c:pt idx="978">
                  <c:v>18.43</c:v>
                </c:pt>
                <c:pt idx="979">
                  <c:v>17.809999999999999</c:v>
                </c:pt>
                <c:pt idx="980">
                  <c:v>11.25</c:v>
                </c:pt>
                <c:pt idx="981">
                  <c:v>15.2</c:v>
                </c:pt>
                <c:pt idx="982">
                  <c:v>14.16</c:v>
                </c:pt>
                <c:pt idx="983">
                  <c:v>20.46</c:v>
                </c:pt>
                <c:pt idx="984">
                  <c:v>20.14</c:v>
                </c:pt>
                <c:pt idx="986">
                  <c:v>20.81</c:v>
                </c:pt>
                <c:pt idx="987">
                  <c:v>19.905000000000001</c:v>
                </c:pt>
                <c:pt idx="988">
                  <c:v>19.484000000000002</c:v>
                </c:pt>
                <c:pt idx="989">
                  <c:v>22.34</c:v>
                </c:pt>
                <c:pt idx="990">
                  <c:v>16.43</c:v>
                </c:pt>
                <c:pt idx="991">
                  <c:v>13.292999999999999</c:v>
                </c:pt>
                <c:pt idx="992">
                  <c:v>18.062999999999999</c:v>
                </c:pt>
                <c:pt idx="993">
                  <c:v>18.059999999999999</c:v>
                </c:pt>
                <c:pt idx="995">
                  <c:v>17.908000000000001</c:v>
                </c:pt>
                <c:pt idx="996">
                  <c:v>19.21</c:v>
                </c:pt>
                <c:pt idx="997">
                  <c:v>19.475999999999999</c:v>
                </c:pt>
                <c:pt idx="998">
                  <c:v>20.521000000000001</c:v>
                </c:pt>
                <c:pt idx="999">
                  <c:v>16.853000000000002</c:v>
                </c:pt>
                <c:pt idx="1000">
                  <c:v>22.45</c:v>
                </c:pt>
                <c:pt idx="1001">
                  <c:v>21.032</c:v>
                </c:pt>
                <c:pt idx="1002">
                  <c:v>14.606</c:v>
                </c:pt>
                <c:pt idx="1003">
                  <c:v>14.957000000000001</c:v>
                </c:pt>
                <c:pt idx="1004">
                  <c:v>20.295000000000002</c:v>
                </c:pt>
                <c:pt idx="1005">
                  <c:v>14.246</c:v>
                </c:pt>
                <c:pt idx="1006">
                  <c:v>16.233000000000001</c:v>
                </c:pt>
                <c:pt idx="1007">
                  <c:v>16.587</c:v>
                </c:pt>
                <c:pt idx="1008">
                  <c:v>19.353999999999999</c:v>
                </c:pt>
                <c:pt idx="1009">
                  <c:v>13.007999999999999</c:v>
                </c:pt>
                <c:pt idx="1010">
                  <c:v>17.323</c:v>
                </c:pt>
                <c:pt idx="1011">
                  <c:v>15.766</c:v>
                </c:pt>
                <c:pt idx="1012">
                  <c:v>14.471</c:v>
                </c:pt>
                <c:pt idx="1013">
                  <c:v>18.157</c:v>
                </c:pt>
                <c:pt idx="1014">
                  <c:v>18.443999999999999</c:v>
                </c:pt>
                <c:pt idx="1015">
                  <c:v>16.059000000000001</c:v>
                </c:pt>
                <c:pt idx="1016">
                  <c:v>20.542000000000002</c:v>
                </c:pt>
                <c:pt idx="1017">
                  <c:v>17.582999999999998</c:v>
                </c:pt>
                <c:pt idx="1018">
                  <c:v>19.257000000000001</c:v>
                </c:pt>
                <c:pt idx="1019">
                  <c:v>19.591000000000001</c:v>
                </c:pt>
                <c:pt idx="1020">
                  <c:v>20.638999999999999</c:v>
                </c:pt>
                <c:pt idx="1021">
                  <c:v>17.978000000000002</c:v>
                </c:pt>
                <c:pt idx="1022">
                  <c:v>16.792000000000002</c:v>
                </c:pt>
                <c:pt idx="1023">
                  <c:v>18.791</c:v>
                </c:pt>
                <c:pt idx="1024">
                  <c:v>15.666</c:v>
                </c:pt>
                <c:pt idx="1025">
                  <c:v>17.228999999999999</c:v>
                </c:pt>
                <c:pt idx="1026">
                  <c:v>17.154</c:v>
                </c:pt>
                <c:pt idx="1027">
                  <c:v>16.236000000000001</c:v>
                </c:pt>
                <c:pt idx="1028">
                  <c:v>16.872</c:v>
                </c:pt>
                <c:pt idx="1029">
                  <c:v>20.343</c:v>
                </c:pt>
                <c:pt idx="1030">
                  <c:v>17.975000000000001</c:v>
                </c:pt>
                <c:pt idx="1031">
                  <c:v>17.690999999999999</c:v>
                </c:pt>
                <c:pt idx="1032">
                  <c:v>19.745999999999999</c:v>
                </c:pt>
                <c:pt idx="1034">
                  <c:v>17.571000000000002</c:v>
                </c:pt>
                <c:pt idx="1035">
                  <c:v>20.491</c:v>
                </c:pt>
                <c:pt idx="1036">
                  <c:v>17.571000000000002</c:v>
                </c:pt>
                <c:pt idx="1037">
                  <c:v>18.213999999999999</c:v>
                </c:pt>
                <c:pt idx="1038">
                  <c:v>15.33</c:v>
                </c:pt>
                <c:pt idx="1039">
                  <c:v>16.72</c:v>
                </c:pt>
                <c:pt idx="1040">
                  <c:v>18.940999999999999</c:v>
                </c:pt>
                <c:pt idx="1041">
                  <c:v>16.841999999999999</c:v>
                </c:pt>
                <c:pt idx="1042">
                  <c:v>13.117000000000001</c:v>
                </c:pt>
                <c:pt idx="1043">
                  <c:v>10.89</c:v>
                </c:pt>
                <c:pt idx="1044">
                  <c:v>13.047000000000001</c:v>
                </c:pt>
                <c:pt idx="1045">
                  <c:v>15.867000000000001</c:v>
                </c:pt>
                <c:pt idx="1046">
                  <c:v>16.678000000000001</c:v>
                </c:pt>
                <c:pt idx="1047">
                  <c:v>17.638999999999999</c:v>
                </c:pt>
                <c:pt idx="1048">
                  <c:v>14.762</c:v>
                </c:pt>
                <c:pt idx="1049">
                  <c:v>15.749000000000001</c:v>
                </c:pt>
                <c:pt idx="1050">
                  <c:v>14.371</c:v>
                </c:pt>
                <c:pt idx="1051">
                  <c:v>21.318999999999999</c:v>
                </c:pt>
                <c:pt idx="1052">
                  <c:v>23.204000000000001</c:v>
                </c:pt>
                <c:pt idx="1054">
                  <c:v>17.606000000000002</c:v>
                </c:pt>
                <c:pt idx="1055">
                  <c:v>15.057</c:v>
                </c:pt>
                <c:pt idx="1056">
                  <c:v>16.606999999999999</c:v>
                </c:pt>
                <c:pt idx="1057">
                  <c:v>19.247</c:v>
                </c:pt>
                <c:pt idx="1058">
                  <c:v>20.228999999999999</c:v>
                </c:pt>
                <c:pt idx="1059">
                  <c:v>19.459</c:v>
                </c:pt>
                <c:pt idx="1060">
                  <c:v>20.734999999999999</c:v>
                </c:pt>
                <c:pt idx="1061">
                  <c:v>16.425000000000001</c:v>
                </c:pt>
                <c:pt idx="1062">
                  <c:v>19.62</c:v>
                </c:pt>
                <c:pt idx="1063">
                  <c:v>22.97</c:v>
                </c:pt>
                <c:pt idx="1064">
                  <c:v>21.390999999999998</c:v>
                </c:pt>
                <c:pt idx="1065">
                  <c:v>18.292999999999999</c:v>
                </c:pt>
                <c:pt idx="1066">
                  <c:v>20.667999999999999</c:v>
                </c:pt>
                <c:pt idx="1067">
                  <c:v>16.111999999999998</c:v>
                </c:pt>
                <c:pt idx="1068">
                  <c:v>18.044</c:v>
                </c:pt>
                <c:pt idx="1069">
                  <c:v>14.395</c:v>
                </c:pt>
                <c:pt idx="1070">
                  <c:v>15.58</c:v>
                </c:pt>
                <c:pt idx="1071">
                  <c:v>15.425000000000001</c:v>
                </c:pt>
                <c:pt idx="1072">
                  <c:v>12.558</c:v>
                </c:pt>
                <c:pt idx="1073">
                  <c:v>15.006</c:v>
                </c:pt>
                <c:pt idx="1074">
                  <c:v>13.842000000000001</c:v>
                </c:pt>
                <c:pt idx="1075">
                  <c:v>17.867000000000001</c:v>
                </c:pt>
                <c:pt idx="1076">
                  <c:v>21.763999999999999</c:v>
                </c:pt>
                <c:pt idx="1077">
                  <c:v>17.417000000000002</c:v>
                </c:pt>
                <c:pt idx="1079">
                  <c:v>16.684999999999999</c:v>
                </c:pt>
                <c:pt idx="1080">
                  <c:v>18.323</c:v>
                </c:pt>
                <c:pt idx="1081">
                  <c:v>18.585999999999999</c:v>
                </c:pt>
                <c:pt idx="1082">
                  <c:v>18.824999999999999</c:v>
                </c:pt>
                <c:pt idx="1083">
                  <c:v>16.222999999999999</c:v>
                </c:pt>
                <c:pt idx="1084">
                  <c:v>18.632999999999999</c:v>
                </c:pt>
                <c:pt idx="1085">
                  <c:v>14.334</c:v>
                </c:pt>
                <c:pt idx="1086">
                  <c:v>16.283999999999999</c:v>
                </c:pt>
                <c:pt idx="1087">
                  <c:v>17.832999999999998</c:v>
                </c:pt>
                <c:pt idx="1088">
                  <c:v>16.538</c:v>
                </c:pt>
                <c:pt idx="1089">
                  <c:v>20.946000000000002</c:v>
                </c:pt>
                <c:pt idx="1090">
                  <c:v>15.675000000000001</c:v>
                </c:pt>
                <c:pt idx="1092">
                  <c:v>16.260000000000002</c:v>
                </c:pt>
                <c:pt idx="1093">
                  <c:v>14.413</c:v>
                </c:pt>
                <c:pt idx="1094">
                  <c:v>19.457999999999998</c:v>
                </c:pt>
                <c:pt idx="1095">
                  <c:v>21.190999999999999</c:v>
                </c:pt>
                <c:pt idx="1096">
                  <c:v>19.114999999999998</c:v>
                </c:pt>
                <c:pt idx="1097">
                  <c:v>20.56</c:v>
                </c:pt>
                <c:pt idx="1098">
                  <c:v>18.829999999999998</c:v>
                </c:pt>
                <c:pt idx="1099">
                  <c:v>20.323</c:v>
                </c:pt>
                <c:pt idx="1100">
                  <c:v>17.297000000000001</c:v>
                </c:pt>
                <c:pt idx="1101">
                  <c:v>15.157999999999999</c:v>
                </c:pt>
                <c:pt idx="1102">
                  <c:v>17.606000000000002</c:v>
                </c:pt>
                <c:pt idx="1103">
                  <c:v>18.163</c:v>
                </c:pt>
                <c:pt idx="1104">
                  <c:v>18.192</c:v>
                </c:pt>
                <c:pt idx="1105">
                  <c:v>18.452000000000002</c:v>
                </c:pt>
                <c:pt idx="1106">
                  <c:v>20.992000000000001</c:v>
                </c:pt>
                <c:pt idx="1107">
                  <c:v>16.46</c:v>
                </c:pt>
                <c:pt idx="1108">
                  <c:v>18.251999999999999</c:v>
                </c:pt>
                <c:pt idx="1109">
                  <c:v>18.497</c:v>
                </c:pt>
                <c:pt idx="1110">
                  <c:v>22.366</c:v>
                </c:pt>
                <c:pt idx="1111">
                  <c:v>21.815000000000001</c:v>
                </c:pt>
                <c:pt idx="1112">
                  <c:v>19.09</c:v>
                </c:pt>
                <c:pt idx="1113">
                  <c:v>15.45</c:v>
                </c:pt>
                <c:pt idx="1114">
                  <c:v>20.626000000000001</c:v>
                </c:pt>
                <c:pt idx="1115">
                  <c:v>18.908000000000001</c:v>
                </c:pt>
                <c:pt idx="1116">
                  <c:v>18.050999999999998</c:v>
                </c:pt>
                <c:pt idx="1118">
                  <c:v>18.007999999999999</c:v>
                </c:pt>
                <c:pt idx="1119">
                  <c:v>18.997</c:v>
                </c:pt>
                <c:pt idx="1120">
                  <c:v>19.013000000000002</c:v>
                </c:pt>
                <c:pt idx="1121">
                  <c:v>17.335000000000001</c:v>
                </c:pt>
                <c:pt idx="1122">
                  <c:v>16.215</c:v>
                </c:pt>
                <c:pt idx="1123">
                  <c:v>16.843</c:v>
                </c:pt>
                <c:pt idx="1124">
                  <c:v>13.452</c:v>
                </c:pt>
                <c:pt idx="1125">
                  <c:v>17.317</c:v>
                </c:pt>
                <c:pt idx="1126">
                  <c:v>18.282</c:v>
                </c:pt>
                <c:pt idx="1127">
                  <c:v>16.033999999999999</c:v>
                </c:pt>
                <c:pt idx="1128">
                  <c:v>18.254000000000001</c:v>
                </c:pt>
                <c:pt idx="1129">
                  <c:v>17.824000000000002</c:v>
                </c:pt>
                <c:pt idx="1130">
                  <c:v>18.471</c:v>
                </c:pt>
                <c:pt idx="1131">
                  <c:v>15.920999999999999</c:v>
                </c:pt>
                <c:pt idx="1132">
                  <c:v>12.861000000000001</c:v>
                </c:pt>
                <c:pt idx="1133">
                  <c:v>20.126999999999999</c:v>
                </c:pt>
                <c:pt idx="1134">
                  <c:v>15.253</c:v>
                </c:pt>
                <c:pt idx="1135">
                  <c:v>23.093</c:v>
                </c:pt>
                <c:pt idx="1136">
                  <c:v>15.717000000000001</c:v>
                </c:pt>
                <c:pt idx="1137">
                  <c:v>20.952999999999999</c:v>
                </c:pt>
                <c:pt idx="1138">
                  <c:v>19.684000000000001</c:v>
                </c:pt>
                <c:pt idx="1139">
                  <c:v>13.667</c:v>
                </c:pt>
                <c:pt idx="1140">
                  <c:v>17.882999999999999</c:v>
                </c:pt>
                <c:pt idx="1141">
                  <c:v>18.419</c:v>
                </c:pt>
                <c:pt idx="1142">
                  <c:v>16.920999999999999</c:v>
                </c:pt>
                <c:pt idx="1143">
                  <c:v>14.005000000000001</c:v>
                </c:pt>
                <c:pt idx="1144">
                  <c:v>15.497</c:v>
                </c:pt>
                <c:pt idx="1145">
                  <c:v>15.276999999999999</c:v>
                </c:pt>
                <c:pt idx="1146">
                  <c:v>14.353</c:v>
                </c:pt>
                <c:pt idx="1147">
                  <c:v>18.457999999999998</c:v>
                </c:pt>
                <c:pt idx="1148">
                  <c:v>16.04</c:v>
                </c:pt>
                <c:pt idx="1149">
                  <c:v>18.436</c:v>
                </c:pt>
                <c:pt idx="1150">
                  <c:v>19.241</c:v>
                </c:pt>
                <c:pt idx="1151">
                  <c:v>18.446999999999999</c:v>
                </c:pt>
                <c:pt idx="1152">
                  <c:v>16.294</c:v>
                </c:pt>
                <c:pt idx="1153">
                  <c:v>20.913</c:v>
                </c:pt>
                <c:pt idx="1154">
                  <c:v>19.68</c:v>
                </c:pt>
                <c:pt idx="1155">
                  <c:v>15.874000000000001</c:v>
                </c:pt>
                <c:pt idx="1156">
                  <c:v>16.798999999999999</c:v>
                </c:pt>
                <c:pt idx="1157">
                  <c:v>20.018999999999998</c:v>
                </c:pt>
                <c:pt idx="1158">
                  <c:v>16.088999999999999</c:v>
                </c:pt>
                <c:pt idx="1159">
                  <c:v>18.119</c:v>
                </c:pt>
                <c:pt idx="1160">
                  <c:v>18.204999999999998</c:v>
                </c:pt>
                <c:pt idx="1161">
                  <c:v>20.006</c:v>
                </c:pt>
                <c:pt idx="1162">
                  <c:v>18.741</c:v>
                </c:pt>
                <c:pt idx="1163">
                  <c:v>17.956</c:v>
                </c:pt>
                <c:pt idx="1164">
                  <c:v>14.538</c:v>
                </c:pt>
                <c:pt idx="1165">
                  <c:v>19.765999999999998</c:v>
                </c:pt>
                <c:pt idx="1166">
                  <c:v>17.376999999999999</c:v>
                </c:pt>
                <c:pt idx="1167">
                  <c:v>16.297000000000001</c:v>
                </c:pt>
                <c:pt idx="1168">
                  <c:v>16.744</c:v>
                </c:pt>
                <c:pt idx="1169">
                  <c:v>19.414999999999999</c:v>
                </c:pt>
                <c:pt idx="1170">
                  <c:v>19.724</c:v>
                </c:pt>
                <c:pt idx="1171">
                  <c:v>17.911000000000001</c:v>
                </c:pt>
                <c:pt idx="1172">
                  <c:v>21.722000000000001</c:v>
                </c:pt>
                <c:pt idx="1173">
                  <c:v>17.693999999999999</c:v>
                </c:pt>
                <c:pt idx="1174">
                  <c:v>18.001000000000001</c:v>
                </c:pt>
                <c:pt idx="1175">
                  <c:v>19.331</c:v>
                </c:pt>
                <c:pt idx="1176">
                  <c:v>18.126999999999999</c:v>
                </c:pt>
                <c:pt idx="1177">
                  <c:v>18.501999999999999</c:v>
                </c:pt>
                <c:pt idx="1178">
                  <c:v>16.452999999999999</c:v>
                </c:pt>
                <c:pt idx="1179">
                  <c:v>16.902000000000001</c:v>
                </c:pt>
                <c:pt idx="1180">
                  <c:v>18.536999999999999</c:v>
                </c:pt>
                <c:pt idx="1181">
                  <c:v>15.47</c:v>
                </c:pt>
                <c:pt idx="1182">
                  <c:v>17.683</c:v>
                </c:pt>
                <c:pt idx="1183">
                  <c:v>15.473000000000001</c:v>
                </c:pt>
                <c:pt idx="1184">
                  <c:v>20.558</c:v>
                </c:pt>
                <c:pt idx="1185">
                  <c:v>17.587</c:v>
                </c:pt>
                <c:pt idx="1186">
                  <c:v>17.367999999999999</c:v>
                </c:pt>
                <c:pt idx="1187">
                  <c:v>17.335999999999999</c:v>
                </c:pt>
                <c:pt idx="1188">
                  <c:v>20.149000000000001</c:v>
                </c:pt>
                <c:pt idx="1189">
                  <c:v>16.637</c:v>
                </c:pt>
                <c:pt idx="1190">
                  <c:v>17.015999999999998</c:v>
                </c:pt>
                <c:pt idx="1191">
                  <c:v>20.553000000000001</c:v>
                </c:pt>
                <c:pt idx="1192">
                  <c:v>16.585000000000001</c:v>
                </c:pt>
                <c:pt idx="1193">
                  <c:v>18.419</c:v>
                </c:pt>
                <c:pt idx="1194">
                  <c:v>18.675000000000001</c:v>
                </c:pt>
                <c:pt idx="1195">
                  <c:v>15.385999999999999</c:v>
                </c:pt>
                <c:pt idx="1196">
                  <c:v>19.638999999999999</c:v>
                </c:pt>
                <c:pt idx="1197">
                  <c:v>19.103000000000002</c:v>
                </c:pt>
                <c:pt idx="1198">
                  <c:v>17.494</c:v>
                </c:pt>
                <c:pt idx="1199">
                  <c:v>14.834</c:v>
                </c:pt>
                <c:pt idx="1200">
                  <c:v>17.736000000000001</c:v>
                </c:pt>
                <c:pt idx="1202">
                  <c:v>18.081</c:v>
                </c:pt>
                <c:pt idx="1203">
                  <c:v>21.812999999999999</c:v>
                </c:pt>
                <c:pt idx="1204">
                  <c:v>19.07</c:v>
                </c:pt>
                <c:pt idx="1206">
                  <c:v>15.522</c:v>
                </c:pt>
                <c:pt idx="1207">
                  <c:v>20.744</c:v>
                </c:pt>
                <c:pt idx="1208">
                  <c:v>11.632999999999999</c:v>
                </c:pt>
                <c:pt idx="1209">
                  <c:v>20.827000000000002</c:v>
                </c:pt>
                <c:pt idx="1210">
                  <c:v>17.794</c:v>
                </c:pt>
                <c:pt idx="1211">
                  <c:v>23.195</c:v>
                </c:pt>
                <c:pt idx="1212">
                  <c:v>18.702999999999999</c:v>
                </c:pt>
                <c:pt idx="1213">
                  <c:v>15.967000000000001</c:v>
                </c:pt>
                <c:pt idx="1214">
                  <c:v>14.058999999999999</c:v>
                </c:pt>
                <c:pt idx="1216">
                  <c:v>12.944000000000001</c:v>
                </c:pt>
                <c:pt idx="1217">
                  <c:v>22.033000000000001</c:v>
                </c:pt>
                <c:pt idx="1218">
                  <c:v>15.167999999999999</c:v>
                </c:pt>
                <c:pt idx="1219">
                  <c:v>14.135999999999999</c:v>
                </c:pt>
                <c:pt idx="1220">
                  <c:v>16.047000000000001</c:v>
                </c:pt>
                <c:pt idx="1221">
                  <c:v>21.954000000000001</c:v>
                </c:pt>
                <c:pt idx="1222">
                  <c:v>16.690999999999999</c:v>
                </c:pt>
                <c:pt idx="1223">
                  <c:v>15.340999999999999</c:v>
                </c:pt>
                <c:pt idx="1224">
                  <c:v>17.082000000000001</c:v>
                </c:pt>
                <c:pt idx="1225">
                  <c:v>15.504</c:v>
                </c:pt>
                <c:pt idx="1226">
                  <c:v>18.300999999999998</c:v>
                </c:pt>
                <c:pt idx="1227">
                  <c:v>16.119</c:v>
                </c:pt>
                <c:pt idx="1228">
                  <c:v>17.055</c:v>
                </c:pt>
                <c:pt idx="1229">
                  <c:v>16.975999999999999</c:v>
                </c:pt>
                <c:pt idx="1230">
                  <c:v>16.707000000000001</c:v>
                </c:pt>
                <c:pt idx="1231">
                  <c:v>16.045000000000002</c:v>
                </c:pt>
                <c:pt idx="1232">
                  <c:v>17.914000000000001</c:v>
                </c:pt>
                <c:pt idx="1233">
                  <c:v>14.593999999999999</c:v>
                </c:pt>
                <c:pt idx="1235">
                  <c:v>19.416</c:v>
                </c:pt>
                <c:pt idx="1236">
                  <c:v>16.512</c:v>
                </c:pt>
                <c:pt idx="1237">
                  <c:v>13.14</c:v>
                </c:pt>
                <c:pt idx="1238">
                  <c:v>17.643000000000001</c:v>
                </c:pt>
                <c:pt idx="1239">
                  <c:v>15.086</c:v>
                </c:pt>
                <c:pt idx="1240">
                  <c:v>17.172000000000001</c:v>
                </c:pt>
                <c:pt idx="1241">
                  <c:v>18.097000000000001</c:v>
                </c:pt>
                <c:pt idx="1242">
                  <c:v>11.994999999999999</c:v>
                </c:pt>
                <c:pt idx="1243">
                  <c:v>14.353</c:v>
                </c:pt>
                <c:pt idx="1244">
                  <c:v>18.363</c:v>
                </c:pt>
                <c:pt idx="1245">
                  <c:v>17.893000000000001</c:v>
                </c:pt>
                <c:pt idx="1246">
                  <c:v>14.909000000000001</c:v>
                </c:pt>
                <c:pt idx="1247">
                  <c:v>13.826000000000001</c:v>
                </c:pt>
                <c:pt idx="1249">
                  <c:v>15.693</c:v>
                </c:pt>
                <c:pt idx="1250">
                  <c:v>12.439</c:v>
                </c:pt>
                <c:pt idx="1251">
                  <c:v>15.092000000000001</c:v>
                </c:pt>
                <c:pt idx="1252">
                  <c:v>18.280999999999999</c:v>
                </c:pt>
                <c:pt idx="1253">
                  <c:v>12.3</c:v>
                </c:pt>
                <c:pt idx="1254">
                  <c:v>19.741</c:v>
                </c:pt>
                <c:pt idx="1255">
                  <c:v>18.141999999999999</c:v>
                </c:pt>
                <c:pt idx="1257">
                  <c:v>19.878</c:v>
                </c:pt>
                <c:pt idx="1258">
                  <c:v>12.462999999999999</c:v>
                </c:pt>
                <c:pt idx="1259">
                  <c:v>22.029</c:v>
                </c:pt>
                <c:pt idx="1260">
                  <c:v>17.521000000000001</c:v>
                </c:pt>
                <c:pt idx="1261">
                  <c:v>20.196000000000002</c:v>
                </c:pt>
                <c:pt idx="1262">
                  <c:v>17.411000000000001</c:v>
                </c:pt>
                <c:pt idx="1263">
                  <c:v>14.388</c:v>
                </c:pt>
                <c:pt idx="1264">
                  <c:v>19.669</c:v>
                </c:pt>
                <c:pt idx="1265">
                  <c:v>12.122</c:v>
                </c:pt>
                <c:pt idx="1266">
                  <c:v>17.675999999999998</c:v>
                </c:pt>
                <c:pt idx="1267">
                  <c:v>18.777999999999999</c:v>
                </c:pt>
                <c:pt idx="1268">
                  <c:v>19.788</c:v>
                </c:pt>
                <c:pt idx="1269">
                  <c:v>17.452000000000002</c:v>
                </c:pt>
                <c:pt idx="1270">
                  <c:v>16.747</c:v>
                </c:pt>
                <c:pt idx="1271">
                  <c:v>19.355</c:v>
                </c:pt>
                <c:pt idx="1272">
                  <c:v>19.491</c:v>
                </c:pt>
                <c:pt idx="1273">
                  <c:v>21.97</c:v>
                </c:pt>
                <c:pt idx="1274">
                  <c:v>17.198</c:v>
                </c:pt>
                <c:pt idx="1276">
                  <c:v>14.981</c:v>
                </c:pt>
                <c:pt idx="1277">
                  <c:v>16.190000000000001</c:v>
                </c:pt>
                <c:pt idx="1278">
                  <c:v>17.513000000000002</c:v>
                </c:pt>
                <c:pt idx="1279">
                  <c:v>17.855</c:v>
                </c:pt>
                <c:pt idx="1280">
                  <c:v>15.069000000000001</c:v>
                </c:pt>
                <c:pt idx="1281">
                  <c:v>13.688000000000001</c:v>
                </c:pt>
                <c:pt idx="1282">
                  <c:v>18.983000000000001</c:v>
                </c:pt>
                <c:pt idx="1283">
                  <c:v>16.785</c:v>
                </c:pt>
                <c:pt idx="1284">
                  <c:v>13.162000000000001</c:v>
                </c:pt>
                <c:pt idx="1285">
                  <c:v>20.550999999999998</c:v>
                </c:pt>
                <c:pt idx="1286">
                  <c:v>18.614999999999998</c:v>
                </c:pt>
                <c:pt idx="1287">
                  <c:v>14.481</c:v>
                </c:pt>
                <c:pt idx="1288">
                  <c:v>18.132000000000001</c:v>
                </c:pt>
                <c:pt idx="1289">
                  <c:v>17.350999999999999</c:v>
                </c:pt>
                <c:pt idx="1290">
                  <c:v>16.361000000000001</c:v>
                </c:pt>
                <c:pt idx="1291">
                  <c:v>18.646000000000001</c:v>
                </c:pt>
                <c:pt idx="1292">
                  <c:v>14.468999999999999</c:v>
                </c:pt>
                <c:pt idx="1294">
                  <c:v>14.932</c:v>
                </c:pt>
                <c:pt idx="1295">
                  <c:v>22.141999999999999</c:v>
                </c:pt>
                <c:pt idx="1296">
                  <c:v>21.805</c:v>
                </c:pt>
                <c:pt idx="1297">
                  <c:v>18.355</c:v>
                </c:pt>
                <c:pt idx="1298">
                  <c:v>15.994</c:v>
                </c:pt>
                <c:pt idx="1299">
                  <c:v>20.785</c:v>
                </c:pt>
                <c:pt idx="1300">
                  <c:v>14.824999999999999</c:v>
                </c:pt>
                <c:pt idx="1301">
                  <c:v>18.715</c:v>
                </c:pt>
                <c:pt idx="1302">
                  <c:v>17.192</c:v>
                </c:pt>
                <c:pt idx="1303">
                  <c:v>17.419</c:v>
                </c:pt>
                <c:pt idx="1304">
                  <c:v>16.731000000000002</c:v>
                </c:pt>
                <c:pt idx="1305">
                  <c:v>15.939</c:v>
                </c:pt>
                <c:pt idx="1307">
                  <c:v>19.305</c:v>
                </c:pt>
                <c:pt idx="1308">
                  <c:v>16.824000000000002</c:v>
                </c:pt>
                <c:pt idx="1309">
                  <c:v>20.228999999999999</c:v>
                </c:pt>
                <c:pt idx="1310">
                  <c:v>18.391999999999999</c:v>
                </c:pt>
                <c:pt idx="1311">
                  <c:v>15.055</c:v>
                </c:pt>
                <c:pt idx="1312">
                  <c:v>13.443</c:v>
                </c:pt>
                <c:pt idx="1313">
                  <c:v>18.992999999999999</c:v>
                </c:pt>
                <c:pt idx="1314">
                  <c:v>18.274000000000001</c:v>
                </c:pt>
                <c:pt idx="1316">
                  <c:v>17.37</c:v>
                </c:pt>
                <c:pt idx="1317">
                  <c:v>17.649999999999999</c:v>
                </c:pt>
                <c:pt idx="1318">
                  <c:v>16.808</c:v>
                </c:pt>
                <c:pt idx="1319">
                  <c:v>19.36</c:v>
                </c:pt>
                <c:pt idx="1320">
                  <c:v>14.055</c:v>
                </c:pt>
                <c:pt idx="1321">
                  <c:v>15.519</c:v>
                </c:pt>
                <c:pt idx="1322">
                  <c:v>21.74</c:v>
                </c:pt>
                <c:pt idx="1323">
                  <c:v>18.222999999999999</c:v>
                </c:pt>
                <c:pt idx="1324">
                  <c:v>19.863</c:v>
                </c:pt>
                <c:pt idx="1325">
                  <c:v>21.11</c:v>
                </c:pt>
                <c:pt idx="1326">
                  <c:v>16.779</c:v>
                </c:pt>
                <c:pt idx="1327">
                  <c:v>17.852</c:v>
                </c:pt>
                <c:pt idx="1328">
                  <c:v>12.333</c:v>
                </c:pt>
                <c:pt idx="1329">
                  <c:v>19.283999999999999</c:v>
                </c:pt>
                <c:pt idx="1330">
                  <c:v>14.316000000000001</c:v>
                </c:pt>
                <c:pt idx="1331">
                  <c:v>18.751999999999999</c:v>
                </c:pt>
                <c:pt idx="1332">
                  <c:v>19.724</c:v>
                </c:pt>
                <c:pt idx="1333">
                  <c:v>17.809999999999999</c:v>
                </c:pt>
                <c:pt idx="1334">
                  <c:v>14.605</c:v>
                </c:pt>
                <c:pt idx="1335">
                  <c:v>17.771999999999998</c:v>
                </c:pt>
                <c:pt idx="1336">
                  <c:v>18.978000000000002</c:v>
                </c:pt>
                <c:pt idx="1337">
                  <c:v>21.27</c:v>
                </c:pt>
                <c:pt idx="1338">
                  <c:v>17.006</c:v>
                </c:pt>
                <c:pt idx="1339">
                  <c:v>21.39</c:v>
                </c:pt>
                <c:pt idx="1340">
                  <c:v>14.786</c:v>
                </c:pt>
                <c:pt idx="1341">
                  <c:v>17.625</c:v>
                </c:pt>
                <c:pt idx="1342">
                  <c:v>14.448</c:v>
                </c:pt>
                <c:pt idx="1343">
                  <c:v>16.395</c:v>
                </c:pt>
                <c:pt idx="1344">
                  <c:v>15.177</c:v>
                </c:pt>
                <c:pt idx="1345">
                  <c:v>16.457000000000001</c:v>
                </c:pt>
                <c:pt idx="1346">
                  <c:v>19.094000000000001</c:v>
                </c:pt>
                <c:pt idx="1347">
                  <c:v>13.269</c:v>
                </c:pt>
                <c:pt idx="1348">
                  <c:v>16.832999999999998</c:v>
                </c:pt>
                <c:pt idx="1349">
                  <c:v>17.84</c:v>
                </c:pt>
                <c:pt idx="1350">
                  <c:v>18.190999999999999</c:v>
                </c:pt>
                <c:pt idx="1351">
                  <c:v>17.675000000000001</c:v>
                </c:pt>
                <c:pt idx="1352">
                  <c:v>19.170999999999999</c:v>
                </c:pt>
                <c:pt idx="1353">
                  <c:v>20.821999999999999</c:v>
                </c:pt>
                <c:pt idx="1354">
                  <c:v>17.018999999999998</c:v>
                </c:pt>
                <c:pt idx="1355">
                  <c:v>15.682</c:v>
                </c:pt>
                <c:pt idx="1356">
                  <c:v>15.616</c:v>
                </c:pt>
                <c:pt idx="1357">
                  <c:v>15.311</c:v>
                </c:pt>
                <c:pt idx="1358">
                  <c:v>13.722</c:v>
                </c:pt>
                <c:pt idx="1359">
                  <c:v>22.088999999999999</c:v>
                </c:pt>
                <c:pt idx="1360">
                  <c:v>22.306999999999999</c:v>
                </c:pt>
                <c:pt idx="1361">
                  <c:v>17.972999999999999</c:v>
                </c:pt>
                <c:pt idx="1362">
                  <c:v>16.951000000000001</c:v>
                </c:pt>
                <c:pt idx="1363">
                  <c:v>17.41</c:v>
                </c:pt>
                <c:pt idx="1364">
                  <c:v>16.739000000000001</c:v>
                </c:pt>
                <c:pt idx="1365">
                  <c:v>12.763999999999999</c:v>
                </c:pt>
                <c:pt idx="1366">
                  <c:v>15.269</c:v>
                </c:pt>
                <c:pt idx="1367">
                  <c:v>15.022</c:v>
                </c:pt>
                <c:pt idx="1368">
                  <c:v>18.007000000000001</c:v>
                </c:pt>
                <c:pt idx="1369">
                  <c:v>15.446999999999999</c:v>
                </c:pt>
                <c:pt idx="1370">
                  <c:v>17.417999999999999</c:v>
                </c:pt>
                <c:pt idx="1371">
                  <c:v>20.92</c:v>
                </c:pt>
                <c:pt idx="1372">
                  <c:v>18.436</c:v>
                </c:pt>
                <c:pt idx="1373">
                  <c:v>16.286000000000001</c:v>
                </c:pt>
                <c:pt idx="1374">
                  <c:v>17.416</c:v>
                </c:pt>
                <c:pt idx="1375">
                  <c:v>21.323</c:v>
                </c:pt>
                <c:pt idx="1376">
                  <c:v>20.969000000000001</c:v>
                </c:pt>
                <c:pt idx="1377">
                  <c:v>21.006</c:v>
                </c:pt>
                <c:pt idx="1378">
                  <c:v>18.684999999999999</c:v>
                </c:pt>
                <c:pt idx="1379">
                  <c:v>16.97</c:v>
                </c:pt>
                <c:pt idx="1380">
                  <c:v>16.384</c:v>
                </c:pt>
                <c:pt idx="1381">
                  <c:v>18.219000000000001</c:v>
                </c:pt>
                <c:pt idx="1382">
                  <c:v>14.849</c:v>
                </c:pt>
                <c:pt idx="1383">
                  <c:v>12.228999999999999</c:v>
                </c:pt>
                <c:pt idx="1384">
                  <c:v>13.891999999999999</c:v>
                </c:pt>
                <c:pt idx="1386">
                  <c:v>14.669</c:v>
                </c:pt>
                <c:pt idx="1387">
                  <c:v>20.234999999999999</c:v>
                </c:pt>
                <c:pt idx="1388">
                  <c:v>14.856999999999999</c:v>
                </c:pt>
                <c:pt idx="1389">
                  <c:v>21.853000000000002</c:v>
                </c:pt>
                <c:pt idx="1390">
                  <c:v>16.923999999999999</c:v>
                </c:pt>
                <c:pt idx="1391">
                  <c:v>14.016</c:v>
                </c:pt>
                <c:pt idx="1392">
                  <c:v>16.484000000000002</c:v>
                </c:pt>
                <c:pt idx="1393">
                  <c:v>19.295999999999999</c:v>
                </c:pt>
                <c:pt idx="1394">
                  <c:v>16.898</c:v>
                </c:pt>
                <c:pt idx="1395">
                  <c:v>16.266999999999999</c:v>
                </c:pt>
                <c:pt idx="1396">
                  <c:v>18.123000000000001</c:v>
                </c:pt>
                <c:pt idx="1397">
                  <c:v>23.350999999999999</c:v>
                </c:pt>
                <c:pt idx="1398">
                  <c:v>16.835000000000001</c:v>
                </c:pt>
                <c:pt idx="1399">
                  <c:v>20.975000000000001</c:v>
                </c:pt>
                <c:pt idx="1400">
                  <c:v>18.347000000000001</c:v>
                </c:pt>
                <c:pt idx="1401">
                  <c:v>16.843</c:v>
                </c:pt>
                <c:pt idx="1402">
                  <c:v>20.841999999999999</c:v>
                </c:pt>
                <c:pt idx="1403">
                  <c:v>17.045999999999999</c:v>
                </c:pt>
                <c:pt idx="1404">
                  <c:v>18.846</c:v>
                </c:pt>
                <c:pt idx="1405">
                  <c:v>13.691000000000001</c:v>
                </c:pt>
                <c:pt idx="1406">
                  <c:v>15.263</c:v>
                </c:pt>
                <c:pt idx="1407">
                  <c:v>18.143999999999998</c:v>
                </c:pt>
                <c:pt idx="1408">
                  <c:v>17.765999999999998</c:v>
                </c:pt>
                <c:pt idx="1410">
                  <c:v>16.323</c:v>
                </c:pt>
                <c:pt idx="1411">
                  <c:v>17.736000000000001</c:v>
                </c:pt>
                <c:pt idx="1412">
                  <c:v>20.567</c:v>
                </c:pt>
                <c:pt idx="1413">
                  <c:v>23.797000000000001</c:v>
                </c:pt>
                <c:pt idx="1414">
                  <c:v>17.308</c:v>
                </c:pt>
                <c:pt idx="1415">
                  <c:v>14.313000000000001</c:v>
                </c:pt>
                <c:pt idx="1416">
                  <c:v>16.594000000000001</c:v>
                </c:pt>
                <c:pt idx="1417">
                  <c:v>17.754999999999999</c:v>
                </c:pt>
                <c:pt idx="1418">
                  <c:v>17.788</c:v>
                </c:pt>
                <c:pt idx="1419">
                  <c:v>21.808</c:v>
                </c:pt>
                <c:pt idx="1420">
                  <c:v>20.826000000000001</c:v>
                </c:pt>
                <c:pt idx="1421">
                  <c:v>16.312000000000001</c:v>
                </c:pt>
                <c:pt idx="1422">
                  <c:v>12.907</c:v>
                </c:pt>
                <c:pt idx="1423">
                  <c:v>18.596</c:v>
                </c:pt>
                <c:pt idx="1424">
                  <c:v>20.297999999999998</c:v>
                </c:pt>
                <c:pt idx="1425">
                  <c:v>14.904999999999999</c:v>
                </c:pt>
                <c:pt idx="1426">
                  <c:v>21.706</c:v>
                </c:pt>
                <c:pt idx="1427">
                  <c:v>17.239999999999998</c:v>
                </c:pt>
                <c:pt idx="1428">
                  <c:v>21.021000000000001</c:v>
                </c:pt>
                <c:pt idx="1429">
                  <c:v>19.268999999999998</c:v>
                </c:pt>
                <c:pt idx="1430">
                  <c:v>19.039000000000001</c:v>
                </c:pt>
                <c:pt idx="1432">
                  <c:v>16.202999999999999</c:v>
                </c:pt>
                <c:pt idx="1433">
                  <c:v>14.352</c:v>
                </c:pt>
                <c:pt idx="1434">
                  <c:v>19.041</c:v>
                </c:pt>
                <c:pt idx="1435">
                  <c:v>16.614000000000001</c:v>
                </c:pt>
                <c:pt idx="1436">
                  <c:v>20.02</c:v>
                </c:pt>
                <c:pt idx="1437">
                  <c:v>20.399999999999999</c:v>
                </c:pt>
                <c:pt idx="1438">
                  <c:v>19.625</c:v>
                </c:pt>
                <c:pt idx="1439">
                  <c:v>20.361999999999998</c:v>
                </c:pt>
                <c:pt idx="1440">
                  <c:v>18.050999999999998</c:v>
                </c:pt>
                <c:pt idx="1441">
                  <c:v>18.765000000000001</c:v>
                </c:pt>
                <c:pt idx="1442">
                  <c:v>16.358000000000001</c:v>
                </c:pt>
                <c:pt idx="1443">
                  <c:v>19.329999999999998</c:v>
                </c:pt>
                <c:pt idx="1444">
                  <c:v>14.821</c:v>
                </c:pt>
                <c:pt idx="1445">
                  <c:v>16.294</c:v>
                </c:pt>
                <c:pt idx="1446">
                  <c:v>19.934000000000001</c:v>
                </c:pt>
                <c:pt idx="1447">
                  <c:v>23.532</c:v>
                </c:pt>
                <c:pt idx="1448">
                  <c:v>14.699</c:v>
                </c:pt>
                <c:pt idx="1449">
                  <c:v>16.465</c:v>
                </c:pt>
                <c:pt idx="1451">
                  <c:v>13.849</c:v>
                </c:pt>
                <c:pt idx="1452">
                  <c:v>18.838000000000001</c:v>
                </c:pt>
                <c:pt idx="1454">
                  <c:v>19.18</c:v>
                </c:pt>
                <c:pt idx="1455">
                  <c:v>17.309999999999999</c:v>
                </c:pt>
                <c:pt idx="1457">
                  <c:v>16.75</c:v>
                </c:pt>
                <c:pt idx="1458">
                  <c:v>13.704000000000001</c:v>
                </c:pt>
                <c:pt idx="1459">
                  <c:v>19.716000000000001</c:v>
                </c:pt>
                <c:pt idx="1460">
                  <c:v>17.739000000000001</c:v>
                </c:pt>
                <c:pt idx="1461">
                  <c:v>18.827999999999999</c:v>
                </c:pt>
                <c:pt idx="1462">
                  <c:v>19.876999999999999</c:v>
                </c:pt>
                <c:pt idx="1463">
                  <c:v>19.995999999999999</c:v>
                </c:pt>
                <c:pt idx="1464">
                  <c:v>15.853999999999999</c:v>
                </c:pt>
                <c:pt idx="1465">
                  <c:v>17.486000000000001</c:v>
                </c:pt>
                <c:pt idx="1466">
                  <c:v>21.896999999999998</c:v>
                </c:pt>
                <c:pt idx="1467">
                  <c:v>11.835000000000001</c:v>
                </c:pt>
                <c:pt idx="1468">
                  <c:v>16.672999999999998</c:v>
                </c:pt>
                <c:pt idx="1469">
                  <c:v>22.641999999999999</c:v>
                </c:pt>
                <c:pt idx="1470">
                  <c:v>18.914999999999999</c:v>
                </c:pt>
                <c:pt idx="1471">
                  <c:v>16.059000000000001</c:v>
                </c:pt>
                <c:pt idx="1472">
                  <c:v>20.855</c:v>
                </c:pt>
                <c:pt idx="1473">
                  <c:v>17.334</c:v>
                </c:pt>
                <c:pt idx="1474">
                  <c:v>19.844999999999999</c:v>
                </c:pt>
                <c:pt idx="1475">
                  <c:v>20.111000000000001</c:v>
                </c:pt>
                <c:pt idx="1476">
                  <c:v>12.211</c:v>
                </c:pt>
                <c:pt idx="1477">
                  <c:v>21.146999999999998</c:v>
                </c:pt>
                <c:pt idx="1478">
                  <c:v>19.050999999999998</c:v>
                </c:pt>
                <c:pt idx="1479">
                  <c:v>21.661999999999999</c:v>
                </c:pt>
                <c:pt idx="1480">
                  <c:v>16.963999999999999</c:v>
                </c:pt>
                <c:pt idx="1481">
                  <c:v>13.063000000000001</c:v>
                </c:pt>
                <c:pt idx="1482">
                  <c:v>18.606999999999999</c:v>
                </c:pt>
                <c:pt idx="1483">
                  <c:v>17.667999999999999</c:v>
                </c:pt>
                <c:pt idx="1484">
                  <c:v>18.465</c:v>
                </c:pt>
                <c:pt idx="1485">
                  <c:v>18.87</c:v>
                </c:pt>
                <c:pt idx="1486">
                  <c:v>16.565000000000001</c:v>
                </c:pt>
                <c:pt idx="1488">
                  <c:v>18.359000000000002</c:v>
                </c:pt>
                <c:pt idx="1489">
                  <c:v>18.529</c:v>
                </c:pt>
                <c:pt idx="1490">
                  <c:v>18.277000000000001</c:v>
                </c:pt>
                <c:pt idx="1491">
                  <c:v>21.065999999999999</c:v>
                </c:pt>
                <c:pt idx="1492">
                  <c:v>15.236000000000001</c:v>
                </c:pt>
                <c:pt idx="1493">
                  <c:v>17.98</c:v>
                </c:pt>
                <c:pt idx="1495">
                  <c:v>16.614999999999998</c:v>
                </c:pt>
                <c:pt idx="1496">
                  <c:v>17.579000000000001</c:v>
                </c:pt>
                <c:pt idx="1497">
                  <c:v>14.292999999999999</c:v>
                </c:pt>
                <c:pt idx="1499">
                  <c:v>16.196000000000002</c:v>
                </c:pt>
                <c:pt idx="1500">
                  <c:v>15.063000000000001</c:v>
                </c:pt>
                <c:pt idx="1501">
                  <c:v>20.713000000000001</c:v>
                </c:pt>
                <c:pt idx="1502">
                  <c:v>18.751999999999999</c:v>
                </c:pt>
                <c:pt idx="1503">
                  <c:v>19.841999999999999</c:v>
                </c:pt>
                <c:pt idx="1504">
                  <c:v>19.914999999999999</c:v>
                </c:pt>
                <c:pt idx="1506">
                  <c:v>18.149999999999999</c:v>
                </c:pt>
                <c:pt idx="1508">
                  <c:v>23.193999999999999</c:v>
                </c:pt>
                <c:pt idx="1509">
                  <c:v>15.037000000000001</c:v>
                </c:pt>
                <c:pt idx="1510">
                  <c:v>15.382999999999999</c:v>
                </c:pt>
                <c:pt idx="1511">
                  <c:v>18.942</c:v>
                </c:pt>
                <c:pt idx="1512">
                  <c:v>22.954999999999998</c:v>
                </c:pt>
                <c:pt idx="1513">
                  <c:v>18.332000000000001</c:v>
                </c:pt>
                <c:pt idx="1514">
                  <c:v>13.536</c:v>
                </c:pt>
                <c:pt idx="1515">
                  <c:v>19.225000000000001</c:v>
                </c:pt>
                <c:pt idx="1516">
                  <c:v>16.692</c:v>
                </c:pt>
                <c:pt idx="1517">
                  <c:v>12.510999999999999</c:v>
                </c:pt>
                <c:pt idx="1518">
                  <c:v>18.308</c:v>
                </c:pt>
                <c:pt idx="1519">
                  <c:v>19.715</c:v>
                </c:pt>
                <c:pt idx="1520">
                  <c:v>19.952000000000002</c:v>
                </c:pt>
                <c:pt idx="1521">
                  <c:v>15.871</c:v>
                </c:pt>
                <c:pt idx="1522">
                  <c:v>18.911999999999999</c:v>
                </c:pt>
                <c:pt idx="1523">
                  <c:v>20.936</c:v>
                </c:pt>
                <c:pt idx="1524">
                  <c:v>14.3</c:v>
                </c:pt>
                <c:pt idx="1525">
                  <c:v>14.805</c:v>
                </c:pt>
                <c:pt idx="1526">
                  <c:v>18.251000000000001</c:v>
                </c:pt>
                <c:pt idx="1527">
                  <c:v>15.316000000000001</c:v>
                </c:pt>
                <c:pt idx="1528">
                  <c:v>15.462999999999999</c:v>
                </c:pt>
              </c:numCache>
            </c:numRef>
          </c:yVal>
          <c:smooth val="0"/>
          <c:extLst>
            <c:ext xmlns:c16="http://schemas.microsoft.com/office/drawing/2014/chart" uri="{C3380CC4-5D6E-409C-BE32-E72D297353CC}">
              <c16:uniqueId val="{00000000-44BC-416F-AFAF-58348F9CAF9A}"/>
            </c:ext>
          </c:extLst>
        </c:ser>
        <c:dLbls>
          <c:showLegendKey val="0"/>
          <c:showVal val="0"/>
          <c:showCatName val="0"/>
          <c:showSerName val="0"/>
          <c:showPercent val="0"/>
          <c:showBubbleSize val="0"/>
        </c:dLbls>
        <c:axId val="724571295"/>
        <c:axId val="724577535"/>
      </c:scatterChart>
      <c:valAx>
        <c:axId val="724571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77535"/>
        <c:crosses val="autoZero"/>
        <c:crossBetween val="midCat"/>
      </c:valAx>
      <c:valAx>
        <c:axId val="72457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71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[CVD Dataset Practice.xlsx]Cholesterol-Risk Distribution!PivotTable1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'Cholesterol-Risk Distribution'!$B$11</c:f>
              <c:strCache>
                <c:ptCount val="1"/>
                <c:pt idx="0">
                  <c:v>Total</c:v>
                </c:pt>
              </c:strCache>
            </c:strRef>
          </c:tx>
          <c:spPr>
            <a:solidFill>
              <a:schemeClr val="accent1"/>
            </a:solidFill>
            <a:ln>
              <a:noFill/>
            </a:ln>
            <a:effectLst/>
          </c:spPr>
          <c:invertIfNegative val="0"/>
          <c:cat>
            <c:strRef>
              <c:f>'Cholesterol-Risk Distribution'!$A$12:$A$15</c:f>
              <c:strCache>
                <c:ptCount val="3"/>
                <c:pt idx="0">
                  <c:v>&gt;180</c:v>
                </c:pt>
                <c:pt idx="1">
                  <c:v>150-180</c:v>
                </c:pt>
                <c:pt idx="2">
                  <c:v>&lt;150</c:v>
                </c:pt>
              </c:strCache>
            </c:strRef>
          </c:cat>
          <c:val>
            <c:numRef>
              <c:f>'Cholesterol-Risk Distribution'!$B$12:$B$15</c:f>
              <c:numCache>
                <c:formatCode>0.00</c:formatCode>
                <c:ptCount val="3"/>
                <c:pt idx="0">
                  <c:v>17.883831683168307</c:v>
                </c:pt>
                <c:pt idx="1">
                  <c:v>16.162184873949574</c:v>
                </c:pt>
                <c:pt idx="2">
                  <c:v>15.615627118644074</c:v>
                </c:pt>
              </c:numCache>
            </c:numRef>
          </c:val>
          <c:extLst>
            <c:ext xmlns:c16="http://schemas.microsoft.com/office/drawing/2014/chart" uri="{C3380CC4-5D6E-409C-BE32-E72D297353CC}">
              <c16:uniqueId val="{00000000-A6A7-4136-AD66-35BE853B04EB}"/>
            </c:ext>
          </c:extLst>
        </c:ser>
        <c:dLbls>
          <c:showLegendKey val="0"/>
          <c:showVal val="0"/>
          <c:showCatName val="0"/>
          <c:showSerName val="0"/>
          <c:showPercent val="0"/>
          <c:showBubbleSize val="0"/>
        </c:dLbls>
        <c:gapWidth val="219"/>
        <c:overlap val="-27"/>
        <c:axId val="1860940447"/>
        <c:axId val="1860929407"/>
      </c:barChart>
      <c:catAx>
        <c:axId val="186094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929407"/>
        <c:crosses val="autoZero"/>
        <c:auto val="1"/>
        <c:lblAlgn val="ctr"/>
        <c:lblOffset val="100"/>
        <c:noMultiLvlLbl val="0"/>
      </c:catAx>
      <c:valAx>
        <c:axId val="186092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94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[CVD Dataset Practice.xlsx]Diabetic vs. Non-Diabetic Audit!PivotTable2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'Diabetic vs. Non-Diabetic Audit'!$B$12</c:f>
              <c:strCache>
                <c:ptCount val="1"/>
                <c:pt idx="0">
                  <c:v>Average of Fasting Blood Sugar (mg/dL)</c:v>
                </c:pt>
              </c:strCache>
            </c:strRef>
          </c:tx>
          <c:spPr>
            <a:solidFill>
              <a:schemeClr val="accent1"/>
            </a:solidFill>
            <a:ln>
              <a:noFill/>
            </a:ln>
            <a:effectLst/>
          </c:spPr>
          <c:invertIfNegative val="0"/>
          <c:cat>
            <c:strRef>
              <c:f>'Diabetic vs. Non-Diabetic Audit'!$A$13:$A$15</c:f>
              <c:strCache>
                <c:ptCount val="2"/>
                <c:pt idx="0">
                  <c:v>Non-Diabetic</c:v>
                </c:pt>
                <c:pt idx="1">
                  <c:v>Diabetic</c:v>
                </c:pt>
              </c:strCache>
            </c:strRef>
          </c:cat>
          <c:val>
            <c:numRef>
              <c:f>'Diabetic vs. Non-Diabetic Audit'!$B$13:$B$15</c:f>
              <c:numCache>
                <c:formatCode>0.00</c:formatCode>
                <c:ptCount val="2"/>
                <c:pt idx="0">
                  <c:v>117.13783403656821</c:v>
                </c:pt>
                <c:pt idx="1">
                  <c:v>117.81491344873503</c:v>
                </c:pt>
              </c:numCache>
            </c:numRef>
          </c:val>
          <c:extLst>
            <c:ext xmlns:c16="http://schemas.microsoft.com/office/drawing/2014/chart" uri="{C3380CC4-5D6E-409C-BE32-E72D297353CC}">
              <c16:uniqueId val="{00000000-3149-45F4-A62A-4E2AC335403B}"/>
            </c:ext>
          </c:extLst>
        </c:ser>
        <c:ser>
          <c:idx val="1"/>
          <c:order val="1"/>
          <c:tx>
            <c:strRef>
              <c:f>'Diabetic vs. Non-Diabetic Audit'!$C$12</c:f>
              <c:strCache>
                <c:ptCount val="1"/>
                <c:pt idx="0">
                  <c:v>Average of CVD Risk Score</c:v>
                </c:pt>
              </c:strCache>
            </c:strRef>
          </c:tx>
          <c:spPr>
            <a:solidFill>
              <a:schemeClr val="accent2"/>
            </a:solidFill>
            <a:ln>
              <a:noFill/>
            </a:ln>
            <a:effectLst/>
          </c:spPr>
          <c:invertIfNegative val="0"/>
          <c:cat>
            <c:strRef>
              <c:f>'Diabetic vs. Non-Diabetic Audit'!$A$13:$A$15</c:f>
              <c:strCache>
                <c:ptCount val="2"/>
                <c:pt idx="0">
                  <c:v>Non-Diabetic</c:v>
                </c:pt>
                <c:pt idx="1">
                  <c:v>Diabetic</c:v>
                </c:pt>
              </c:strCache>
            </c:strRef>
          </c:cat>
          <c:val>
            <c:numRef>
              <c:f>'Diabetic vs. Non-Diabetic Audit'!$C$13:$C$15</c:f>
              <c:numCache>
                <c:formatCode>0.00</c:formatCode>
                <c:ptCount val="2"/>
                <c:pt idx="0">
                  <c:v>15.848090027700824</c:v>
                </c:pt>
                <c:pt idx="1">
                  <c:v>18.05111126187245</c:v>
                </c:pt>
              </c:numCache>
            </c:numRef>
          </c:val>
          <c:extLst>
            <c:ext xmlns:c16="http://schemas.microsoft.com/office/drawing/2014/chart" uri="{C3380CC4-5D6E-409C-BE32-E72D297353CC}">
              <c16:uniqueId val="{00000001-3149-45F4-A62A-4E2AC335403B}"/>
            </c:ext>
          </c:extLst>
        </c:ser>
        <c:dLbls>
          <c:showLegendKey val="0"/>
          <c:showVal val="0"/>
          <c:showCatName val="0"/>
          <c:showSerName val="0"/>
          <c:showPercent val="0"/>
          <c:showBubbleSize val="0"/>
        </c:dLbls>
        <c:gapWidth val="219"/>
        <c:overlap val="-27"/>
        <c:axId val="1860945727"/>
        <c:axId val="1860922687"/>
      </c:barChart>
      <c:catAx>
        <c:axId val="186094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922687"/>
        <c:crosses val="autoZero"/>
        <c:auto val="1"/>
        <c:lblAlgn val="ctr"/>
        <c:lblOffset val="100"/>
        <c:noMultiLvlLbl val="0"/>
      </c:catAx>
      <c:valAx>
        <c:axId val="1860922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94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[CVD Dataset Practice.xlsx]Lifestyle Risk Index 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'Lifestyle Risk Index Analysis'!$B$10</c:f>
              <c:strCache>
                <c:ptCount val="1"/>
                <c:pt idx="0">
                  <c:v>Total</c:v>
                </c:pt>
              </c:strCache>
            </c:strRef>
          </c:tx>
          <c:spPr>
            <a:solidFill>
              <a:schemeClr val="accent1"/>
            </a:solidFill>
            <a:ln>
              <a:noFill/>
            </a:ln>
            <a:effectLst/>
          </c:spPr>
          <c:invertIfNegative val="0"/>
          <c:cat>
            <c:strRef>
              <c:f>'Lifestyle Risk Index Analysis'!$A$11:$A$16</c:f>
              <c:strCache>
                <c:ptCount val="5"/>
                <c:pt idx="0">
                  <c:v>0</c:v>
                </c:pt>
                <c:pt idx="1">
                  <c:v>1</c:v>
                </c:pt>
                <c:pt idx="2">
                  <c:v>2</c:v>
                </c:pt>
                <c:pt idx="3">
                  <c:v>3</c:v>
                </c:pt>
                <c:pt idx="4">
                  <c:v>4</c:v>
                </c:pt>
              </c:strCache>
            </c:strRef>
          </c:cat>
          <c:val>
            <c:numRef>
              <c:f>'Lifestyle Risk Index Analysis'!$B$11:$B$16</c:f>
              <c:numCache>
                <c:formatCode>0.00</c:formatCode>
                <c:ptCount val="5"/>
                <c:pt idx="0">
                  <c:v>15.914166666666672</c:v>
                </c:pt>
                <c:pt idx="1">
                  <c:v>16.345447727272731</c:v>
                </c:pt>
                <c:pt idx="2">
                  <c:v>17.13568566176469</c:v>
                </c:pt>
                <c:pt idx="3">
                  <c:v>17.760658862876248</c:v>
                </c:pt>
                <c:pt idx="4">
                  <c:v>17.863354838709682</c:v>
                </c:pt>
              </c:numCache>
            </c:numRef>
          </c:val>
          <c:extLst>
            <c:ext xmlns:c16="http://schemas.microsoft.com/office/drawing/2014/chart" uri="{C3380CC4-5D6E-409C-BE32-E72D297353CC}">
              <c16:uniqueId val="{00000000-D637-4DCC-B02D-919643F4F377}"/>
            </c:ext>
          </c:extLst>
        </c:ser>
        <c:dLbls>
          <c:showLegendKey val="0"/>
          <c:showVal val="0"/>
          <c:showCatName val="0"/>
          <c:showSerName val="0"/>
          <c:showPercent val="0"/>
          <c:showBubbleSize val="0"/>
        </c:dLbls>
        <c:gapWidth val="219"/>
        <c:overlap val="-27"/>
        <c:axId val="2114123759"/>
        <c:axId val="1765094175"/>
      </c:barChart>
      <c:catAx>
        <c:axId val="211412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94175"/>
        <c:crosses val="autoZero"/>
        <c:auto val="1"/>
        <c:lblAlgn val="ctr"/>
        <c:lblOffset val="100"/>
        <c:noMultiLvlLbl val="0"/>
      </c:catAx>
      <c:valAx>
        <c:axId val="1765094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12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'CVD Dataset'!$AE$1</c:f>
              <c:strCache>
                <c:ptCount val="1"/>
                <c:pt idx="0">
                  <c:v>CVD Risk Score</c:v>
                </c:pt>
              </c:strCache>
            </c:strRef>
          </c:tx>
          <c:spPr>
            <a:ln w="19050" cap="rnd">
              <a:noFill/>
              <a:round/>
            </a:ln>
            <a:effectLst/>
          </c:spPr>
          <c:marker>
            <c:symbol val="circle"/>
            <c:size val="5"/>
            <c:spPr>
              <a:solidFill>
                <a:schemeClr val="accent1"/>
              </a:solidFill>
              <a:ln w="9525">
                <a:solidFill>
                  <a:schemeClr val="accent1"/>
                </a:solidFill>
              </a:ln>
              <a:effectLst/>
            </c:spPr>
          </c:marker>
          <c:xVal>
            <c:numRef>
              <c:f>'CVD Dataset'!$U$2:$U$1530</c:f>
              <c:numCache>
                <c:formatCode>General</c:formatCode>
                <c:ptCount val="1529"/>
                <c:pt idx="0">
                  <c:v>2</c:v>
                </c:pt>
                <c:pt idx="1">
                  <c:v>3</c:v>
                </c:pt>
                <c:pt idx="2">
                  <c:v>1</c:v>
                </c:pt>
                <c:pt idx="3">
                  <c:v>1</c:v>
                </c:pt>
                <c:pt idx="4">
                  <c:v>2</c:v>
                </c:pt>
                <c:pt idx="5">
                  <c:v>2</c:v>
                </c:pt>
                <c:pt idx="6">
                  <c:v>2</c:v>
                </c:pt>
                <c:pt idx="7">
                  <c:v>1</c:v>
                </c:pt>
                <c:pt idx="8">
                  <c:v>1</c:v>
                </c:pt>
                <c:pt idx="9">
                  <c:v>0</c:v>
                </c:pt>
                <c:pt idx="10">
                  <c:v>4</c:v>
                </c:pt>
                <c:pt idx="11">
                  <c:v>1</c:v>
                </c:pt>
                <c:pt idx="12">
                  <c:v>3</c:v>
                </c:pt>
                <c:pt idx="13">
                  <c:v>3</c:v>
                </c:pt>
                <c:pt idx="14">
                  <c:v>4</c:v>
                </c:pt>
                <c:pt idx="15">
                  <c:v>1</c:v>
                </c:pt>
                <c:pt idx="16">
                  <c:v>3</c:v>
                </c:pt>
                <c:pt idx="17">
                  <c:v>1</c:v>
                </c:pt>
                <c:pt idx="18">
                  <c:v>1</c:v>
                </c:pt>
                <c:pt idx="19">
                  <c:v>3</c:v>
                </c:pt>
                <c:pt idx="20">
                  <c:v>4</c:v>
                </c:pt>
                <c:pt idx="21">
                  <c:v>3</c:v>
                </c:pt>
                <c:pt idx="22">
                  <c:v>3</c:v>
                </c:pt>
                <c:pt idx="23">
                  <c:v>1</c:v>
                </c:pt>
                <c:pt idx="24">
                  <c:v>4</c:v>
                </c:pt>
                <c:pt idx="25">
                  <c:v>3</c:v>
                </c:pt>
                <c:pt idx="26">
                  <c:v>2</c:v>
                </c:pt>
                <c:pt idx="27">
                  <c:v>2</c:v>
                </c:pt>
                <c:pt idx="28">
                  <c:v>1</c:v>
                </c:pt>
                <c:pt idx="29">
                  <c:v>2</c:v>
                </c:pt>
                <c:pt idx="30">
                  <c:v>2</c:v>
                </c:pt>
                <c:pt idx="31">
                  <c:v>3</c:v>
                </c:pt>
                <c:pt idx="32">
                  <c:v>3</c:v>
                </c:pt>
                <c:pt idx="33">
                  <c:v>1</c:v>
                </c:pt>
                <c:pt idx="34">
                  <c:v>1</c:v>
                </c:pt>
                <c:pt idx="35">
                  <c:v>2</c:v>
                </c:pt>
                <c:pt idx="36">
                  <c:v>2</c:v>
                </c:pt>
                <c:pt idx="37">
                  <c:v>2</c:v>
                </c:pt>
                <c:pt idx="38">
                  <c:v>1</c:v>
                </c:pt>
                <c:pt idx="39">
                  <c:v>1</c:v>
                </c:pt>
                <c:pt idx="40">
                  <c:v>3</c:v>
                </c:pt>
                <c:pt idx="41">
                  <c:v>1</c:v>
                </c:pt>
                <c:pt idx="42">
                  <c:v>2</c:v>
                </c:pt>
                <c:pt idx="43">
                  <c:v>2</c:v>
                </c:pt>
                <c:pt idx="44">
                  <c:v>2</c:v>
                </c:pt>
                <c:pt idx="45">
                  <c:v>2</c:v>
                </c:pt>
                <c:pt idx="46">
                  <c:v>2</c:v>
                </c:pt>
                <c:pt idx="47">
                  <c:v>2</c:v>
                </c:pt>
                <c:pt idx="48">
                  <c:v>2</c:v>
                </c:pt>
                <c:pt idx="49">
                  <c:v>0</c:v>
                </c:pt>
                <c:pt idx="50">
                  <c:v>0</c:v>
                </c:pt>
                <c:pt idx="51">
                  <c:v>1</c:v>
                </c:pt>
                <c:pt idx="52">
                  <c:v>1</c:v>
                </c:pt>
                <c:pt idx="53">
                  <c:v>3</c:v>
                </c:pt>
                <c:pt idx="54">
                  <c:v>2</c:v>
                </c:pt>
                <c:pt idx="55">
                  <c:v>2</c:v>
                </c:pt>
                <c:pt idx="56">
                  <c:v>2</c:v>
                </c:pt>
                <c:pt idx="57">
                  <c:v>1</c:v>
                </c:pt>
                <c:pt idx="58">
                  <c:v>0</c:v>
                </c:pt>
                <c:pt idx="59">
                  <c:v>1</c:v>
                </c:pt>
                <c:pt idx="60">
                  <c:v>1</c:v>
                </c:pt>
                <c:pt idx="61">
                  <c:v>2</c:v>
                </c:pt>
                <c:pt idx="62">
                  <c:v>1</c:v>
                </c:pt>
                <c:pt idx="63">
                  <c:v>1</c:v>
                </c:pt>
                <c:pt idx="64">
                  <c:v>3</c:v>
                </c:pt>
                <c:pt idx="65">
                  <c:v>2</c:v>
                </c:pt>
                <c:pt idx="66">
                  <c:v>1</c:v>
                </c:pt>
                <c:pt idx="67">
                  <c:v>0</c:v>
                </c:pt>
                <c:pt idx="68">
                  <c:v>1</c:v>
                </c:pt>
                <c:pt idx="69">
                  <c:v>1</c:v>
                </c:pt>
                <c:pt idx="70">
                  <c:v>0</c:v>
                </c:pt>
                <c:pt idx="71">
                  <c:v>0</c:v>
                </c:pt>
                <c:pt idx="72">
                  <c:v>1</c:v>
                </c:pt>
                <c:pt idx="73">
                  <c:v>2</c:v>
                </c:pt>
                <c:pt idx="74">
                  <c:v>1</c:v>
                </c:pt>
                <c:pt idx="75">
                  <c:v>3</c:v>
                </c:pt>
                <c:pt idx="76">
                  <c:v>3</c:v>
                </c:pt>
                <c:pt idx="77">
                  <c:v>2</c:v>
                </c:pt>
                <c:pt idx="78">
                  <c:v>1</c:v>
                </c:pt>
                <c:pt idx="79">
                  <c:v>3</c:v>
                </c:pt>
                <c:pt idx="80">
                  <c:v>0</c:v>
                </c:pt>
                <c:pt idx="81">
                  <c:v>2</c:v>
                </c:pt>
                <c:pt idx="82">
                  <c:v>1</c:v>
                </c:pt>
                <c:pt idx="83">
                  <c:v>1</c:v>
                </c:pt>
                <c:pt idx="84">
                  <c:v>1</c:v>
                </c:pt>
                <c:pt idx="85">
                  <c:v>2</c:v>
                </c:pt>
                <c:pt idx="86">
                  <c:v>2</c:v>
                </c:pt>
                <c:pt idx="87">
                  <c:v>0</c:v>
                </c:pt>
                <c:pt idx="88">
                  <c:v>3</c:v>
                </c:pt>
                <c:pt idx="89">
                  <c:v>1</c:v>
                </c:pt>
                <c:pt idx="90">
                  <c:v>1</c:v>
                </c:pt>
                <c:pt idx="91">
                  <c:v>1</c:v>
                </c:pt>
                <c:pt idx="92">
                  <c:v>2</c:v>
                </c:pt>
                <c:pt idx="93">
                  <c:v>2</c:v>
                </c:pt>
                <c:pt idx="94">
                  <c:v>1</c:v>
                </c:pt>
                <c:pt idx="95">
                  <c:v>1</c:v>
                </c:pt>
                <c:pt idx="96">
                  <c:v>2</c:v>
                </c:pt>
                <c:pt idx="97">
                  <c:v>2</c:v>
                </c:pt>
                <c:pt idx="98">
                  <c:v>3</c:v>
                </c:pt>
                <c:pt idx="99">
                  <c:v>1</c:v>
                </c:pt>
                <c:pt idx="100">
                  <c:v>1</c:v>
                </c:pt>
                <c:pt idx="101">
                  <c:v>2</c:v>
                </c:pt>
                <c:pt idx="102">
                  <c:v>1</c:v>
                </c:pt>
                <c:pt idx="103">
                  <c:v>2</c:v>
                </c:pt>
                <c:pt idx="104">
                  <c:v>3</c:v>
                </c:pt>
                <c:pt idx="105">
                  <c:v>1</c:v>
                </c:pt>
                <c:pt idx="106">
                  <c:v>3</c:v>
                </c:pt>
                <c:pt idx="107">
                  <c:v>3</c:v>
                </c:pt>
                <c:pt idx="108">
                  <c:v>3</c:v>
                </c:pt>
                <c:pt idx="109">
                  <c:v>3</c:v>
                </c:pt>
                <c:pt idx="110">
                  <c:v>1</c:v>
                </c:pt>
                <c:pt idx="111">
                  <c:v>3</c:v>
                </c:pt>
                <c:pt idx="112">
                  <c:v>2</c:v>
                </c:pt>
                <c:pt idx="113">
                  <c:v>4</c:v>
                </c:pt>
                <c:pt idx="114">
                  <c:v>2</c:v>
                </c:pt>
                <c:pt idx="115">
                  <c:v>3</c:v>
                </c:pt>
                <c:pt idx="116">
                  <c:v>3</c:v>
                </c:pt>
                <c:pt idx="117">
                  <c:v>4</c:v>
                </c:pt>
                <c:pt idx="118">
                  <c:v>3</c:v>
                </c:pt>
                <c:pt idx="119">
                  <c:v>1</c:v>
                </c:pt>
                <c:pt idx="120">
                  <c:v>1</c:v>
                </c:pt>
                <c:pt idx="121">
                  <c:v>1</c:v>
                </c:pt>
                <c:pt idx="122">
                  <c:v>2</c:v>
                </c:pt>
                <c:pt idx="123">
                  <c:v>2</c:v>
                </c:pt>
                <c:pt idx="124">
                  <c:v>2</c:v>
                </c:pt>
                <c:pt idx="125">
                  <c:v>0</c:v>
                </c:pt>
                <c:pt idx="126">
                  <c:v>1</c:v>
                </c:pt>
                <c:pt idx="127">
                  <c:v>1</c:v>
                </c:pt>
                <c:pt idx="128">
                  <c:v>0</c:v>
                </c:pt>
                <c:pt idx="129">
                  <c:v>1</c:v>
                </c:pt>
                <c:pt idx="130">
                  <c:v>2</c:v>
                </c:pt>
                <c:pt idx="131">
                  <c:v>2</c:v>
                </c:pt>
                <c:pt idx="132">
                  <c:v>2</c:v>
                </c:pt>
                <c:pt idx="133">
                  <c:v>2</c:v>
                </c:pt>
                <c:pt idx="134">
                  <c:v>2</c:v>
                </c:pt>
                <c:pt idx="135">
                  <c:v>1</c:v>
                </c:pt>
                <c:pt idx="136">
                  <c:v>1</c:v>
                </c:pt>
                <c:pt idx="137">
                  <c:v>1</c:v>
                </c:pt>
                <c:pt idx="138">
                  <c:v>2</c:v>
                </c:pt>
                <c:pt idx="139">
                  <c:v>3</c:v>
                </c:pt>
                <c:pt idx="140">
                  <c:v>2</c:v>
                </c:pt>
                <c:pt idx="141">
                  <c:v>2</c:v>
                </c:pt>
                <c:pt idx="142">
                  <c:v>2</c:v>
                </c:pt>
                <c:pt idx="143">
                  <c:v>0</c:v>
                </c:pt>
                <c:pt idx="144">
                  <c:v>1</c:v>
                </c:pt>
                <c:pt idx="145">
                  <c:v>1</c:v>
                </c:pt>
                <c:pt idx="146">
                  <c:v>4</c:v>
                </c:pt>
                <c:pt idx="147">
                  <c:v>1</c:v>
                </c:pt>
                <c:pt idx="148">
                  <c:v>1</c:v>
                </c:pt>
                <c:pt idx="149">
                  <c:v>2</c:v>
                </c:pt>
                <c:pt idx="150">
                  <c:v>2</c:v>
                </c:pt>
                <c:pt idx="151">
                  <c:v>3</c:v>
                </c:pt>
                <c:pt idx="152">
                  <c:v>2</c:v>
                </c:pt>
                <c:pt idx="153">
                  <c:v>2</c:v>
                </c:pt>
                <c:pt idx="154">
                  <c:v>2</c:v>
                </c:pt>
                <c:pt idx="155">
                  <c:v>3</c:v>
                </c:pt>
                <c:pt idx="156">
                  <c:v>2</c:v>
                </c:pt>
                <c:pt idx="157">
                  <c:v>1</c:v>
                </c:pt>
                <c:pt idx="158">
                  <c:v>3</c:v>
                </c:pt>
                <c:pt idx="159">
                  <c:v>1</c:v>
                </c:pt>
                <c:pt idx="160">
                  <c:v>2</c:v>
                </c:pt>
                <c:pt idx="161">
                  <c:v>3</c:v>
                </c:pt>
                <c:pt idx="162">
                  <c:v>1</c:v>
                </c:pt>
                <c:pt idx="163">
                  <c:v>3</c:v>
                </c:pt>
                <c:pt idx="164">
                  <c:v>2</c:v>
                </c:pt>
                <c:pt idx="165">
                  <c:v>2</c:v>
                </c:pt>
                <c:pt idx="166">
                  <c:v>2</c:v>
                </c:pt>
                <c:pt idx="167">
                  <c:v>1</c:v>
                </c:pt>
                <c:pt idx="168">
                  <c:v>1</c:v>
                </c:pt>
                <c:pt idx="169">
                  <c:v>2</c:v>
                </c:pt>
                <c:pt idx="170">
                  <c:v>2</c:v>
                </c:pt>
                <c:pt idx="171">
                  <c:v>3</c:v>
                </c:pt>
                <c:pt idx="172">
                  <c:v>1</c:v>
                </c:pt>
                <c:pt idx="173">
                  <c:v>3</c:v>
                </c:pt>
                <c:pt idx="174">
                  <c:v>3</c:v>
                </c:pt>
                <c:pt idx="175">
                  <c:v>1</c:v>
                </c:pt>
                <c:pt idx="176">
                  <c:v>2</c:v>
                </c:pt>
                <c:pt idx="177">
                  <c:v>3</c:v>
                </c:pt>
                <c:pt idx="178">
                  <c:v>4</c:v>
                </c:pt>
                <c:pt idx="179">
                  <c:v>1</c:v>
                </c:pt>
                <c:pt idx="180">
                  <c:v>3</c:v>
                </c:pt>
                <c:pt idx="181">
                  <c:v>2</c:v>
                </c:pt>
                <c:pt idx="182">
                  <c:v>2</c:v>
                </c:pt>
                <c:pt idx="183">
                  <c:v>2</c:v>
                </c:pt>
                <c:pt idx="184">
                  <c:v>1</c:v>
                </c:pt>
                <c:pt idx="185">
                  <c:v>1</c:v>
                </c:pt>
                <c:pt idx="186">
                  <c:v>2</c:v>
                </c:pt>
                <c:pt idx="187">
                  <c:v>0</c:v>
                </c:pt>
                <c:pt idx="188">
                  <c:v>1</c:v>
                </c:pt>
                <c:pt idx="189">
                  <c:v>2</c:v>
                </c:pt>
                <c:pt idx="190">
                  <c:v>3</c:v>
                </c:pt>
                <c:pt idx="191">
                  <c:v>2</c:v>
                </c:pt>
                <c:pt idx="192">
                  <c:v>1</c:v>
                </c:pt>
                <c:pt idx="193">
                  <c:v>2</c:v>
                </c:pt>
                <c:pt idx="194">
                  <c:v>2</c:v>
                </c:pt>
                <c:pt idx="195">
                  <c:v>3</c:v>
                </c:pt>
                <c:pt idx="196">
                  <c:v>1</c:v>
                </c:pt>
                <c:pt idx="197">
                  <c:v>1</c:v>
                </c:pt>
                <c:pt idx="198">
                  <c:v>1</c:v>
                </c:pt>
                <c:pt idx="199">
                  <c:v>1</c:v>
                </c:pt>
                <c:pt idx="200">
                  <c:v>1</c:v>
                </c:pt>
                <c:pt idx="201">
                  <c:v>0</c:v>
                </c:pt>
                <c:pt idx="202">
                  <c:v>2</c:v>
                </c:pt>
                <c:pt idx="203">
                  <c:v>1</c:v>
                </c:pt>
                <c:pt idx="204">
                  <c:v>0</c:v>
                </c:pt>
                <c:pt idx="205">
                  <c:v>1</c:v>
                </c:pt>
                <c:pt idx="206">
                  <c:v>3</c:v>
                </c:pt>
                <c:pt idx="207">
                  <c:v>1</c:v>
                </c:pt>
                <c:pt idx="208">
                  <c:v>2</c:v>
                </c:pt>
                <c:pt idx="209">
                  <c:v>1</c:v>
                </c:pt>
                <c:pt idx="210">
                  <c:v>2</c:v>
                </c:pt>
                <c:pt idx="211">
                  <c:v>3</c:v>
                </c:pt>
                <c:pt idx="212">
                  <c:v>0</c:v>
                </c:pt>
                <c:pt idx="213">
                  <c:v>0</c:v>
                </c:pt>
                <c:pt idx="214">
                  <c:v>2</c:v>
                </c:pt>
                <c:pt idx="215">
                  <c:v>3</c:v>
                </c:pt>
                <c:pt idx="216">
                  <c:v>1</c:v>
                </c:pt>
                <c:pt idx="217">
                  <c:v>4</c:v>
                </c:pt>
                <c:pt idx="218">
                  <c:v>2</c:v>
                </c:pt>
                <c:pt idx="219">
                  <c:v>2</c:v>
                </c:pt>
                <c:pt idx="220">
                  <c:v>1</c:v>
                </c:pt>
                <c:pt idx="221">
                  <c:v>3</c:v>
                </c:pt>
                <c:pt idx="222">
                  <c:v>3</c:v>
                </c:pt>
                <c:pt idx="223">
                  <c:v>2</c:v>
                </c:pt>
                <c:pt idx="224">
                  <c:v>3</c:v>
                </c:pt>
                <c:pt idx="225">
                  <c:v>2</c:v>
                </c:pt>
                <c:pt idx="226">
                  <c:v>2</c:v>
                </c:pt>
                <c:pt idx="227">
                  <c:v>2</c:v>
                </c:pt>
                <c:pt idx="228">
                  <c:v>1</c:v>
                </c:pt>
                <c:pt idx="229">
                  <c:v>2</c:v>
                </c:pt>
                <c:pt idx="230">
                  <c:v>3</c:v>
                </c:pt>
                <c:pt idx="231">
                  <c:v>1</c:v>
                </c:pt>
                <c:pt idx="232">
                  <c:v>1</c:v>
                </c:pt>
                <c:pt idx="233">
                  <c:v>2</c:v>
                </c:pt>
                <c:pt idx="234">
                  <c:v>2</c:v>
                </c:pt>
                <c:pt idx="235">
                  <c:v>0</c:v>
                </c:pt>
                <c:pt idx="236">
                  <c:v>3</c:v>
                </c:pt>
                <c:pt idx="237">
                  <c:v>3</c:v>
                </c:pt>
                <c:pt idx="238">
                  <c:v>3</c:v>
                </c:pt>
                <c:pt idx="239">
                  <c:v>3</c:v>
                </c:pt>
                <c:pt idx="240">
                  <c:v>2</c:v>
                </c:pt>
                <c:pt idx="241">
                  <c:v>3</c:v>
                </c:pt>
                <c:pt idx="242">
                  <c:v>3</c:v>
                </c:pt>
                <c:pt idx="243">
                  <c:v>1</c:v>
                </c:pt>
                <c:pt idx="244">
                  <c:v>2</c:v>
                </c:pt>
                <c:pt idx="245">
                  <c:v>1</c:v>
                </c:pt>
                <c:pt idx="246">
                  <c:v>2</c:v>
                </c:pt>
                <c:pt idx="247">
                  <c:v>2</c:v>
                </c:pt>
                <c:pt idx="248">
                  <c:v>3</c:v>
                </c:pt>
                <c:pt idx="249">
                  <c:v>4</c:v>
                </c:pt>
                <c:pt idx="250">
                  <c:v>1</c:v>
                </c:pt>
                <c:pt idx="251">
                  <c:v>1</c:v>
                </c:pt>
                <c:pt idx="252">
                  <c:v>2</c:v>
                </c:pt>
                <c:pt idx="253">
                  <c:v>2</c:v>
                </c:pt>
                <c:pt idx="254">
                  <c:v>4</c:v>
                </c:pt>
                <c:pt idx="255">
                  <c:v>3</c:v>
                </c:pt>
                <c:pt idx="256">
                  <c:v>2</c:v>
                </c:pt>
                <c:pt idx="257">
                  <c:v>2</c:v>
                </c:pt>
                <c:pt idx="258">
                  <c:v>1</c:v>
                </c:pt>
                <c:pt idx="259">
                  <c:v>2</c:v>
                </c:pt>
                <c:pt idx="260">
                  <c:v>1</c:v>
                </c:pt>
                <c:pt idx="261">
                  <c:v>1</c:v>
                </c:pt>
                <c:pt idx="262">
                  <c:v>3</c:v>
                </c:pt>
                <c:pt idx="263">
                  <c:v>1</c:v>
                </c:pt>
                <c:pt idx="264">
                  <c:v>1</c:v>
                </c:pt>
                <c:pt idx="265">
                  <c:v>2</c:v>
                </c:pt>
                <c:pt idx="266">
                  <c:v>1</c:v>
                </c:pt>
                <c:pt idx="267">
                  <c:v>0</c:v>
                </c:pt>
                <c:pt idx="268">
                  <c:v>1</c:v>
                </c:pt>
                <c:pt idx="269">
                  <c:v>3</c:v>
                </c:pt>
                <c:pt idx="270">
                  <c:v>1</c:v>
                </c:pt>
                <c:pt idx="271">
                  <c:v>3</c:v>
                </c:pt>
                <c:pt idx="272">
                  <c:v>1</c:v>
                </c:pt>
                <c:pt idx="273">
                  <c:v>3</c:v>
                </c:pt>
                <c:pt idx="274">
                  <c:v>1</c:v>
                </c:pt>
                <c:pt idx="275">
                  <c:v>2</c:v>
                </c:pt>
                <c:pt idx="276">
                  <c:v>3</c:v>
                </c:pt>
                <c:pt idx="277">
                  <c:v>1</c:v>
                </c:pt>
                <c:pt idx="278">
                  <c:v>1</c:v>
                </c:pt>
                <c:pt idx="279">
                  <c:v>2</c:v>
                </c:pt>
                <c:pt idx="280">
                  <c:v>2</c:v>
                </c:pt>
                <c:pt idx="281">
                  <c:v>3</c:v>
                </c:pt>
                <c:pt idx="282">
                  <c:v>2</c:v>
                </c:pt>
                <c:pt idx="283">
                  <c:v>1</c:v>
                </c:pt>
                <c:pt idx="284">
                  <c:v>3</c:v>
                </c:pt>
                <c:pt idx="285">
                  <c:v>1</c:v>
                </c:pt>
                <c:pt idx="286">
                  <c:v>2</c:v>
                </c:pt>
                <c:pt idx="287">
                  <c:v>1</c:v>
                </c:pt>
                <c:pt idx="288">
                  <c:v>1</c:v>
                </c:pt>
                <c:pt idx="289">
                  <c:v>3</c:v>
                </c:pt>
                <c:pt idx="290">
                  <c:v>2</c:v>
                </c:pt>
                <c:pt idx="291">
                  <c:v>2</c:v>
                </c:pt>
                <c:pt idx="292">
                  <c:v>3</c:v>
                </c:pt>
                <c:pt idx="293">
                  <c:v>0</c:v>
                </c:pt>
                <c:pt idx="294">
                  <c:v>2</c:v>
                </c:pt>
                <c:pt idx="295">
                  <c:v>0</c:v>
                </c:pt>
                <c:pt idx="296">
                  <c:v>3</c:v>
                </c:pt>
                <c:pt idx="297">
                  <c:v>2</c:v>
                </c:pt>
                <c:pt idx="298">
                  <c:v>1</c:v>
                </c:pt>
                <c:pt idx="299">
                  <c:v>3</c:v>
                </c:pt>
                <c:pt idx="300">
                  <c:v>2</c:v>
                </c:pt>
                <c:pt idx="301">
                  <c:v>2</c:v>
                </c:pt>
                <c:pt idx="302">
                  <c:v>1</c:v>
                </c:pt>
                <c:pt idx="303">
                  <c:v>2</c:v>
                </c:pt>
                <c:pt idx="304">
                  <c:v>1</c:v>
                </c:pt>
                <c:pt idx="305">
                  <c:v>4</c:v>
                </c:pt>
                <c:pt idx="306">
                  <c:v>1</c:v>
                </c:pt>
                <c:pt idx="307">
                  <c:v>1</c:v>
                </c:pt>
                <c:pt idx="308">
                  <c:v>1</c:v>
                </c:pt>
                <c:pt idx="309">
                  <c:v>2</c:v>
                </c:pt>
                <c:pt idx="310">
                  <c:v>1</c:v>
                </c:pt>
                <c:pt idx="311">
                  <c:v>3</c:v>
                </c:pt>
                <c:pt idx="312">
                  <c:v>1</c:v>
                </c:pt>
                <c:pt idx="313">
                  <c:v>1</c:v>
                </c:pt>
                <c:pt idx="314">
                  <c:v>0</c:v>
                </c:pt>
                <c:pt idx="315">
                  <c:v>1</c:v>
                </c:pt>
                <c:pt idx="316">
                  <c:v>2</c:v>
                </c:pt>
                <c:pt idx="317">
                  <c:v>0</c:v>
                </c:pt>
                <c:pt idx="318">
                  <c:v>2</c:v>
                </c:pt>
                <c:pt idx="319">
                  <c:v>2</c:v>
                </c:pt>
                <c:pt idx="320">
                  <c:v>3</c:v>
                </c:pt>
                <c:pt idx="321">
                  <c:v>2</c:v>
                </c:pt>
                <c:pt idx="322">
                  <c:v>1</c:v>
                </c:pt>
                <c:pt idx="323">
                  <c:v>1</c:v>
                </c:pt>
                <c:pt idx="324">
                  <c:v>3</c:v>
                </c:pt>
                <c:pt idx="325">
                  <c:v>2</c:v>
                </c:pt>
                <c:pt idx="326">
                  <c:v>1</c:v>
                </c:pt>
                <c:pt idx="327">
                  <c:v>1</c:v>
                </c:pt>
                <c:pt idx="328">
                  <c:v>0</c:v>
                </c:pt>
                <c:pt idx="329">
                  <c:v>3</c:v>
                </c:pt>
                <c:pt idx="330">
                  <c:v>1</c:v>
                </c:pt>
                <c:pt idx="331">
                  <c:v>2</c:v>
                </c:pt>
                <c:pt idx="332">
                  <c:v>2</c:v>
                </c:pt>
                <c:pt idx="333">
                  <c:v>1</c:v>
                </c:pt>
                <c:pt idx="334">
                  <c:v>1</c:v>
                </c:pt>
                <c:pt idx="335">
                  <c:v>1</c:v>
                </c:pt>
                <c:pt idx="336">
                  <c:v>3</c:v>
                </c:pt>
                <c:pt idx="337">
                  <c:v>1</c:v>
                </c:pt>
                <c:pt idx="338">
                  <c:v>3</c:v>
                </c:pt>
                <c:pt idx="339">
                  <c:v>1</c:v>
                </c:pt>
                <c:pt idx="340">
                  <c:v>2</c:v>
                </c:pt>
                <c:pt idx="341">
                  <c:v>1</c:v>
                </c:pt>
                <c:pt idx="342">
                  <c:v>1</c:v>
                </c:pt>
                <c:pt idx="343">
                  <c:v>1</c:v>
                </c:pt>
                <c:pt idx="344">
                  <c:v>2</c:v>
                </c:pt>
                <c:pt idx="345">
                  <c:v>1</c:v>
                </c:pt>
                <c:pt idx="346">
                  <c:v>2</c:v>
                </c:pt>
                <c:pt idx="347">
                  <c:v>3</c:v>
                </c:pt>
                <c:pt idx="348">
                  <c:v>2</c:v>
                </c:pt>
                <c:pt idx="349">
                  <c:v>1</c:v>
                </c:pt>
                <c:pt idx="350">
                  <c:v>3</c:v>
                </c:pt>
                <c:pt idx="351">
                  <c:v>1</c:v>
                </c:pt>
                <c:pt idx="352">
                  <c:v>2</c:v>
                </c:pt>
                <c:pt idx="353">
                  <c:v>3</c:v>
                </c:pt>
                <c:pt idx="354">
                  <c:v>2</c:v>
                </c:pt>
                <c:pt idx="355">
                  <c:v>1</c:v>
                </c:pt>
                <c:pt idx="356">
                  <c:v>2</c:v>
                </c:pt>
                <c:pt idx="357">
                  <c:v>1</c:v>
                </c:pt>
                <c:pt idx="358">
                  <c:v>3</c:v>
                </c:pt>
                <c:pt idx="359">
                  <c:v>3</c:v>
                </c:pt>
                <c:pt idx="360">
                  <c:v>1</c:v>
                </c:pt>
                <c:pt idx="361">
                  <c:v>3</c:v>
                </c:pt>
                <c:pt idx="362">
                  <c:v>2</c:v>
                </c:pt>
                <c:pt idx="363">
                  <c:v>2</c:v>
                </c:pt>
                <c:pt idx="364">
                  <c:v>3</c:v>
                </c:pt>
                <c:pt idx="365">
                  <c:v>1</c:v>
                </c:pt>
                <c:pt idx="366">
                  <c:v>1</c:v>
                </c:pt>
                <c:pt idx="367">
                  <c:v>4</c:v>
                </c:pt>
                <c:pt idx="368">
                  <c:v>2</c:v>
                </c:pt>
                <c:pt idx="369">
                  <c:v>0</c:v>
                </c:pt>
                <c:pt idx="370">
                  <c:v>1</c:v>
                </c:pt>
                <c:pt idx="371">
                  <c:v>3</c:v>
                </c:pt>
                <c:pt idx="372">
                  <c:v>1</c:v>
                </c:pt>
                <c:pt idx="373">
                  <c:v>3</c:v>
                </c:pt>
                <c:pt idx="374">
                  <c:v>1</c:v>
                </c:pt>
                <c:pt idx="375">
                  <c:v>2</c:v>
                </c:pt>
                <c:pt idx="376">
                  <c:v>1</c:v>
                </c:pt>
                <c:pt idx="377">
                  <c:v>1</c:v>
                </c:pt>
                <c:pt idx="378">
                  <c:v>2</c:v>
                </c:pt>
                <c:pt idx="379">
                  <c:v>3</c:v>
                </c:pt>
                <c:pt idx="380">
                  <c:v>0</c:v>
                </c:pt>
                <c:pt idx="381">
                  <c:v>2</c:v>
                </c:pt>
                <c:pt idx="382">
                  <c:v>4</c:v>
                </c:pt>
                <c:pt idx="383">
                  <c:v>1</c:v>
                </c:pt>
                <c:pt idx="384">
                  <c:v>2</c:v>
                </c:pt>
                <c:pt idx="385">
                  <c:v>1</c:v>
                </c:pt>
                <c:pt idx="386">
                  <c:v>1</c:v>
                </c:pt>
                <c:pt idx="387">
                  <c:v>1</c:v>
                </c:pt>
                <c:pt idx="388">
                  <c:v>1</c:v>
                </c:pt>
                <c:pt idx="389">
                  <c:v>1</c:v>
                </c:pt>
                <c:pt idx="390">
                  <c:v>3</c:v>
                </c:pt>
                <c:pt idx="391">
                  <c:v>3</c:v>
                </c:pt>
                <c:pt idx="392">
                  <c:v>3</c:v>
                </c:pt>
                <c:pt idx="393">
                  <c:v>1</c:v>
                </c:pt>
                <c:pt idx="394">
                  <c:v>2</c:v>
                </c:pt>
                <c:pt idx="395">
                  <c:v>1</c:v>
                </c:pt>
                <c:pt idx="396">
                  <c:v>0</c:v>
                </c:pt>
                <c:pt idx="397">
                  <c:v>2</c:v>
                </c:pt>
                <c:pt idx="398">
                  <c:v>2</c:v>
                </c:pt>
                <c:pt idx="399">
                  <c:v>1</c:v>
                </c:pt>
                <c:pt idx="400">
                  <c:v>2</c:v>
                </c:pt>
                <c:pt idx="401">
                  <c:v>2</c:v>
                </c:pt>
                <c:pt idx="402">
                  <c:v>3</c:v>
                </c:pt>
                <c:pt idx="403">
                  <c:v>2</c:v>
                </c:pt>
                <c:pt idx="404">
                  <c:v>2</c:v>
                </c:pt>
                <c:pt idx="405">
                  <c:v>1</c:v>
                </c:pt>
                <c:pt idx="406">
                  <c:v>1</c:v>
                </c:pt>
                <c:pt idx="407">
                  <c:v>2</c:v>
                </c:pt>
                <c:pt idx="408">
                  <c:v>1</c:v>
                </c:pt>
                <c:pt idx="409">
                  <c:v>2</c:v>
                </c:pt>
                <c:pt idx="410">
                  <c:v>1</c:v>
                </c:pt>
                <c:pt idx="411">
                  <c:v>1</c:v>
                </c:pt>
                <c:pt idx="412">
                  <c:v>2</c:v>
                </c:pt>
                <c:pt idx="413">
                  <c:v>2</c:v>
                </c:pt>
                <c:pt idx="414">
                  <c:v>2</c:v>
                </c:pt>
                <c:pt idx="415">
                  <c:v>1</c:v>
                </c:pt>
                <c:pt idx="416">
                  <c:v>2</c:v>
                </c:pt>
                <c:pt idx="417">
                  <c:v>2</c:v>
                </c:pt>
                <c:pt idx="418">
                  <c:v>2</c:v>
                </c:pt>
                <c:pt idx="419">
                  <c:v>2</c:v>
                </c:pt>
                <c:pt idx="420">
                  <c:v>3</c:v>
                </c:pt>
                <c:pt idx="421">
                  <c:v>1</c:v>
                </c:pt>
                <c:pt idx="422">
                  <c:v>2</c:v>
                </c:pt>
                <c:pt idx="423">
                  <c:v>3</c:v>
                </c:pt>
                <c:pt idx="424">
                  <c:v>3</c:v>
                </c:pt>
                <c:pt idx="425">
                  <c:v>2</c:v>
                </c:pt>
                <c:pt idx="426">
                  <c:v>2</c:v>
                </c:pt>
                <c:pt idx="427">
                  <c:v>4</c:v>
                </c:pt>
                <c:pt idx="428">
                  <c:v>2</c:v>
                </c:pt>
                <c:pt idx="429">
                  <c:v>2</c:v>
                </c:pt>
                <c:pt idx="430">
                  <c:v>1</c:v>
                </c:pt>
                <c:pt idx="431">
                  <c:v>2</c:v>
                </c:pt>
                <c:pt idx="432">
                  <c:v>2</c:v>
                </c:pt>
                <c:pt idx="433">
                  <c:v>3</c:v>
                </c:pt>
                <c:pt idx="434">
                  <c:v>4</c:v>
                </c:pt>
                <c:pt idx="435">
                  <c:v>3</c:v>
                </c:pt>
                <c:pt idx="436">
                  <c:v>1</c:v>
                </c:pt>
                <c:pt idx="437">
                  <c:v>2</c:v>
                </c:pt>
                <c:pt idx="438">
                  <c:v>3</c:v>
                </c:pt>
                <c:pt idx="439">
                  <c:v>2</c:v>
                </c:pt>
                <c:pt idx="440">
                  <c:v>2</c:v>
                </c:pt>
                <c:pt idx="441">
                  <c:v>2</c:v>
                </c:pt>
                <c:pt idx="442">
                  <c:v>2</c:v>
                </c:pt>
                <c:pt idx="443">
                  <c:v>4</c:v>
                </c:pt>
                <c:pt idx="444">
                  <c:v>2</c:v>
                </c:pt>
                <c:pt idx="445">
                  <c:v>2</c:v>
                </c:pt>
                <c:pt idx="446">
                  <c:v>2</c:v>
                </c:pt>
                <c:pt idx="447">
                  <c:v>2</c:v>
                </c:pt>
                <c:pt idx="448">
                  <c:v>2</c:v>
                </c:pt>
                <c:pt idx="449">
                  <c:v>3</c:v>
                </c:pt>
                <c:pt idx="450">
                  <c:v>2</c:v>
                </c:pt>
                <c:pt idx="451">
                  <c:v>2</c:v>
                </c:pt>
                <c:pt idx="452">
                  <c:v>4</c:v>
                </c:pt>
                <c:pt idx="453">
                  <c:v>2</c:v>
                </c:pt>
                <c:pt idx="454">
                  <c:v>3</c:v>
                </c:pt>
                <c:pt idx="455">
                  <c:v>1</c:v>
                </c:pt>
                <c:pt idx="456">
                  <c:v>1</c:v>
                </c:pt>
                <c:pt idx="457">
                  <c:v>2</c:v>
                </c:pt>
                <c:pt idx="458">
                  <c:v>1</c:v>
                </c:pt>
                <c:pt idx="459">
                  <c:v>1</c:v>
                </c:pt>
                <c:pt idx="460">
                  <c:v>2</c:v>
                </c:pt>
                <c:pt idx="461">
                  <c:v>1</c:v>
                </c:pt>
                <c:pt idx="462">
                  <c:v>2</c:v>
                </c:pt>
                <c:pt idx="463">
                  <c:v>1</c:v>
                </c:pt>
                <c:pt idx="464">
                  <c:v>2</c:v>
                </c:pt>
                <c:pt idx="465">
                  <c:v>3</c:v>
                </c:pt>
                <c:pt idx="466">
                  <c:v>2</c:v>
                </c:pt>
                <c:pt idx="467">
                  <c:v>3</c:v>
                </c:pt>
                <c:pt idx="468">
                  <c:v>3</c:v>
                </c:pt>
                <c:pt idx="469">
                  <c:v>3</c:v>
                </c:pt>
                <c:pt idx="470">
                  <c:v>3</c:v>
                </c:pt>
                <c:pt idx="471">
                  <c:v>1</c:v>
                </c:pt>
                <c:pt idx="472">
                  <c:v>1</c:v>
                </c:pt>
                <c:pt idx="473">
                  <c:v>1</c:v>
                </c:pt>
                <c:pt idx="474">
                  <c:v>1</c:v>
                </c:pt>
                <c:pt idx="475">
                  <c:v>3</c:v>
                </c:pt>
                <c:pt idx="476">
                  <c:v>3</c:v>
                </c:pt>
                <c:pt idx="477">
                  <c:v>1</c:v>
                </c:pt>
                <c:pt idx="478">
                  <c:v>3</c:v>
                </c:pt>
                <c:pt idx="479">
                  <c:v>1</c:v>
                </c:pt>
                <c:pt idx="480">
                  <c:v>0</c:v>
                </c:pt>
                <c:pt idx="481">
                  <c:v>1</c:v>
                </c:pt>
                <c:pt idx="482">
                  <c:v>2</c:v>
                </c:pt>
                <c:pt idx="483">
                  <c:v>2</c:v>
                </c:pt>
                <c:pt idx="484">
                  <c:v>2</c:v>
                </c:pt>
                <c:pt idx="485">
                  <c:v>3</c:v>
                </c:pt>
                <c:pt idx="486">
                  <c:v>1</c:v>
                </c:pt>
                <c:pt idx="487">
                  <c:v>0</c:v>
                </c:pt>
                <c:pt idx="488">
                  <c:v>3</c:v>
                </c:pt>
                <c:pt idx="489">
                  <c:v>3</c:v>
                </c:pt>
                <c:pt idx="490">
                  <c:v>2</c:v>
                </c:pt>
                <c:pt idx="491">
                  <c:v>1</c:v>
                </c:pt>
                <c:pt idx="492">
                  <c:v>2</c:v>
                </c:pt>
                <c:pt idx="493">
                  <c:v>3</c:v>
                </c:pt>
                <c:pt idx="494">
                  <c:v>3</c:v>
                </c:pt>
                <c:pt idx="495">
                  <c:v>2</c:v>
                </c:pt>
                <c:pt idx="496">
                  <c:v>2</c:v>
                </c:pt>
                <c:pt idx="497">
                  <c:v>1</c:v>
                </c:pt>
                <c:pt idx="498">
                  <c:v>3</c:v>
                </c:pt>
                <c:pt idx="499">
                  <c:v>0</c:v>
                </c:pt>
                <c:pt idx="500">
                  <c:v>4</c:v>
                </c:pt>
                <c:pt idx="501">
                  <c:v>3</c:v>
                </c:pt>
                <c:pt idx="502">
                  <c:v>3</c:v>
                </c:pt>
                <c:pt idx="503">
                  <c:v>1</c:v>
                </c:pt>
                <c:pt idx="504">
                  <c:v>2</c:v>
                </c:pt>
                <c:pt idx="505">
                  <c:v>2</c:v>
                </c:pt>
                <c:pt idx="506">
                  <c:v>1</c:v>
                </c:pt>
                <c:pt idx="507">
                  <c:v>1</c:v>
                </c:pt>
                <c:pt idx="508">
                  <c:v>1</c:v>
                </c:pt>
                <c:pt idx="509">
                  <c:v>4</c:v>
                </c:pt>
                <c:pt idx="510">
                  <c:v>1</c:v>
                </c:pt>
                <c:pt idx="511">
                  <c:v>1</c:v>
                </c:pt>
                <c:pt idx="512">
                  <c:v>2</c:v>
                </c:pt>
                <c:pt idx="513">
                  <c:v>1</c:v>
                </c:pt>
                <c:pt idx="514">
                  <c:v>1</c:v>
                </c:pt>
                <c:pt idx="515">
                  <c:v>2</c:v>
                </c:pt>
                <c:pt idx="516">
                  <c:v>2</c:v>
                </c:pt>
                <c:pt idx="517">
                  <c:v>2</c:v>
                </c:pt>
                <c:pt idx="518">
                  <c:v>1</c:v>
                </c:pt>
                <c:pt idx="519">
                  <c:v>1</c:v>
                </c:pt>
                <c:pt idx="520">
                  <c:v>2</c:v>
                </c:pt>
                <c:pt idx="521">
                  <c:v>1</c:v>
                </c:pt>
                <c:pt idx="522">
                  <c:v>3</c:v>
                </c:pt>
                <c:pt idx="523">
                  <c:v>2</c:v>
                </c:pt>
                <c:pt idx="524">
                  <c:v>3</c:v>
                </c:pt>
                <c:pt idx="525">
                  <c:v>1</c:v>
                </c:pt>
                <c:pt idx="526">
                  <c:v>4</c:v>
                </c:pt>
                <c:pt idx="527">
                  <c:v>0</c:v>
                </c:pt>
                <c:pt idx="528">
                  <c:v>1</c:v>
                </c:pt>
                <c:pt idx="529">
                  <c:v>0</c:v>
                </c:pt>
                <c:pt idx="530">
                  <c:v>0</c:v>
                </c:pt>
                <c:pt idx="531">
                  <c:v>1</c:v>
                </c:pt>
                <c:pt idx="532">
                  <c:v>2</c:v>
                </c:pt>
                <c:pt idx="533">
                  <c:v>0</c:v>
                </c:pt>
                <c:pt idx="534">
                  <c:v>2</c:v>
                </c:pt>
                <c:pt idx="535">
                  <c:v>3</c:v>
                </c:pt>
                <c:pt idx="536">
                  <c:v>3</c:v>
                </c:pt>
                <c:pt idx="537">
                  <c:v>1</c:v>
                </c:pt>
                <c:pt idx="538">
                  <c:v>2</c:v>
                </c:pt>
                <c:pt idx="539">
                  <c:v>2</c:v>
                </c:pt>
                <c:pt idx="540">
                  <c:v>2</c:v>
                </c:pt>
                <c:pt idx="541">
                  <c:v>1</c:v>
                </c:pt>
                <c:pt idx="542">
                  <c:v>3</c:v>
                </c:pt>
                <c:pt idx="543">
                  <c:v>2</c:v>
                </c:pt>
                <c:pt idx="544">
                  <c:v>2</c:v>
                </c:pt>
                <c:pt idx="545">
                  <c:v>3</c:v>
                </c:pt>
                <c:pt idx="546">
                  <c:v>2</c:v>
                </c:pt>
                <c:pt idx="547">
                  <c:v>2</c:v>
                </c:pt>
                <c:pt idx="548">
                  <c:v>1</c:v>
                </c:pt>
                <c:pt idx="549">
                  <c:v>2</c:v>
                </c:pt>
                <c:pt idx="550">
                  <c:v>1</c:v>
                </c:pt>
                <c:pt idx="551">
                  <c:v>2</c:v>
                </c:pt>
                <c:pt idx="552">
                  <c:v>2</c:v>
                </c:pt>
                <c:pt idx="553">
                  <c:v>2</c:v>
                </c:pt>
                <c:pt idx="554">
                  <c:v>1</c:v>
                </c:pt>
                <c:pt idx="555">
                  <c:v>3</c:v>
                </c:pt>
                <c:pt idx="556">
                  <c:v>1</c:v>
                </c:pt>
                <c:pt idx="557">
                  <c:v>1</c:v>
                </c:pt>
                <c:pt idx="558">
                  <c:v>4</c:v>
                </c:pt>
                <c:pt idx="559">
                  <c:v>1</c:v>
                </c:pt>
                <c:pt idx="560">
                  <c:v>1</c:v>
                </c:pt>
                <c:pt idx="561">
                  <c:v>2</c:v>
                </c:pt>
                <c:pt idx="562">
                  <c:v>3</c:v>
                </c:pt>
                <c:pt idx="563">
                  <c:v>0</c:v>
                </c:pt>
                <c:pt idx="564">
                  <c:v>3</c:v>
                </c:pt>
                <c:pt idx="565">
                  <c:v>3</c:v>
                </c:pt>
                <c:pt idx="566">
                  <c:v>2</c:v>
                </c:pt>
                <c:pt idx="567">
                  <c:v>2</c:v>
                </c:pt>
                <c:pt idx="568">
                  <c:v>1</c:v>
                </c:pt>
                <c:pt idx="569">
                  <c:v>2</c:v>
                </c:pt>
                <c:pt idx="570">
                  <c:v>3</c:v>
                </c:pt>
                <c:pt idx="571">
                  <c:v>4</c:v>
                </c:pt>
                <c:pt idx="572">
                  <c:v>4</c:v>
                </c:pt>
                <c:pt idx="573">
                  <c:v>2</c:v>
                </c:pt>
                <c:pt idx="574">
                  <c:v>2</c:v>
                </c:pt>
                <c:pt idx="575">
                  <c:v>3</c:v>
                </c:pt>
                <c:pt idx="576">
                  <c:v>4</c:v>
                </c:pt>
                <c:pt idx="577">
                  <c:v>2</c:v>
                </c:pt>
                <c:pt idx="578">
                  <c:v>3</c:v>
                </c:pt>
                <c:pt idx="579">
                  <c:v>2</c:v>
                </c:pt>
                <c:pt idx="580">
                  <c:v>0</c:v>
                </c:pt>
                <c:pt idx="581">
                  <c:v>2</c:v>
                </c:pt>
                <c:pt idx="582">
                  <c:v>1</c:v>
                </c:pt>
                <c:pt idx="583">
                  <c:v>3</c:v>
                </c:pt>
                <c:pt idx="584">
                  <c:v>2</c:v>
                </c:pt>
                <c:pt idx="585">
                  <c:v>1</c:v>
                </c:pt>
                <c:pt idx="586">
                  <c:v>4</c:v>
                </c:pt>
                <c:pt idx="587">
                  <c:v>2</c:v>
                </c:pt>
                <c:pt idx="588">
                  <c:v>1</c:v>
                </c:pt>
                <c:pt idx="589">
                  <c:v>3</c:v>
                </c:pt>
                <c:pt idx="590">
                  <c:v>3</c:v>
                </c:pt>
                <c:pt idx="591">
                  <c:v>0</c:v>
                </c:pt>
                <c:pt idx="592">
                  <c:v>1</c:v>
                </c:pt>
                <c:pt idx="593">
                  <c:v>2</c:v>
                </c:pt>
                <c:pt idx="594">
                  <c:v>2</c:v>
                </c:pt>
                <c:pt idx="595">
                  <c:v>2</c:v>
                </c:pt>
                <c:pt idx="596">
                  <c:v>4</c:v>
                </c:pt>
                <c:pt idx="597">
                  <c:v>2</c:v>
                </c:pt>
                <c:pt idx="598">
                  <c:v>3</c:v>
                </c:pt>
                <c:pt idx="599">
                  <c:v>2</c:v>
                </c:pt>
                <c:pt idx="600">
                  <c:v>3</c:v>
                </c:pt>
                <c:pt idx="601">
                  <c:v>2</c:v>
                </c:pt>
                <c:pt idx="602">
                  <c:v>1</c:v>
                </c:pt>
                <c:pt idx="603">
                  <c:v>1</c:v>
                </c:pt>
                <c:pt idx="604">
                  <c:v>4</c:v>
                </c:pt>
                <c:pt idx="605">
                  <c:v>1</c:v>
                </c:pt>
                <c:pt idx="606">
                  <c:v>1</c:v>
                </c:pt>
                <c:pt idx="607">
                  <c:v>2</c:v>
                </c:pt>
                <c:pt idx="608">
                  <c:v>2</c:v>
                </c:pt>
                <c:pt idx="609">
                  <c:v>3</c:v>
                </c:pt>
                <c:pt idx="610">
                  <c:v>2</c:v>
                </c:pt>
                <c:pt idx="611">
                  <c:v>3</c:v>
                </c:pt>
                <c:pt idx="612">
                  <c:v>3</c:v>
                </c:pt>
                <c:pt idx="613">
                  <c:v>4</c:v>
                </c:pt>
                <c:pt idx="614">
                  <c:v>2</c:v>
                </c:pt>
                <c:pt idx="615">
                  <c:v>1</c:v>
                </c:pt>
                <c:pt idx="616">
                  <c:v>2</c:v>
                </c:pt>
                <c:pt idx="617">
                  <c:v>0</c:v>
                </c:pt>
                <c:pt idx="618">
                  <c:v>1</c:v>
                </c:pt>
                <c:pt idx="619">
                  <c:v>3</c:v>
                </c:pt>
                <c:pt idx="620">
                  <c:v>1</c:v>
                </c:pt>
                <c:pt idx="621">
                  <c:v>1</c:v>
                </c:pt>
                <c:pt idx="622">
                  <c:v>2</c:v>
                </c:pt>
                <c:pt idx="623">
                  <c:v>2</c:v>
                </c:pt>
                <c:pt idx="624">
                  <c:v>1</c:v>
                </c:pt>
                <c:pt idx="625">
                  <c:v>3</c:v>
                </c:pt>
                <c:pt idx="626">
                  <c:v>2</c:v>
                </c:pt>
                <c:pt idx="627">
                  <c:v>3</c:v>
                </c:pt>
                <c:pt idx="628">
                  <c:v>3</c:v>
                </c:pt>
                <c:pt idx="629">
                  <c:v>1</c:v>
                </c:pt>
                <c:pt idx="630">
                  <c:v>1</c:v>
                </c:pt>
                <c:pt idx="631">
                  <c:v>1</c:v>
                </c:pt>
                <c:pt idx="632">
                  <c:v>2</c:v>
                </c:pt>
                <c:pt idx="633">
                  <c:v>4</c:v>
                </c:pt>
                <c:pt idx="634">
                  <c:v>3</c:v>
                </c:pt>
                <c:pt idx="635">
                  <c:v>4</c:v>
                </c:pt>
                <c:pt idx="636">
                  <c:v>0</c:v>
                </c:pt>
                <c:pt idx="637">
                  <c:v>1</c:v>
                </c:pt>
                <c:pt idx="638">
                  <c:v>3</c:v>
                </c:pt>
                <c:pt idx="639">
                  <c:v>2</c:v>
                </c:pt>
                <c:pt idx="640">
                  <c:v>3</c:v>
                </c:pt>
                <c:pt idx="641">
                  <c:v>1</c:v>
                </c:pt>
                <c:pt idx="642">
                  <c:v>2</c:v>
                </c:pt>
                <c:pt idx="643">
                  <c:v>2</c:v>
                </c:pt>
                <c:pt idx="644">
                  <c:v>3</c:v>
                </c:pt>
                <c:pt idx="645">
                  <c:v>1</c:v>
                </c:pt>
                <c:pt idx="646">
                  <c:v>0</c:v>
                </c:pt>
                <c:pt idx="647">
                  <c:v>2</c:v>
                </c:pt>
                <c:pt idx="648">
                  <c:v>2</c:v>
                </c:pt>
                <c:pt idx="649">
                  <c:v>2</c:v>
                </c:pt>
                <c:pt idx="650">
                  <c:v>2</c:v>
                </c:pt>
                <c:pt idx="651">
                  <c:v>1</c:v>
                </c:pt>
                <c:pt idx="652">
                  <c:v>2</c:v>
                </c:pt>
                <c:pt idx="653">
                  <c:v>2</c:v>
                </c:pt>
                <c:pt idx="654">
                  <c:v>0</c:v>
                </c:pt>
                <c:pt idx="655">
                  <c:v>3</c:v>
                </c:pt>
                <c:pt idx="656">
                  <c:v>2</c:v>
                </c:pt>
                <c:pt idx="657">
                  <c:v>3</c:v>
                </c:pt>
                <c:pt idx="658">
                  <c:v>3</c:v>
                </c:pt>
                <c:pt idx="659">
                  <c:v>2</c:v>
                </c:pt>
                <c:pt idx="660">
                  <c:v>0</c:v>
                </c:pt>
                <c:pt idx="661">
                  <c:v>2</c:v>
                </c:pt>
                <c:pt idx="662">
                  <c:v>1</c:v>
                </c:pt>
                <c:pt idx="663">
                  <c:v>3</c:v>
                </c:pt>
                <c:pt idx="664">
                  <c:v>2</c:v>
                </c:pt>
                <c:pt idx="665">
                  <c:v>1</c:v>
                </c:pt>
                <c:pt idx="666">
                  <c:v>1</c:v>
                </c:pt>
                <c:pt idx="667">
                  <c:v>2</c:v>
                </c:pt>
                <c:pt idx="668">
                  <c:v>1</c:v>
                </c:pt>
                <c:pt idx="669">
                  <c:v>1</c:v>
                </c:pt>
                <c:pt idx="670">
                  <c:v>1</c:v>
                </c:pt>
                <c:pt idx="671">
                  <c:v>1</c:v>
                </c:pt>
                <c:pt idx="672">
                  <c:v>2</c:v>
                </c:pt>
                <c:pt idx="673">
                  <c:v>1</c:v>
                </c:pt>
                <c:pt idx="674">
                  <c:v>2</c:v>
                </c:pt>
                <c:pt idx="675">
                  <c:v>3</c:v>
                </c:pt>
                <c:pt idx="676">
                  <c:v>2</c:v>
                </c:pt>
                <c:pt idx="677">
                  <c:v>1</c:v>
                </c:pt>
                <c:pt idx="678">
                  <c:v>2</c:v>
                </c:pt>
                <c:pt idx="679">
                  <c:v>1</c:v>
                </c:pt>
                <c:pt idx="680">
                  <c:v>2</c:v>
                </c:pt>
                <c:pt idx="681">
                  <c:v>0</c:v>
                </c:pt>
                <c:pt idx="682">
                  <c:v>3</c:v>
                </c:pt>
                <c:pt idx="683">
                  <c:v>2</c:v>
                </c:pt>
                <c:pt idx="684">
                  <c:v>2</c:v>
                </c:pt>
                <c:pt idx="685">
                  <c:v>1</c:v>
                </c:pt>
                <c:pt idx="686">
                  <c:v>2</c:v>
                </c:pt>
                <c:pt idx="687">
                  <c:v>2</c:v>
                </c:pt>
                <c:pt idx="688">
                  <c:v>1</c:v>
                </c:pt>
                <c:pt idx="689">
                  <c:v>2</c:v>
                </c:pt>
                <c:pt idx="690">
                  <c:v>3</c:v>
                </c:pt>
                <c:pt idx="691">
                  <c:v>1</c:v>
                </c:pt>
                <c:pt idx="692">
                  <c:v>2</c:v>
                </c:pt>
                <c:pt idx="693">
                  <c:v>2</c:v>
                </c:pt>
                <c:pt idx="694">
                  <c:v>2</c:v>
                </c:pt>
                <c:pt idx="695">
                  <c:v>1</c:v>
                </c:pt>
                <c:pt idx="696">
                  <c:v>1</c:v>
                </c:pt>
                <c:pt idx="697">
                  <c:v>2</c:v>
                </c:pt>
                <c:pt idx="698">
                  <c:v>1</c:v>
                </c:pt>
                <c:pt idx="699">
                  <c:v>2</c:v>
                </c:pt>
                <c:pt idx="700">
                  <c:v>3</c:v>
                </c:pt>
                <c:pt idx="701">
                  <c:v>2</c:v>
                </c:pt>
                <c:pt idx="702">
                  <c:v>4</c:v>
                </c:pt>
                <c:pt idx="703">
                  <c:v>2</c:v>
                </c:pt>
                <c:pt idx="704">
                  <c:v>0</c:v>
                </c:pt>
                <c:pt idx="705">
                  <c:v>1</c:v>
                </c:pt>
                <c:pt idx="706">
                  <c:v>2</c:v>
                </c:pt>
                <c:pt idx="707">
                  <c:v>2</c:v>
                </c:pt>
                <c:pt idx="708">
                  <c:v>1</c:v>
                </c:pt>
                <c:pt idx="709">
                  <c:v>1</c:v>
                </c:pt>
                <c:pt idx="710">
                  <c:v>3</c:v>
                </c:pt>
                <c:pt idx="711">
                  <c:v>2</c:v>
                </c:pt>
                <c:pt idx="712">
                  <c:v>3</c:v>
                </c:pt>
                <c:pt idx="713">
                  <c:v>2</c:v>
                </c:pt>
                <c:pt idx="714">
                  <c:v>3</c:v>
                </c:pt>
                <c:pt idx="715">
                  <c:v>0</c:v>
                </c:pt>
                <c:pt idx="716">
                  <c:v>3</c:v>
                </c:pt>
                <c:pt idx="717">
                  <c:v>2</c:v>
                </c:pt>
                <c:pt idx="718">
                  <c:v>2</c:v>
                </c:pt>
                <c:pt idx="719">
                  <c:v>3</c:v>
                </c:pt>
                <c:pt idx="720">
                  <c:v>2</c:v>
                </c:pt>
                <c:pt idx="721">
                  <c:v>2</c:v>
                </c:pt>
                <c:pt idx="722">
                  <c:v>3</c:v>
                </c:pt>
                <c:pt idx="723">
                  <c:v>2</c:v>
                </c:pt>
                <c:pt idx="724">
                  <c:v>1</c:v>
                </c:pt>
                <c:pt idx="725">
                  <c:v>1</c:v>
                </c:pt>
                <c:pt idx="726">
                  <c:v>2</c:v>
                </c:pt>
                <c:pt idx="727">
                  <c:v>0</c:v>
                </c:pt>
                <c:pt idx="728">
                  <c:v>2</c:v>
                </c:pt>
                <c:pt idx="729">
                  <c:v>3</c:v>
                </c:pt>
                <c:pt idx="730">
                  <c:v>1</c:v>
                </c:pt>
                <c:pt idx="731">
                  <c:v>1</c:v>
                </c:pt>
                <c:pt idx="732">
                  <c:v>3</c:v>
                </c:pt>
                <c:pt idx="733">
                  <c:v>3</c:v>
                </c:pt>
                <c:pt idx="734">
                  <c:v>2</c:v>
                </c:pt>
                <c:pt idx="735">
                  <c:v>1</c:v>
                </c:pt>
                <c:pt idx="736">
                  <c:v>3</c:v>
                </c:pt>
                <c:pt idx="737">
                  <c:v>3</c:v>
                </c:pt>
                <c:pt idx="738">
                  <c:v>3</c:v>
                </c:pt>
                <c:pt idx="739">
                  <c:v>2</c:v>
                </c:pt>
                <c:pt idx="740">
                  <c:v>2</c:v>
                </c:pt>
                <c:pt idx="741">
                  <c:v>3</c:v>
                </c:pt>
                <c:pt idx="742">
                  <c:v>1</c:v>
                </c:pt>
                <c:pt idx="743">
                  <c:v>0</c:v>
                </c:pt>
                <c:pt idx="744">
                  <c:v>2</c:v>
                </c:pt>
                <c:pt idx="745">
                  <c:v>1</c:v>
                </c:pt>
                <c:pt idx="746">
                  <c:v>3</c:v>
                </c:pt>
                <c:pt idx="747">
                  <c:v>1</c:v>
                </c:pt>
                <c:pt idx="748">
                  <c:v>2</c:v>
                </c:pt>
                <c:pt idx="749">
                  <c:v>1</c:v>
                </c:pt>
                <c:pt idx="750">
                  <c:v>1</c:v>
                </c:pt>
                <c:pt idx="751">
                  <c:v>3</c:v>
                </c:pt>
                <c:pt idx="752">
                  <c:v>0</c:v>
                </c:pt>
                <c:pt idx="753">
                  <c:v>3</c:v>
                </c:pt>
                <c:pt idx="754">
                  <c:v>1</c:v>
                </c:pt>
                <c:pt idx="755">
                  <c:v>2</c:v>
                </c:pt>
                <c:pt idx="756">
                  <c:v>1</c:v>
                </c:pt>
                <c:pt idx="757">
                  <c:v>3</c:v>
                </c:pt>
                <c:pt idx="758">
                  <c:v>3</c:v>
                </c:pt>
                <c:pt idx="759">
                  <c:v>1</c:v>
                </c:pt>
                <c:pt idx="760">
                  <c:v>3</c:v>
                </c:pt>
                <c:pt idx="761">
                  <c:v>1</c:v>
                </c:pt>
                <c:pt idx="762">
                  <c:v>1</c:v>
                </c:pt>
                <c:pt idx="763">
                  <c:v>3</c:v>
                </c:pt>
                <c:pt idx="764">
                  <c:v>3</c:v>
                </c:pt>
                <c:pt idx="765">
                  <c:v>2</c:v>
                </c:pt>
                <c:pt idx="766">
                  <c:v>1</c:v>
                </c:pt>
                <c:pt idx="767">
                  <c:v>3</c:v>
                </c:pt>
                <c:pt idx="768">
                  <c:v>1</c:v>
                </c:pt>
                <c:pt idx="769">
                  <c:v>2</c:v>
                </c:pt>
                <c:pt idx="770">
                  <c:v>2</c:v>
                </c:pt>
                <c:pt idx="771">
                  <c:v>1</c:v>
                </c:pt>
                <c:pt idx="772">
                  <c:v>1</c:v>
                </c:pt>
                <c:pt idx="773">
                  <c:v>1</c:v>
                </c:pt>
                <c:pt idx="774">
                  <c:v>2</c:v>
                </c:pt>
                <c:pt idx="775">
                  <c:v>1</c:v>
                </c:pt>
                <c:pt idx="776">
                  <c:v>2</c:v>
                </c:pt>
                <c:pt idx="777">
                  <c:v>3</c:v>
                </c:pt>
                <c:pt idx="778">
                  <c:v>2</c:v>
                </c:pt>
                <c:pt idx="779">
                  <c:v>2</c:v>
                </c:pt>
                <c:pt idx="780">
                  <c:v>2</c:v>
                </c:pt>
                <c:pt idx="781">
                  <c:v>3</c:v>
                </c:pt>
                <c:pt idx="782">
                  <c:v>1</c:v>
                </c:pt>
                <c:pt idx="783">
                  <c:v>1</c:v>
                </c:pt>
                <c:pt idx="784">
                  <c:v>3</c:v>
                </c:pt>
                <c:pt idx="785">
                  <c:v>1</c:v>
                </c:pt>
                <c:pt idx="786">
                  <c:v>3</c:v>
                </c:pt>
                <c:pt idx="787">
                  <c:v>0</c:v>
                </c:pt>
                <c:pt idx="788">
                  <c:v>1</c:v>
                </c:pt>
                <c:pt idx="789">
                  <c:v>3</c:v>
                </c:pt>
                <c:pt idx="790">
                  <c:v>2</c:v>
                </c:pt>
                <c:pt idx="791">
                  <c:v>1</c:v>
                </c:pt>
                <c:pt idx="792">
                  <c:v>1</c:v>
                </c:pt>
                <c:pt idx="793">
                  <c:v>2</c:v>
                </c:pt>
                <c:pt idx="794">
                  <c:v>2</c:v>
                </c:pt>
                <c:pt idx="795">
                  <c:v>3</c:v>
                </c:pt>
                <c:pt idx="796">
                  <c:v>3</c:v>
                </c:pt>
                <c:pt idx="797">
                  <c:v>1</c:v>
                </c:pt>
                <c:pt idx="798">
                  <c:v>3</c:v>
                </c:pt>
                <c:pt idx="799">
                  <c:v>3</c:v>
                </c:pt>
                <c:pt idx="800">
                  <c:v>2</c:v>
                </c:pt>
                <c:pt idx="801">
                  <c:v>2</c:v>
                </c:pt>
                <c:pt idx="802">
                  <c:v>3</c:v>
                </c:pt>
                <c:pt idx="803">
                  <c:v>2</c:v>
                </c:pt>
                <c:pt idx="804">
                  <c:v>1</c:v>
                </c:pt>
                <c:pt idx="805">
                  <c:v>2</c:v>
                </c:pt>
                <c:pt idx="806">
                  <c:v>2</c:v>
                </c:pt>
                <c:pt idx="807">
                  <c:v>3</c:v>
                </c:pt>
                <c:pt idx="808">
                  <c:v>1</c:v>
                </c:pt>
                <c:pt idx="809">
                  <c:v>2</c:v>
                </c:pt>
                <c:pt idx="810">
                  <c:v>0</c:v>
                </c:pt>
                <c:pt idx="811">
                  <c:v>2</c:v>
                </c:pt>
                <c:pt idx="812">
                  <c:v>0</c:v>
                </c:pt>
                <c:pt idx="813">
                  <c:v>1</c:v>
                </c:pt>
                <c:pt idx="814">
                  <c:v>4</c:v>
                </c:pt>
                <c:pt idx="815">
                  <c:v>1</c:v>
                </c:pt>
                <c:pt idx="816">
                  <c:v>2</c:v>
                </c:pt>
                <c:pt idx="817">
                  <c:v>1</c:v>
                </c:pt>
                <c:pt idx="818">
                  <c:v>2</c:v>
                </c:pt>
                <c:pt idx="819">
                  <c:v>2</c:v>
                </c:pt>
                <c:pt idx="820">
                  <c:v>2</c:v>
                </c:pt>
                <c:pt idx="821">
                  <c:v>2</c:v>
                </c:pt>
                <c:pt idx="822">
                  <c:v>2</c:v>
                </c:pt>
                <c:pt idx="823">
                  <c:v>0</c:v>
                </c:pt>
                <c:pt idx="824">
                  <c:v>2</c:v>
                </c:pt>
                <c:pt idx="825">
                  <c:v>3</c:v>
                </c:pt>
                <c:pt idx="826">
                  <c:v>2</c:v>
                </c:pt>
                <c:pt idx="827">
                  <c:v>2</c:v>
                </c:pt>
                <c:pt idx="828">
                  <c:v>0</c:v>
                </c:pt>
                <c:pt idx="829">
                  <c:v>2</c:v>
                </c:pt>
                <c:pt idx="830">
                  <c:v>1</c:v>
                </c:pt>
                <c:pt idx="831">
                  <c:v>1</c:v>
                </c:pt>
                <c:pt idx="832">
                  <c:v>0</c:v>
                </c:pt>
                <c:pt idx="833">
                  <c:v>2</c:v>
                </c:pt>
                <c:pt idx="834">
                  <c:v>3</c:v>
                </c:pt>
                <c:pt idx="835">
                  <c:v>2</c:v>
                </c:pt>
                <c:pt idx="836">
                  <c:v>2</c:v>
                </c:pt>
                <c:pt idx="837">
                  <c:v>2</c:v>
                </c:pt>
                <c:pt idx="838">
                  <c:v>0</c:v>
                </c:pt>
                <c:pt idx="839">
                  <c:v>4</c:v>
                </c:pt>
                <c:pt idx="840">
                  <c:v>0</c:v>
                </c:pt>
                <c:pt idx="841">
                  <c:v>4</c:v>
                </c:pt>
                <c:pt idx="842">
                  <c:v>2</c:v>
                </c:pt>
                <c:pt idx="843">
                  <c:v>2</c:v>
                </c:pt>
                <c:pt idx="844">
                  <c:v>3</c:v>
                </c:pt>
                <c:pt idx="845">
                  <c:v>1</c:v>
                </c:pt>
                <c:pt idx="846">
                  <c:v>3</c:v>
                </c:pt>
                <c:pt idx="847">
                  <c:v>2</c:v>
                </c:pt>
                <c:pt idx="848">
                  <c:v>2</c:v>
                </c:pt>
                <c:pt idx="849">
                  <c:v>3</c:v>
                </c:pt>
                <c:pt idx="850">
                  <c:v>0</c:v>
                </c:pt>
                <c:pt idx="851">
                  <c:v>2</c:v>
                </c:pt>
                <c:pt idx="852">
                  <c:v>2</c:v>
                </c:pt>
                <c:pt idx="853">
                  <c:v>1</c:v>
                </c:pt>
                <c:pt idx="854">
                  <c:v>4</c:v>
                </c:pt>
                <c:pt idx="855">
                  <c:v>1</c:v>
                </c:pt>
                <c:pt idx="856">
                  <c:v>1</c:v>
                </c:pt>
                <c:pt idx="857">
                  <c:v>2</c:v>
                </c:pt>
                <c:pt idx="858">
                  <c:v>2</c:v>
                </c:pt>
                <c:pt idx="859">
                  <c:v>2</c:v>
                </c:pt>
                <c:pt idx="860">
                  <c:v>1</c:v>
                </c:pt>
                <c:pt idx="861">
                  <c:v>3</c:v>
                </c:pt>
                <c:pt idx="862">
                  <c:v>2</c:v>
                </c:pt>
                <c:pt idx="863">
                  <c:v>4</c:v>
                </c:pt>
                <c:pt idx="864">
                  <c:v>1</c:v>
                </c:pt>
                <c:pt idx="865">
                  <c:v>2</c:v>
                </c:pt>
                <c:pt idx="866">
                  <c:v>0</c:v>
                </c:pt>
                <c:pt idx="867">
                  <c:v>1</c:v>
                </c:pt>
                <c:pt idx="868">
                  <c:v>3</c:v>
                </c:pt>
                <c:pt idx="869">
                  <c:v>2</c:v>
                </c:pt>
                <c:pt idx="870">
                  <c:v>2</c:v>
                </c:pt>
                <c:pt idx="871">
                  <c:v>0</c:v>
                </c:pt>
                <c:pt idx="872">
                  <c:v>2</c:v>
                </c:pt>
                <c:pt idx="873">
                  <c:v>2</c:v>
                </c:pt>
                <c:pt idx="874">
                  <c:v>0</c:v>
                </c:pt>
                <c:pt idx="875">
                  <c:v>1</c:v>
                </c:pt>
                <c:pt idx="876">
                  <c:v>2</c:v>
                </c:pt>
                <c:pt idx="877">
                  <c:v>1</c:v>
                </c:pt>
                <c:pt idx="878">
                  <c:v>1</c:v>
                </c:pt>
                <c:pt idx="879">
                  <c:v>1</c:v>
                </c:pt>
                <c:pt idx="880">
                  <c:v>1</c:v>
                </c:pt>
                <c:pt idx="881">
                  <c:v>3</c:v>
                </c:pt>
                <c:pt idx="882">
                  <c:v>2</c:v>
                </c:pt>
                <c:pt idx="883">
                  <c:v>2</c:v>
                </c:pt>
                <c:pt idx="884">
                  <c:v>1</c:v>
                </c:pt>
                <c:pt idx="885">
                  <c:v>1</c:v>
                </c:pt>
                <c:pt idx="886">
                  <c:v>4</c:v>
                </c:pt>
                <c:pt idx="887">
                  <c:v>3</c:v>
                </c:pt>
                <c:pt idx="888">
                  <c:v>0</c:v>
                </c:pt>
                <c:pt idx="889">
                  <c:v>0</c:v>
                </c:pt>
                <c:pt idx="890">
                  <c:v>1</c:v>
                </c:pt>
                <c:pt idx="891">
                  <c:v>2</c:v>
                </c:pt>
                <c:pt idx="892">
                  <c:v>2</c:v>
                </c:pt>
                <c:pt idx="893">
                  <c:v>2</c:v>
                </c:pt>
                <c:pt idx="894">
                  <c:v>3</c:v>
                </c:pt>
                <c:pt idx="895">
                  <c:v>2</c:v>
                </c:pt>
                <c:pt idx="896">
                  <c:v>2</c:v>
                </c:pt>
                <c:pt idx="897">
                  <c:v>1</c:v>
                </c:pt>
                <c:pt idx="898">
                  <c:v>1</c:v>
                </c:pt>
                <c:pt idx="899">
                  <c:v>4</c:v>
                </c:pt>
                <c:pt idx="900">
                  <c:v>1</c:v>
                </c:pt>
                <c:pt idx="901">
                  <c:v>2</c:v>
                </c:pt>
                <c:pt idx="902">
                  <c:v>0</c:v>
                </c:pt>
                <c:pt idx="903">
                  <c:v>2</c:v>
                </c:pt>
                <c:pt idx="904">
                  <c:v>2</c:v>
                </c:pt>
                <c:pt idx="905">
                  <c:v>0</c:v>
                </c:pt>
                <c:pt idx="906">
                  <c:v>2</c:v>
                </c:pt>
                <c:pt idx="907">
                  <c:v>1</c:v>
                </c:pt>
                <c:pt idx="908">
                  <c:v>2</c:v>
                </c:pt>
                <c:pt idx="909">
                  <c:v>1</c:v>
                </c:pt>
                <c:pt idx="910">
                  <c:v>3</c:v>
                </c:pt>
                <c:pt idx="911">
                  <c:v>0</c:v>
                </c:pt>
                <c:pt idx="912">
                  <c:v>1</c:v>
                </c:pt>
                <c:pt idx="913">
                  <c:v>1</c:v>
                </c:pt>
                <c:pt idx="914">
                  <c:v>2</c:v>
                </c:pt>
                <c:pt idx="915">
                  <c:v>3</c:v>
                </c:pt>
                <c:pt idx="916">
                  <c:v>2</c:v>
                </c:pt>
                <c:pt idx="917">
                  <c:v>3</c:v>
                </c:pt>
                <c:pt idx="918">
                  <c:v>3</c:v>
                </c:pt>
                <c:pt idx="919">
                  <c:v>3</c:v>
                </c:pt>
                <c:pt idx="920">
                  <c:v>1</c:v>
                </c:pt>
                <c:pt idx="921">
                  <c:v>1</c:v>
                </c:pt>
                <c:pt idx="922">
                  <c:v>0</c:v>
                </c:pt>
                <c:pt idx="923">
                  <c:v>2</c:v>
                </c:pt>
                <c:pt idx="924">
                  <c:v>2</c:v>
                </c:pt>
                <c:pt idx="925">
                  <c:v>3</c:v>
                </c:pt>
                <c:pt idx="926">
                  <c:v>1</c:v>
                </c:pt>
                <c:pt idx="927">
                  <c:v>1</c:v>
                </c:pt>
                <c:pt idx="928">
                  <c:v>1</c:v>
                </c:pt>
                <c:pt idx="929">
                  <c:v>2</c:v>
                </c:pt>
                <c:pt idx="930">
                  <c:v>1</c:v>
                </c:pt>
                <c:pt idx="931">
                  <c:v>3</c:v>
                </c:pt>
                <c:pt idx="932">
                  <c:v>3</c:v>
                </c:pt>
                <c:pt idx="933">
                  <c:v>2</c:v>
                </c:pt>
                <c:pt idx="934">
                  <c:v>0</c:v>
                </c:pt>
                <c:pt idx="935">
                  <c:v>2</c:v>
                </c:pt>
                <c:pt idx="936">
                  <c:v>3</c:v>
                </c:pt>
                <c:pt idx="937">
                  <c:v>4</c:v>
                </c:pt>
                <c:pt idx="938">
                  <c:v>2</c:v>
                </c:pt>
                <c:pt idx="939">
                  <c:v>4</c:v>
                </c:pt>
                <c:pt idx="940">
                  <c:v>2</c:v>
                </c:pt>
                <c:pt idx="941">
                  <c:v>4</c:v>
                </c:pt>
                <c:pt idx="942">
                  <c:v>2</c:v>
                </c:pt>
                <c:pt idx="943">
                  <c:v>2</c:v>
                </c:pt>
                <c:pt idx="944">
                  <c:v>2</c:v>
                </c:pt>
                <c:pt idx="945">
                  <c:v>3</c:v>
                </c:pt>
                <c:pt idx="946">
                  <c:v>3</c:v>
                </c:pt>
                <c:pt idx="947">
                  <c:v>3</c:v>
                </c:pt>
                <c:pt idx="948">
                  <c:v>1</c:v>
                </c:pt>
                <c:pt idx="949">
                  <c:v>1</c:v>
                </c:pt>
                <c:pt idx="950">
                  <c:v>1</c:v>
                </c:pt>
                <c:pt idx="951">
                  <c:v>1</c:v>
                </c:pt>
                <c:pt idx="952">
                  <c:v>1</c:v>
                </c:pt>
                <c:pt idx="953">
                  <c:v>2</c:v>
                </c:pt>
                <c:pt idx="954">
                  <c:v>1</c:v>
                </c:pt>
                <c:pt idx="955">
                  <c:v>2</c:v>
                </c:pt>
                <c:pt idx="956">
                  <c:v>2</c:v>
                </c:pt>
                <c:pt idx="957">
                  <c:v>2</c:v>
                </c:pt>
                <c:pt idx="958">
                  <c:v>2</c:v>
                </c:pt>
                <c:pt idx="959">
                  <c:v>2</c:v>
                </c:pt>
                <c:pt idx="960">
                  <c:v>2</c:v>
                </c:pt>
                <c:pt idx="961">
                  <c:v>2</c:v>
                </c:pt>
                <c:pt idx="962">
                  <c:v>0</c:v>
                </c:pt>
                <c:pt idx="963">
                  <c:v>3</c:v>
                </c:pt>
                <c:pt idx="964">
                  <c:v>2</c:v>
                </c:pt>
                <c:pt idx="965">
                  <c:v>1</c:v>
                </c:pt>
                <c:pt idx="966">
                  <c:v>1</c:v>
                </c:pt>
                <c:pt idx="967">
                  <c:v>1</c:v>
                </c:pt>
                <c:pt idx="968">
                  <c:v>2</c:v>
                </c:pt>
                <c:pt idx="969">
                  <c:v>1</c:v>
                </c:pt>
                <c:pt idx="970">
                  <c:v>0</c:v>
                </c:pt>
                <c:pt idx="971">
                  <c:v>4</c:v>
                </c:pt>
                <c:pt idx="972">
                  <c:v>3</c:v>
                </c:pt>
                <c:pt idx="973">
                  <c:v>3</c:v>
                </c:pt>
                <c:pt idx="974">
                  <c:v>2</c:v>
                </c:pt>
                <c:pt idx="975">
                  <c:v>2</c:v>
                </c:pt>
                <c:pt idx="976">
                  <c:v>2</c:v>
                </c:pt>
                <c:pt idx="977">
                  <c:v>2</c:v>
                </c:pt>
                <c:pt idx="978">
                  <c:v>3</c:v>
                </c:pt>
                <c:pt idx="979">
                  <c:v>3</c:v>
                </c:pt>
                <c:pt idx="980">
                  <c:v>2</c:v>
                </c:pt>
                <c:pt idx="981">
                  <c:v>1</c:v>
                </c:pt>
                <c:pt idx="982">
                  <c:v>1</c:v>
                </c:pt>
                <c:pt idx="983">
                  <c:v>3</c:v>
                </c:pt>
                <c:pt idx="984">
                  <c:v>3</c:v>
                </c:pt>
                <c:pt idx="985">
                  <c:v>3</c:v>
                </c:pt>
                <c:pt idx="986">
                  <c:v>2</c:v>
                </c:pt>
                <c:pt idx="987">
                  <c:v>3</c:v>
                </c:pt>
                <c:pt idx="988">
                  <c:v>3</c:v>
                </c:pt>
                <c:pt idx="989">
                  <c:v>2</c:v>
                </c:pt>
                <c:pt idx="990">
                  <c:v>1</c:v>
                </c:pt>
                <c:pt idx="991">
                  <c:v>1</c:v>
                </c:pt>
                <c:pt idx="992">
                  <c:v>2</c:v>
                </c:pt>
                <c:pt idx="993">
                  <c:v>0</c:v>
                </c:pt>
                <c:pt idx="994">
                  <c:v>0</c:v>
                </c:pt>
                <c:pt idx="995">
                  <c:v>0</c:v>
                </c:pt>
                <c:pt idx="996">
                  <c:v>2</c:v>
                </c:pt>
                <c:pt idx="997">
                  <c:v>3</c:v>
                </c:pt>
                <c:pt idx="998">
                  <c:v>3</c:v>
                </c:pt>
                <c:pt idx="999">
                  <c:v>1</c:v>
                </c:pt>
                <c:pt idx="1000">
                  <c:v>3</c:v>
                </c:pt>
                <c:pt idx="1001">
                  <c:v>4</c:v>
                </c:pt>
                <c:pt idx="1002">
                  <c:v>3</c:v>
                </c:pt>
                <c:pt idx="1003">
                  <c:v>2</c:v>
                </c:pt>
                <c:pt idx="1004">
                  <c:v>2</c:v>
                </c:pt>
                <c:pt idx="1005">
                  <c:v>0</c:v>
                </c:pt>
                <c:pt idx="1006">
                  <c:v>2</c:v>
                </c:pt>
                <c:pt idx="1007">
                  <c:v>1</c:v>
                </c:pt>
                <c:pt idx="1008">
                  <c:v>3</c:v>
                </c:pt>
                <c:pt idx="1009">
                  <c:v>2</c:v>
                </c:pt>
                <c:pt idx="1010">
                  <c:v>1</c:v>
                </c:pt>
                <c:pt idx="1011">
                  <c:v>2</c:v>
                </c:pt>
                <c:pt idx="1012">
                  <c:v>1</c:v>
                </c:pt>
                <c:pt idx="1013">
                  <c:v>1</c:v>
                </c:pt>
                <c:pt idx="1014">
                  <c:v>4</c:v>
                </c:pt>
                <c:pt idx="1015">
                  <c:v>1</c:v>
                </c:pt>
                <c:pt idx="1016">
                  <c:v>2</c:v>
                </c:pt>
                <c:pt idx="1017">
                  <c:v>2</c:v>
                </c:pt>
                <c:pt idx="1018">
                  <c:v>1</c:v>
                </c:pt>
                <c:pt idx="1019">
                  <c:v>2</c:v>
                </c:pt>
                <c:pt idx="1020">
                  <c:v>2</c:v>
                </c:pt>
                <c:pt idx="1021">
                  <c:v>2</c:v>
                </c:pt>
                <c:pt idx="1022">
                  <c:v>3</c:v>
                </c:pt>
                <c:pt idx="1023">
                  <c:v>2</c:v>
                </c:pt>
                <c:pt idx="1024">
                  <c:v>2</c:v>
                </c:pt>
                <c:pt idx="1025">
                  <c:v>0</c:v>
                </c:pt>
                <c:pt idx="1026">
                  <c:v>1</c:v>
                </c:pt>
                <c:pt idx="1027">
                  <c:v>2</c:v>
                </c:pt>
                <c:pt idx="1028">
                  <c:v>0</c:v>
                </c:pt>
                <c:pt idx="1029">
                  <c:v>1</c:v>
                </c:pt>
                <c:pt idx="1030">
                  <c:v>4</c:v>
                </c:pt>
                <c:pt idx="1031">
                  <c:v>2</c:v>
                </c:pt>
                <c:pt idx="1032">
                  <c:v>2</c:v>
                </c:pt>
                <c:pt idx="1033">
                  <c:v>3</c:v>
                </c:pt>
                <c:pt idx="1034">
                  <c:v>2</c:v>
                </c:pt>
                <c:pt idx="1035">
                  <c:v>2</c:v>
                </c:pt>
                <c:pt idx="1036">
                  <c:v>2</c:v>
                </c:pt>
                <c:pt idx="1037">
                  <c:v>1</c:v>
                </c:pt>
                <c:pt idx="1038">
                  <c:v>1</c:v>
                </c:pt>
                <c:pt idx="1039">
                  <c:v>2</c:v>
                </c:pt>
                <c:pt idx="1040">
                  <c:v>2</c:v>
                </c:pt>
                <c:pt idx="1041">
                  <c:v>0</c:v>
                </c:pt>
                <c:pt idx="1042">
                  <c:v>3</c:v>
                </c:pt>
                <c:pt idx="1043">
                  <c:v>1</c:v>
                </c:pt>
                <c:pt idx="1044">
                  <c:v>1</c:v>
                </c:pt>
                <c:pt idx="1045">
                  <c:v>2</c:v>
                </c:pt>
                <c:pt idx="1046">
                  <c:v>3</c:v>
                </c:pt>
                <c:pt idx="1047">
                  <c:v>2</c:v>
                </c:pt>
                <c:pt idx="1048">
                  <c:v>0</c:v>
                </c:pt>
                <c:pt idx="1049">
                  <c:v>2</c:v>
                </c:pt>
                <c:pt idx="1050">
                  <c:v>2</c:v>
                </c:pt>
                <c:pt idx="1051">
                  <c:v>2</c:v>
                </c:pt>
                <c:pt idx="1052">
                  <c:v>1</c:v>
                </c:pt>
                <c:pt idx="1053">
                  <c:v>3</c:v>
                </c:pt>
                <c:pt idx="1054">
                  <c:v>3</c:v>
                </c:pt>
                <c:pt idx="1055">
                  <c:v>3</c:v>
                </c:pt>
                <c:pt idx="1056">
                  <c:v>2</c:v>
                </c:pt>
                <c:pt idx="1057">
                  <c:v>3</c:v>
                </c:pt>
                <c:pt idx="1058">
                  <c:v>2</c:v>
                </c:pt>
                <c:pt idx="1059">
                  <c:v>2</c:v>
                </c:pt>
                <c:pt idx="1060">
                  <c:v>2</c:v>
                </c:pt>
                <c:pt idx="1061">
                  <c:v>2</c:v>
                </c:pt>
                <c:pt idx="1062">
                  <c:v>2</c:v>
                </c:pt>
                <c:pt idx="1063">
                  <c:v>3</c:v>
                </c:pt>
                <c:pt idx="1064">
                  <c:v>2</c:v>
                </c:pt>
                <c:pt idx="1065">
                  <c:v>1</c:v>
                </c:pt>
                <c:pt idx="1066">
                  <c:v>3</c:v>
                </c:pt>
                <c:pt idx="1067">
                  <c:v>0</c:v>
                </c:pt>
                <c:pt idx="1068">
                  <c:v>2</c:v>
                </c:pt>
                <c:pt idx="1069">
                  <c:v>1</c:v>
                </c:pt>
                <c:pt idx="1070">
                  <c:v>3</c:v>
                </c:pt>
                <c:pt idx="1071">
                  <c:v>2</c:v>
                </c:pt>
                <c:pt idx="1072">
                  <c:v>1</c:v>
                </c:pt>
                <c:pt idx="1073">
                  <c:v>2</c:v>
                </c:pt>
                <c:pt idx="1074">
                  <c:v>2</c:v>
                </c:pt>
                <c:pt idx="1075">
                  <c:v>1</c:v>
                </c:pt>
                <c:pt idx="1076">
                  <c:v>3</c:v>
                </c:pt>
                <c:pt idx="1077">
                  <c:v>0</c:v>
                </c:pt>
                <c:pt idx="1078">
                  <c:v>3</c:v>
                </c:pt>
                <c:pt idx="1079">
                  <c:v>1</c:v>
                </c:pt>
                <c:pt idx="1080">
                  <c:v>2</c:v>
                </c:pt>
                <c:pt idx="1081">
                  <c:v>2</c:v>
                </c:pt>
                <c:pt idx="1082">
                  <c:v>1</c:v>
                </c:pt>
                <c:pt idx="1083">
                  <c:v>2</c:v>
                </c:pt>
                <c:pt idx="1084">
                  <c:v>3</c:v>
                </c:pt>
                <c:pt idx="1085">
                  <c:v>0</c:v>
                </c:pt>
                <c:pt idx="1086">
                  <c:v>1</c:v>
                </c:pt>
                <c:pt idx="1087">
                  <c:v>3</c:v>
                </c:pt>
                <c:pt idx="1088">
                  <c:v>4</c:v>
                </c:pt>
                <c:pt idx="1089">
                  <c:v>4</c:v>
                </c:pt>
                <c:pt idx="1090">
                  <c:v>2</c:v>
                </c:pt>
                <c:pt idx="1091">
                  <c:v>2</c:v>
                </c:pt>
                <c:pt idx="1092">
                  <c:v>1</c:v>
                </c:pt>
                <c:pt idx="1093">
                  <c:v>2</c:v>
                </c:pt>
                <c:pt idx="1094">
                  <c:v>2</c:v>
                </c:pt>
                <c:pt idx="1095">
                  <c:v>2</c:v>
                </c:pt>
                <c:pt idx="1096">
                  <c:v>1</c:v>
                </c:pt>
                <c:pt idx="1097">
                  <c:v>2</c:v>
                </c:pt>
                <c:pt idx="1098">
                  <c:v>2</c:v>
                </c:pt>
                <c:pt idx="1099">
                  <c:v>2</c:v>
                </c:pt>
                <c:pt idx="1100">
                  <c:v>2</c:v>
                </c:pt>
                <c:pt idx="1101">
                  <c:v>1</c:v>
                </c:pt>
                <c:pt idx="1102">
                  <c:v>1</c:v>
                </c:pt>
                <c:pt idx="1103">
                  <c:v>2</c:v>
                </c:pt>
                <c:pt idx="1104">
                  <c:v>3</c:v>
                </c:pt>
                <c:pt idx="1105">
                  <c:v>0</c:v>
                </c:pt>
                <c:pt idx="1106">
                  <c:v>1</c:v>
                </c:pt>
                <c:pt idx="1107">
                  <c:v>2</c:v>
                </c:pt>
                <c:pt idx="1108">
                  <c:v>2</c:v>
                </c:pt>
                <c:pt idx="1109">
                  <c:v>1</c:v>
                </c:pt>
                <c:pt idx="1110">
                  <c:v>3</c:v>
                </c:pt>
                <c:pt idx="1111">
                  <c:v>3</c:v>
                </c:pt>
                <c:pt idx="1112">
                  <c:v>2</c:v>
                </c:pt>
                <c:pt idx="1113">
                  <c:v>2</c:v>
                </c:pt>
                <c:pt idx="1114">
                  <c:v>3</c:v>
                </c:pt>
                <c:pt idx="1115">
                  <c:v>3</c:v>
                </c:pt>
                <c:pt idx="1116">
                  <c:v>1</c:v>
                </c:pt>
                <c:pt idx="1117">
                  <c:v>2</c:v>
                </c:pt>
                <c:pt idx="1118">
                  <c:v>3</c:v>
                </c:pt>
                <c:pt idx="1119">
                  <c:v>1</c:v>
                </c:pt>
                <c:pt idx="1120">
                  <c:v>2</c:v>
                </c:pt>
                <c:pt idx="1121">
                  <c:v>2</c:v>
                </c:pt>
                <c:pt idx="1122">
                  <c:v>2</c:v>
                </c:pt>
                <c:pt idx="1123">
                  <c:v>2</c:v>
                </c:pt>
                <c:pt idx="1124">
                  <c:v>1</c:v>
                </c:pt>
                <c:pt idx="1125">
                  <c:v>1</c:v>
                </c:pt>
                <c:pt idx="1126">
                  <c:v>1</c:v>
                </c:pt>
                <c:pt idx="1127">
                  <c:v>0</c:v>
                </c:pt>
                <c:pt idx="1128">
                  <c:v>0</c:v>
                </c:pt>
                <c:pt idx="1129">
                  <c:v>1</c:v>
                </c:pt>
                <c:pt idx="1130">
                  <c:v>3</c:v>
                </c:pt>
                <c:pt idx="1131">
                  <c:v>1</c:v>
                </c:pt>
                <c:pt idx="1132">
                  <c:v>2</c:v>
                </c:pt>
                <c:pt idx="1133">
                  <c:v>2</c:v>
                </c:pt>
                <c:pt idx="1134">
                  <c:v>2</c:v>
                </c:pt>
                <c:pt idx="1135">
                  <c:v>3</c:v>
                </c:pt>
                <c:pt idx="1136">
                  <c:v>1</c:v>
                </c:pt>
                <c:pt idx="1137">
                  <c:v>2</c:v>
                </c:pt>
                <c:pt idx="1138">
                  <c:v>3</c:v>
                </c:pt>
                <c:pt idx="1139">
                  <c:v>1</c:v>
                </c:pt>
                <c:pt idx="1140">
                  <c:v>2</c:v>
                </c:pt>
                <c:pt idx="1141">
                  <c:v>2</c:v>
                </c:pt>
                <c:pt idx="1142">
                  <c:v>2</c:v>
                </c:pt>
                <c:pt idx="1143">
                  <c:v>2</c:v>
                </c:pt>
                <c:pt idx="1144">
                  <c:v>1</c:v>
                </c:pt>
                <c:pt idx="1145">
                  <c:v>1</c:v>
                </c:pt>
                <c:pt idx="1146">
                  <c:v>1</c:v>
                </c:pt>
                <c:pt idx="1147">
                  <c:v>2</c:v>
                </c:pt>
                <c:pt idx="1148">
                  <c:v>3</c:v>
                </c:pt>
                <c:pt idx="1149">
                  <c:v>1</c:v>
                </c:pt>
                <c:pt idx="1150">
                  <c:v>4</c:v>
                </c:pt>
                <c:pt idx="1151">
                  <c:v>1</c:v>
                </c:pt>
                <c:pt idx="1152">
                  <c:v>3</c:v>
                </c:pt>
                <c:pt idx="1153">
                  <c:v>1</c:v>
                </c:pt>
                <c:pt idx="1154">
                  <c:v>2</c:v>
                </c:pt>
                <c:pt idx="1155">
                  <c:v>2</c:v>
                </c:pt>
                <c:pt idx="1156">
                  <c:v>4</c:v>
                </c:pt>
                <c:pt idx="1157">
                  <c:v>1</c:v>
                </c:pt>
                <c:pt idx="1158">
                  <c:v>3</c:v>
                </c:pt>
                <c:pt idx="1159">
                  <c:v>2</c:v>
                </c:pt>
                <c:pt idx="1160">
                  <c:v>2</c:v>
                </c:pt>
                <c:pt idx="1161">
                  <c:v>1</c:v>
                </c:pt>
                <c:pt idx="1162">
                  <c:v>1</c:v>
                </c:pt>
                <c:pt idx="1163">
                  <c:v>2</c:v>
                </c:pt>
                <c:pt idx="1164">
                  <c:v>3</c:v>
                </c:pt>
                <c:pt idx="1165">
                  <c:v>3</c:v>
                </c:pt>
                <c:pt idx="1166">
                  <c:v>3</c:v>
                </c:pt>
                <c:pt idx="1167">
                  <c:v>2</c:v>
                </c:pt>
                <c:pt idx="1168">
                  <c:v>2</c:v>
                </c:pt>
                <c:pt idx="1169">
                  <c:v>0</c:v>
                </c:pt>
                <c:pt idx="1170">
                  <c:v>3</c:v>
                </c:pt>
                <c:pt idx="1171">
                  <c:v>2</c:v>
                </c:pt>
                <c:pt idx="1172">
                  <c:v>2</c:v>
                </c:pt>
                <c:pt idx="1173">
                  <c:v>2</c:v>
                </c:pt>
                <c:pt idx="1174">
                  <c:v>1</c:v>
                </c:pt>
                <c:pt idx="1175">
                  <c:v>3</c:v>
                </c:pt>
                <c:pt idx="1176">
                  <c:v>2</c:v>
                </c:pt>
                <c:pt idx="1177">
                  <c:v>3</c:v>
                </c:pt>
                <c:pt idx="1178">
                  <c:v>1</c:v>
                </c:pt>
                <c:pt idx="1179">
                  <c:v>0</c:v>
                </c:pt>
                <c:pt idx="1180">
                  <c:v>2</c:v>
                </c:pt>
                <c:pt idx="1181">
                  <c:v>1</c:v>
                </c:pt>
                <c:pt idx="1182">
                  <c:v>3</c:v>
                </c:pt>
                <c:pt idx="1183">
                  <c:v>1</c:v>
                </c:pt>
                <c:pt idx="1184">
                  <c:v>2</c:v>
                </c:pt>
                <c:pt idx="1185">
                  <c:v>2</c:v>
                </c:pt>
                <c:pt idx="1186">
                  <c:v>1</c:v>
                </c:pt>
                <c:pt idx="1187">
                  <c:v>2</c:v>
                </c:pt>
                <c:pt idx="1188">
                  <c:v>2</c:v>
                </c:pt>
                <c:pt idx="1189">
                  <c:v>1</c:v>
                </c:pt>
                <c:pt idx="1190">
                  <c:v>2</c:v>
                </c:pt>
                <c:pt idx="1191">
                  <c:v>3</c:v>
                </c:pt>
                <c:pt idx="1192">
                  <c:v>1</c:v>
                </c:pt>
                <c:pt idx="1193">
                  <c:v>2</c:v>
                </c:pt>
                <c:pt idx="1194">
                  <c:v>1</c:v>
                </c:pt>
                <c:pt idx="1195">
                  <c:v>2</c:v>
                </c:pt>
                <c:pt idx="1196">
                  <c:v>3</c:v>
                </c:pt>
                <c:pt idx="1197">
                  <c:v>3</c:v>
                </c:pt>
                <c:pt idx="1198">
                  <c:v>2</c:v>
                </c:pt>
                <c:pt idx="1199">
                  <c:v>0</c:v>
                </c:pt>
                <c:pt idx="1200">
                  <c:v>2</c:v>
                </c:pt>
                <c:pt idx="1201">
                  <c:v>2</c:v>
                </c:pt>
                <c:pt idx="1202">
                  <c:v>1</c:v>
                </c:pt>
                <c:pt idx="1203">
                  <c:v>3</c:v>
                </c:pt>
                <c:pt idx="1204">
                  <c:v>2</c:v>
                </c:pt>
                <c:pt idx="1205">
                  <c:v>1</c:v>
                </c:pt>
                <c:pt idx="1206">
                  <c:v>1</c:v>
                </c:pt>
                <c:pt idx="1207">
                  <c:v>2</c:v>
                </c:pt>
                <c:pt idx="1208">
                  <c:v>1</c:v>
                </c:pt>
                <c:pt idx="1209">
                  <c:v>4</c:v>
                </c:pt>
                <c:pt idx="1210">
                  <c:v>2</c:v>
                </c:pt>
                <c:pt idx="1211">
                  <c:v>3</c:v>
                </c:pt>
                <c:pt idx="1212">
                  <c:v>2</c:v>
                </c:pt>
                <c:pt idx="1213">
                  <c:v>2</c:v>
                </c:pt>
                <c:pt idx="1214">
                  <c:v>0</c:v>
                </c:pt>
                <c:pt idx="1215">
                  <c:v>1</c:v>
                </c:pt>
                <c:pt idx="1216">
                  <c:v>2</c:v>
                </c:pt>
                <c:pt idx="1217">
                  <c:v>2</c:v>
                </c:pt>
                <c:pt idx="1218">
                  <c:v>1</c:v>
                </c:pt>
                <c:pt idx="1219">
                  <c:v>2</c:v>
                </c:pt>
                <c:pt idx="1220">
                  <c:v>3</c:v>
                </c:pt>
                <c:pt idx="1221">
                  <c:v>2</c:v>
                </c:pt>
                <c:pt idx="1222">
                  <c:v>1</c:v>
                </c:pt>
                <c:pt idx="1223">
                  <c:v>2</c:v>
                </c:pt>
                <c:pt idx="1224">
                  <c:v>1</c:v>
                </c:pt>
                <c:pt idx="1225">
                  <c:v>1</c:v>
                </c:pt>
                <c:pt idx="1226">
                  <c:v>1</c:v>
                </c:pt>
                <c:pt idx="1227">
                  <c:v>1</c:v>
                </c:pt>
                <c:pt idx="1228">
                  <c:v>3</c:v>
                </c:pt>
                <c:pt idx="1229">
                  <c:v>2</c:v>
                </c:pt>
                <c:pt idx="1230">
                  <c:v>1</c:v>
                </c:pt>
                <c:pt idx="1231">
                  <c:v>2</c:v>
                </c:pt>
                <c:pt idx="1232">
                  <c:v>0</c:v>
                </c:pt>
                <c:pt idx="1233">
                  <c:v>1</c:v>
                </c:pt>
                <c:pt idx="1234">
                  <c:v>3</c:v>
                </c:pt>
                <c:pt idx="1235">
                  <c:v>4</c:v>
                </c:pt>
                <c:pt idx="1236">
                  <c:v>2</c:v>
                </c:pt>
                <c:pt idx="1237">
                  <c:v>1</c:v>
                </c:pt>
                <c:pt idx="1238">
                  <c:v>1</c:v>
                </c:pt>
                <c:pt idx="1239">
                  <c:v>2</c:v>
                </c:pt>
                <c:pt idx="1240">
                  <c:v>1</c:v>
                </c:pt>
                <c:pt idx="1241">
                  <c:v>3</c:v>
                </c:pt>
                <c:pt idx="1242">
                  <c:v>1</c:v>
                </c:pt>
                <c:pt idx="1243">
                  <c:v>0</c:v>
                </c:pt>
                <c:pt idx="1244">
                  <c:v>2</c:v>
                </c:pt>
                <c:pt idx="1245">
                  <c:v>2</c:v>
                </c:pt>
                <c:pt idx="1246">
                  <c:v>2</c:v>
                </c:pt>
                <c:pt idx="1247">
                  <c:v>0</c:v>
                </c:pt>
                <c:pt idx="1248">
                  <c:v>1</c:v>
                </c:pt>
                <c:pt idx="1249">
                  <c:v>3</c:v>
                </c:pt>
                <c:pt idx="1250">
                  <c:v>2</c:v>
                </c:pt>
                <c:pt idx="1251">
                  <c:v>0</c:v>
                </c:pt>
                <c:pt idx="1252">
                  <c:v>1</c:v>
                </c:pt>
                <c:pt idx="1253">
                  <c:v>1</c:v>
                </c:pt>
                <c:pt idx="1254">
                  <c:v>2</c:v>
                </c:pt>
                <c:pt idx="1255">
                  <c:v>4</c:v>
                </c:pt>
                <c:pt idx="1256">
                  <c:v>1</c:v>
                </c:pt>
                <c:pt idx="1257">
                  <c:v>3</c:v>
                </c:pt>
                <c:pt idx="1258">
                  <c:v>1</c:v>
                </c:pt>
                <c:pt idx="1259">
                  <c:v>4</c:v>
                </c:pt>
                <c:pt idx="1260">
                  <c:v>4</c:v>
                </c:pt>
                <c:pt idx="1261">
                  <c:v>2</c:v>
                </c:pt>
                <c:pt idx="1262">
                  <c:v>1</c:v>
                </c:pt>
                <c:pt idx="1263">
                  <c:v>3</c:v>
                </c:pt>
                <c:pt idx="1264">
                  <c:v>1</c:v>
                </c:pt>
                <c:pt idx="1265">
                  <c:v>2</c:v>
                </c:pt>
                <c:pt idx="1266">
                  <c:v>1</c:v>
                </c:pt>
                <c:pt idx="1267">
                  <c:v>3</c:v>
                </c:pt>
                <c:pt idx="1268">
                  <c:v>2</c:v>
                </c:pt>
                <c:pt idx="1269">
                  <c:v>2</c:v>
                </c:pt>
                <c:pt idx="1270">
                  <c:v>2</c:v>
                </c:pt>
                <c:pt idx="1271">
                  <c:v>2</c:v>
                </c:pt>
                <c:pt idx="1272">
                  <c:v>3</c:v>
                </c:pt>
                <c:pt idx="1273">
                  <c:v>2</c:v>
                </c:pt>
                <c:pt idx="1274">
                  <c:v>1</c:v>
                </c:pt>
                <c:pt idx="1275">
                  <c:v>2</c:v>
                </c:pt>
                <c:pt idx="1276">
                  <c:v>2</c:v>
                </c:pt>
                <c:pt idx="1277">
                  <c:v>1</c:v>
                </c:pt>
                <c:pt idx="1278">
                  <c:v>3</c:v>
                </c:pt>
                <c:pt idx="1279">
                  <c:v>0</c:v>
                </c:pt>
                <c:pt idx="1280">
                  <c:v>2</c:v>
                </c:pt>
                <c:pt idx="1281">
                  <c:v>2</c:v>
                </c:pt>
                <c:pt idx="1282">
                  <c:v>2</c:v>
                </c:pt>
                <c:pt idx="1283">
                  <c:v>2</c:v>
                </c:pt>
                <c:pt idx="1284">
                  <c:v>3</c:v>
                </c:pt>
                <c:pt idx="1285">
                  <c:v>3</c:v>
                </c:pt>
                <c:pt idx="1286">
                  <c:v>1</c:v>
                </c:pt>
                <c:pt idx="1287">
                  <c:v>1</c:v>
                </c:pt>
                <c:pt idx="1288">
                  <c:v>2</c:v>
                </c:pt>
                <c:pt idx="1289">
                  <c:v>3</c:v>
                </c:pt>
                <c:pt idx="1290">
                  <c:v>3</c:v>
                </c:pt>
                <c:pt idx="1291">
                  <c:v>1</c:v>
                </c:pt>
                <c:pt idx="1292">
                  <c:v>0</c:v>
                </c:pt>
                <c:pt idx="1293">
                  <c:v>1</c:v>
                </c:pt>
                <c:pt idx="1294">
                  <c:v>3</c:v>
                </c:pt>
                <c:pt idx="1295">
                  <c:v>2</c:v>
                </c:pt>
                <c:pt idx="1296">
                  <c:v>3</c:v>
                </c:pt>
                <c:pt idx="1297">
                  <c:v>1</c:v>
                </c:pt>
                <c:pt idx="1298">
                  <c:v>2</c:v>
                </c:pt>
                <c:pt idx="1299">
                  <c:v>2</c:v>
                </c:pt>
                <c:pt idx="1300">
                  <c:v>2</c:v>
                </c:pt>
                <c:pt idx="1301">
                  <c:v>1</c:v>
                </c:pt>
                <c:pt idx="1302">
                  <c:v>2</c:v>
                </c:pt>
                <c:pt idx="1303">
                  <c:v>3</c:v>
                </c:pt>
                <c:pt idx="1304">
                  <c:v>3</c:v>
                </c:pt>
                <c:pt idx="1305">
                  <c:v>4</c:v>
                </c:pt>
                <c:pt idx="1306">
                  <c:v>3</c:v>
                </c:pt>
                <c:pt idx="1307">
                  <c:v>2</c:v>
                </c:pt>
                <c:pt idx="1308">
                  <c:v>1</c:v>
                </c:pt>
                <c:pt idx="1309">
                  <c:v>2</c:v>
                </c:pt>
                <c:pt idx="1310">
                  <c:v>0</c:v>
                </c:pt>
                <c:pt idx="1311">
                  <c:v>2</c:v>
                </c:pt>
                <c:pt idx="1312">
                  <c:v>2</c:v>
                </c:pt>
                <c:pt idx="1313">
                  <c:v>2</c:v>
                </c:pt>
                <c:pt idx="1314">
                  <c:v>0</c:v>
                </c:pt>
                <c:pt idx="1315">
                  <c:v>2</c:v>
                </c:pt>
                <c:pt idx="1316">
                  <c:v>1</c:v>
                </c:pt>
                <c:pt idx="1317">
                  <c:v>2</c:v>
                </c:pt>
                <c:pt idx="1318">
                  <c:v>3</c:v>
                </c:pt>
                <c:pt idx="1319">
                  <c:v>2</c:v>
                </c:pt>
                <c:pt idx="1320">
                  <c:v>2</c:v>
                </c:pt>
                <c:pt idx="1321">
                  <c:v>1</c:v>
                </c:pt>
                <c:pt idx="1322">
                  <c:v>3</c:v>
                </c:pt>
                <c:pt idx="1323">
                  <c:v>2</c:v>
                </c:pt>
                <c:pt idx="1324">
                  <c:v>1</c:v>
                </c:pt>
                <c:pt idx="1325">
                  <c:v>1</c:v>
                </c:pt>
                <c:pt idx="1326">
                  <c:v>0</c:v>
                </c:pt>
                <c:pt idx="1327">
                  <c:v>2</c:v>
                </c:pt>
                <c:pt idx="1328">
                  <c:v>3</c:v>
                </c:pt>
                <c:pt idx="1329">
                  <c:v>2</c:v>
                </c:pt>
                <c:pt idx="1330">
                  <c:v>1</c:v>
                </c:pt>
                <c:pt idx="1331">
                  <c:v>0</c:v>
                </c:pt>
                <c:pt idx="1332">
                  <c:v>2</c:v>
                </c:pt>
                <c:pt idx="1333">
                  <c:v>2</c:v>
                </c:pt>
                <c:pt idx="1334">
                  <c:v>1</c:v>
                </c:pt>
                <c:pt idx="1335">
                  <c:v>4</c:v>
                </c:pt>
                <c:pt idx="1336">
                  <c:v>2</c:v>
                </c:pt>
                <c:pt idx="1337">
                  <c:v>4</c:v>
                </c:pt>
                <c:pt idx="1338">
                  <c:v>1</c:v>
                </c:pt>
                <c:pt idx="1339">
                  <c:v>2</c:v>
                </c:pt>
                <c:pt idx="1340">
                  <c:v>1</c:v>
                </c:pt>
                <c:pt idx="1341">
                  <c:v>1</c:v>
                </c:pt>
                <c:pt idx="1342">
                  <c:v>1</c:v>
                </c:pt>
                <c:pt idx="1343">
                  <c:v>1</c:v>
                </c:pt>
                <c:pt idx="1344">
                  <c:v>2</c:v>
                </c:pt>
                <c:pt idx="1345">
                  <c:v>1</c:v>
                </c:pt>
                <c:pt idx="1346">
                  <c:v>2</c:v>
                </c:pt>
                <c:pt idx="1347">
                  <c:v>1</c:v>
                </c:pt>
                <c:pt idx="1348">
                  <c:v>2</c:v>
                </c:pt>
                <c:pt idx="1349">
                  <c:v>2</c:v>
                </c:pt>
                <c:pt idx="1350">
                  <c:v>2</c:v>
                </c:pt>
                <c:pt idx="1351">
                  <c:v>2</c:v>
                </c:pt>
                <c:pt idx="1352">
                  <c:v>3</c:v>
                </c:pt>
                <c:pt idx="1353">
                  <c:v>3</c:v>
                </c:pt>
                <c:pt idx="1354">
                  <c:v>1</c:v>
                </c:pt>
                <c:pt idx="1355">
                  <c:v>0</c:v>
                </c:pt>
                <c:pt idx="1356">
                  <c:v>1</c:v>
                </c:pt>
                <c:pt idx="1357">
                  <c:v>0</c:v>
                </c:pt>
                <c:pt idx="1358">
                  <c:v>0</c:v>
                </c:pt>
                <c:pt idx="1359">
                  <c:v>3</c:v>
                </c:pt>
                <c:pt idx="1360">
                  <c:v>2</c:v>
                </c:pt>
                <c:pt idx="1361">
                  <c:v>2</c:v>
                </c:pt>
                <c:pt idx="1362">
                  <c:v>0</c:v>
                </c:pt>
                <c:pt idx="1363">
                  <c:v>1</c:v>
                </c:pt>
                <c:pt idx="1364">
                  <c:v>3</c:v>
                </c:pt>
                <c:pt idx="1365">
                  <c:v>2</c:v>
                </c:pt>
                <c:pt idx="1366">
                  <c:v>1</c:v>
                </c:pt>
                <c:pt idx="1367">
                  <c:v>0</c:v>
                </c:pt>
                <c:pt idx="1368">
                  <c:v>1</c:v>
                </c:pt>
                <c:pt idx="1369">
                  <c:v>0</c:v>
                </c:pt>
                <c:pt idx="1370">
                  <c:v>1</c:v>
                </c:pt>
                <c:pt idx="1371">
                  <c:v>3</c:v>
                </c:pt>
                <c:pt idx="1372">
                  <c:v>3</c:v>
                </c:pt>
                <c:pt idx="1373">
                  <c:v>2</c:v>
                </c:pt>
                <c:pt idx="1374">
                  <c:v>2</c:v>
                </c:pt>
                <c:pt idx="1375">
                  <c:v>3</c:v>
                </c:pt>
                <c:pt idx="1376">
                  <c:v>2</c:v>
                </c:pt>
                <c:pt idx="1377">
                  <c:v>2</c:v>
                </c:pt>
                <c:pt idx="1378">
                  <c:v>1</c:v>
                </c:pt>
                <c:pt idx="1379">
                  <c:v>4</c:v>
                </c:pt>
                <c:pt idx="1380">
                  <c:v>3</c:v>
                </c:pt>
                <c:pt idx="1381">
                  <c:v>2</c:v>
                </c:pt>
                <c:pt idx="1382">
                  <c:v>2</c:v>
                </c:pt>
                <c:pt idx="1383">
                  <c:v>0</c:v>
                </c:pt>
                <c:pt idx="1384">
                  <c:v>1</c:v>
                </c:pt>
                <c:pt idx="1385">
                  <c:v>3</c:v>
                </c:pt>
                <c:pt idx="1386">
                  <c:v>1</c:v>
                </c:pt>
                <c:pt idx="1387">
                  <c:v>3</c:v>
                </c:pt>
                <c:pt idx="1388">
                  <c:v>3</c:v>
                </c:pt>
                <c:pt idx="1389">
                  <c:v>3</c:v>
                </c:pt>
                <c:pt idx="1390">
                  <c:v>2</c:v>
                </c:pt>
                <c:pt idx="1391">
                  <c:v>2</c:v>
                </c:pt>
                <c:pt idx="1392">
                  <c:v>2</c:v>
                </c:pt>
                <c:pt idx="1393">
                  <c:v>1</c:v>
                </c:pt>
                <c:pt idx="1394">
                  <c:v>2</c:v>
                </c:pt>
                <c:pt idx="1395">
                  <c:v>1</c:v>
                </c:pt>
                <c:pt idx="1396">
                  <c:v>3</c:v>
                </c:pt>
                <c:pt idx="1397">
                  <c:v>2</c:v>
                </c:pt>
                <c:pt idx="1398">
                  <c:v>1</c:v>
                </c:pt>
                <c:pt idx="1399">
                  <c:v>3</c:v>
                </c:pt>
                <c:pt idx="1400">
                  <c:v>2</c:v>
                </c:pt>
                <c:pt idx="1401">
                  <c:v>3</c:v>
                </c:pt>
                <c:pt idx="1402">
                  <c:v>2</c:v>
                </c:pt>
                <c:pt idx="1403">
                  <c:v>3</c:v>
                </c:pt>
                <c:pt idx="1404">
                  <c:v>1</c:v>
                </c:pt>
                <c:pt idx="1405">
                  <c:v>2</c:v>
                </c:pt>
                <c:pt idx="1406">
                  <c:v>0</c:v>
                </c:pt>
                <c:pt idx="1407">
                  <c:v>2</c:v>
                </c:pt>
                <c:pt idx="1408">
                  <c:v>0</c:v>
                </c:pt>
                <c:pt idx="1409">
                  <c:v>2</c:v>
                </c:pt>
                <c:pt idx="1410">
                  <c:v>2</c:v>
                </c:pt>
                <c:pt idx="1411">
                  <c:v>0</c:v>
                </c:pt>
                <c:pt idx="1412">
                  <c:v>1</c:v>
                </c:pt>
                <c:pt idx="1413">
                  <c:v>2</c:v>
                </c:pt>
                <c:pt idx="1414">
                  <c:v>3</c:v>
                </c:pt>
                <c:pt idx="1415">
                  <c:v>2</c:v>
                </c:pt>
                <c:pt idx="1416">
                  <c:v>2</c:v>
                </c:pt>
                <c:pt idx="1417">
                  <c:v>2</c:v>
                </c:pt>
                <c:pt idx="1418">
                  <c:v>3</c:v>
                </c:pt>
                <c:pt idx="1419">
                  <c:v>3</c:v>
                </c:pt>
                <c:pt idx="1420">
                  <c:v>3</c:v>
                </c:pt>
                <c:pt idx="1421">
                  <c:v>2</c:v>
                </c:pt>
                <c:pt idx="1422">
                  <c:v>2</c:v>
                </c:pt>
                <c:pt idx="1423">
                  <c:v>0</c:v>
                </c:pt>
                <c:pt idx="1424">
                  <c:v>1</c:v>
                </c:pt>
                <c:pt idx="1425">
                  <c:v>2</c:v>
                </c:pt>
                <c:pt idx="1426">
                  <c:v>3</c:v>
                </c:pt>
                <c:pt idx="1427">
                  <c:v>1</c:v>
                </c:pt>
                <c:pt idx="1428">
                  <c:v>0</c:v>
                </c:pt>
                <c:pt idx="1429">
                  <c:v>2</c:v>
                </c:pt>
                <c:pt idx="1430">
                  <c:v>3</c:v>
                </c:pt>
                <c:pt idx="1431">
                  <c:v>1</c:v>
                </c:pt>
                <c:pt idx="1432">
                  <c:v>3</c:v>
                </c:pt>
                <c:pt idx="1433">
                  <c:v>2</c:v>
                </c:pt>
                <c:pt idx="1434">
                  <c:v>2</c:v>
                </c:pt>
                <c:pt idx="1435">
                  <c:v>2</c:v>
                </c:pt>
                <c:pt idx="1436">
                  <c:v>2</c:v>
                </c:pt>
                <c:pt idx="1437">
                  <c:v>1</c:v>
                </c:pt>
                <c:pt idx="1438">
                  <c:v>1</c:v>
                </c:pt>
                <c:pt idx="1439">
                  <c:v>2</c:v>
                </c:pt>
                <c:pt idx="1440">
                  <c:v>2</c:v>
                </c:pt>
                <c:pt idx="1441">
                  <c:v>1</c:v>
                </c:pt>
                <c:pt idx="1442">
                  <c:v>4</c:v>
                </c:pt>
                <c:pt idx="1443">
                  <c:v>4</c:v>
                </c:pt>
                <c:pt idx="1444">
                  <c:v>1</c:v>
                </c:pt>
                <c:pt idx="1445">
                  <c:v>1</c:v>
                </c:pt>
                <c:pt idx="1446">
                  <c:v>1</c:v>
                </c:pt>
                <c:pt idx="1447">
                  <c:v>2</c:v>
                </c:pt>
                <c:pt idx="1448">
                  <c:v>1</c:v>
                </c:pt>
                <c:pt idx="1449">
                  <c:v>2</c:v>
                </c:pt>
                <c:pt idx="1450">
                  <c:v>1</c:v>
                </c:pt>
                <c:pt idx="1451">
                  <c:v>1</c:v>
                </c:pt>
                <c:pt idx="1452">
                  <c:v>2</c:v>
                </c:pt>
                <c:pt idx="1453">
                  <c:v>2</c:v>
                </c:pt>
                <c:pt idx="1454">
                  <c:v>3</c:v>
                </c:pt>
                <c:pt idx="1455">
                  <c:v>3</c:v>
                </c:pt>
                <c:pt idx="1456">
                  <c:v>1</c:v>
                </c:pt>
                <c:pt idx="1457">
                  <c:v>3</c:v>
                </c:pt>
                <c:pt idx="1458">
                  <c:v>0</c:v>
                </c:pt>
                <c:pt idx="1459">
                  <c:v>1</c:v>
                </c:pt>
                <c:pt idx="1460">
                  <c:v>3</c:v>
                </c:pt>
                <c:pt idx="1461">
                  <c:v>1</c:v>
                </c:pt>
                <c:pt idx="1462">
                  <c:v>4</c:v>
                </c:pt>
                <c:pt idx="1463">
                  <c:v>1</c:v>
                </c:pt>
                <c:pt idx="1464">
                  <c:v>3</c:v>
                </c:pt>
                <c:pt idx="1465">
                  <c:v>4</c:v>
                </c:pt>
                <c:pt idx="1466">
                  <c:v>2</c:v>
                </c:pt>
                <c:pt idx="1467">
                  <c:v>2</c:v>
                </c:pt>
                <c:pt idx="1468">
                  <c:v>3</c:v>
                </c:pt>
                <c:pt idx="1469">
                  <c:v>1</c:v>
                </c:pt>
                <c:pt idx="1470">
                  <c:v>0</c:v>
                </c:pt>
                <c:pt idx="1471">
                  <c:v>2</c:v>
                </c:pt>
                <c:pt idx="1472">
                  <c:v>4</c:v>
                </c:pt>
                <c:pt idx="1473">
                  <c:v>1</c:v>
                </c:pt>
                <c:pt idx="1474">
                  <c:v>3</c:v>
                </c:pt>
                <c:pt idx="1475">
                  <c:v>3</c:v>
                </c:pt>
                <c:pt idx="1476">
                  <c:v>0</c:v>
                </c:pt>
                <c:pt idx="1477">
                  <c:v>1</c:v>
                </c:pt>
                <c:pt idx="1478">
                  <c:v>2</c:v>
                </c:pt>
                <c:pt idx="1479">
                  <c:v>1</c:v>
                </c:pt>
                <c:pt idx="1480">
                  <c:v>3</c:v>
                </c:pt>
                <c:pt idx="1481">
                  <c:v>1</c:v>
                </c:pt>
                <c:pt idx="1482">
                  <c:v>2</c:v>
                </c:pt>
                <c:pt idx="1483">
                  <c:v>3</c:v>
                </c:pt>
                <c:pt idx="1484">
                  <c:v>1</c:v>
                </c:pt>
                <c:pt idx="1485">
                  <c:v>3</c:v>
                </c:pt>
                <c:pt idx="1486">
                  <c:v>2</c:v>
                </c:pt>
                <c:pt idx="1487">
                  <c:v>2</c:v>
                </c:pt>
                <c:pt idx="1488">
                  <c:v>4</c:v>
                </c:pt>
                <c:pt idx="1489">
                  <c:v>1</c:v>
                </c:pt>
                <c:pt idx="1490">
                  <c:v>1</c:v>
                </c:pt>
                <c:pt idx="1491">
                  <c:v>2</c:v>
                </c:pt>
                <c:pt idx="1492">
                  <c:v>0</c:v>
                </c:pt>
                <c:pt idx="1493">
                  <c:v>1</c:v>
                </c:pt>
                <c:pt idx="1494">
                  <c:v>1</c:v>
                </c:pt>
                <c:pt idx="1495">
                  <c:v>2</c:v>
                </c:pt>
                <c:pt idx="1496">
                  <c:v>2</c:v>
                </c:pt>
                <c:pt idx="1497">
                  <c:v>1</c:v>
                </c:pt>
                <c:pt idx="1498">
                  <c:v>3</c:v>
                </c:pt>
                <c:pt idx="1499">
                  <c:v>1</c:v>
                </c:pt>
                <c:pt idx="1500">
                  <c:v>3</c:v>
                </c:pt>
                <c:pt idx="1501">
                  <c:v>1</c:v>
                </c:pt>
                <c:pt idx="1502">
                  <c:v>3</c:v>
                </c:pt>
                <c:pt idx="1503">
                  <c:v>4</c:v>
                </c:pt>
                <c:pt idx="1504">
                  <c:v>2</c:v>
                </c:pt>
                <c:pt idx="1505">
                  <c:v>2</c:v>
                </c:pt>
                <c:pt idx="1506">
                  <c:v>3</c:v>
                </c:pt>
                <c:pt idx="1507">
                  <c:v>2</c:v>
                </c:pt>
                <c:pt idx="1508">
                  <c:v>2</c:v>
                </c:pt>
                <c:pt idx="1509">
                  <c:v>0</c:v>
                </c:pt>
                <c:pt idx="1510">
                  <c:v>0</c:v>
                </c:pt>
                <c:pt idx="1511">
                  <c:v>2</c:v>
                </c:pt>
                <c:pt idx="1512">
                  <c:v>1</c:v>
                </c:pt>
                <c:pt idx="1513">
                  <c:v>0</c:v>
                </c:pt>
                <c:pt idx="1514">
                  <c:v>1</c:v>
                </c:pt>
                <c:pt idx="1515">
                  <c:v>3</c:v>
                </c:pt>
                <c:pt idx="1516">
                  <c:v>0</c:v>
                </c:pt>
                <c:pt idx="1517">
                  <c:v>2</c:v>
                </c:pt>
                <c:pt idx="1518">
                  <c:v>0</c:v>
                </c:pt>
                <c:pt idx="1519">
                  <c:v>3</c:v>
                </c:pt>
                <c:pt idx="1520">
                  <c:v>2</c:v>
                </c:pt>
                <c:pt idx="1521">
                  <c:v>2</c:v>
                </c:pt>
                <c:pt idx="1522">
                  <c:v>2</c:v>
                </c:pt>
                <c:pt idx="1523">
                  <c:v>1</c:v>
                </c:pt>
                <c:pt idx="1524">
                  <c:v>1</c:v>
                </c:pt>
                <c:pt idx="1525">
                  <c:v>2</c:v>
                </c:pt>
                <c:pt idx="1526">
                  <c:v>1</c:v>
                </c:pt>
                <c:pt idx="1527">
                  <c:v>1</c:v>
                </c:pt>
                <c:pt idx="1528">
                  <c:v>0</c:v>
                </c:pt>
              </c:numCache>
            </c:numRef>
          </c:xVal>
          <c:yVal>
            <c:numRef>
              <c:f>'CVD Dataset'!$AE$2:$AE$1530</c:f>
              <c:numCache>
                <c:formatCode>General</c:formatCode>
                <c:ptCount val="1529"/>
                <c:pt idx="0">
                  <c:v>17.93</c:v>
                </c:pt>
                <c:pt idx="1">
                  <c:v>20.51</c:v>
                </c:pt>
                <c:pt idx="2">
                  <c:v>12.64</c:v>
                </c:pt>
                <c:pt idx="3">
                  <c:v>16.36</c:v>
                </c:pt>
                <c:pt idx="4">
                  <c:v>17.88</c:v>
                </c:pt>
                <c:pt idx="5">
                  <c:v>16.96</c:v>
                </c:pt>
                <c:pt idx="6">
                  <c:v>17.600000000000001</c:v>
                </c:pt>
                <c:pt idx="7">
                  <c:v>18.11</c:v>
                </c:pt>
                <c:pt idx="8">
                  <c:v>15.25</c:v>
                </c:pt>
                <c:pt idx="9">
                  <c:v>17.91</c:v>
                </c:pt>
                <c:pt idx="10">
                  <c:v>19.73</c:v>
                </c:pt>
                <c:pt idx="11">
                  <c:v>18.600000000000001</c:v>
                </c:pt>
                <c:pt idx="12">
                  <c:v>15.76</c:v>
                </c:pt>
                <c:pt idx="13">
                  <c:v>20.36</c:v>
                </c:pt>
                <c:pt idx="15">
                  <c:v>16.010000000000002</c:v>
                </c:pt>
                <c:pt idx="16">
                  <c:v>17.760000000000002</c:v>
                </c:pt>
                <c:pt idx="17">
                  <c:v>17.73</c:v>
                </c:pt>
                <c:pt idx="18">
                  <c:v>13.64</c:v>
                </c:pt>
                <c:pt idx="19">
                  <c:v>11.95</c:v>
                </c:pt>
                <c:pt idx="20">
                  <c:v>19.7</c:v>
                </c:pt>
                <c:pt idx="21">
                  <c:v>16.68</c:v>
                </c:pt>
                <c:pt idx="22">
                  <c:v>16.03</c:v>
                </c:pt>
                <c:pt idx="23">
                  <c:v>12.8</c:v>
                </c:pt>
                <c:pt idx="24">
                  <c:v>17.28</c:v>
                </c:pt>
                <c:pt idx="25">
                  <c:v>15.87</c:v>
                </c:pt>
                <c:pt idx="26">
                  <c:v>17.66</c:v>
                </c:pt>
                <c:pt idx="27">
                  <c:v>19.52</c:v>
                </c:pt>
                <c:pt idx="28">
                  <c:v>18.989999999999998</c:v>
                </c:pt>
                <c:pt idx="29">
                  <c:v>14.61</c:v>
                </c:pt>
                <c:pt idx="30">
                  <c:v>12.69</c:v>
                </c:pt>
                <c:pt idx="31">
                  <c:v>14.27</c:v>
                </c:pt>
                <c:pt idx="32">
                  <c:v>17.66</c:v>
                </c:pt>
                <c:pt idx="33">
                  <c:v>14.9</c:v>
                </c:pt>
                <c:pt idx="34">
                  <c:v>14</c:v>
                </c:pt>
                <c:pt idx="35">
                  <c:v>18.440000000000001</c:v>
                </c:pt>
                <c:pt idx="36">
                  <c:v>16.59</c:v>
                </c:pt>
                <c:pt idx="37">
                  <c:v>18.88</c:v>
                </c:pt>
                <c:pt idx="38">
                  <c:v>16.86</c:v>
                </c:pt>
                <c:pt idx="40">
                  <c:v>16.170000000000002</c:v>
                </c:pt>
                <c:pt idx="41">
                  <c:v>17.399999999999999</c:v>
                </c:pt>
                <c:pt idx="42">
                  <c:v>12.33</c:v>
                </c:pt>
                <c:pt idx="43">
                  <c:v>15.25</c:v>
                </c:pt>
                <c:pt idx="44">
                  <c:v>16</c:v>
                </c:pt>
                <c:pt idx="45">
                  <c:v>21.61</c:v>
                </c:pt>
                <c:pt idx="46">
                  <c:v>16.04</c:v>
                </c:pt>
                <c:pt idx="47">
                  <c:v>20.32</c:v>
                </c:pt>
                <c:pt idx="48">
                  <c:v>18.71</c:v>
                </c:pt>
                <c:pt idx="49">
                  <c:v>13.73</c:v>
                </c:pt>
                <c:pt idx="51">
                  <c:v>14.83</c:v>
                </c:pt>
                <c:pt idx="52">
                  <c:v>15.68</c:v>
                </c:pt>
                <c:pt idx="53">
                  <c:v>16.02</c:v>
                </c:pt>
                <c:pt idx="54">
                  <c:v>20.09</c:v>
                </c:pt>
                <c:pt idx="55">
                  <c:v>15.8</c:v>
                </c:pt>
                <c:pt idx="56">
                  <c:v>14.6</c:v>
                </c:pt>
                <c:pt idx="57">
                  <c:v>17.649999999999999</c:v>
                </c:pt>
                <c:pt idx="58">
                  <c:v>14.06</c:v>
                </c:pt>
                <c:pt idx="59">
                  <c:v>17.29</c:v>
                </c:pt>
                <c:pt idx="60">
                  <c:v>21.03</c:v>
                </c:pt>
                <c:pt idx="61">
                  <c:v>17.170000000000002</c:v>
                </c:pt>
                <c:pt idx="62">
                  <c:v>17.71</c:v>
                </c:pt>
                <c:pt idx="63">
                  <c:v>17.52</c:v>
                </c:pt>
                <c:pt idx="64">
                  <c:v>14.14</c:v>
                </c:pt>
                <c:pt idx="65">
                  <c:v>14.73</c:v>
                </c:pt>
                <c:pt idx="66">
                  <c:v>16.850000000000001</c:v>
                </c:pt>
                <c:pt idx="67">
                  <c:v>14.18</c:v>
                </c:pt>
                <c:pt idx="68">
                  <c:v>13.96</c:v>
                </c:pt>
                <c:pt idx="69">
                  <c:v>21.34</c:v>
                </c:pt>
                <c:pt idx="70">
                  <c:v>12.14</c:v>
                </c:pt>
                <c:pt idx="71">
                  <c:v>15.3</c:v>
                </c:pt>
                <c:pt idx="72">
                  <c:v>18.37</c:v>
                </c:pt>
                <c:pt idx="73">
                  <c:v>19.88</c:v>
                </c:pt>
                <c:pt idx="74">
                  <c:v>16.79</c:v>
                </c:pt>
                <c:pt idx="75">
                  <c:v>20.58</c:v>
                </c:pt>
                <c:pt idx="76">
                  <c:v>12.6</c:v>
                </c:pt>
                <c:pt idx="77">
                  <c:v>20.260000000000002</c:v>
                </c:pt>
                <c:pt idx="78">
                  <c:v>17.420000000000002</c:v>
                </c:pt>
                <c:pt idx="80">
                  <c:v>14.31</c:v>
                </c:pt>
                <c:pt idx="81">
                  <c:v>16.059999999999999</c:v>
                </c:pt>
                <c:pt idx="82">
                  <c:v>18.75</c:v>
                </c:pt>
                <c:pt idx="83">
                  <c:v>18.62</c:v>
                </c:pt>
                <c:pt idx="84">
                  <c:v>14.06</c:v>
                </c:pt>
                <c:pt idx="85">
                  <c:v>14.03</c:v>
                </c:pt>
                <c:pt idx="86">
                  <c:v>12.75</c:v>
                </c:pt>
                <c:pt idx="87">
                  <c:v>19.66</c:v>
                </c:pt>
                <c:pt idx="88">
                  <c:v>16.78</c:v>
                </c:pt>
                <c:pt idx="90">
                  <c:v>16.760000000000002</c:v>
                </c:pt>
                <c:pt idx="91">
                  <c:v>18.510000000000002</c:v>
                </c:pt>
                <c:pt idx="92">
                  <c:v>13.63</c:v>
                </c:pt>
                <c:pt idx="93">
                  <c:v>16.63</c:v>
                </c:pt>
                <c:pt idx="94">
                  <c:v>14.56</c:v>
                </c:pt>
                <c:pt idx="95">
                  <c:v>17.8</c:v>
                </c:pt>
                <c:pt idx="96">
                  <c:v>15.45</c:v>
                </c:pt>
                <c:pt idx="97">
                  <c:v>18.899999999999999</c:v>
                </c:pt>
                <c:pt idx="98">
                  <c:v>19.77</c:v>
                </c:pt>
                <c:pt idx="99">
                  <c:v>14.34</c:v>
                </c:pt>
                <c:pt idx="100">
                  <c:v>19.63</c:v>
                </c:pt>
                <c:pt idx="101">
                  <c:v>14.15</c:v>
                </c:pt>
                <c:pt idx="102">
                  <c:v>18.37</c:v>
                </c:pt>
                <c:pt idx="103">
                  <c:v>17.079999999999998</c:v>
                </c:pt>
                <c:pt idx="104">
                  <c:v>12.16</c:v>
                </c:pt>
                <c:pt idx="105">
                  <c:v>16.11</c:v>
                </c:pt>
                <c:pt idx="106">
                  <c:v>16.11</c:v>
                </c:pt>
                <c:pt idx="107">
                  <c:v>13.03</c:v>
                </c:pt>
                <c:pt idx="108">
                  <c:v>17.7</c:v>
                </c:pt>
                <c:pt idx="109">
                  <c:v>15.53</c:v>
                </c:pt>
                <c:pt idx="110">
                  <c:v>13.36</c:v>
                </c:pt>
                <c:pt idx="111">
                  <c:v>17.079999999999998</c:v>
                </c:pt>
                <c:pt idx="112">
                  <c:v>19.09</c:v>
                </c:pt>
                <c:pt idx="114">
                  <c:v>14.12</c:v>
                </c:pt>
                <c:pt idx="115">
                  <c:v>16.07</c:v>
                </c:pt>
                <c:pt idx="116">
                  <c:v>15.95</c:v>
                </c:pt>
                <c:pt idx="117">
                  <c:v>17.260000000000002</c:v>
                </c:pt>
                <c:pt idx="118">
                  <c:v>16.77</c:v>
                </c:pt>
                <c:pt idx="119">
                  <c:v>18.829999999999998</c:v>
                </c:pt>
                <c:pt idx="120">
                  <c:v>11.06</c:v>
                </c:pt>
                <c:pt idx="121">
                  <c:v>15.48</c:v>
                </c:pt>
                <c:pt idx="122">
                  <c:v>21.85</c:v>
                </c:pt>
                <c:pt idx="123">
                  <c:v>21.14</c:v>
                </c:pt>
                <c:pt idx="124">
                  <c:v>16.82</c:v>
                </c:pt>
                <c:pt idx="125">
                  <c:v>14.81</c:v>
                </c:pt>
                <c:pt idx="126">
                  <c:v>20.27</c:v>
                </c:pt>
                <c:pt idx="127">
                  <c:v>15.54</c:v>
                </c:pt>
                <c:pt idx="128">
                  <c:v>14.89</c:v>
                </c:pt>
                <c:pt idx="129">
                  <c:v>14.84</c:v>
                </c:pt>
                <c:pt idx="130">
                  <c:v>14.5</c:v>
                </c:pt>
                <c:pt idx="131">
                  <c:v>17.53</c:v>
                </c:pt>
                <c:pt idx="132">
                  <c:v>17.93</c:v>
                </c:pt>
                <c:pt idx="133">
                  <c:v>14.74</c:v>
                </c:pt>
                <c:pt idx="134">
                  <c:v>20.8</c:v>
                </c:pt>
                <c:pt idx="135">
                  <c:v>13.5</c:v>
                </c:pt>
                <c:pt idx="136">
                  <c:v>14.62</c:v>
                </c:pt>
                <c:pt idx="137">
                  <c:v>15.64</c:v>
                </c:pt>
                <c:pt idx="138">
                  <c:v>14.56</c:v>
                </c:pt>
                <c:pt idx="139">
                  <c:v>17.95</c:v>
                </c:pt>
                <c:pt idx="140">
                  <c:v>16.079999999999998</c:v>
                </c:pt>
                <c:pt idx="141">
                  <c:v>21.09</c:v>
                </c:pt>
                <c:pt idx="142">
                  <c:v>19.3</c:v>
                </c:pt>
                <c:pt idx="143">
                  <c:v>17.5</c:v>
                </c:pt>
                <c:pt idx="144">
                  <c:v>13.16</c:v>
                </c:pt>
                <c:pt idx="145">
                  <c:v>20.309999999999999</c:v>
                </c:pt>
                <c:pt idx="146">
                  <c:v>14.01</c:v>
                </c:pt>
                <c:pt idx="147">
                  <c:v>11.11</c:v>
                </c:pt>
                <c:pt idx="148">
                  <c:v>19.329999999999998</c:v>
                </c:pt>
                <c:pt idx="149">
                  <c:v>13.97</c:v>
                </c:pt>
                <c:pt idx="150">
                  <c:v>17.34</c:v>
                </c:pt>
                <c:pt idx="151">
                  <c:v>17.75</c:v>
                </c:pt>
                <c:pt idx="152">
                  <c:v>14.45</c:v>
                </c:pt>
                <c:pt idx="153">
                  <c:v>18.77</c:v>
                </c:pt>
                <c:pt idx="154">
                  <c:v>18.55</c:v>
                </c:pt>
                <c:pt idx="155">
                  <c:v>17.86</c:v>
                </c:pt>
                <c:pt idx="156">
                  <c:v>19.39</c:v>
                </c:pt>
                <c:pt idx="157">
                  <c:v>17.41</c:v>
                </c:pt>
                <c:pt idx="158">
                  <c:v>20.079999999999998</c:v>
                </c:pt>
                <c:pt idx="159">
                  <c:v>17.309999999999999</c:v>
                </c:pt>
                <c:pt idx="160">
                  <c:v>15.74</c:v>
                </c:pt>
                <c:pt idx="161">
                  <c:v>14.81</c:v>
                </c:pt>
                <c:pt idx="162">
                  <c:v>13.89</c:v>
                </c:pt>
                <c:pt idx="163">
                  <c:v>16.68</c:v>
                </c:pt>
                <c:pt idx="164">
                  <c:v>14.38</c:v>
                </c:pt>
                <c:pt idx="165">
                  <c:v>18.55</c:v>
                </c:pt>
                <c:pt idx="166">
                  <c:v>12.44</c:v>
                </c:pt>
                <c:pt idx="167">
                  <c:v>16.440000000000001</c:v>
                </c:pt>
                <c:pt idx="168">
                  <c:v>14.26</c:v>
                </c:pt>
                <c:pt idx="169">
                  <c:v>11.6</c:v>
                </c:pt>
                <c:pt idx="170">
                  <c:v>21.83</c:v>
                </c:pt>
                <c:pt idx="171">
                  <c:v>19.29</c:v>
                </c:pt>
                <c:pt idx="172">
                  <c:v>14.53</c:v>
                </c:pt>
                <c:pt idx="173">
                  <c:v>18.600000000000001</c:v>
                </c:pt>
                <c:pt idx="175">
                  <c:v>14.99</c:v>
                </c:pt>
                <c:pt idx="176">
                  <c:v>19.61</c:v>
                </c:pt>
                <c:pt idx="177">
                  <c:v>18.2</c:v>
                </c:pt>
                <c:pt idx="178">
                  <c:v>18.440000000000001</c:v>
                </c:pt>
                <c:pt idx="179">
                  <c:v>17.309999999999999</c:v>
                </c:pt>
                <c:pt idx="180">
                  <c:v>15.83</c:v>
                </c:pt>
                <c:pt idx="181">
                  <c:v>17.7</c:v>
                </c:pt>
                <c:pt idx="182">
                  <c:v>13.84</c:v>
                </c:pt>
                <c:pt idx="183">
                  <c:v>15.55</c:v>
                </c:pt>
                <c:pt idx="184">
                  <c:v>14.72</c:v>
                </c:pt>
                <c:pt idx="185">
                  <c:v>10.53</c:v>
                </c:pt>
                <c:pt idx="186">
                  <c:v>14.89</c:v>
                </c:pt>
                <c:pt idx="187">
                  <c:v>12.96</c:v>
                </c:pt>
                <c:pt idx="188">
                  <c:v>16.7</c:v>
                </c:pt>
                <c:pt idx="189">
                  <c:v>15.26</c:v>
                </c:pt>
                <c:pt idx="190">
                  <c:v>20.49</c:v>
                </c:pt>
                <c:pt idx="191">
                  <c:v>19.18</c:v>
                </c:pt>
                <c:pt idx="192">
                  <c:v>15.25</c:v>
                </c:pt>
                <c:pt idx="193">
                  <c:v>14.87</c:v>
                </c:pt>
                <c:pt idx="194">
                  <c:v>16.73</c:v>
                </c:pt>
                <c:pt idx="195">
                  <c:v>15.78</c:v>
                </c:pt>
                <c:pt idx="196">
                  <c:v>13.97</c:v>
                </c:pt>
                <c:pt idx="197">
                  <c:v>14.04</c:v>
                </c:pt>
                <c:pt idx="198">
                  <c:v>18.100000000000001</c:v>
                </c:pt>
                <c:pt idx="199">
                  <c:v>14.71</c:v>
                </c:pt>
                <c:pt idx="200">
                  <c:v>15.57</c:v>
                </c:pt>
                <c:pt idx="201">
                  <c:v>12.68</c:v>
                </c:pt>
                <c:pt idx="202">
                  <c:v>13.65</c:v>
                </c:pt>
                <c:pt idx="203">
                  <c:v>13.55</c:v>
                </c:pt>
                <c:pt idx="204">
                  <c:v>16.829999999999998</c:v>
                </c:pt>
                <c:pt idx="205">
                  <c:v>15.32</c:v>
                </c:pt>
                <c:pt idx="206">
                  <c:v>15.55</c:v>
                </c:pt>
                <c:pt idx="207">
                  <c:v>14.62</c:v>
                </c:pt>
                <c:pt idx="208">
                  <c:v>15.18</c:v>
                </c:pt>
                <c:pt idx="209">
                  <c:v>15.48</c:v>
                </c:pt>
                <c:pt idx="210">
                  <c:v>14.78</c:v>
                </c:pt>
                <c:pt idx="211">
                  <c:v>14.97</c:v>
                </c:pt>
                <c:pt idx="212">
                  <c:v>13.68</c:v>
                </c:pt>
                <c:pt idx="213">
                  <c:v>15.76</c:v>
                </c:pt>
                <c:pt idx="214">
                  <c:v>15.17</c:v>
                </c:pt>
                <c:pt idx="215">
                  <c:v>16.059999999999999</c:v>
                </c:pt>
                <c:pt idx="216">
                  <c:v>16.850000000000001</c:v>
                </c:pt>
                <c:pt idx="217">
                  <c:v>15.41</c:v>
                </c:pt>
                <c:pt idx="218">
                  <c:v>11.11</c:v>
                </c:pt>
                <c:pt idx="219">
                  <c:v>19.53</c:v>
                </c:pt>
                <c:pt idx="220">
                  <c:v>21.84</c:v>
                </c:pt>
                <c:pt idx="221">
                  <c:v>16.48</c:v>
                </c:pt>
                <c:pt idx="222">
                  <c:v>19.39</c:v>
                </c:pt>
                <c:pt idx="223">
                  <c:v>14.01</c:v>
                </c:pt>
                <c:pt idx="224">
                  <c:v>17.96</c:v>
                </c:pt>
                <c:pt idx="225">
                  <c:v>15.97</c:v>
                </c:pt>
                <c:pt idx="226">
                  <c:v>15</c:v>
                </c:pt>
                <c:pt idx="227">
                  <c:v>19.86</c:v>
                </c:pt>
                <c:pt idx="228">
                  <c:v>21.25</c:v>
                </c:pt>
                <c:pt idx="229">
                  <c:v>14.92</c:v>
                </c:pt>
                <c:pt idx="230">
                  <c:v>19.489999999999998</c:v>
                </c:pt>
                <c:pt idx="231">
                  <c:v>16.63</c:v>
                </c:pt>
                <c:pt idx="232">
                  <c:v>17.11</c:v>
                </c:pt>
                <c:pt idx="233">
                  <c:v>16.61</c:v>
                </c:pt>
                <c:pt idx="234">
                  <c:v>15.97</c:v>
                </c:pt>
                <c:pt idx="235">
                  <c:v>13.55</c:v>
                </c:pt>
                <c:pt idx="236">
                  <c:v>15.41</c:v>
                </c:pt>
                <c:pt idx="237">
                  <c:v>19.91</c:v>
                </c:pt>
                <c:pt idx="238">
                  <c:v>18.09</c:v>
                </c:pt>
                <c:pt idx="239">
                  <c:v>20.260000000000002</c:v>
                </c:pt>
                <c:pt idx="240">
                  <c:v>19.440000000000001</c:v>
                </c:pt>
                <c:pt idx="241">
                  <c:v>17.91</c:v>
                </c:pt>
                <c:pt idx="242">
                  <c:v>17.75</c:v>
                </c:pt>
                <c:pt idx="243">
                  <c:v>15.12</c:v>
                </c:pt>
                <c:pt idx="244">
                  <c:v>19.62</c:v>
                </c:pt>
                <c:pt idx="245">
                  <c:v>16.8</c:v>
                </c:pt>
                <c:pt idx="247">
                  <c:v>12.04</c:v>
                </c:pt>
                <c:pt idx="248">
                  <c:v>17.95</c:v>
                </c:pt>
                <c:pt idx="249">
                  <c:v>18.87</c:v>
                </c:pt>
                <c:pt idx="250">
                  <c:v>14.67</c:v>
                </c:pt>
                <c:pt idx="251">
                  <c:v>15.47</c:v>
                </c:pt>
                <c:pt idx="252">
                  <c:v>17.13</c:v>
                </c:pt>
                <c:pt idx="253">
                  <c:v>19.64</c:v>
                </c:pt>
                <c:pt idx="254">
                  <c:v>16.72</c:v>
                </c:pt>
                <c:pt idx="255">
                  <c:v>14.51</c:v>
                </c:pt>
                <c:pt idx="256">
                  <c:v>15.5</c:v>
                </c:pt>
                <c:pt idx="257">
                  <c:v>15.86</c:v>
                </c:pt>
                <c:pt idx="258">
                  <c:v>13.81</c:v>
                </c:pt>
                <c:pt idx="259">
                  <c:v>13.59</c:v>
                </c:pt>
                <c:pt idx="260">
                  <c:v>18.809999999999999</c:v>
                </c:pt>
                <c:pt idx="261">
                  <c:v>16.48</c:v>
                </c:pt>
                <c:pt idx="263">
                  <c:v>15.15</c:v>
                </c:pt>
                <c:pt idx="264">
                  <c:v>18.3</c:v>
                </c:pt>
                <c:pt idx="265">
                  <c:v>16.059999999999999</c:v>
                </c:pt>
                <c:pt idx="266">
                  <c:v>16.48</c:v>
                </c:pt>
                <c:pt idx="267">
                  <c:v>17.739999999999998</c:v>
                </c:pt>
                <c:pt idx="268">
                  <c:v>14.42</c:v>
                </c:pt>
                <c:pt idx="269">
                  <c:v>18.95</c:v>
                </c:pt>
                <c:pt idx="270">
                  <c:v>18.010000000000002</c:v>
                </c:pt>
                <c:pt idx="271">
                  <c:v>14.68</c:v>
                </c:pt>
                <c:pt idx="272">
                  <c:v>14.56</c:v>
                </c:pt>
                <c:pt idx="273">
                  <c:v>16.739999999999998</c:v>
                </c:pt>
                <c:pt idx="274">
                  <c:v>17.37</c:v>
                </c:pt>
                <c:pt idx="275">
                  <c:v>15.56</c:v>
                </c:pt>
                <c:pt idx="276">
                  <c:v>18.64</c:v>
                </c:pt>
                <c:pt idx="277">
                  <c:v>15.57</c:v>
                </c:pt>
                <c:pt idx="278">
                  <c:v>13.91</c:v>
                </c:pt>
                <c:pt idx="279">
                  <c:v>16.02</c:v>
                </c:pt>
                <c:pt idx="280">
                  <c:v>17.690000000000001</c:v>
                </c:pt>
                <c:pt idx="281">
                  <c:v>20.260000000000002</c:v>
                </c:pt>
                <c:pt idx="282">
                  <c:v>14.69</c:v>
                </c:pt>
                <c:pt idx="283">
                  <c:v>13.29</c:v>
                </c:pt>
                <c:pt idx="284">
                  <c:v>16.309999999999999</c:v>
                </c:pt>
                <c:pt idx="285">
                  <c:v>16.170000000000002</c:v>
                </c:pt>
                <c:pt idx="286">
                  <c:v>17.850000000000001</c:v>
                </c:pt>
                <c:pt idx="287">
                  <c:v>12.92</c:v>
                </c:pt>
                <c:pt idx="288">
                  <c:v>16.420000000000002</c:v>
                </c:pt>
                <c:pt idx="289">
                  <c:v>19.440000000000001</c:v>
                </c:pt>
                <c:pt idx="290">
                  <c:v>19.79</c:v>
                </c:pt>
                <c:pt idx="291">
                  <c:v>16.93</c:v>
                </c:pt>
                <c:pt idx="292">
                  <c:v>16.57</c:v>
                </c:pt>
                <c:pt idx="293">
                  <c:v>12.13</c:v>
                </c:pt>
                <c:pt idx="294">
                  <c:v>13.88</c:v>
                </c:pt>
                <c:pt idx="295">
                  <c:v>15.57</c:v>
                </c:pt>
                <c:pt idx="296">
                  <c:v>15.13</c:v>
                </c:pt>
                <c:pt idx="297">
                  <c:v>18.14</c:v>
                </c:pt>
                <c:pt idx="298">
                  <c:v>13.36</c:v>
                </c:pt>
                <c:pt idx="300">
                  <c:v>17.489999999999998</c:v>
                </c:pt>
                <c:pt idx="301">
                  <c:v>15.29</c:v>
                </c:pt>
                <c:pt idx="302">
                  <c:v>13.66</c:v>
                </c:pt>
                <c:pt idx="303">
                  <c:v>16.28</c:v>
                </c:pt>
                <c:pt idx="304">
                  <c:v>18.87</c:v>
                </c:pt>
                <c:pt idx="306">
                  <c:v>17.3</c:v>
                </c:pt>
                <c:pt idx="307">
                  <c:v>16.79</c:v>
                </c:pt>
                <c:pt idx="308">
                  <c:v>13.96</c:v>
                </c:pt>
                <c:pt idx="309">
                  <c:v>16.95</c:v>
                </c:pt>
                <c:pt idx="310">
                  <c:v>16.649999999999999</c:v>
                </c:pt>
                <c:pt idx="311">
                  <c:v>16.82</c:v>
                </c:pt>
                <c:pt idx="312">
                  <c:v>13.15</c:v>
                </c:pt>
                <c:pt idx="313">
                  <c:v>16.87</c:v>
                </c:pt>
                <c:pt idx="314">
                  <c:v>15.06</c:v>
                </c:pt>
                <c:pt idx="315">
                  <c:v>14.14</c:v>
                </c:pt>
                <c:pt idx="316">
                  <c:v>24.17</c:v>
                </c:pt>
                <c:pt idx="317">
                  <c:v>16.25</c:v>
                </c:pt>
                <c:pt idx="318">
                  <c:v>13.82</c:v>
                </c:pt>
                <c:pt idx="319">
                  <c:v>19.27</c:v>
                </c:pt>
                <c:pt idx="320">
                  <c:v>18.36</c:v>
                </c:pt>
                <c:pt idx="321">
                  <c:v>15.27</c:v>
                </c:pt>
                <c:pt idx="322">
                  <c:v>17.149999999999999</c:v>
                </c:pt>
                <c:pt idx="324">
                  <c:v>16.989999999999998</c:v>
                </c:pt>
                <c:pt idx="325">
                  <c:v>14.22</c:v>
                </c:pt>
                <c:pt idx="326">
                  <c:v>14.81</c:v>
                </c:pt>
                <c:pt idx="327">
                  <c:v>17.170000000000002</c:v>
                </c:pt>
                <c:pt idx="328">
                  <c:v>16.260000000000002</c:v>
                </c:pt>
                <c:pt idx="329">
                  <c:v>15.92</c:v>
                </c:pt>
                <c:pt idx="330">
                  <c:v>17.05</c:v>
                </c:pt>
                <c:pt idx="331">
                  <c:v>12.25</c:v>
                </c:pt>
                <c:pt idx="332">
                  <c:v>12.01</c:v>
                </c:pt>
                <c:pt idx="333">
                  <c:v>13.55</c:v>
                </c:pt>
                <c:pt idx="334">
                  <c:v>17.329999999999998</c:v>
                </c:pt>
                <c:pt idx="335">
                  <c:v>15.02</c:v>
                </c:pt>
                <c:pt idx="336">
                  <c:v>15.58</c:v>
                </c:pt>
                <c:pt idx="337">
                  <c:v>19.420000000000002</c:v>
                </c:pt>
                <c:pt idx="338">
                  <c:v>20.010000000000002</c:v>
                </c:pt>
                <c:pt idx="339">
                  <c:v>14.35</c:v>
                </c:pt>
                <c:pt idx="340">
                  <c:v>17.350000000000001</c:v>
                </c:pt>
                <c:pt idx="341">
                  <c:v>13.95</c:v>
                </c:pt>
                <c:pt idx="342">
                  <c:v>14.75</c:v>
                </c:pt>
                <c:pt idx="343">
                  <c:v>18.48</c:v>
                </c:pt>
                <c:pt idx="344">
                  <c:v>15.64</c:v>
                </c:pt>
                <c:pt idx="345">
                  <c:v>19.190000000000001</c:v>
                </c:pt>
                <c:pt idx="346">
                  <c:v>16.87</c:v>
                </c:pt>
                <c:pt idx="347">
                  <c:v>16.149999999999999</c:v>
                </c:pt>
                <c:pt idx="348">
                  <c:v>14.65</c:v>
                </c:pt>
                <c:pt idx="349">
                  <c:v>14.74</c:v>
                </c:pt>
                <c:pt idx="350">
                  <c:v>19.28</c:v>
                </c:pt>
                <c:pt idx="351">
                  <c:v>14.04</c:v>
                </c:pt>
                <c:pt idx="352">
                  <c:v>16.829999999999998</c:v>
                </c:pt>
                <c:pt idx="353">
                  <c:v>21.07</c:v>
                </c:pt>
                <c:pt idx="354">
                  <c:v>15.99</c:v>
                </c:pt>
                <c:pt idx="355">
                  <c:v>17.82</c:v>
                </c:pt>
                <c:pt idx="356">
                  <c:v>20.22</c:v>
                </c:pt>
                <c:pt idx="357">
                  <c:v>14.47</c:v>
                </c:pt>
                <c:pt idx="358">
                  <c:v>16.75</c:v>
                </c:pt>
                <c:pt idx="359">
                  <c:v>17.809999999999999</c:v>
                </c:pt>
                <c:pt idx="360">
                  <c:v>18.32</c:v>
                </c:pt>
                <c:pt idx="361">
                  <c:v>16.420000000000002</c:v>
                </c:pt>
                <c:pt idx="362">
                  <c:v>15.4</c:v>
                </c:pt>
                <c:pt idx="363">
                  <c:v>19.37</c:v>
                </c:pt>
                <c:pt idx="364">
                  <c:v>20.34</c:v>
                </c:pt>
                <c:pt idx="366">
                  <c:v>19.2</c:v>
                </c:pt>
                <c:pt idx="367">
                  <c:v>18.66</c:v>
                </c:pt>
                <c:pt idx="368">
                  <c:v>14.51</c:v>
                </c:pt>
                <c:pt idx="369">
                  <c:v>16.82</c:v>
                </c:pt>
                <c:pt idx="370">
                  <c:v>16.940000000000001</c:v>
                </c:pt>
                <c:pt idx="371">
                  <c:v>16.78</c:v>
                </c:pt>
                <c:pt idx="372">
                  <c:v>14.36</c:v>
                </c:pt>
                <c:pt idx="373">
                  <c:v>14.48</c:v>
                </c:pt>
                <c:pt idx="374">
                  <c:v>16.97</c:v>
                </c:pt>
                <c:pt idx="375">
                  <c:v>17.63</c:v>
                </c:pt>
                <c:pt idx="376">
                  <c:v>16.2</c:v>
                </c:pt>
                <c:pt idx="377">
                  <c:v>13.69</c:v>
                </c:pt>
                <c:pt idx="378">
                  <c:v>20.85</c:v>
                </c:pt>
                <c:pt idx="379">
                  <c:v>16.11</c:v>
                </c:pt>
                <c:pt idx="380">
                  <c:v>16.329999999999998</c:v>
                </c:pt>
                <c:pt idx="381">
                  <c:v>11.74</c:v>
                </c:pt>
                <c:pt idx="382">
                  <c:v>17.23</c:v>
                </c:pt>
                <c:pt idx="383">
                  <c:v>17.55</c:v>
                </c:pt>
                <c:pt idx="384">
                  <c:v>15.53</c:v>
                </c:pt>
                <c:pt idx="385">
                  <c:v>15.81</c:v>
                </c:pt>
                <c:pt idx="386">
                  <c:v>15.88</c:v>
                </c:pt>
                <c:pt idx="387">
                  <c:v>18.239999999999998</c:v>
                </c:pt>
                <c:pt idx="388">
                  <c:v>18.55</c:v>
                </c:pt>
                <c:pt idx="389">
                  <c:v>20.25</c:v>
                </c:pt>
                <c:pt idx="390">
                  <c:v>16.39</c:v>
                </c:pt>
                <c:pt idx="391">
                  <c:v>19.95</c:v>
                </c:pt>
                <c:pt idx="392">
                  <c:v>15.82</c:v>
                </c:pt>
                <c:pt idx="393">
                  <c:v>15.84</c:v>
                </c:pt>
                <c:pt idx="394">
                  <c:v>15.36</c:v>
                </c:pt>
                <c:pt idx="396">
                  <c:v>16.87</c:v>
                </c:pt>
                <c:pt idx="397">
                  <c:v>17.13</c:v>
                </c:pt>
                <c:pt idx="398">
                  <c:v>13.47</c:v>
                </c:pt>
                <c:pt idx="399">
                  <c:v>13.65</c:v>
                </c:pt>
                <c:pt idx="400">
                  <c:v>15.79</c:v>
                </c:pt>
                <c:pt idx="401">
                  <c:v>19.579999999999998</c:v>
                </c:pt>
                <c:pt idx="402">
                  <c:v>15.81</c:v>
                </c:pt>
                <c:pt idx="403">
                  <c:v>17.89</c:v>
                </c:pt>
                <c:pt idx="404">
                  <c:v>17.25</c:v>
                </c:pt>
                <c:pt idx="405">
                  <c:v>13.8</c:v>
                </c:pt>
                <c:pt idx="406">
                  <c:v>16.940000000000001</c:v>
                </c:pt>
                <c:pt idx="407">
                  <c:v>16.329999999999998</c:v>
                </c:pt>
                <c:pt idx="408">
                  <c:v>20.03</c:v>
                </c:pt>
                <c:pt idx="409">
                  <c:v>19.690000000000001</c:v>
                </c:pt>
                <c:pt idx="410">
                  <c:v>14.97</c:v>
                </c:pt>
                <c:pt idx="411">
                  <c:v>20.329999999999998</c:v>
                </c:pt>
                <c:pt idx="412">
                  <c:v>15.96</c:v>
                </c:pt>
                <c:pt idx="413">
                  <c:v>19.91</c:v>
                </c:pt>
                <c:pt idx="414">
                  <c:v>18.809999999999999</c:v>
                </c:pt>
                <c:pt idx="415">
                  <c:v>14.32</c:v>
                </c:pt>
                <c:pt idx="416">
                  <c:v>17.09</c:v>
                </c:pt>
                <c:pt idx="417">
                  <c:v>19.02</c:v>
                </c:pt>
                <c:pt idx="418">
                  <c:v>17.18</c:v>
                </c:pt>
                <c:pt idx="419">
                  <c:v>21.73</c:v>
                </c:pt>
                <c:pt idx="420">
                  <c:v>17.38</c:v>
                </c:pt>
                <c:pt idx="422">
                  <c:v>16.14</c:v>
                </c:pt>
                <c:pt idx="423">
                  <c:v>15.14</c:v>
                </c:pt>
                <c:pt idx="424">
                  <c:v>16.399999999999999</c:v>
                </c:pt>
                <c:pt idx="425">
                  <c:v>13.78</c:v>
                </c:pt>
                <c:pt idx="426">
                  <c:v>17.649999999999999</c:v>
                </c:pt>
                <c:pt idx="427">
                  <c:v>18.760000000000002</c:v>
                </c:pt>
                <c:pt idx="428">
                  <c:v>23.58</c:v>
                </c:pt>
                <c:pt idx="429">
                  <c:v>17.89</c:v>
                </c:pt>
                <c:pt idx="430">
                  <c:v>16.91</c:v>
                </c:pt>
                <c:pt idx="431">
                  <c:v>15.01</c:v>
                </c:pt>
                <c:pt idx="432">
                  <c:v>15.08</c:v>
                </c:pt>
                <c:pt idx="433">
                  <c:v>17.05</c:v>
                </c:pt>
                <c:pt idx="434">
                  <c:v>17.690000000000001</c:v>
                </c:pt>
                <c:pt idx="435">
                  <c:v>17.920000000000002</c:v>
                </c:pt>
                <c:pt idx="436">
                  <c:v>13.83</c:v>
                </c:pt>
                <c:pt idx="437">
                  <c:v>18.71</c:v>
                </c:pt>
                <c:pt idx="438">
                  <c:v>16.43</c:v>
                </c:pt>
                <c:pt idx="439">
                  <c:v>18.03</c:v>
                </c:pt>
                <c:pt idx="440">
                  <c:v>15.54</c:v>
                </c:pt>
                <c:pt idx="441">
                  <c:v>16.850000000000001</c:v>
                </c:pt>
                <c:pt idx="442">
                  <c:v>14.67</c:v>
                </c:pt>
                <c:pt idx="443">
                  <c:v>20.6</c:v>
                </c:pt>
                <c:pt idx="444">
                  <c:v>15.93</c:v>
                </c:pt>
                <c:pt idx="445">
                  <c:v>17.82</c:v>
                </c:pt>
                <c:pt idx="446">
                  <c:v>18.36</c:v>
                </c:pt>
                <c:pt idx="447">
                  <c:v>17.62</c:v>
                </c:pt>
                <c:pt idx="448">
                  <c:v>16.239999999999998</c:v>
                </c:pt>
                <c:pt idx="449">
                  <c:v>12.59</c:v>
                </c:pt>
                <c:pt idx="450">
                  <c:v>14.08</c:v>
                </c:pt>
                <c:pt idx="452">
                  <c:v>14.92</c:v>
                </c:pt>
                <c:pt idx="453">
                  <c:v>13.44</c:v>
                </c:pt>
                <c:pt idx="454">
                  <c:v>18.62</c:v>
                </c:pt>
                <c:pt idx="455">
                  <c:v>15.87</c:v>
                </c:pt>
                <c:pt idx="456">
                  <c:v>13.3</c:v>
                </c:pt>
                <c:pt idx="457">
                  <c:v>17.7</c:v>
                </c:pt>
                <c:pt idx="458">
                  <c:v>15.07</c:v>
                </c:pt>
                <c:pt idx="459">
                  <c:v>12.16</c:v>
                </c:pt>
                <c:pt idx="460">
                  <c:v>15.36</c:v>
                </c:pt>
                <c:pt idx="461">
                  <c:v>15.59</c:v>
                </c:pt>
                <c:pt idx="462">
                  <c:v>18.36</c:v>
                </c:pt>
                <c:pt idx="463">
                  <c:v>18.420000000000002</c:v>
                </c:pt>
                <c:pt idx="464">
                  <c:v>20.309999999999999</c:v>
                </c:pt>
                <c:pt idx="466">
                  <c:v>19.79</c:v>
                </c:pt>
                <c:pt idx="467">
                  <c:v>18.79</c:v>
                </c:pt>
                <c:pt idx="468">
                  <c:v>12.87</c:v>
                </c:pt>
                <c:pt idx="469">
                  <c:v>16.61</c:v>
                </c:pt>
                <c:pt idx="470">
                  <c:v>17.39</c:v>
                </c:pt>
                <c:pt idx="471">
                  <c:v>17.05</c:v>
                </c:pt>
                <c:pt idx="472">
                  <c:v>13.27</c:v>
                </c:pt>
                <c:pt idx="473">
                  <c:v>17.899999999999999</c:v>
                </c:pt>
                <c:pt idx="474">
                  <c:v>13.26</c:v>
                </c:pt>
                <c:pt idx="475">
                  <c:v>17.829999999999998</c:v>
                </c:pt>
                <c:pt idx="476">
                  <c:v>17.329999999999998</c:v>
                </c:pt>
                <c:pt idx="477">
                  <c:v>20.69</c:v>
                </c:pt>
                <c:pt idx="478">
                  <c:v>16.53</c:v>
                </c:pt>
                <c:pt idx="479">
                  <c:v>12.46</c:v>
                </c:pt>
                <c:pt idx="480">
                  <c:v>15.69</c:v>
                </c:pt>
                <c:pt idx="481">
                  <c:v>17.399999999999999</c:v>
                </c:pt>
                <c:pt idx="482">
                  <c:v>18.77</c:v>
                </c:pt>
                <c:pt idx="483">
                  <c:v>15.87</c:v>
                </c:pt>
                <c:pt idx="484">
                  <c:v>16</c:v>
                </c:pt>
                <c:pt idx="485">
                  <c:v>11.25</c:v>
                </c:pt>
                <c:pt idx="486">
                  <c:v>13.66</c:v>
                </c:pt>
                <c:pt idx="487">
                  <c:v>14.21</c:v>
                </c:pt>
                <c:pt idx="488">
                  <c:v>16.559999999999999</c:v>
                </c:pt>
                <c:pt idx="490">
                  <c:v>19.39</c:v>
                </c:pt>
                <c:pt idx="491">
                  <c:v>17.149999999999999</c:v>
                </c:pt>
                <c:pt idx="492">
                  <c:v>16.79</c:v>
                </c:pt>
                <c:pt idx="493">
                  <c:v>12.18</c:v>
                </c:pt>
                <c:pt idx="494">
                  <c:v>19.54</c:v>
                </c:pt>
                <c:pt idx="495">
                  <c:v>15.41</c:v>
                </c:pt>
                <c:pt idx="496">
                  <c:v>20.11</c:v>
                </c:pt>
                <c:pt idx="497">
                  <c:v>14.73</c:v>
                </c:pt>
                <c:pt idx="498">
                  <c:v>19.43</c:v>
                </c:pt>
                <c:pt idx="499">
                  <c:v>17.63</c:v>
                </c:pt>
                <c:pt idx="500">
                  <c:v>17.53</c:v>
                </c:pt>
                <c:pt idx="501">
                  <c:v>14.95</c:v>
                </c:pt>
                <c:pt idx="502">
                  <c:v>18.899999999999999</c:v>
                </c:pt>
                <c:pt idx="503">
                  <c:v>13.74</c:v>
                </c:pt>
                <c:pt idx="504">
                  <c:v>20.41</c:v>
                </c:pt>
                <c:pt idx="505">
                  <c:v>16.329999999999998</c:v>
                </c:pt>
                <c:pt idx="506">
                  <c:v>15.49</c:v>
                </c:pt>
                <c:pt idx="507">
                  <c:v>14</c:v>
                </c:pt>
                <c:pt idx="508">
                  <c:v>13.37</c:v>
                </c:pt>
                <c:pt idx="509">
                  <c:v>16.45</c:v>
                </c:pt>
                <c:pt idx="510">
                  <c:v>15.19</c:v>
                </c:pt>
                <c:pt idx="511">
                  <c:v>17.7</c:v>
                </c:pt>
                <c:pt idx="512">
                  <c:v>20.6</c:v>
                </c:pt>
                <c:pt idx="513">
                  <c:v>21.27</c:v>
                </c:pt>
                <c:pt idx="514">
                  <c:v>16.34</c:v>
                </c:pt>
                <c:pt idx="515">
                  <c:v>16.28</c:v>
                </c:pt>
                <c:pt idx="516">
                  <c:v>13.78</c:v>
                </c:pt>
                <c:pt idx="517">
                  <c:v>17.829999999999998</c:v>
                </c:pt>
                <c:pt idx="518">
                  <c:v>16.829999999999998</c:v>
                </c:pt>
                <c:pt idx="519">
                  <c:v>13.66</c:v>
                </c:pt>
                <c:pt idx="520">
                  <c:v>19</c:v>
                </c:pt>
                <c:pt idx="521">
                  <c:v>15.67</c:v>
                </c:pt>
                <c:pt idx="522">
                  <c:v>16.100000000000001</c:v>
                </c:pt>
                <c:pt idx="523">
                  <c:v>18.37</c:v>
                </c:pt>
                <c:pt idx="524">
                  <c:v>20.059999999999999</c:v>
                </c:pt>
                <c:pt idx="525">
                  <c:v>17.62</c:v>
                </c:pt>
                <c:pt idx="526">
                  <c:v>14.22</c:v>
                </c:pt>
                <c:pt idx="527">
                  <c:v>14.4</c:v>
                </c:pt>
                <c:pt idx="528">
                  <c:v>15.64</c:v>
                </c:pt>
                <c:pt idx="529">
                  <c:v>14.09</c:v>
                </c:pt>
                <c:pt idx="530">
                  <c:v>19.82</c:v>
                </c:pt>
                <c:pt idx="531">
                  <c:v>16.670000000000002</c:v>
                </c:pt>
                <c:pt idx="532">
                  <c:v>16.309999999999999</c:v>
                </c:pt>
                <c:pt idx="533">
                  <c:v>17.28</c:v>
                </c:pt>
                <c:pt idx="534">
                  <c:v>13.54</c:v>
                </c:pt>
                <c:pt idx="536">
                  <c:v>19.739999999999998</c:v>
                </c:pt>
                <c:pt idx="537">
                  <c:v>14.4</c:v>
                </c:pt>
                <c:pt idx="538">
                  <c:v>16.64</c:v>
                </c:pt>
                <c:pt idx="539">
                  <c:v>16.57</c:v>
                </c:pt>
                <c:pt idx="540">
                  <c:v>14.11</c:v>
                </c:pt>
                <c:pt idx="541">
                  <c:v>19.12</c:v>
                </c:pt>
                <c:pt idx="542">
                  <c:v>18.02</c:v>
                </c:pt>
                <c:pt idx="543">
                  <c:v>15.04</c:v>
                </c:pt>
                <c:pt idx="544">
                  <c:v>17.8</c:v>
                </c:pt>
                <c:pt idx="545">
                  <c:v>20</c:v>
                </c:pt>
                <c:pt idx="546">
                  <c:v>18.62</c:v>
                </c:pt>
                <c:pt idx="547">
                  <c:v>17.77</c:v>
                </c:pt>
                <c:pt idx="548">
                  <c:v>14.43</c:v>
                </c:pt>
                <c:pt idx="549">
                  <c:v>15.96</c:v>
                </c:pt>
                <c:pt idx="550">
                  <c:v>14.62</c:v>
                </c:pt>
                <c:pt idx="551">
                  <c:v>18.149999999999999</c:v>
                </c:pt>
                <c:pt idx="552">
                  <c:v>14</c:v>
                </c:pt>
                <c:pt idx="553">
                  <c:v>19</c:v>
                </c:pt>
                <c:pt idx="554">
                  <c:v>18.84</c:v>
                </c:pt>
                <c:pt idx="555">
                  <c:v>14.45</c:v>
                </c:pt>
                <c:pt idx="556">
                  <c:v>18.760000000000002</c:v>
                </c:pt>
                <c:pt idx="557">
                  <c:v>15.26</c:v>
                </c:pt>
                <c:pt idx="558">
                  <c:v>15.38</c:v>
                </c:pt>
                <c:pt idx="559">
                  <c:v>12.99</c:v>
                </c:pt>
                <c:pt idx="560">
                  <c:v>12.98</c:v>
                </c:pt>
                <c:pt idx="561">
                  <c:v>21.69</c:v>
                </c:pt>
                <c:pt idx="562">
                  <c:v>20.58</c:v>
                </c:pt>
                <c:pt idx="563">
                  <c:v>18.79</c:v>
                </c:pt>
                <c:pt idx="564">
                  <c:v>13.59</c:v>
                </c:pt>
                <c:pt idx="565">
                  <c:v>19.440000000000001</c:v>
                </c:pt>
                <c:pt idx="566">
                  <c:v>18.41</c:v>
                </c:pt>
                <c:pt idx="567">
                  <c:v>15.99</c:v>
                </c:pt>
                <c:pt idx="569">
                  <c:v>16.010000000000002</c:v>
                </c:pt>
                <c:pt idx="570">
                  <c:v>18.649999999999999</c:v>
                </c:pt>
                <c:pt idx="571">
                  <c:v>13.77</c:v>
                </c:pt>
                <c:pt idx="572">
                  <c:v>16</c:v>
                </c:pt>
                <c:pt idx="573">
                  <c:v>17.989999999999998</c:v>
                </c:pt>
                <c:pt idx="574">
                  <c:v>16.559999999999999</c:v>
                </c:pt>
                <c:pt idx="575">
                  <c:v>23.88</c:v>
                </c:pt>
                <c:pt idx="576">
                  <c:v>16.850000000000001</c:v>
                </c:pt>
                <c:pt idx="577">
                  <c:v>12.74</c:v>
                </c:pt>
                <c:pt idx="578">
                  <c:v>14.49</c:v>
                </c:pt>
                <c:pt idx="579">
                  <c:v>19.059999999999999</c:v>
                </c:pt>
                <c:pt idx="580">
                  <c:v>16.32</c:v>
                </c:pt>
                <c:pt idx="581">
                  <c:v>14.25</c:v>
                </c:pt>
                <c:pt idx="582">
                  <c:v>16.649999999999999</c:v>
                </c:pt>
                <c:pt idx="583">
                  <c:v>15.34</c:v>
                </c:pt>
                <c:pt idx="584">
                  <c:v>15.7</c:v>
                </c:pt>
                <c:pt idx="585">
                  <c:v>16.78</c:v>
                </c:pt>
                <c:pt idx="587">
                  <c:v>17.68</c:v>
                </c:pt>
                <c:pt idx="588">
                  <c:v>15.84</c:v>
                </c:pt>
                <c:pt idx="589">
                  <c:v>16.88</c:v>
                </c:pt>
                <c:pt idx="590">
                  <c:v>21.04</c:v>
                </c:pt>
                <c:pt idx="591">
                  <c:v>19.16</c:v>
                </c:pt>
                <c:pt idx="592">
                  <c:v>17.87</c:v>
                </c:pt>
                <c:pt idx="593">
                  <c:v>14.75</c:v>
                </c:pt>
                <c:pt idx="594">
                  <c:v>17.93</c:v>
                </c:pt>
                <c:pt idx="595">
                  <c:v>14.4</c:v>
                </c:pt>
                <c:pt idx="596">
                  <c:v>17.88</c:v>
                </c:pt>
                <c:pt idx="597">
                  <c:v>13.95</c:v>
                </c:pt>
                <c:pt idx="598">
                  <c:v>14.16</c:v>
                </c:pt>
                <c:pt idx="599">
                  <c:v>16.88</c:v>
                </c:pt>
                <c:pt idx="600">
                  <c:v>16.41</c:v>
                </c:pt>
                <c:pt idx="601">
                  <c:v>15.88</c:v>
                </c:pt>
                <c:pt idx="602">
                  <c:v>15.91</c:v>
                </c:pt>
                <c:pt idx="603">
                  <c:v>16.52</c:v>
                </c:pt>
                <c:pt idx="604">
                  <c:v>16.940000000000001</c:v>
                </c:pt>
                <c:pt idx="605">
                  <c:v>23.51</c:v>
                </c:pt>
                <c:pt idx="606">
                  <c:v>13.6</c:v>
                </c:pt>
                <c:pt idx="607">
                  <c:v>17.63</c:v>
                </c:pt>
                <c:pt idx="608">
                  <c:v>14.4</c:v>
                </c:pt>
                <c:pt idx="609">
                  <c:v>18.12</c:v>
                </c:pt>
                <c:pt idx="610">
                  <c:v>17.600000000000001</c:v>
                </c:pt>
                <c:pt idx="611">
                  <c:v>17.89</c:v>
                </c:pt>
                <c:pt idx="612">
                  <c:v>19.53</c:v>
                </c:pt>
                <c:pt idx="613">
                  <c:v>20.12</c:v>
                </c:pt>
                <c:pt idx="614">
                  <c:v>19.84</c:v>
                </c:pt>
                <c:pt idx="615">
                  <c:v>15.36</c:v>
                </c:pt>
                <c:pt idx="616">
                  <c:v>12.07</c:v>
                </c:pt>
                <c:pt idx="617">
                  <c:v>12.27</c:v>
                </c:pt>
                <c:pt idx="618">
                  <c:v>13.16</c:v>
                </c:pt>
                <c:pt idx="619">
                  <c:v>16.52</c:v>
                </c:pt>
                <c:pt idx="620">
                  <c:v>16.32</c:v>
                </c:pt>
                <c:pt idx="621">
                  <c:v>15.48</c:v>
                </c:pt>
                <c:pt idx="622">
                  <c:v>17.170000000000002</c:v>
                </c:pt>
                <c:pt idx="623">
                  <c:v>13.35</c:v>
                </c:pt>
                <c:pt idx="624">
                  <c:v>19.53</c:v>
                </c:pt>
                <c:pt idx="625">
                  <c:v>17.329999999999998</c:v>
                </c:pt>
                <c:pt idx="626">
                  <c:v>16.18</c:v>
                </c:pt>
                <c:pt idx="627">
                  <c:v>20.82</c:v>
                </c:pt>
                <c:pt idx="628">
                  <c:v>20.63</c:v>
                </c:pt>
                <c:pt idx="629">
                  <c:v>15.81</c:v>
                </c:pt>
                <c:pt idx="630">
                  <c:v>13.92</c:v>
                </c:pt>
                <c:pt idx="631">
                  <c:v>14.99</c:v>
                </c:pt>
                <c:pt idx="632">
                  <c:v>15.2</c:v>
                </c:pt>
                <c:pt idx="633">
                  <c:v>17.46</c:v>
                </c:pt>
                <c:pt idx="634">
                  <c:v>15.3</c:v>
                </c:pt>
                <c:pt idx="635">
                  <c:v>17.170000000000002</c:v>
                </c:pt>
                <c:pt idx="636">
                  <c:v>19.010000000000002</c:v>
                </c:pt>
                <c:pt idx="637">
                  <c:v>16.52</c:v>
                </c:pt>
                <c:pt idx="638">
                  <c:v>17.05</c:v>
                </c:pt>
                <c:pt idx="639">
                  <c:v>16.309999999999999</c:v>
                </c:pt>
                <c:pt idx="640">
                  <c:v>18.63</c:v>
                </c:pt>
                <c:pt idx="641">
                  <c:v>18.11</c:v>
                </c:pt>
                <c:pt idx="642">
                  <c:v>19</c:v>
                </c:pt>
                <c:pt idx="643">
                  <c:v>15.13</c:v>
                </c:pt>
                <c:pt idx="644">
                  <c:v>16.59</c:v>
                </c:pt>
                <c:pt idx="645">
                  <c:v>13.4</c:v>
                </c:pt>
                <c:pt idx="646">
                  <c:v>15.23</c:v>
                </c:pt>
                <c:pt idx="647">
                  <c:v>16.91</c:v>
                </c:pt>
                <c:pt idx="648">
                  <c:v>15.29</c:v>
                </c:pt>
                <c:pt idx="649">
                  <c:v>18.91</c:v>
                </c:pt>
                <c:pt idx="650">
                  <c:v>15.37</c:v>
                </c:pt>
                <c:pt idx="651">
                  <c:v>17.71</c:v>
                </c:pt>
                <c:pt idx="652">
                  <c:v>17.649999999999999</c:v>
                </c:pt>
                <c:pt idx="653">
                  <c:v>11.61</c:v>
                </c:pt>
                <c:pt idx="655">
                  <c:v>21.74</c:v>
                </c:pt>
                <c:pt idx="656">
                  <c:v>18.29</c:v>
                </c:pt>
                <c:pt idx="657">
                  <c:v>17.260000000000002</c:v>
                </c:pt>
                <c:pt idx="658">
                  <c:v>15.52</c:v>
                </c:pt>
                <c:pt idx="659">
                  <c:v>16.87</c:v>
                </c:pt>
                <c:pt idx="660">
                  <c:v>17.77</c:v>
                </c:pt>
                <c:pt idx="661">
                  <c:v>14.12</c:v>
                </c:pt>
                <c:pt idx="662">
                  <c:v>19.66</c:v>
                </c:pt>
                <c:pt idx="663">
                  <c:v>17.52</c:v>
                </c:pt>
                <c:pt idx="664">
                  <c:v>14.69</c:v>
                </c:pt>
                <c:pt idx="665">
                  <c:v>14.16</c:v>
                </c:pt>
                <c:pt idx="666">
                  <c:v>17.34</c:v>
                </c:pt>
                <c:pt idx="667">
                  <c:v>15.08</c:v>
                </c:pt>
                <c:pt idx="668">
                  <c:v>17.86</c:v>
                </c:pt>
                <c:pt idx="669">
                  <c:v>14.21</c:v>
                </c:pt>
                <c:pt idx="670">
                  <c:v>19.29</c:v>
                </c:pt>
                <c:pt idx="671">
                  <c:v>12.59</c:v>
                </c:pt>
                <c:pt idx="672">
                  <c:v>18.23</c:v>
                </c:pt>
                <c:pt idx="673">
                  <c:v>15.15</c:v>
                </c:pt>
                <c:pt idx="674">
                  <c:v>16.670000000000002</c:v>
                </c:pt>
                <c:pt idx="675">
                  <c:v>16.39</c:v>
                </c:pt>
                <c:pt idx="676">
                  <c:v>18.14</c:v>
                </c:pt>
                <c:pt idx="677">
                  <c:v>17.14</c:v>
                </c:pt>
                <c:pt idx="678">
                  <c:v>15.57</c:v>
                </c:pt>
                <c:pt idx="679">
                  <c:v>15.97</c:v>
                </c:pt>
                <c:pt idx="680">
                  <c:v>16.510000000000002</c:v>
                </c:pt>
                <c:pt idx="681">
                  <c:v>16.600000000000001</c:v>
                </c:pt>
                <c:pt idx="682">
                  <c:v>16.350000000000001</c:v>
                </c:pt>
                <c:pt idx="685">
                  <c:v>19.45</c:v>
                </c:pt>
                <c:pt idx="686">
                  <c:v>13.12</c:v>
                </c:pt>
                <c:pt idx="687">
                  <c:v>12.04</c:v>
                </c:pt>
                <c:pt idx="688">
                  <c:v>18.78</c:v>
                </c:pt>
                <c:pt idx="690">
                  <c:v>13.85</c:v>
                </c:pt>
                <c:pt idx="691">
                  <c:v>14.19</c:v>
                </c:pt>
                <c:pt idx="692">
                  <c:v>16.68</c:v>
                </c:pt>
                <c:pt idx="694">
                  <c:v>20.28</c:v>
                </c:pt>
                <c:pt idx="695">
                  <c:v>13.98</c:v>
                </c:pt>
                <c:pt idx="696">
                  <c:v>16.079999999999998</c:v>
                </c:pt>
                <c:pt idx="697">
                  <c:v>18.87</c:v>
                </c:pt>
                <c:pt idx="698">
                  <c:v>16.2</c:v>
                </c:pt>
                <c:pt idx="699">
                  <c:v>18.489999999999998</c:v>
                </c:pt>
                <c:pt idx="700">
                  <c:v>20.73</c:v>
                </c:pt>
                <c:pt idx="701">
                  <c:v>14.21</c:v>
                </c:pt>
                <c:pt idx="702">
                  <c:v>17.43</c:v>
                </c:pt>
                <c:pt idx="703">
                  <c:v>13.45</c:v>
                </c:pt>
                <c:pt idx="704">
                  <c:v>14.27</c:v>
                </c:pt>
                <c:pt idx="705">
                  <c:v>12.1</c:v>
                </c:pt>
                <c:pt idx="706">
                  <c:v>16.71</c:v>
                </c:pt>
                <c:pt idx="707">
                  <c:v>17.18</c:v>
                </c:pt>
                <c:pt idx="708">
                  <c:v>14.66</c:v>
                </c:pt>
                <c:pt idx="709">
                  <c:v>13.56</c:v>
                </c:pt>
                <c:pt idx="710">
                  <c:v>13.72</c:v>
                </c:pt>
                <c:pt idx="712">
                  <c:v>16.690000000000001</c:v>
                </c:pt>
                <c:pt idx="713">
                  <c:v>19.61</c:v>
                </c:pt>
                <c:pt idx="714">
                  <c:v>16.32</c:v>
                </c:pt>
                <c:pt idx="715">
                  <c:v>13.76</c:v>
                </c:pt>
                <c:pt idx="716">
                  <c:v>19</c:v>
                </c:pt>
                <c:pt idx="717">
                  <c:v>21.58</c:v>
                </c:pt>
                <c:pt idx="718">
                  <c:v>21.06</c:v>
                </c:pt>
                <c:pt idx="719">
                  <c:v>20.440000000000001</c:v>
                </c:pt>
                <c:pt idx="720">
                  <c:v>18.96</c:v>
                </c:pt>
                <c:pt idx="721">
                  <c:v>16.09</c:v>
                </c:pt>
                <c:pt idx="722">
                  <c:v>21.88</c:v>
                </c:pt>
                <c:pt idx="723">
                  <c:v>19.73</c:v>
                </c:pt>
                <c:pt idx="724">
                  <c:v>12.75</c:v>
                </c:pt>
                <c:pt idx="725">
                  <c:v>17.21</c:v>
                </c:pt>
                <c:pt idx="726">
                  <c:v>16.66</c:v>
                </c:pt>
                <c:pt idx="727">
                  <c:v>16.940000000000001</c:v>
                </c:pt>
                <c:pt idx="728">
                  <c:v>21.77</c:v>
                </c:pt>
                <c:pt idx="729">
                  <c:v>19.059999999999999</c:v>
                </c:pt>
                <c:pt idx="730">
                  <c:v>15.2</c:v>
                </c:pt>
                <c:pt idx="731">
                  <c:v>16.7</c:v>
                </c:pt>
                <c:pt idx="732">
                  <c:v>17.25</c:v>
                </c:pt>
                <c:pt idx="733">
                  <c:v>21.83</c:v>
                </c:pt>
                <c:pt idx="734">
                  <c:v>14.18</c:v>
                </c:pt>
                <c:pt idx="735">
                  <c:v>15.61</c:v>
                </c:pt>
                <c:pt idx="736">
                  <c:v>18.5</c:v>
                </c:pt>
                <c:pt idx="737">
                  <c:v>15.52</c:v>
                </c:pt>
                <c:pt idx="738">
                  <c:v>15.45</c:v>
                </c:pt>
                <c:pt idx="739">
                  <c:v>21.19</c:v>
                </c:pt>
                <c:pt idx="740">
                  <c:v>16.559999999999999</c:v>
                </c:pt>
                <c:pt idx="741">
                  <c:v>18.010000000000002</c:v>
                </c:pt>
                <c:pt idx="742">
                  <c:v>19.440000000000001</c:v>
                </c:pt>
                <c:pt idx="744">
                  <c:v>15</c:v>
                </c:pt>
                <c:pt idx="745">
                  <c:v>16.920000000000002</c:v>
                </c:pt>
                <c:pt idx="747">
                  <c:v>14.94</c:v>
                </c:pt>
                <c:pt idx="748">
                  <c:v>15.59</c:v>
                </c:pt>
                <c:pt idx="749">
                  <c:v>15.59</c:v>
                </c:pt>
                <c:pt idx="750">
                  <c:v>13.56</c:v>
                </c:pt>
                <c:pt idx="751">
                  <c:v>17.059999999999999</c:v>
                </c:pt>
                <c:pt idx="752">
                  <c:v>16.97</c:v>
                </c:pt>
                <c:pt idx="753">
                  <c:v>15.93</c:v>
                </c:pt>
                <c:pt idx="754">
                  <c:v>14.08</c:v>
                </c:pt>
                <c:pt idx="755">
                  <c:v>19.170000000000002</c:v>
                </c:pt>
                <c:pt idx="756">
                  <c:v>19.29</c:v>
                </c:pt>
                <c:pt idx="757">
                  <c:v>17.059999999999999</c:v>
                </c:pt>
                <c:pt idx="758">
                  <c:v>17.22</c:v>
                </c:pt>
                <c:pt idx="759">
                  <c:v>15.4</c:v>
                </c:pt>
                <c:pt idx="760">
                  <c:v>20.68</c:v>
                </c:pt>
                <c:pt idx="761">
                  <c:v>12.76</c:v>
                </c:pt>
                <c:pt idx="762">
                  <c:v>16.190000000000001</c:v>
                </c:pt>
                <c:pt idx="763">
                  <c:v>17.87</c:v>
                </c:pt>
                <c:pt idx="764">
                  <c:v>17.079999999999998</c:v>
                </c:pt>
                <c:pt idx="765">
                  <c:v>14.5</c:v>
                </c:pt>
                <c:pt idx="767">
                  <c:v>12.86</c:v>
                </c:pt>
                <c:pt idx="768">
                  <c:v>15.87</c:v>
                </c:pt>
                <c:pt idx="769">
                  <c:v>15.45</c:v>
                </c:pt>
                <c:pt idx="770">
                  <c:v>14.16</c:v>
                </c:pt>
                <c:pt idx="771">
                  <c:v>16.27</c:v>
                </c:pt>
                <c:pt idx="772">
                  <c:v>20.14</c:v>
                </c:pt>
                <c:pt idx="775">
                  <c:v>15.83</c:v>
                </c:pt>
                <c:pt idx="776">
                  <c:v>17.95</c:v>
                </c:pt>
                <c:pt idx="777">
                  <c:v>19.82</c:v>
                </c:pt>
                <c:pt idx="778">
                  <c:v>14.51</c:v>
                </c:pt>
                <c:pt idx="779">
                  <c:v>19.510000000000002</c:v>
                </c:pt>
                <c:pt idx="780">
                  <c:v>16.66</c:v>
                </c:pt>
                <c:pt idx="781">
                  <c:v>16.89</c:v>
                </c:pt>
                <c:pt idx="782">
                  <c:v>16.52</c:v>
                </c:pt>
                <c:pt idx="783">
                  <c:v>17.63</c:v>
                </c:pt>
                <c:pt idx="784">
                  <c:v>17.559999999999999</c:v>
                </c:pt>
                <c:pt idx="785">
                  <c:v>18.27</c:v>
                </c:pt>
                <c:pt idx="787">
                  <c:v>15.28</c:v>
                </c:pt>
                <c:pt idx="788">
                  <c:v>13.78</c:v>
                </c:pt>
                <c:pt idx="790">
                  <c:v>16.91</c:v>
                </c:pt>
                <c:pt idx="791">
                  <c:v>19.940000000000001</c:v>
                </c:pt>
                <c:pt idx="792">
                  <c:v>13.53</c:v>
                </c:pt>
                <c:pt idx="793">
                  <c:v>18.98</c:v>
                </c:pt>
                <c:pt idx="794">
                  <c:v>17.22</c:v>
                </c:pt>
                <c:pt idx="795">
                  <c:v>15.31</c:v>
                </c:pt>
                <c:pt idx="796">
                  <c:v>18.23</c:v>
                </c:pt>
                <c:pt idx="797">
                  <c:v>14.08</c:v>
                </c:pt>
                <c:pt idx="798">
                  <c:v>19.27</c:v>
                </c:pt>
                <c:pt idx="799">
                  <c:v>17.64</c:v>
                </c:pt>
                <c:pt idx="800">
                  <c:v>14.22</c:v>
                </c:pt>
                <c:pt idx="801">
                  <c:v>21.08</c:v>
                </c:pt>
                <c:pt idx="802">
                  <c:v>17.63</c:v>
                </c:pt>
                <c:pt idx="803">
                  <c:v>20.02</c:v>
                </c:pt>
                <c:pt idx="804">
                  <c:v>16.66</c:v>
                </c:pt>
                <c:pt idx="806">
                  <c:v>16.41</c:v>
                </c:pt>
                <c:pt idx="807">
                  <c:v>17.95</c:v>
                </c:pt>
                <c:pt idx="808">
                  <c:v>17.16</c:v>
                </c:pt>
                <c:pt idx="809">
                  <c:v>14.17</c:v>
                </c:pt>
                <c:pt idx="810">
                  <c:v>15.15</c:v>
                </c:pt>
                <c:pt idx="811">
                  <c:v>15.98</c:v>
                </c:pt>
                <c:pt idx="812">
                  <c:v>12.6</c:v>
                </c:pt>
                <c:pt idx="813">
                  <c:v>21.08</c:v>
                </c:pt>
                <c:pt idx="814">
                  <c:v>17.03</c:v>
                </c:pt>
                <c:pt idx="815">
                  <c:v>15.33</c:v>
                </c:pt>
                <c:pt idx="816">
                  <c:v>18.309999999999999</c:v>
                </c:pt>
                <c:pt idx="817">
                  <c:v>14.97</c:v>
                </c:pt>
                <c:pt idx="819">
                  <c:v>17.98</c:v>
                </c:pt>
                <c:pt idx="820">
                  <c:v>20.09</c:v>
                </c:pt>
                <c:pt idx="821">
                  <c:v>19.309999999999999</c:v>
                </c:pt>
                <c:pt idx="822">
                  <c:v>17.62</c:v>
                </c:pt>
                <c:pt idx="823">
                  <c:v>18.600000000000001</c:v>
                </c:pt>
                <c:pt idx="824">
                  <c:v>17.14</c:v>
                </c:pt>
                <c:pt idx="825">
                  <c:v>17.34</c:v>
                </c:pt>
                <c:pt idx="826">
                  <c:v>15.43</c:v>
                </c:pt>
                <c:pt idx="827">
                  <c:v>14.59</c:v>
                </c:pt>
                <c:pt idx="828">
                  <c:v>16.899999999999999</c:v>
                </c:pt>
                <c:pt idx="829">
                  <c:v>21.44</c:v>
                </c:pt>
                <c:pt idx="830">
                  <c:v>16.46</c:v>
                </c:pt>
                <c:pt idx="831">
                  <c:v>20.61</c:v>
                </c:pt>
                <c:pt idx="832">
                  <c:v>15.03</c:v>
                </c:pt>
                <c:pt idx="833">
                  <c:v>14</c:v>
                </c:pt>
                <c:pt idx="834">
                  <c:v>21.59</c:v>
                </c:pt>
                <c:pt idx="835">
                  <c:v>16.25</c:v>
                </c:pt>
                <c:pt idx="836">
                  <c:v>19.25</c:v>
                </c:pt>
                <c:pt idx="837">
                  <c:v>14.02</c:v>
                </c:pt>
                <c:pt idx="838">
                  <c:v>12.14</c:v>
                </c:pt>
                <c:pt idx="839">
                  <c:v>15.66</c:v>
                </c:pt>
                <c:pt idx="840">
                  <c:v>14.16</c:v>
                </c:pt>
                <c:pt idx="841">
                  <c:v>16.71</c:v>
                </c:pt>
                <c:pt idx="842">
                  <c:v>12.98</c:v>
                </c:pt>
                <c:pt idx="843">
                  <c:v>16.02</c:v>
                </c:pt>
                <c:pt idx="844">
                  <c:v>20.66</c:v>
                </c:pt>
                <c:pt idx="845">
                  <c:v>12.95</c:v>
                </c:pt>
                <c:pt idx="846">
                  <c:v>18.239999999999998</c:v>
                </c:pt>
                <c:pt idx="847">
                  <c:v>17.739999999999998</c:v>
                </c:pt>
                <c:pt idx="848">
                  <c:v>18.78</c:v>
                </c:pt>
                <c:pt idx="850">
                  <c:v>18.09</c:v>
                </c:pt>
                <c:pt idx="851">
                  <c:v>18.23</c:v>
                </c:pt>
                <c:pt idx="852">
                  <c:v>17.440000000000001</c:v>
                </c:pt>
                <c:pt idx="853">
                  <c:v>13.48</c:v>
                </c:pt>
                <c:pt idx="854">
                  <c:v>16.66</c:v>
                </c:pt>
                <c:pt idx="855">
                  <c:v>20.059999999999999</c:v>
                </c:pt>
                <c:pt idx="856">
                  <c:v>12.31</c:v>
                </c:pt>
                <c:pt idx="857">
                  <c:v>14.44</c:v>
                </c:pt>
                <c:pt idx="858">
                  <c:v>13.72</c:v>
                </c:pt>
                <c:pt idx="860">
                  <c:v>18.75</c:v>
                </c:pt>
                <c:pt idx="861">
                  <c:v>22.74</c:v>
                </c:pt>
                <c:pt idx="862">
                  <c:v>19.34</c:v>
                </c:pt>
                <c:pt idx="863">
                  <c:v>17.82</c:v>
                </c:pt>
                <c:pt idx="864">
                  <c:v>12.66</c:v>
                </c:pt>
                <c:pt idx="865">
                  <c:v>13.99</c:v>
                </c:pt>
                <c:pt idx="867">
                  <c:v>14.29</c:v>
                </c:pt>
                <c:pt idx="868">
                  <c:v>15.92</c:v>
                </c:pt>
                <c:pt idx="869">
                  <c:v>21.89</c:v>
                </c:pt>
                <c:pt idx="870">
                  <c:v>14.92</c:v>
                </c:pt>
                <c:pt idx="871">
                  <c:v>11.69</c:v>
                </c:pt>
                <c:pt idx="872">
                  <c:v>17.78</c:v>
                </c:pt>
                <c:pt idx="874">
                  <c:v>14.53</c:v>
                </c:pt>
                <c:pt idx="876">
                  <c:v>11.3</c:v>
                </c:pt>
                <c:pt idx="877">
                  <c:v>17.07</c:v>
                </c:pt>
                <c:pt idx="878">
                  <c:v>13.15</c:v>
                </c:pt>
                <c:pt idx="879">
                  <c:v>13.82</c:v>
                </c:pt>
                <c:pt idx="880">
                  <c:v>14.91</c:v>
                </c:pt>
                <c:pt idx="881">
                  <c:v>16.11</c:v>
                </c:pt>
                <c:pt idx="882">
                  <c:v>17.41</c:v>
                </c:pt>
                <c:pt idx="884">
                  <c:v>15.1</c:v>
                </c:pt>
                <c:pt idx="885">
                  <c:v>14.6</c:v>
                </c:pt>
                <c:pt idx="886">
                  <c:v>15.25</c:v>
                </c:pt>
                <c:pt idx="887">
                  <c:v>20.010000000000002</c:v>
                </c:pt>
                <c:pt idx="888">
                  <c:v>13.54</c:v>
                </c:pt>
                <c:pt idx="889">
                  <c:v>15.21</c:v>
                </c:pt>
                <c:pt idx="890">
                  <c:v>16.62</c:v>
                </c:pt>
                <c:pt idx="891">
                  <c:v>14.93</c:v>
                </c:pt>
                <c:pt idx="892">
                  <c:v>18.62</c:v>
                </c:pt>
                <c:pt idx="893">
                  <c:v>15.04</c:v>
                </c:pt>
                <c:pt idx="894">
                  <c:v>18.29</c:v>
                </c:pt>
                <c:pt idx="895">
                  <c:v>15.94</c:v>
                </c:pt>
                <c:pt idx="896">
                  <c:v>18.75</c:v>
                </c:pt>
                <c:pt idx="897">
                  <c:v>15.17</c:v>
                </c:pt>
                <c:pt idx="898">
                  <c:v>13.52</c:v>
                </c:pt>
                <c:pt idx="899">
                  <c:v>21.78</c:v>
                </c:pt>
                <c:pt idx="900">
                  <c:v>16.04</c:v>
                </c:pt>
                <c:pt idx="901">
                  <c:v>17.98</c:v>
                </c:pt>
                <c:pt idx="902">
                  <c:v>15.41</c:v>
                </c:pt>
                <c:pt idx="903">
                  <c:v>16.579999999999998</c:v>
                </c:pt>
                <c:pt idx="904">
                  <c:v>15.94</c:v>
                </c:pt>
                <c:pt idx="905">
                  <c:v>19.13</c:v>
                </c:pt>
                <c:pt idx="906">
                  <c:v>21.76</c:v>
                </c:pt>
                <c:pt idx="907">
                  <c:v>15.9</c:v>
                </c:pt>
                <c:pt idx="908">
                  <c:v>17.8</c:v>
                </c:pt>
                <c:pt idx="909">
                  <c:v>16.13</c:v>
                </c:pt>
                <c:pt idx="910">
                  <c:v>18.940000000000001</c:v>
                </c:pt>
                <c:pt idx="911">
                  <c:v>13.89</c:v>
                </c:pt>
                <c:pt idx="912">
                  <c:v>14.41</c:v>
                </c:pt>
                <c:pt idx="913">
                  <c:v>19.79</c:v>
                </c:pt>
                <c:pt idx="914">
                  <c:v>15.45</c:v>
                </c:pt>
                <c:pt idx="915">
                  <c:v>18.399999999999999</c:v>
                </c:pt>
                <c:pt idx="916">
                  <c:v>13.54</c:v>
                </c:pt>
                <c:pt idx="917">
                  <c:v>15.06</c:v>
                </c:pt>
                <c:pt idx="918">
                  <c:v>15.89</c:v>
                </c:pt>
                <c:pt idx="919">
                  <c:v>17.920000000000002</c:v>
                </c:pt>
                <c:pt idx="920">
                  <c:v>17.420000000000002</c:v>
                </c:pt>
                <c:pt idx="921">
                  <c:v>16.97</c:v>
                </c:pt>
                <c:pt idx="922">
                  <c:v>16.329999999999998</c:v>
                </c:pt>
                <c:pt idx="923">
                  <c:v>17.809999999999999</c:v>
                </c:pt>
                <c:pt idx="924">
                  <c:v>20.87</c:v>
                </c:pt>
                <c:pt idx="925">
                  <c:v>18.239999999999998</c:v>
                </c:pt>
                <c:pt idx="926">
                  <c:v>16.23</c:v>
                </c:pt>
                <c:pt idx="927">
                  <c:v>15.29</c:v>
                </c:pt>
                <c:pt idx="928">
                  <c:v>18.63</c:v>
                </c:pt>
                <c:pt idx="929">
                  <c:v>16.53</c:v>
                </c:pt>
                <c:pt idx="930">
                  <c:v>19.100000000000001</c:v>
                </c:pt>
                <c:pt idx="931">
                  <c:v>18.16</c:v>
                </c:pt>
                <c:pt idx="932">
                  <c:v>15.03</c:v>
                </c:pt>
                <c:pt idx="933">
                  <c:v>16.28</c:v>
                </c:pt>
                <c:pt idx="934">
                  <c:v>13.08</c:v>
                </c:pt>
                <c:pt idx="935">
                  <c:v>19.57</c:v>
                </c:pt>
                <c:pt idx="936">
                  <c:v>17.600000000000001</c:v>
                </c:pt>
                <c:pt idx="937">
                  <c:v>17.100000000000001</c:v>
                </c:pt>
                <c:pt idx="938">
                  <c:v>19.13</c:v>
                </c:pt>
                <c:pt idx="939">
                  <c:v>19.559999999999999</c:v>
                </c:pt>
                <c:pt idx="940">
                  <c:v>18.48</c:v>
                </c:pt>
                <c:pt idx="941">
                  <c:v>17.25</c:v>
                </c:pt>
                <c:pt idx="942">
                  <c:v>16.86</c:v>
                </c:pt>
                <c:pt idx="943">
                  <c:v>20</c:v>
                </c:pt>
                <c:pt idx="944">
                  <c:v>12.03</c:v>
                </c:pt>
                <c:pt idx="945">
                  <c:v>20.02</c:v>
                </c:pt>
                <c:pt idx="946">
                  <c:v>15.52</c:v>
                </c:pt>
                <c:pt idx="947">
                  <c:v>16.559999999999999</c:v>
                </c:pt>
                <c:pt idx="948">
                  <c:v>11.7</c:v>
                </c:pt>
                <c:pt idx="949">
                  <c:v>13.21</c:v>
                </c:pt>
                <c:pt idx="950">
                  <c:v>15.71</c:v>
                </c:pt>
                <c:pt idx="951">
                  <c:v>16.809999999999999</c:v>
                </c:pt>
                <c:pt idx="952">
                  <c:v>16.399999999999999</c:v>
                </c:pt>
                <c:pt idx="953">
                  <c:v>16.29</c:v>
                </c:pt>
                <c:pt idx="954">
                  <c:v>13.26</c:v>
                </c:pt>
                <c:pt idx="955">
                  <c:v>15.27</c:v>
                </c:pt>
                <c:pt idx="956">
                  <c:v>19.16</c:v>
                </c:pt>
                <c:pt idx="957">
                  <c:v>12.24</c:v>
                </c:pt>
                <c:pt idx="958">
                  <c:v>19.309999999999999</c:v>
                </c:pt>
                <c:pt idx="959">
                  <c:v>15.79</c:v>
                </c:pt>
                <c:pt idx="960">
                  <c:v>12.38</c:v>
                </c:pt>
                <c:pt idx="961">
                  <c:v>17.98</c:v>
                </c:pt>
                <c:pt idx="962">
                  <c:v>17.64</c:v>
                </c:pt>
                <c:pt idx="963">
                  <c:v>18.899999999999999</c:v>
                </c:pt>
                <c:pt idx="964">
                  <c:v>15.19</c:v>
                </c:pt>
                <c:pt idx="965">
                  <c:v>18.02</c:v>
                </c:pt>
                <c:pt idx="966">
                  <c:v>16.170000000000002</c:v>
                </c:pt>
                <c:pt idx="967">
                  <c:v>10.86</c:v>
                </c:pt>
                <c:pt idx="968">
                  <c:v>17.29</c:v>
                </c:pt>
                <c:pt idx="969">
                  <c:v>13.88</c:v>
                </c:pt>
                <c:pt idx="970">
                  <c:v>17.16</c:v>
                </c:pt>
                <c:pt idx="971">
                  <c:v>17.260000000000002</c:v>
                </c:pt>
                <c:pt idx="972">
                  <c:v>19.649999999999999</c:v>
                </c:pt>
                <c:pt idx="973">
                  <c:v>15.86</c:v>
                </c:pt>
                <c:pt idx="974">
                  <c:v>16.87</c:v>
                </c:pt>
                <c:pt idx="975">
                  <c:v>14.39</c:v>
                </c:pt>
                <c:pt idx="976">
                  <c:v>16.399999999999999</c:v>
                </c:pt>
                <c:pt idx="977">
                  <c:v>15.72</c:v>
                </c:pt>
                <c:pt idx="978">
                  <c:v>18.43</c:v>
                </c:pt>
                <c:pt idx="979">
                  <c:v>17.809999999999999</c:v>
                </c:pt>
                <c:pt idx="980">
                  <c:v>11.25</c:v>
                </c:pt>
                <c:pt idx="981">
                  <c:v>15.2</c:v>
                </c:pt>
                <c:pt idx="982">
                  <c:v>14.16</c:v>
                </c:pt>
                <c:pt idx="983">
                  <c:v>20.46</c:v>
                </c:pt>
                <c:pt idx="984">
                  <c:v>20.14</c:v>
                </c:pt>
                <c:pt idx="986">
                  <c:v>20.81</c:v>
                </c:pt>
                <c:pt idx="987">
                  <c:v>19.905000000000001</c:v>
                </c:pt>
                <c:pt idx="988">
                  <c:v>19.484000000000002</c:v>
                </c:pt>
                <c:pt idx="989">
                  <c:v>22.34</c:v>
                </c:pt>
                <c:pt idx="990">
                  <c:v>16.43</c:v>
                </c:pt>
                <c:pt idx="991">
                  <c:v>13.292999999999999</c:v>
                </c:pt>
                <c:pt idx="992">
                  <c:v>18.062999999999999</c:v>
                </c:pt>
                <c:pt idx="993">
                  <c:v>18.059999999999999</c:v>
                </c:pt>
                <c:pt idx="995">
                  <c:v>17.908000000000001</c:v>
                </c:pt>
                <c:pt idx="996">
                  <c:v>19.21</c:v>
                </c:pt>
                <c:pt idx="997">
                  <c:v>19.475999999999999</c:v>
                </c:pt>
                <c:pt idx="998">
                  <c:v>20.521000000000001</c:v>
                </c:pt>
                <c:pt idx="999">
                  <c:v>16.853000000000002</c:v>
                </c:pt>
                <c:pt idx="1000">
                  <c:v>22.45</c:v>
                </c:pt>
                <c:pt idx="1001">
                  <c:v>21.032</c:v>
                </c:pt>
                <c:pt idx="1002">
                  <c:v>14.606</c:v>
                </c:pt>
                <c:pt idx="1003">
                  <c:v>14.957000000000001</c:v>
                </c:pt>
                <c:pt idx="1004">
                  <c:v>20.295000000000002</c:v>
                </c:pt>
                <c:pt idx="1005">
                  <c:v>14.246</c:v>
                </c:pt>
                <c:pt idx="1006">
                  <c:v>16.233000000000001</c:v>
                </c:pt>
                <c:pt idx="1007">
                  <c:v>16.587</c:v>
                </c:pt>
                <c:pt idx="1008">
                  <c:v>19.353999999999999</c:v>
                </c:pt>
                <c:pt idx="1009">
                  <c:v>13.007999999999999</c:v>
                </c:pt>
                <c:pt idx="1010">
                  <c:v>17.323</c:v>
                </c:pt>
                <c:pt idx="1011">
                  <c:v>15.766</c:v>
                </c:pt>
                <c:pt idx="1012">
                  <c:v>14.471</c:v>
                </c:pt>
                <c:pt idx="1013">
                  <c:v>18.157</c:v>
                </c:pt>
                <c:pt idx="1014">
                  <c:v>18.443999999999999</c:v>
                </c:pt>
                <c:pt idx="1015">
                  <c:v>16.059000000000001</c:v>
                </c:pt>
                <c:pt idx="1016">
                  <c:v>20.542000000000002</c:v>
                </c:pt>
                <c:pt idx="1017">
                  <c:v>17.582999999999998</c:v>
                </c:pt>
                <c:pt idx="1018">
                  <c:v>19.257000000000001</c:v>
                </c:pt>
                <c:pt idx="1019">
                  <c:v>19.591000000000001</c:v>
                </c:pt>
                <c:pt idx="1020">
                  <c:v>20.638999999999999</c:v>
                </c:pt>
                <c:pt idx="1021">
                  <c:v>17.978000000000002</c:v>
                </c:pt>
                <c:pt idx="1022">
                  <c:v>16.792000000000002</c:v>
                </c:pt>
                <c:pt idx="1023">
                  <c:v>18.791</c:v>
                </c:pt>
                <c:pt idx="1024">
                  <c:v>15.666</c:v>
                </c:pt>
                <c:pt idx="1025">
                  <c:v>17.228999999999999</c:v>
                </c:pt>
                <c:pt idx="1026">
                  <c:v>17.154</c:v>
                </c:pt>
                <c:pt idx="1027">
                  <c:v>16.236000000000001</c:v>
                </c:pt>
                <c:pt idx="1028">
                  <c:v>16.872</c:v>
                </c:pt>
                <c:pt idx="1029">
                  <c:v>20.343</c:v>
                </c:pt>
                <c:pt idx="1030">
                  <c:v>17.975000000000001</c:v>
                </c:pt>
                <c:pt idx="1031">
                  <c:v>17.690999999999999</c:v>
                </c:pt>
                <c:pt idx="1032">
                  <c:v>19.745999999999999</c:v>
                </c:pt>
                <c:pt idx="1034">
                  <c:v>17.571000000000002</c:v>
                </c:pt>
                <c:pt idx="1035">
                  <c:v>20.491</c:v>
                </c:pt>
                <c:pt idx="1036">
                  <c:v>17.571000000000002</c:v>
                </c:pt>
                <c:pt idx="1037">
                  <c:v>18.213999999999999</c:v>
                </c:pt>
                <c:pt idx="1038">
                  <c:v>15.33</c:v>
                </c:pt>
                <c:pt idx="1039">
                  <c:v>16.72</c:v>
                </c:pt>
                <c:pt idx="1040">
                  <c:v>18.940999999999999</c:v>
                </c:pt>
                <c:pt idx="1041">
                  <c:v>16.841999999999999</c:v>
                </c:pt>
                <c:pt idx="1042">
                  <c:v>13.117000000000001</c:v>
                </c:pt>
                <c:pt idx="1043">
                  <c:v>10.89</c:v>
                </c:pt>
                <c:pt idx="1044">
                  <c:v>13.047000000000001</c:v>
                </c:pt>
                <c:pt idx="1045">
                  <c:v>15.867000000000001</c:v>
                </c:pt>
                <c:pt idx="1046">
                  <c:v>16.678000000000001</c:v>
                </c:pt>
                <c:pt idx="1047">
                  <c:v>17.638999999999999</c:v>
                </c:pt>
                <c:pt idx="1048">
                  <c:v>14.762</c:v>
                </c:pt>
                <c:pt idx="1049">
                  <c:v>15.749000000000001</c:v>
                </c:pt>
                <c:pt idx="1050">
                  <c:v>14.371</c:v>
                </c:pt>
                <c:pt idx="1051">
                  <c:v>21.318999999999999</c:v>
                </c:pt>
                <c:pt idx="1052">
                  <c:v>23.204000000000001</c:v>
                </c:pt>
                <c:pt idx="1054">
                  <c:v>17.606000000000002</c:v>
                </c:pt>
                <c:pt idx="1055">
                  <c:v>15.057</c:v>
                </c:pt>
                <c:pt idx="1056">
                  <c:v>16.606999999999999</c:v>
                </c:pt>
                <c:pt idx="1057">
                  <c:v>19.247</c:v>
                </c:pt>
                <c:pt idx="1058">
                  <c:v>20.228999999999999</c:v>
                </c:pt>
                <c:pt idx="1059">
                  <c:v>19.459</c:v>
                </c:pt>
                <c:pt idx="1060">
                  <c:v>20.734999999999999</c:v>
                </c:pt>
                <c:pt idx="1061">
                  <c:v>16.425000000000001</c:v>
                </c:pt>
                <c:pt idx="1062">
                  <c:v>19.62</c:v>
                </c:pt>
                <c:pt idx="1063">
                  <c:v>22.97</c:v>
                </c:pt>
                <c:pt idx="1064">
                  <c:v>21.390999999999998</c:v>
                </c:pt>
                <c:pt idx="1065">
                  <c:v>18.292999999999999</c:v>
                </c:pt>
                <c:pt idx="1066">
                  <c:v>20.667999999999999</c:v>
                </c:pt>
                <c:pt idx="1067">
                  <c:v>16.111999999999998</c:v>
                </c:pt>
                <c:pt idx="1068">
                  <c:v>18.044</c:v>
                </c:pt>
                <c:pt idx="1069">
                  <c:v>14.395</c:v>
                </c:pt>
                <c:pt idx="1070">
                  <c:v>15.58</c:v>
                </c:pt>
                <c:pt idx="1071">
                  <c:v>15.425000000000001</c:v>
                </c:pt>
                <c:pt idx="1072">
                  <c:v>12.558</c:v>
                </c:pt>
                <c:pt idx="1073">
                  <c:v>15.006</c:v>
                </c:pt>
                <c:pt idx="1074">
                  <c:v>13.842000000000001</c:v>
                </c:pt>
                <c:pt idx="1075">
                  <c:v>17.867000000000001</c:v>
                </c:pt>
                <c:pt idx="1076">
                  <c:v>21.763999999999999</c:v>
                </c:pt>
                <c:pt idx="1077">
                  <c:v>17.417000000000002</c:v>
                </c:pt>
                <c:pt idx="1079">
                  <c:v>16.684999999999999</c:v>
                </c:pt>
                <c:pt idx="1080">
                  <c:v>18.323</c:v>
                </c:pt>
                <c:pt idx="1081">
                  <c:v>18.585999999999999</c:v>
                </c:pt>
                <c:pt idx="1082">
                  <c:v>18.824999999999999</c:v>
                </c:pt>
                <c:pt idx="1083">
                  <c:v>16.222999999999999</c:v>
                </c:pt>
                <c:pt idx="1084">
                  <c:v>18.632999999999999</c:v>
                </c:pt>
                <c:pt idx="1085">
                  <c:v>14.334</c:v>
                </c:pt>
                <c:pt idx="1086">
                  <c:v>16.283999999999999</c:v>
                </c:pt>
                <c:pt idx="1087">
                  <c:v>17.832999999999998</c:v>
                </c:pt>
                <c:pt idx="1088">
                  <c:v>16.538</c:v>
                </c:pt>
                <c:pt idx="1089">
                  <c:v>20.946000000000002</c:v>
                </c:pt>
                <c:pt idx="1090">
                  <c:v>15.675000000000001</c:v>
                </c:pt>
                <c:pt idx="1092">
                  <c:v>16.260000000000002</c:v>
                </c:pt>
                <c:pt idx="1093">
                  <c:v>14.413</c:v>
                </c:pt>
                <c:pt idx="1094">
                  <c:v>19.457999999999998</c:v>
                </c:pt>
                <c:pt idx="1095">
                  <c:v>21.190999999999999</c:v>
                </c:pt>
                <c:pt idx="1096">
                  <c:v>19.114999999999998</c:v>
                </c:pt>
                <c:pt idx="1097">
                  <c:v>20.56</c:v>
                </c:pt>
                <c:pt idx="1098">
                  <c:v>18.829999999999998</c:v>
                </c:pt>
                <c:pt idx="1099">
                  <c:v>20.323</c:v>
                </c:pt>
                <c:pt idx="1100">
                  <c:v>17.297000000000001</c:v>
                </c:pt>
                <c:pt idx="1101">
                  <c:v>15.157999999999999</c:v>
                </c:pt>
                <c:pt idx="1102">
                  <c:v>17.606000000000002</c:v>
                </c:pt>
                <c:pt idx="1103">
                  <c:v>18.163</c:v>
                </c:pt>
                <c:pt idx="1104">
                  <c:v>18.192</c:v>
                </c:pt>
                <c:pt idx="1105">
                  <c:v>18.452000000000002</c:v>
                </c:pt>
                <c:pt idx="1106">
                  <c:v>20.992000000000001</c:v>
                </c:pt>
                <c:pt idx="1107">
                  <c:v>16.46</c:v>
                </c:pt>
                <c:pt idx="1108">
                  <c:v>18.251999999999999</c:v>
                </c:pt>
                <c:pt idx="1109">
                  <c:v>18.497</c:v>
                </c:pt>
                <c:pt idx="1110">
                  <c:v>22.366</c:v>
                </c:pt>
                <c:pt idx="1111">
                  <c:v>21.815000000000001</c:v>
                </c:pt>
                <c:pt idx="1112">
                  <c:v>19.09</c:v>
                </c:pt>
                <c:pt idx="1113">
                  <c:v>15.45</c:v>
                </c:pt>
                <c:pt idx="1114">
                  <c:v>20.626000000000001</c:v>
                </c:pt>
                <c:pt idx="1115">
                  <c:v>18.908000000000001</c:v>
                </c:pt>
                <c:pt idx="1116">
                  <c:v>18.050999999999998</c:v>
                </c:pt>
                <c:pt idx="1118">
                  <c:v>18.007999999999999</c:v>
                </c:pt>
                <c:pt idx="1119">
                  <c:v>18.997</c:v>
                </c:pt>
                <c:pt idx="1120">
                  <c:v>19.013000000000002</c:v>
                </c:pt>
                <c:pt idx="1121">
                  <c:v>17.335000000000001</c:v>
                </c:pt>
                <c:pt idx="1122">
                  <c:v>16.215</c:v>
                </c:pt>
                <c:pt idx="1123">
                  <c:v>16.843</c:v>
                </c:pt>
                <c:pt idx="1124">
                  <c:v>13.452</c:v>
                </c:pt>
                <c:pt idx="1125">
                  <c:v>17.317</c:v>
                </c:pt>
                <c:pt idx="1126">
                  <c:v>18.282</c:v>
                </c:pt>
                <c:pt idx="1127">
                  <c:v>16.033999999999999</c:v>
                </c:pt>
                <c:pt idx="1128">
                  <c:v>18.254000000000001</c:v>
                </c:pt>
                <c:pt idx="1129">
                  <c:v>17.824000000000002</c:v>
                </c:pt>
                <c:pt idx="1130">
                  <c:v>18.471</c:v>
                </c:pt>
                <c:pt idx="1131">
                  <c:v>15.920999999999999</c:v>
                </c:pt>
                <c:pt idx="1132">
                  <c:v>12.861000000000001</c:v>
                </c:pt>
                <c:pt idx="1133">
                  <c:v>20.126999999999999</c:v>
                </c:pt>
                <c:pt idx="1134">
                  <c:v>15.253</c:v>
                </c:pt>
                <c:pt idx="1135">
                  <c:v>23.093</c:v>
                </c:pt>
                <c:pt idx="1136">
                  <c:v>15.717000000000001</c:v>
                </c:pt>
                <c:pt idx="1137">
                  <c:v>20.952999999999999</c:v>
                </c:pt>
                <c:pt idx="1138">
                  <c:v>19.684000000000001</c:v>
                </c:pt>
                <c:pt idx="1139">
                  <c:v>13.667</c:v>
                </c:pt>
                <c:pt idx="1140">
                  <c:v>17.882999999999999</c:v>
                </c:pt>
                <c:pt idx="1141">
                  <c:v>18.419</c:v>
                </c:pt>
                <c:pt idx="1142">
                  <c:v>16.920999999999999</c:v>
                </c:pt>
                <c:pt idx="1143">
                  <c:v>14.005000000000001</c:v>
                </c:pt>
                <c:pt idx="1144">
                  <c:v>15.497</c:v>
                </c:pt>
                <c:pt idx="1145">
                  <c:v>15.276999999999999</c:v>
                </c:pt>
                <c:pt idx="1146">
                  <c:v>14.353</c:v>
                </c:pt>
                <c:pt idx="1147">
                  <c:v>18.457999999999998</c:v>
                </c:pt>
                <c:pt idx="1148">
                  <c:v>16.04</c:v>
                </c:pt>
                <c:pt idx="1149">
                  <c:v>18.436</c:v>
                </c:pt>
                <c:pt idx="1150">
                  <c:v>19.241</c:v>
                </c:pt>
                <c:pt idx="1151">
                  <c:v>18.446999999999999</c:v>
                </c:pt>
                <c:pt idx="1152">
                  <c:v>16.294</c:v>
                </c:pt>
                <c:pt idx="1153">
                  <c:v>20.913</c:v>
                </c:pt>
                <c:pt idx="1154">
                  <c:v>19.68</c:v>
                </c:pt>
                <c:pt idx="1155">
                  <c:v>15.874000000000001</c:v>
                </c:pt>
                <c:pt idx="1156">
                  <c:v>16.798999999999999</c:v>
                </c:pt>
                <c:pt idx="1157">
                  <c:v>20.018999999999998</c:v>
                </c:pt>
                <c:pt idx="1158">
                  <c:v>16.088999999999999</c:v>
                </c:pt>
                <c:pt idx="1159">
                  <c:v>18.119</c:v>
                </c:pt>
                <c:pt idx="1160">
                  <c:v>18.204999999999998</c:v>
                </c:pt>
                <c:pt idx="1161">
                  <c:v>20.006</c:v>
                </c:pt>
                <c:pt idx="1162">
                  <c:v>18.741</c:v>
                </c:pt>
                <c:pt idx="1163">
                  <c:v>17.956</c:v>
                </c:pt>
                <c:pt idx="1164">
                  <c:v>14.538</c:v>
                </c:pt>
                <c:pt idx="1165">
                  <c:v>19.765999999999998</c:v>
                </c:pt>
                <c:pt idx="1166">
                  <c:v>17.376999999999999</c:v>
                </c:pt>
                <c:pt idx="1167">
                  <c:v>16.297000000000001</c:v>
                </c:pt>
                <c:pt idx="1168">
                  <c:v>16.744</c:v>
                </c:pt>
                <c:pt idx="1169">
                  <c:v>19.414999999999999</c:v>
                </c:pt>
                <c:pt idx="1170">
                  <c:v>19.724</c:v>
                </c:pt>
                <c:pt idx="1171">
                  <c:v>17.911000000000001</c:v>
                </c:pt>
                <c:pt idx="1172">
                  <c:v>21.722000000000001</c:v>
                </c:pt>
                <c:pt idx="1173">
                  <c:v>17.693999999999999</c:v>
                </c:pt>
                <c:pt idx="1174">
                  <c:v>18.001000000000001</c:v>
                </c:pt>
                <c:pt idx="1175">
                  <c:v>19.331</c:v>
                </c:pt>
                <c:pt idx="1176">
                  <c:v>18.126999999999999</c:v>
                </c:pt>
                <c:pt idx="1177">
                  <c:v>18.501999999999999</c:v>
                </c:pt>
                <c:pt idx="1178">
                  <c:v>16.452999999999999</c:v>
                </c:pt>
                <c:pt idx="1179">
                  <c:v>16.902000000000001</c:v>
                </c:pt>
                <c:pt idx="1180">
                  <c:v>18.536999999999999</c:v>
                </c:pt>
                <c:pt idx="1181">
                  <c:v>15.47</c:v>
                </c:pt>
                <c:pt idx="1182">
                  <c:v>17.683</c:v>
                </c:pt>
                <c:pt idx="1183">
                  <c:v>15.473000000000001</c:v>
                </c:pt>
                <c:pt idx="1184">
                  <c:v>20.558</c:v>
                </c:pt>
                <c:pt idx="1185">
                  <c:v>17.587</c:v>
                </c:pt>
                <c:pt idx="1186">
                  <c:v>17.367999999999999</c:v>
                </c:pt>
                <c:pt idx="1187">
                  <c:v>17.335999999999999</c:v>
                </c:pt>
                <c:pt idx="1188">
                  <c:v>20.149000000000001</c:v>
                </c:pt>
                <c:pt idx="1189">
                  <c:v>16.637</c:v>
                </c:pt>
                <c:pt idx="1190">
                  <c:v>17.015999999999998</c:v>
                </c:pt>
                <c:pt idx="1191">
                  <c:v>20.553000000000001</c:v>
                </c:pt>
                <c:pt idx="1192">
                  <c:v>16.585000000000001</c:v>
                </c:pt>
                <c:pt idx="1193">
                  <c:v>18.419</c:v>
                </c:pt>
                <c:pt idx="1194">
                  <c:v>18.675000000000001</c:v>
                </c:pt>
                <c:pt idx="1195">
                  <c:v>15.385999999999999</c:v>
                </c:pt>
                <c:pt idx="1196">
                  <c:v>19.638999999999999</c:v>
                </c:pt>
                <c:pt idx="1197">
                  <c:v>19.103000000000002</c:v>
                </c:pt>
                <c:pt idx="1198">
                  <c:v>17.494</c:v>
                </c:pt>
                <c:pt idx="1199">
                  <c:v>14.834</c:v>
                </c:pt>
                <c:pt idx="1200">
                  <c:v>17.736000000000001</c:v>
                </c:pt>
                <c:pt idx="1202">
                  <c:v>18.081</c:v>
                </c:pt>
                <c:pt idx="1203">
                  <c:v>21.812999999999999</c:v>
                </c:pt>
                <c:pt idx="1204">
                  <c:v>19.07</c:v>
                </c:pt>
                <c:pt idx="1206">
                  <c:v>15.522</c:v>
                </c:pt>
                <c:pt idx="1207">
                  <c:v>20.744</c:v>
                </c:pt>
                <c:pt idx="1208">
                  <c:v>11.632999999999999</c:v>
                </c:pt>
                <c:pt idx="1209">
                  <c:v>20.827000000000002</c:v>
                </c:pt>
                <c:pt idx="1210">
                  <c:v>17.794</c:v>
                </c:pt>
                <c:pt idx="1211">
                  <c:v>23.195</c:v>
                </c:pt>
                <c:pt idx="1212">
                  <c:v>18.702999999999999</c:v>
                </c:pt>
                <c:pt idx="1213">
                  <c:v>15.967000000000001</c:v>
                </c:pt>
                <c:pt idx="1214">
                  <c:v>14.058999999999999</c:v>
                </c:pt>
                <c:pt idx="1216">
                  <c:v>12.944000000000001</c:v>
                </c:pt>
                <c:pt idx="1217">
                  <c:v>22.033000000000001</c:v>
                </c:pt>
                <c:pt idx="1218">
                  <c:v>15.167999999999999</c:v>
                </c:pt>
                <c:pt idx="1219">
                  <c:v>14.135999999999999</c:v>
                </c:pt>
                <c:pt idx="1220">
                  <c:v>16.047000000000001</c:v>
                </c:pt>
                <c:pt idx="1221">
                  <c:v>21.954000000000001</c:v>
                </c:pt>
                <c:pt idx="1222">
                  <c:v>16.690999999999999</c:v>
                </c:pt>
                <c:pt idx="1223">
                  <c:v>15.340999999999999</c:v>
                </c:pt>
                <c:pt idx="1224">
                  <c:v>17.082000000000001</c:v>
                </c:pt>
                <c:pt idx="1225">
                  <c:v>15.504</c:v>
                </c:pt>
                <c:pt idx="1226">
                  <c:v>18.300999999999998</c:v>
                </c:pt>
                <c:pt idx="1227">
                  <c:v>16.119</c:v>
                </c:pt>
                <c:pt idx="1228">
                  <c:v>17.055</c:v>
                </c:pt>
                <c:pt idx="1229">
                  <c:v>16.975999999999999</c:v>
                </c:pt>
                <c:pt idx="1230">
                  <c:v>16.707000000000001</c:v>
                </c:pt>
                <c:pt idx="1231">
                  <c:v>16.045000000000002</c:v>
                </c:pt>
                <c:pt idx="1232">
                  <c:v>17.914000000000001</c:v>
                </c:pt>
                <c:pt idx="1233">
                  <c:v>14.593999999999999</c:v>
                </c:pt>
                <c:pt idx="1235">
                  <c:v>19.416</c:v>
                </c:pt>
                <c:pt idx="1236">
                  <c:v>16.512</c:v>
                </c:pt>
                <c:pt idx="1237">
                  <c:v>13.14</c:v>
                </c:pt>
                <c:pt idx="1238">
                  <c:v>17.643000000000001</c:v>
                </c:pt>
                <c:pt idx="1239">
                  <c:v>15.086</c:v>
                </c:pt>
                <c:pt idx="1240">
                  <c:v>17.172000000000001</c:v>
                </c:pt>
                <c:pt idx="1241">
                  <c:v>18.097000000000001</c:v>
                </c:pt>
                <c:pt idx="1242">
                  <c:v>11.994999999999999</c:v>
                </c:pt>
                <c:pt idx="1243">
                  <c:v>14.353</c:v>
                </c:pt>
                <c:pt idx="1244">
                  <c:v>18.363</c:v>
                </c:pt>
                <c:pt idx="1245">
                  <c:v>17.893000000000001</c:v>
                </c:pt>
                <c:pt idx="1246">
                  <c:v>14.909000000000001</c:v>
                </c:pt>
                <c:pt idx="1247">
                  <c:v>13.826000000000001</c:v>
                </c:pt>
                <c:pt idx="1249">
                  <c:v>15.693</c:v>
                </c:pt>
                <c:pt idx="1250">
                  <c:v>12.439</c:v>
                </c:pt>
                <c:pt idx="1251">
                  <c:v>15.092000000000001</c:v>
                </c:pt>
                <c:pt idx="1252">
                  <c:v>18.280999999999999</c:v>
                </c:pt>
                <c:pt idx="1253">
                  <c:v>12.3</c:v>
                </c:pt>
                <c:pt idx="1254">
                  <c:v>19.741</c:v>
                </c:pt>
                <c:pt idx="1255">
                  <c:v>18.141999999999999</c:v>
                </c:pt>
                <c:pt idx="1257">
                  <c:v>19.878</c:v>
                </c:pt>
                <c:pt idx="1258">
                  <c:v>12.462999999999999</c:v>
                </c:pt>
                <c:pt idx="1259">
                  <c:v>22.029</c:v>
                </c:pt>
                <c:pt idx="1260">
                  <c:v>17.521000000000001</c:v>
                </c:pt>
                <c:pt idx="1261">
                  <c:v>20.196000000000002</c:v>
                </c:pt>
                <c:pt idx="1262">
                  <c:v>17.411000000000001</c:v>
                </c:pt>
                <c:pt idx="1263">
                  <c:v>14.388</c:v>
                </c:pt>
                <c:pt idx="1264">
                  <c:v>19.669</c:v>
                </c:pt>
                <c:pt idx="1265">
                  <c:v>12.122</c:v>
                </c:pt>
                <c:pt idx="1266">
                  <c:v>17.675999999999998</c:v>
                </c:pt>
                <c:pt idx="1267">
                  <c:v>18.777999999999999</c:v>
                </c:pt>
                <c:pt idx="1268">
                  <c:v>19.788</c:v>
                </c:pt>
                <c:pt idx="1269">
                  <c:v>17.452000000000002</c:v>
                </c:pt>
                <c:pt idx="1270">
                  <c:v>16.747</c:v>
                </c:pt>
                <c:pt idx="1271">
                  <c:v>19.355</c:v>
                </c:pt>
                <c:pt idx="1272">
                  <c:v>19.491</c:v>
                </c:pt>
                <c:pt idx="1273">
                  <c:v>21.97</c:v>
                </c:pt>
                <c:pt idx="1274">
                  <c:v>17.198</c:v>
                </c:pt>
                <c:pt idx="1276">
                  <c:v>14.981</c:v>
                </c:pt>
                <c:pt idx="1277">
                  <c:v>16.190000000000001</c:v>
                </c:pt>
                <c:pt idx="1278">
                  <c:v>17.513000000000002</c:v>
                </c:pt>
                <c:pt idx="1279">
                  <c:v>17.855</c:v>
                </c:pt>
                <c:pt idx="1280">
                  <c:v>15.069000000000001</c:v>
                </c:pt>
                <c:pt idx="1281">
                  <c:v>13.688000000000001</c:v>
                </c:pt>
                <c:pt idx="1282">
                  <c:v>18.983000000000001</c:v>
                </c:pt>
                <c:pt idx="1283">
                  <c:v>16.785</c:v>
                </c:pt>
                <c:pt idx="1284">
                  <c:v>13.162000000000001</c:v>
                </c:pt>
                <c:pt idx="1285">
                  <c:v>20.550999999999998</c:v>
                </c:pt>
                <c:pt idx="1286">
                  <c:v>18.614999999999998</c:v>
                </c:pt>
                <c:pt idx="1287">
                  <c:v>14.481</c:v>
                </c:pt>
                <c:pt idx="1288">
                  <c:v>18.132000000000001</c:v>
                </c:pt>
                <c:pt idx="1289">
                  <c:v>17.350999999999999</c:v>
                </c:pt>
                <c:pt idx="1290">
                  <c:v>16.361000000000001</c:v>
                </c:pt>
                <c:pt idx="1291">
                  <c:v>18.646000000000001</c:v>
                </c:pt>
                <c:pt idx="1292">
                  <c:v>14.468999999999999</c:v>
                </c:pt>
                <c:pt idx="1294">
                  <c:v>14.932</c:v>
                </c:pt>
                <c:pt idx="1295">
                  <c:v>22.141999999999999</c:v>
                </c:pt>
                <c:pt idx="1296">
                  <c:v>21.805</c:v>
                </c:pt>
                <c:pt idx="1297">
                  <c:v>18.355</c:v>
                </c:pt>
                <c:pt idx="1298">
                  <c:v>15.994</c:v>
                </c:pt>
                <c:pt idx="1299">
                  <c:v>20.785</c:v>
                </c:pt>
                <c:pt idx="1300">
                  <c:v>14.824999999999999</c:v>
                </c:pt>
                <c:pt idx="1301">
                  <c:v>18.715</c:v>
                </c:pt>
                <c:pt idx="1302">
                  <c:v>17.192</c:v>
                </c:pt>
                <c:pt idx="1303">
                  <c:v>17.419</c:v>
                </c:pt>
                <c:pt idx="1304">
                  <c:v>16.731000000000002</c:v>
                </c:pt>
                <c:pt idx="1305">
                  <c:v>15.939</c:v>
                </c:pt>
                <c:pt idx="1307">
                  <c:v>19.305</c:v>
                </c:pt>
                <c:pt idx="1308">
                  <c:v>16.824000000000002</c:v>
                </c:pt>
                <c:pt idx="1309">
                  <c:v>20.228999999999999</c:v>
                </c:pt>
                <c:pt idx="1310">
                  <c:v>18.391999999999999</c:v>
                </c:pt>
                <c:pt idx="1311">
                  <c:v>15.055</c:v>
                </c:pt>
                <c:pt idx="1312">
                  <c:v>13.443</c:v>
                </c:pt>
                <c:pt idx="1313">
                  <c:v>18.992999999999999</c:v>
                </c:pt>
                <c:pt idx="1314">
                  <c:v>18.274000000000001</c:v>
                </c:pt>
                <c:pt idx="1316">
                  <c:v>17.37</c:v>
                </c:pt>
                <c:pt idx="1317">
                  <c:v>17.649999999999999</c:v>
                </c:pt>
                <c:pt idx="1318">
                  <c:v>16.808</c:v>
                </c:pt>
                <c:pt idx="1319">
                  <c:v>19.36</c:v>
                </c:pt>
                <c:pt idx="1320">
                  <c:v>14.055</c:v>
                </c:pt>
                <c:pt idx="1321">
                  <c:v>15.519</c:v>
                </c:pt>
                <c:pt idx="1322">
                  <c:v>21.74</c:v>
                </c:pt>
                <c:pt idx="1323">
                  <c:v>18.222999999999999</c:v>
                </c:pt>
                <c:pt idx="1324">
                  <c:v>19.863</c:v>
                </c:pt>
                <c:pt idx="1325">
                  <c:v>21.11</c:v>
                </c:pt>
                <c:pt idx="1326">
                  <c:v>16.779</c:v>
                </c:pt>
                <c:pt idx="1327">
                  <c:v>17.852</c:v>
                </c:pt>
                <c:pt idx="1328">
                  <c:v>12.333</c:v>
                </c:pt>
                <c:pt idx="1329">
                  <c:v>19.283999999999999</c:v>
                </c:pt>
                <c:pt idx="1330">
                  <c:v>14.316000000000001</c:v>
                </c:pt>
                <c:pt idx="1331">
                  <c:v>18.751999999999999</c:v>
                </c:pt>
                <c:pt idx="1332">
                  <c:v>19.724</c:v>
                </c:pt>
                <c:pt idx="1333">
                  <c:v>17.809999999999999</c:v>
                </c:pt>
                <c:pt idx="1334">
                  <c:v>14.605</c:v>
                </c:pt>
                <c:pt idx="1335">
                  <c:v>17.771999999999998</c:v>
                </c:pt>
                <c:pt idx="1336">
                  <c:v>18.978000000000002</c:v>
                </c:pt>
                <c:pt idx="1337">
                  <c:v>21.27</c:v>
                </c:pt>
                <c:pt idx="1338">
                  <c:v>17.006</c:v>
                </c:pt>
                <c:pt idx="1339">
                  <c:v>21.39</c:v>
                </c:pt>
                <c:pt idx="1340">
                  <c:v>14.786</c:v>
                </c:pt>
                <c:pt idx="1341">
                  <c:v>17.625</c:v>
                </c:pt>
                <c:pt idx="1342">
                  <c:v>14.448</c:v>
                </c:pt>
                <c:pt idx="1343">
                  <c:v>16.395</c:v>
                </c:pt>
                <c:pt idx="1344">
                  <c:v>15.177</c:v>
                </c:pt>
                <c:pt idx="1345">
                  <c:v>16.457000000000001</c:v>
                </c:pt>
                <c:pt idx="1346">
                  <c:v>19.094000000000001</c:v>
                </c:pt>
                <c:pt idx="1347">
                  <c:v>13.269</c:v>
                </c:pt>
                <c:pt idx="1348">
                  <c:v>16.832999999999998</c:v>
                </c:pt>
                <c:pt idx="1349">
                  <c:v>17.84</c:v>
                </c:pt>
                <c:pt idx="1350">
                  <c:v>18.190999999999999</c:v>
                </c:pt>
                <c:pt idx="1351">
                  <c:v>17.675000000000001</c:v>
                </c:pt>
                <c:pt idx="1352">
                  <c:v>19.170999999999999</c:v>
                </c:pt>
                <c:pt idx="1353">
                  <c:v>20.821999999999999</c:v>
                </c:pt>
                <c:pt idx="1354">
                  <c:v>17.018999999999998</c:v>
                </c:pt>
                <c:pt idx="1355">
                  <c:v>15.682</c:v>
                </c:pt>
                <c:pt idx="1356">
                  <c:v>15.616</c:v>
                </c:pt>
                <c:pt idx="1357">
                  <c:v>15.311</c:v>
                </c:pt>
                <c:pt idx="1358">
                  <c:v>13.722</c:v>
                </c:pt>
                <c:pt idx="1359">
                  <c:v>22.088999999999999</c:v>
                </c:pt>
                <c:pt idx="1360">
                  <c:v>22.306999999999999</c:v>
                </c:pt>
                <c:pt idx="1361">
                  <c:v>17.972999999999999</c:v>
                </c:pt>
                <c:pt idx="1362">
                  <c:v>16.951000000000001</c:v>
                </c:pt>
                <c:pt idx="1363">
                  <c:v>17.41</c:v>
                </c:pt>
                <c:pt idx="1364">
                  <c:v>16.739000000000001</c:v>
                </c:pt>
                <c:pt idx="1365">
                  <c:v>12.763999999999999</c:v>
                </c:pt>
                <c:pt idx="1366">
                  <c:v>15.269</c:v>
                </c:pt>
                <c:pt idx="1367">
                  <c:v>15.022</c:v>
                </c:pt>
                <c:pt idx="1368">
                  <c:v>18.007000000000001</c:v>
                </c:pt>
                <c:pt idx="1369">
                  <c:v>15.446999999999999</c:v>
                </c:pt>
                <c:pt idx="1370">
                  <c:v>17.417999999999999</c:v>
                </c:pt>
                <c:pt idx="1371">
                  <c:v>20.92</c:v>
                </c:pt>
                <c:pt idx="1372">
                  <c:v>18.436</c:v>
                </c:pt>
                <c:pt idx="1373">
                  <c:v>16.286000000000001</c:v>
                </c:pt>
                <c:pt idx="1374">
                  <c:v>17.416</c:v>
                </c:pt>
                <c:pt idx="1375">
                  <c:v>21.323</c:v>
                </c:pt>
                <c:pt idx="1376">
                  <c:v>20.969000000000001</c:v>
                </c:pt>
                <c:pt idx="1377">
                  <c:v>21.006</c:v>
                </c:pt>
                <c:pt idx="1378">
                  <c:v>18.684999999999999</c:v>
                </c:pt>
                <c:pt idx="1379">
                  <c:v>16.97</c:v>
                </c:pt>
                <c:pt idx="1380">
                  <c:v>16.384</c:v>
                </c:pt>
                <c:pt idx="1381">
                  <c:v>18.219000000000001</c:v>
                </c:pt>
                <c:pt idx="1382">
                  <c:v>14.849</c:v>
                </c:pt>
                <c:pt idx="1383">
                  <c:v>12.228999999999999</c:v>
                </c:pt>
                <c:pt idx="1384">
                  <c:v>13.891999999999999</c:v>
                </c:pt>
                <c:pt idx="1386">
                  <c:v>14.669</c:v>
                </c:pt>
                <c:pt idx="1387">
                  <c:v>20.234999999999999</c:v>
                </c:pt>
                <c:pt idx="1388">
                  <c:v>14.856999999999999</c:v>
                </c:pt>
                <c:pt idx="1389">
                  <c:v>21.853000000000002</c:v>
                </c:pt>
                <c:pt idx="1390">
                  <c:v>16.923999999999999</c:v>
                </c:pt>
                <c:pt idx="1391">
                  <c:v>14.016</c:v>
                </c:pt>
                <c:pt idx="1392">
                  <c:v>16.484000000000002</c:v>
                </c:pt>
                <c:pt idx="1393">
                  <c:v>19.295999999999999</c:v>
                </c:pt>
                <c:pt idx="1394">
                  <c:v>16.898</c:v>
                </c:pt>
                <c:pt idx="1395">
                  <c:v>16.266999999999999</c:v>
                </c:pt>
                <c:pt idx="1396">
                  <c:v>18.123000000000001</c:v>
                </c:pt>
                <c:pt idx="1397">
                  <c:v>23.350999999999999</c:v>
                </c:pt>
                <c:pt idx="1398">
                  <c:v>16.835000000000001</c:v>
                </c:pt>
                <c:pt idx="1399">
                  <c:v>20.975000000000001</c:v>
                </c:pt>
                <c:pt idx="1400">
                  <c:v>18.347000000000001</c:v>
                </c:pt>
                <c:pt idx="1401">
                  <c:v>16.843</c:v>
                </c:pt>
                <c:pt idx="1402">
                  <c:v>20.841999999999999</c:v>
                </c:pt>
                <c:pt idx="1403">
                  <c:v>17.045999999999999</c:v>
                </c:pt>
                <c:pt idx="1404">
                  <c:v>18.846</c:v>
                </c:pt>
                <c:pt idx="1405">
                  <c:v>13.691000000000001</c:v>
                </c:pt>
                <c:pt idx="1406">
                  <c:v>15.263</c:v>
                </c:pt>
                <c:pt idx="1407">
                  <c:v>18.143999999999998</c:v>
                </c:pt>
                <c:pt idx="1408">
                  <c:v>17.765999999999998</c:v>
                </c:pt>
                <c:pt idx="1410">
                  <c:v>16.323</c:v>
                </c:pt>
                <c:pt idx="1411">
                  <c:v>17.736000000000001</c:v>
                </c:pt>
                <c:pt idx="1412">
                  <c:v>20.567</c:v>
                </c:pt>
                <c:pt idx="1413">
                  <c:v>23.797000000000001</c:v>
                </c:pt>
                <c:pt idx="1414">
                  <c:v>17.308</c:v>
                </c:pt>
                <c:pt idx="1415">
                  <c:v>14.313000000000001</c:v>
                </c:pt>
                <c:pt idx="1416">
                  <c:v>16.594000000000001</c:v>
                </c:pt>
                <c:pt idx="1417">
                  <c:v>17.754999999999999</c:v>
                </c:pt>
                <c:pt idx="1418">
                  <c:v>17.788</c:v>
                </c:pt>
                <c:pt idx="1419">
                  <c:v>21.808</c:v>
                </c:pt>
                <c:pt idx="1420">
                  <c:v>20.826000000000001</c:v>
                </c:pt>
                <c:pt idx="1421">
                  <c:v>16.312000000000001</c:v>
                </c:pt>
                <c:pt idx="1422">
                  <c:v>12.907</c:v>
                </c:pt>
                <c:pt idx="1423">
                  <c:v>18.596</c:v>
                </c:pt>
                <c:pt idx="1424">
                  <c:v>20.297999999999998</c:v>
                </c:pt>
                <c:pt idx="1425">
                  <c:v>14.904999999999999</c:v>
                </c:pt>
                <c:pt idx="1426">
                  <c:v>21.706</c:v>
                </c:pt>
                <c:pt idx="1427">
                  <c:v>17.239999999999998</c:v>
                </c:pt>
                <c:pt idx="1428">
                  <c:v>21.021000000000001</c:v>
                </c:pt>
                <c:pt idx="1429">
                  <c:v>19.268999999999998</c:v>
                </c:pt>
                <c:pt idx="1430">
                  <c:v>19.039000000000001</c:v>
                </c:pt>
                <c:pt idx="1432">
                  <c:v>16.202999999999999</c:v>
                </c:pt>
                <c:pt idx="1433">
                  <c:v>14.352</c:v>
                </c:pt>
                <c:pt idx="1434">
                  <c:v>19.041</c:v>
                </c:pt>
                <c:pt idx="1435">
                  <c:v>16.614000000000001</c:v>
                </c:pt>
                <c:pt idx="1436">
                  <c:v>20.02</c:v>
                </c:pt>
                <c:pt idx="1437">
                  <c:v>20.399999999999999</c:v>
                </c:pt>
                <c:pt idx="1438">
                  <c:v>19.625</c:v>
                </c:pt>
                <c:pt idx="1439">
                  <c:v>20.361999999999998</c:v>
                </c:pt>
                <c:pt idx="1440">
                  <c:v>18.050999999999998</c:v>
                </c:pt>
                <c:pt idx="1441">
                  <c:v>18.765000000000001</c:v>
                </c:pt>
                <c:pt idx="1442">
                  <c:v>16.358000000000001</c:v>
                </c:pt>
                <c:pt idx="1443">
                  <c:v>19.329999999999998</c:v>
                </c:pt>
                <c:pt idx="1444">
                  <c:v>14.821</c:v>
                </c:pt>
                <c:pt idx="1445">
                  <c:v>16.294</c:v>
                </c:pt>
                <c:pt idx="1446">
                  <c:v>19.934000000000001</c:v>
                </c:pt>
                <c:pt idx="1447">
                  <c:v>23.532</c:v>
                </c:pt>
                <c:pt idx="1448">
                  <c:v>14.699</c:v>
                </c:pt>
                <c:pt idx="1449">
                  <c:v>16.465</c:v>
                </c:pt>
                <c:pt idx="1451">
                  <c:v>13.849</c:v>
                </c:pt>
                <c:pt idx="1452">
                  <c:v>18.838000000000001</c:v>
                </c:pt>
                <c:pt idx="1454">
                  <c:v>19.18</c:v>
                </c:pt>
                <c:pt idx="1455">
                  <c:v>17.309999999999999</c:v>
                </c:pt>
                <c:pt idx="1457">
                  <c:v>16.75</c:v>
                </c:pt>
                <c:pt idx="1458">
                  <c:v>13.704000000000001</c:v>
                </c:pt>
                <c:pt idx="1459">
                  <c:v>19.716000000000001</c:v>
                </c:pt>
                <c:pt idx="1460">
                  <c:v>17.739000000000001</c:v>
                </c:pt>
                <c:pt idx="1461">
                  <c:v>18.827999999999999</c:v>
                </c:pt>
                <c:pt idx="1462">
                  <c:v>19.876999999999999</c:v>
                </c:pt>
                <c:pt idx="1463">
                  <c:v>19.995999999999999</c:v>
                </c:pt>
                <c:pt idx="1464">
                  <c:v>15.853999999999999</c:v>
                </c:pt>
                <c:pt idx="1465">
                  <c:v>17.486000000000001</c:v>
                </c:pt>
                <c:pt idx="1466">
                  <c:v>21.896999999999998</c:v>
                </c:pt>
                <c:pt idx="1467">
                  <c:v>11.835000000000001</c:v>
                </c:pt>
                <c:pt idx="1468">
                  <c:v>16.672999999999998</c:v>
                </c:pt>
                <c:pt idx="1469">
                  <c:v>22.641999999999999</c:v>
                </c:pt>
                <c:pt idx="1470">
                  <c:v>18.914999999999999</c:v>
                </c:pt>
                <c:pt idx="1471">
                  <c:v>16.059000000000001</c:v>
                </c:pt>
                <c:pt idx="1472">
                  <c:v>20.855</c:v>
                </c:pt>
                <c:pt idx="1473">
                  <c:v>17.334</c:v>
                </c:pt>
                <c:pt idx="1474">
                  <c:v>19.844999999999999</c:v>
                </c:pt>
                <c:pt idx="1475">
                  <c:v>20.111000000000001</c:v>
                </c:pt>
                <c:pt idx="1476">
                  <c:v>12.211</c:v>
                </c:pt>
                <c:pt idx="1477">
                  <c:v>21.146999999999998</c:v>
                </c:pt>
                <c:pt idx="1478">
                  <c:v>19.050999999999998</c:v>
                </c:pt>
                <c:pt idx="1479">
                  <c:v>21.661999999999999</c:v>
                </c:pt>
                <c:pt idx="1480">
                  <c:v>16.963999999999999</c:v>
                </c:pt>
                <c:pt idx="1481">
                  <c:v>13.063000000000001</c:v>
                </c:pt>
                <c:pt idx="1482">
                  <c:v>18.606999999999999</c:v>
                </c:pt>
                <c:pt idx="1483">
                  <c:v>17.667999999999999</c:v>
                </c:pt>
                <c:pt idx="1484">
                  <c:v>18.465</c:v>
                </c:pt>
                <c:pt idx="1485">
                  <c:v>18.87</c:v>
                </c:pt>
                <c:pt idx="1486">
                  <c:v>16.565000000000001</c:v>
                </c:pt>
                <c:pt idx="1488">
                  <c:v>18.359000000000002</c:v>
                </c:pt>
                <c:pt idx="1489">
                  <c:v>18.529</c:v>
                </c:pt>
                <c:pt idx="1490">
                  <c:v>18.277000000000001</c:v>
                </c:pt>
                <c:pt idx="1491">
                  <c:v>21.065999999999999</c:v>
                </c:pt>
                <c:pt idx="1492">
                  <c:v>15.236000000000001</c:v>
                </c:pt>
                <c:pt idx="1493">
                  <c:v>17.98</c:v>
                </c:pt>
                <c:pt idx="1495">
                  <c:v>16.614999999999998</c:v>
                </c:pt>
                <c:pt idx="1496">
                  <c:v>17.579000000000001</c:v>
                </c:pt>
                <c:pt idx="1497">
                  <c:v>14.292999999999999</c:v>
                </c:pt>
                <c:pt idx="1499">
                  <c:v>16.196000000000002</c:v>
                </c:pt>
                <c:pt idx="1500">
                  <c:v>15.063000000000001</c:v>
                </c:pt>
                <c:pt idx="1501">
                  <c:v>20.713000000000001</c:v>
                </c:pt>
                <c:pt idx="1502">
                  <c:v>18.751999999999999</c:v>
                </c:pt>
                <c:pt idx="1503">
                  <c:v>19.841999999999999</c:v>
                </c:pt>
                <c:pt idx="1504">
                  <c:v>19.914999999999999</c:v>
                </c:pt>
                <c:pt idx="1506">
                  <c:v>18.149999999999999</c:v>
                </c:pt>
                <c:pt idx="1508">
                  <c:v>23.193999999999999</c:v>
                </c:pt>
                <c:pt idx="1509">
                  <c:v>15.037000000000001</c:v>
                </c:pt>
                <c:pt idx="1510">
                  <c:v>15.382999999999999</c:v>
                </c:pt>
                <c:pt idx="1511">
                  <c:v>18.942</c:v>
                </c:pt>
                <c:pt idx="1512">
                  <c:v>22.954999999999998</c:v>
                </c:pt>
                <c:pt idx="1513">
                  <c:v>18.332000000000001</c:v>
                </c:pt>
                <c:pt idx="1514">
                  <c:v>13.536</c:v>
                </c:pt>
                <c:pt idx="1515">
                  <c:v>19.225000000000001</c:v>
                </c:pt>
                <c:pt idx="1516">
                  <c:v>16.692</c:v>
                </c:pt>
                <c:pt idx="1517">
                  <c:v>12.510999999999999</c:v>
                </c:pt>
                <c:pt idx="1518">
                  <c:v>18.308</c:v>
                </c:pt>
                <c:pt idx="1519">
                  <c:v>19.715</c:v>
                </c:pt>
                <c:pt idx="1520">
                  <c:v>19.952000000000002</c:v>
                </c:pt>
                <c:pt idx="1521">
                  <c:v>15.871</c:v>
                </c:pt>
                <c:pt idx="1522">
                  <c:v>18.911999999999999</c:v>
                </c:pt>
                <c:pt idx="1523">
                  <c:v>20.936</c:v>
                </c:pt>
                <c:pt idx="1524">
                  <c:v>14.3</c:v>
                </c:pt>
                <c:pt idx="1525">
                  <c:v>14.805</c:v>
                </c:pt>
                <c:pt idx="1526">
                  <c:v>18.251000000000001</c:v>
                </c:pt>
                <c:pt idx="1527">
                  <c:v>15.316000000000001</c:v>
                </c:pt>
                <c:pt idx="1528">
                  <c:v>15.462999999999999</c:v>
                </c:pt>
              </c:numCache>
            </c:numRef>
          </c:yVal>
          <c:smooth val="0"/>
          <c:extLst>
            <c:ext xmlns:c16="http://schemas.microsoft.com/office/drawing/2014/chart" uri="{C3380CC4-5D6E-409C-BE32-E72D297353CC}">
              <c16:uniqueId val="{00000000-A1FE-4231-93C6-96091EEEB4FB}"/>
            </c:ext>
          </c:extLst>
        </c:ser>
        <c:dLbls>
          <c:showLegendKey val="0"/>
          <c:showVal val="0"/>
          <c:showCatName val="0"/>
          <c:showSerName val="0"/>
          <c:showPercent val="0"/>
          <c:showBubbleSize val="0"/>
        </c:dLbls>
        <c:axId val="1700428863"/>
        <c:axId val="1700427423"/>
      </c:scatterChart>
      <c:valAx>
        <c:axId val="1700428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27423"/>
        <c:crosses val="autoZero"/>
        <c:crossBetween val="midCat"/>
      </c:valAx>
      <c:valAx>
        <c:axId val="170042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28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[CVD Dataset Practice.xlsx]Activity Level &amp; Risk Analysis!PivotTable2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Level &amp; Risk Analysis'!$B$11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'Activity Level &amp; Risk Analysis'!$A$12:$A$15</c:f>
              <c:strCache>
                <c:ptCount val="3"/>
                <c:pt idx="0">
                  <c:v>Moderate</c:v>
                </c:pt>
                <c:pt idx="1">
                  <c:v>Low</c:v>
                </c:pt>
                <c:pt idx="2">
                  <c:v>High</c:v>
                </c:pt>
              </c:strCache>
            </c:strRef>
          </c:cat>
          <c:val>
            <c:numRef>
              <c:f>'Activity Level &amp; Risk Analysis'!$B$12:$B$15</c:f>
              <c:numCache>
                <c:formatCode>0.00</c:formatCode>
                <c:ptCount val="3"/>
                <c:pt idx="0">
                  <c:v>16.9907453416149</c:v>
                </c:pt>
                <c:pt idx="1">
                  <c:v>16.952489495798321</c:v>
                </c:pt>
                <c:pt idx="2">
                  <c:v>16.94015000000001</c:v>
                </c:pt>
              </c:numCache>
            </c:numRef>
          </c:val>
          <c:extLst>
            <c:ext xmlns:c16="http://schemas.microsoft.com/office/drawing/2014/chart" uri="{C3380CC4-5D6E-409C-BE32-E72D297353CC}">
              <c16:uniqueId val="{00000000-019C-42E2-8660-46BF0650DEE6}"/>
            </c:ext>
          </c:extLst>
        </c:ser>
        <c:dLbls>
          <c:dLblPos val="outEnd"/>
          <c:showLegendKey val="0"/>
          <c:showVal val="1"/>
          <c:showCatName val="0"/>
          <c:showSerName val="0"/>
          <c:showPercent val="0"/>
          <c:showBubbleSize val="0"/>
        </c:dLbls>
        <c:gapWidth val="219"/>
        <c:overlap val="-27"/>
        <c:axId val="35339279"/>
        <c:axId val="35348879"/>
      </c:barChart>
      <c:catAx>
        <c:axId val="3533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8879"/>
        <c:crosses val="autoZero"/>
        <c:auto val="1"/>
        <c:lblAlgn val="ctr"/>
        <c:lblOffset val="100"/>
        <c:noMultiLvlLbl val="0"/>
      </c:catAx>
      <c:valAx>
        <c:axId val="35348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5</xdr:col>
      <xdr:colOff>251460</xdr:colOff>
      <xdr:row>5</xdr:row>
      <xdr:rowOff>167640</xdr:rowOff>
    </xdr:from>
    <xdr:to>
      <xdr:col>8</xdr:col>
      <xdr:colOff>419100</xdr:colOff>
      <xdr:row>19</xdr:row>
      <xdr:rowOff>74295</xdr:rowOff>
    </xdr:to>
    <mc:AlternateContent xmlns:mc="http://schemas.openxmlformats.org/markup-compatibility/2006" xmlns:a14="http://schemas.microsoft.com/office/drawing/2010/main">
      <mc:Choice Requires="a14">
        <xdr:graphicFrame macro="">
          <xdr:nvGraphicFramePr>
            <xdr:cNvPr id="2" name="CVD Risk Level">
              <a:extLst>
                <a:ext uri="{FF2B5EF4-FFF2-40B4-BE49-F238E27FC236}">
                  <a16:creationId xmlns:a16="http://schemas.microsoft.com/office/drawing/2014/main" id="{B41B3464-9E0D-3231-C405-2B845F572582}"/>
                </a:ext>
              </a:extLst>
            </xdr:cNvPr>
            <xdr:cNvGraphicFramePr/>
          </xdr:nvGraphicFramePr>
          <xdr:xfrm>
            <a:off x="0" y="0"/>
            <a:ext cx="0" cy="0"/>
          </xdr:xfrm>
          <a:graphic>
            <a:graphicData uri="http://schemas.microsoft.com/office/drawing/2010/slicer">
              <sle:slicer xmlns:sle="http://schemas.microsoft.com/office/drawing/2010/slicer" name="CVD Risk Level"/>
            </a:graphicData>
          </a:graphic>
        </xdr:graphicFrame>
      </mc:Choice>
      <mc:Fallback xmlns="">
        <xdr:sp macro="" textlink="">
          <xdr:nvSpPr>
            <xdr:cNvPr id="0" name=""/>
            <xdr:cNvSpPr>
              <a:spLocks noTextEdit="1"/>
            </xdr:cNvSpPr>
          </xdr:nvSpPr>
          <xdr:spPr>
            <a:xfrm>
              <a:off x="4213860" y="1082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xdr:colOff>
      <xdr:row>4</xdr:row>
      <xdr:rowOff>53340</xdr:rowOff>
    </xdr:from>
    <xdr:to>
      <xdr:col>14</xdr:col>
      <xdr:colOff>320040</xdr:colOff>
      <xdr:row>19</xdr:row>
      <xdr:rowOff>53340</xdr:rowOff>
    </xdr:to>
    <xdr:graphicFrame macro="">
      <xdr:nvGraphicFramePr>
        <xdr:cNvPr id="2" name="Chart 1">
          <a:extLst>
            <a:ext uri="{FF2B5EF4-FFF2-40B4-BE49-F238E27FC236}">
              <a16:creationId xmlns:a16="http://schemas.microsoft.com/office/drawing/2014/main" id="{6E6BCC20-A916-4D75-9062-1AA2172DD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586740</xdr:colOff>
      <xdr:row>2</xdr:row>
      <xdr:rowOff>49530</xdr:rowOff>
    </xdr:from>
    <xdr:to>
      <xdr:col>14</xdr:col>
      <xdr:colOff>243840</xdr:colOff>
      <xdr:row>16</xdr:row>
      <xdr:rowOff>137160</xdr:rowOff>
    </xdr:to>
    <xdr:graphicFrame macro="">
      <xdr:nvGraphicFramePr>
        <xdr:cNvPr id="2" name="Chart 1">
          <a:extLst>
            <a:ext uri="{FF2B5EF4-FFF2-40B4-BE49-F238E27FC236}">
              <a16:creationId xmlns:a16="http://schemas.microsoft.com/office/drawing/2014/main" id="{7F598864-B609-32DC-DF7C-19646BEEF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342900</xdr:colOff>
      <xdr:row>3</xdr:row>
      <xdr:rowOff>3810</xdr:rowOff>
    </xdr:from>
    <xdr:to>
      <xdr:col>12</xdr:col>
      <xdr:colOff>38100</xdr:colOff>
      <xdr:row>18</xdr:row>
      <xdr:rowOff>3810</xdr:rowOff>
    </xdr:to>
    <xdr:graphicFrame macro="">
      <xdr:nvGraphicFramePr>
        <xdr:cNvPr id="2" name="Chart 1">
          <a:extLst>
            <a:ext uri="{FF2B5EF4-FFF2-40B4-BE49-F238E27FC236}">
              <a16:creationId xmlns:a16="http://schemas.microsoft.com/office/drawing/2014/main" id="{502B9693-C879-DE76-7756-C5A0C8144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411480</xdr:colOff>
      <xdr:row>1</xdr:row>
      <xdr:rowOff>49530</xdr:rowOff>
    </xdr:from>
    <xdr:to>
      <xdr:col>13</xdr:col>
      <xdr:colOff>594360</xdr:colOff>
      <xdr:row>13</xdr:row>
      <xdr:rowOff>30480</xdr:rowOff>
    </xdr:to>
    <xdr:graphicFrame macro="">
      <xdr:nvGraphicFramePr>
        <xdr:cNvPr id="2" name="Chart 1">
          <a:extLst>
            <a:ext uri="{FF2B5EF4-FFF2-40B4-BE49-F238E27FC236}">
              <a16:creationId xmlns:a16="http://schemas.microsoft.com/office/drawing/2014/main" id="{6C672C91-52CC-3384-442D-9F607ED25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236220</xdr:colOff>
      <xdr:row>13</xdr:row>
      <xdr:rowOff>91440</xdr:rowOff>
    </xdr:from>
    <xdr:to>
      <xdr:col>16</xdr:col>
      <xdr:colOff>228600</xdr:colOff>
      <xdr:row>26</xdr:row>
      <xdr:rowOff>38100</xdr:rowOff>
    </xdr:to>
    <xdr:graphicFrame macro="">
      <xdr:nvGraphicFramePr>
        <xdr:cNvPr id="3" name="Chart 2">
          <a:extLst>
            <a:ext uri="{FF2B5EF4-FFF2-40B4-BE49-F238E27FC236}">
              <a16:creationId xmlns:a16="http://schemas.microsoft.com/office/drawing/2014/main" id="{9905E30F-EE5B-4AA5-B3A4-865D15CCC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236220</xdr:colOff>
      <xdr:row>1</xdr:row>
      <xdr:rowOff>133350</xdr:rowOff>
    </xdr:from>
    <xdr:to>
      <xdr:col>14</xdr:col>
      <xdr:colOff>251460</xdr:colOff>
      <xdr:row>19</xdr:row>
      <xdr:rowOff>15240</xdr:rowOff>
    </xdr:to>
    <xdr:graphicFrame macro="">
      <xdr:nvGraphicFramePr>
        <xdr:cNvPr id="2" name="Chart 1">
          <a:extLst>
            <a:ext uri="{FF2B5EF4-FFF2-40B4-BE49-F238E27FC236}">
              <a16:creationId xmlns:a16="http://schemas.microsoft.com/office/drawing/2014/main" id="{718D5208-5C55-B0DC-C4B6-D82A7DD26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s" refreshedDate="46066.737707523149" createdVersion="8" refreshedVersion="8" minRefreshableVersion="3" recordCount="1529" xr:uid="{EFDCE9ED-CE62-4799-A8C4-61F7BE78EAE0}">
  <cacheSource type="worksheet">
    <worksheetSource ref="A1:AF1530" sheet="CVD Dataset"/>
  </cacheSource>
  <cacheFields count="22">
    <cacheField name="Sex" numFmtId="0">
      <sharedItems/>
    </cacheField>
    <cacheField name="Age" numFmtId="0">
      <sharedItems containsString="0" containsBlank="1" containsNumber="1" containsInteger="1" minValue="25" maxValue="79" count="56">
        <n v="32"/>
        <n v="55"/>
        <m/>
        <n v="44"/>
        <n v="58"/>
        <n v="33"/>
        <n v="37"/>
        <n v="38"/>
        <n v="48"/>
        <n v="41"/>
        <n v="57"/>
        <n v="40"/>
        <n v="39"/>
        <n v="34"/>
        <n v="35"/>
        <n v="36"/>
        <n v="53"/>
        <n v="47"/>
        <n v="30"/>
        <n v="31"/>
        <n v="45"/>
        <n v="42"/>
        <n v="46"/>
        <n v="51"/>
        <n v="43"/>
        <n v="56"/>
        <n v="59"/>
        <n v="50"/>
        <n v="52"/>
        <n v="60"/>
        <n v="49"/>
        <n v="54"/>
        <n v="76"/>
        <n v="62"/>
        <n v="67"/>
        <n v="77"/>
        <n v="65"/>
        <n v="28"/>
        <n v="79"/>
        <n v="27"/>
        <n v="70"/>
        <n v="72"/>
        <n v="61"/>
        <n v="25"/>
        <n v="69"/>
        <n v="64"/>
        <n v="68"/>
        <n v="73"/>
        <n v="75"/>
        <n v="71"/>
        <n v="74"/>
        <n v="66"/>
        <n v="63"/>
        <n v="29"/>
        <n v="78"/>
        <n v="26"/>
      </sharedItems>
      <fieldGroup base="1">
        <rangePr startNum="25" endNum="79" groupInterval="10"/>
        <groupItems count="8">
          <s v="(blank)"/>
          <s v="25-34"/>
          <s v="35-44"/>
          <s v="45-54"/>
          <s v="55-64"/>
          <s v="65-74"/>
          <s v="75-84"/>
          <s v="&gt;85"/>
        </groupItems>
      </fieldGroup>
    </cacheField>
    <cacheField name="Weight (kg)" numFmtId="0">
      <sharedItems containsString="0" containsBlank="1" containsNumber="1" minValue="50.1" maxValue="120"/>
    </cacheField>
    <cacheField name="Height (m)" numFmtId="0">
      <sharedItems containsString="0" containsBlank="1" containsNumber="1" minValue="1.502" maxValue="2"/>
    </cacheField>
    <cacheField name="BMI" numFmtId="0">
      <sharedItems containsString="0" containsBlank="1" containsNumber="1" minValue="15" maxValue="46.2"/>
    </cacheField>
    <cacheField name="Abdominal Circumference (cm)" numFmtId="0">
      <sharedItems containsString="0" containsBlank="1" containsNumber="1" minValue="70" maxValue="119.996"/>
    </cacheField>
    <cacheField name="Blood Pressure (mmHg)" numFmtId="0">
      <sharedItems/>
    </cacheField>
    <cacheField name="Total Cholesterol (mg/dL)" numFmtId="0">
      <sharedItems containsString="0" containsBlank="1" containsNumber="1" containsInteger="1" minValue="100" maxValue="300"/>
    </cacheField>
    <cacheField name="HDL (mg/dL)" numFmtId="0">
      <sharedItems containsString="0" containsBlank="1" containsNumber="1" containsInteger="1" minValue="30" maxValue="89"/>
    </cacheField>
    <cacheField name="Fasting Blood Sugar (mg/dL)" numFmtId="0">
      <sharedItems containsString="0" containsBlank="1" containsNumber="1" containsInteger="1" minValue="70" maxValue="198"/>
    </cacheField>
    <cacheField name="Smoking Status" numFmtId="0">
      <sharedItems/>
    </cacheField>
    <cacheField name="Diabetes Status" numFmtId="0">
      <sharedItems/>
    </cacheField>
    <cacheField name="Physical Activity Level" numFmtId="0">
      <sharedItems/>
    </cacheField>
    <cacheField name="Family History of CVD" numFmtId="0">
      <sharedItems/>
    </cacheField>
    <cacheField name="Height (cm)" numFmtId="0">
      <sharedItems containsString="0" containsBlank="1" containsNumber="1" minValue="150" maxValue="199.96"/>
    </cacheField>
    <cacheField name="Waist-to-Height Ratio" numFmtId="0">
      <sharedItems containsString="0" containsBlank="1" containsNumber="1" minValue="0.36" maxValue="0.78700000000000003"/>
    </cacheField>
    <cacheField name="Systolic BP" numFmtId="0">
      <sharedItems containsString="0" containsBlank="1" containsNumber="1" containsInteger="1" minValue="90" maxValue="179"/>
    </cacheField>
    <cacheField name="Diastolic BP" numFmtId="0">
      <sharedItems containsString="0" containsBlank="1" containsNumber="1" containsInteger="1" minValue="60" maxValue="119"/>
    </cacheField>
    <cacheField name="Blood Pressure Category" numFmtId="0">
      <sharedItems/>
    </cacheField>
    <cacheField name="Estimated LDL (mg/dL)" numFmtId="0">
      <sharedItems containsString="0" containsBlank="1" containsNumber="1" containsInteger="1" minValue="-18" maxValue="237"/>
    </cacheField>
    <cacheField name="CVD Risk Score" numFmtId="0">
      <sharedItems containsString="0" containsBlank="1" containsNumber="1" minValue="10.53" maxValue="24.17"/>
    </cacheField>
    <cacheField name="CVD Risk Level" numFmtId="0">
      <sharedItems count="3">
        <s v="INTERMEDIARY"/>
        <s v="HIGH"/>
        <s v="LOW"/>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s" refreshedDate="46066.765504166666" createdVersion="8" refreshedVersion="8" minRefreshableVersion="3" recordCount="1529" xr:uid="{D26A65DD-F94F-44CB-92CF-67D7EB14EC18}">
  <cacheSource type="worksheet">
    <worksheetSource ref="A1:AI1530" sheet="CVD Dataset"/>
  </cacheSource>
  <cacheFields count="23">
    <cacheField name="Sex" numFmtId="0">
      <sharedItems count="2">
        <s v="F"/>
        <s v="M"/>
      </sharedItems>
    </cacheField>
    <cacheField name="Age" numFmtId="0">
      <sharedItems containsString="0" containsBlank="1" containsNumber="1" containsInteger="1" minValue="25" maxValue="79"/>
    </cacheField>
    <cacheField name="Weight (kg)" numFmtId="0">
      <sharedItems containsString="0" containsBlank="1" containsNumber="1" minValue="50.1" maxValue="120"/>
    </cacheField>
    <cacheField name="Height (m)" numFmtId="0">
      <sharedItems containsString="0" containsBlank="1" containsNumber="1" minValue="1.502" maxValue="2"/>
    </cacheField>
    <cacheField name="BMI" numFmtId="0">
      <sharedItems containsString="0" containsBlank="1" containsNumber="1" minValue="15" maxValue="46.2"/>
    </cacheField>
    <cacheField name="Abdominal Circumference (cm)" numFmtId="0">
      <sharedItems containsString="0" containsBlank="1" containsNumber="1" minValue="70" maxValue="119.996"/>
    </cacheField>
    <cacheField name="Blood Pressure (mmHg)" numFmtId="0">
      <sharedItems/>
    </cacheField>
    <cacheField name="Total Cholesterol (mg/dL)" numFmtId="0">
      <sharedItems containsString="0" containsBlank="1" containsNumber="1" containsInteger="1" minValue="100" maxValue="300"/>
    </cacheField>
    <cacheField name="HDL (mg/dL)" numFmtId="0">
      <sharedItems containsString="0" containsBlank="1" containsNumber="1" containsInteger="1" minValue="30" maxValue="89"/>
    </cacheField>
    <cacheField name="Fasting Blood Sugar (mg/dL)" numFmtId="0">
      <sharedItems containsString="0" containsBlank="1" containsNumber="1" containsInteger="1" minValue="70" maxValue="198"/>
    </cacheField>
    <cacheField name="Smoking Status" numFmtId="0">
      <sharedItems count="2">
        <s v="N"/>
        <s v="Y"/>
      </sharedItems>
    </cacheField>
    <cacheField name="Diabetes Status" numFmtId="0">
      <sharedItems/>
    </cacheField>
    <cacheField name="Physical Activity Level" numFmtId="0">
      <sharedItems/>
    </cacheField>
    <cacheField name="Family History of CVD" numFmtId="0">
      <sharedItems/>
    </cacheField>
    <cacheField name="Height (cm)" numFmtId="0">
      <sharedItems containsString="0" containsBlank="1" containsNumber="1" minValue="150" maxValue="199.96"/>
    </cacheField>
    <cacheField name="Waist-to-Height Ratio" numFmtId="0">
      <sharedItems containsString="0" containsBlank="1" containsNumber="1" minValue="0.36" maxValue="0.78700000000000003"/>
    </cacheField>
    <cacheField name="Systolic BP" numFmtId="0">
      <sharedItems containsString="0" containsBlank="1" containsNumber="1" containsInteger="1" minValue="90" maxValue="179"/>
    </cacheField>
    <cacheField name="Diastolic BP" numFmtId="0">
      <sharedItems containsString="0" containsBlank="1" containsNumber="1" containsInteger="1" minValue="60" maxValue="119"/>
    </cacheField>
    <cacheField name="Blood Pressure Category" numFmtId="0">
      <sharedItems/>
    </cacheField>
    <cacheField name="Estimated LDL (mg/dL)" numFmtId="0">
      <sharedItems containsString="0" containsBlank="1" containsNumber="1" containsInteger="1" minValue="-18" maxValue="237"/>
    </cacheField>
    <cacheField name="CVD Risk Score" numFmtId="0">
      <sharedItems containsString="0" containsBlank="1" containsNumber="1" minValue="10.53" maxValue="24.17"/>
    </cacheField>
    <cacheField name="CVD Risk Level" numFmtId="0">
      <sharedItems count="3">
        <s v="INTERMEDIARY"/>
        <s v="HIGH"/>
        <s v="LOW"/>
      </sharedItems>
    </cacheField>
    <cacheField name="High Risk Patients" numFmtId="0">
      <sharedItems count="2">
        <s v="Not High Risk Patients"/>
        <s v="High Risk Patients"/>
      </sharedItems>
    </cacheField>
  </cacheFields>
  <extLst>
    <ext xmlns:x14="http://schemas.microsoft.com/office/spreadsheetml/2009/9/main" uri="{725AE2AE-9491-48be-B2B4-4EB974FC3084}">
      <x14:pivotCacheDefinition pivotCacheId="638871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s" refreshedDate="46072.806608680556" createdVersion="8" refreshedVersion="8" minRefreshableVersion="3" recordCount="1529" xr:uid="{D7F29EBB-0EAD-4C43-934D-70EBF2234898}">
  <cacheSource type="worksheet">
    <worksheetSource ref="A1:AJ1530" sheet="CVD Dataset"/>
  </cacheSource>
  <cacheFields count="36">
    <cacheField name="Sex" numFmtId="0">
      <sharedItems/>
    </cacheField>
    <cacheField name="Age" numFmtId="0">
      <sharedItems containsString="0" containsBlank="1" containsNumber="1" containsInteger="1" minValue="25" maxValue="79" count="56">
        <n v="32"/>
        <n v="55"/>
        <m/>
        <n v="44"/>
        <n v="58"/>
        <n v="33"/>
        <n v="37"/>
        <n v="38"/>
        <n v="48"/>
        <n v="41"/>
        <n v="57"/>
        <n v="40"/>
        <n v="39"/>
        <n v="34"/>
        <n v="35"/>
        <n v="36"/>
        <n v="53"/>
        <n v="47"/>
        <n v="30"/>
        <n v="31"/>
        <n v="45"/>
        <n v="42"/>
        <n v="46"/>
        <n v="51"/>
        <n v="43"/>
        <n v="56"/>
        <n v="59"/>
        <n v="50"/>
        <n v="52"/>
        <n v="60"/>
        <n v="49"/>
        <n v="54"/>
        <n v="76"/>
        <n v="62"/>
        <n v="67"/>
        <n v="77"/>
        <n v="65"/>
        <n v="28"/>
        <n v="79"/>
        <n v="27"/>
        <n v="70"/>
        <n v="72"/>
        <n v="61"/>
        <n v="25"/>
        <n v="69"/>
        <n v="64"/>
        <n v="68"/>
        <n v="73"/>
        <n v="75"/>
        <n v="71"/>
        <n v="74"/>
        <n v="66"/>
        <n v="63"/>
        <n v="29"/>
        <n v="78"/>
        <n v="26"/>
      </sharedItems>
      <fieldGroup base="1">
        <rangePr startNum="25" endNum="79" groupInterval="10"/>
        <groupItems count="8">
          <s v="(blank)"/>
          <s v="25-34"/>
          <s v="35-44"/>
          <s v="45-54"/>
          <s v="55-64"/>
          <s v="65-74"/>
          <s v="75-84"/>
          <s v="&gt;85"/>
        </groupItems>
      </fieldGroup>
    </cacheField>
    <cacheField name="Weight (kg)" numFmtId="0">
      <sharedItems containsString="0" containsBlank="1" containsNumber="1" minValue="50.1" maxValue="120"/>
    </cacheField>
    <cacheField name="Height (m)" numFmtId="0">
      <sharedItems containsString="0" containsBlank="1" containsNumber="1" minValue="1.502" maxValue="2"/>
    </cacheField>
    <cacheField name="BMI" numFmtId="0">
      <sharedItems containsString="0" containsBlank="1" containsNumber="1" minValue="15" maxValue="46.2"/>
    </cacheField>
    <cacheField name="Calculated BMI" numFmtId="0">
      <sharedItems containsMixedTypes="1" containsNumber="1" minValue="0" maxValue="51.041659337643971"/>
    </cacheField>
    <cacheField name="is BMI same to Calculated BMI" numFmtId="0">
      <sharedItems containsMixedTypes="1" containsNumber="1" containsInteger="1" minValue="0" maxValue="1"/>
    </cacheField>
    <cacheField name="BMI Category" numFmtId="0">
      <sharedItems count="4">
        <s v="Normal Weight"/>
        <s v="Obese"/>
        <s v="Overweight"/>
        <s v="Underweight"/>
      </sharedItems>
    </cacheField>
    <cacheField name="Abdominal Circumference (cm)" numFmtId="0">
      <sharedItems containsString="0" containsBlank="1" containsNumber="1" minValue="70" maxValue="119.996"/>
    </cacheField>
    <cacheField name="Blood Pressure (mmHg)" numFmtId="0">
      <sharedItems/>
    </cacheField>
    <cacheField name="Systolic BP (Upper  limit)" numFmtId="0">
      <sharedItems containsSemiMixedTypes="0" containsString="0" containsNumber="1" containsInteger="1" minValue="90" maxValue="179"/>
    </cacheField>
    <cacheField name="Diastolic  BP (lower limit)" numFmtId="0">
      <sharedItems containsSemiMixedTypes="0" containsString="0" containsNumber="1" containsInteger="1" minValue="60" maxValue="119"/>
    </cacheField>
    <cacheField name="Total Cholesterol (mg/dL)" numFmtId="0">
      <sharedItems containsString="0" containsBlank="1" containsNumber="1" containsInteger="1" minValue="100" maxValue="300"/>
    </cacheField>
    <cacheField name="Total Cholesterol Category" numFmtId="0">
      <sharedItems count="3">
        <s v="&gt;180"/>
        <s v="150-180"/>
        <s v="&lt;150"/>
      </sharedItems>
    </cacheField>
    <cacheField name="HDL (mg/dL)" numFmtId="0">
      <sharedItems containsString="0" containsBlank="1" containsNumber="1" containsInteger="1" minValue="30" maxValue="89"/>
    </cacheField>
    <cacheField name="Fasting Blood Sugar (mg/dL)" numFmtId="0">
      <sharedItems containsString="0" containsBlank="1" containsNumber="1" containsInteger="1" minValue="70" maxValue="198"/>
    </cacheField>
    <cacheField name="Smoking Status" numFmtId="0">
      <sharedItems count="2">
        <s v="N"/>
        <s v="Y"/>
      </sharedItems>
    </cacheField>
    <cacheField name="Diabetes Status" numFmtId="0">
      <sharedItems count="2">
        <s v="Y"/>
        <s v="N"/>
      </sharedItems>
    </cacheField>
    <cacheField name="Physical Activity Level" numFmtId="0">
      <sharedItems count="3">
        <s v="Low"/>
        <s v="High"/>
        <s v="Moderate"/>
      </sharedItems>
    </cacheField>
    <cacheField name="Family History of CVD" numFmtId="0">
      <sharedItems/>
    </cacheField>
    <cacheField name="lifestyle risk index" numFmtId="0">
      <sharedItems containsSemiMixedTypes="0" containsString="0" containsNumber="1" containsInteger="1" minValue="0" maxValue="4" count="5">
        <n v="2"/>
        <n v="3"/>
        <n v="1"/>
        <n v="0"/>
        <n v="4"/>
      </sharedItems>
    </cacheField>
    <cacheField name="Height (cm)" numFmtId="0">
      <sharedItems containsString="0" containsBlank="1" containsNumber="1" minValue="150" maxValue="199.96"/>
    </cacheField>
    <cacheField name="Waist-to-Height Ratio" numFmtId="0">
      <sharedItems containsString="0" containsBlank="1" containsNumber="1" minValue="0.36" maxValue="0.78700000000000003"/>
    </cacheField>
    <cacheField name="Waist-to-Height Ratio Quartiles" numFmtId="0">
      <sharedItems count="5">
        <s v="Q2"/>
        <s v="Q3"/>
        <s v="Q1"/>
        <s v="Q4"/>
        <s v=""/>
      </sharedItems>
    </cacheField>
    <cacheField name="Systolic BP" numFmtId="0">
      <sharedItems containsString="0" containsBlank="1" containsNumber="1" containsInteger="1" minValue="90" maxValue="179"/>
    </cacheField>
    <cacheField name="Diastolic BP" numFmtId="0">
      <sharedItems containsString="0" containsBlank="1" containsNumber="1" containsInteger="1" minValue="60" maxValue="119"/>
    </cacheField>
    <cacheField name="Blood Pressure Category" numFmtId="0">
      <sharedItems count="4">
        <s v="Elevated"/>
        <s v="Hypertension Stage 1"/>
        <s v="Normal"/>
        <s v="Hypertension Stage 2"/>
      </sharedItems>
    </cacheField>
    <cacheField name="Estimated LDL (mg/dL)" numFmtId="0">
      <sharedItems containsString="0" containsBlank="1" containsNumber="1" containsInteger="1" minValue="-18" maxValue="237"/>
    </cacheField>
    <cacheField name="LDL/HDL" numFmtId="2">
      <sharedItems containsMixedTypes="1" containsNumber="1" minValue="-0.2" maxValue="7.8"/>
    </cacheField>
    <cacheField name="Lipid Focused Category" numFmtId="0">
      <sharedItems count="2">
        <s v="Normal Category"/>
        <s v="High Lipid Category"/>
      </sharedItems>
    </cacheField>
    <cacheField name="CVD Risk Score" numFmtId="0">
      <sharedItems containsString="0" containsBlank="1" containsNumber="1" minValue="10.53" maxValue="24.17"/>
    </cacheField>
    <cacheField name="CVD Risk Level" numFmtId="0">
      <sharedItems count="3">
        <s v="INTERMEDIARY"/>
        <s v="HIGH"/>
        <s v="LOW"/>
      </sharedItems>
    </cacheField>
    <cacheField name="High HDL + High Risk Flag" numFmtId="0">
      <sharedItems containsSemiMixedTypes="0" containsString="0" containsNumber="1" containsInteger="1" minValue="0" maxValue="1" count="2">
        <n v="0"/>
        <n v="1"/>
      </sharedItems>
    </cacheField>
    <cacheField name="High Risk Patients" numFmtId="0">
      <sharedItems count="2">
        <s v="Not High Risk Patients"/>
        <s v="High Risk Patients"/>
      </sharedItems>
    </cacheField>
    <cacheField name="High Risk Patients (1 or 0)" numFmtId="0">
      <sharedItems containsSemiMixedTypes="0" containsString="0" containsNumber="1" containsInteger="1" minValue="0" maxValue="1"/>
    </cacheField>
    <cacheField name="High_Risk_Cohort_Flag" numFmtId="0">
      <sharedItems count="2">
        <s v="Low Risk Flag"/>
        <s v="High Risk Fla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9">
  <r>
    <s v="F"/>
    <x v="0"/>
    <n v="69.099999999999994"/>
    <n v="1.71"/>
    <n v="23.6"/>
    <n v="86.2"/>
    <s v="125/79"/>
    <n v="248"/>
    <n v="78"/>
    <n v="111"/>
    <s v="N"/>
    <s v="Y"/>
    <s v="Low"/>
    <s v="N"/>
    <n v="171"/>
    <n v="0.504"/>
    <n v="125"/>
    <n v="79"/>
    <s v="Elevated"/>
    <n v="140"/>
    <n v="17.93"/>
    <x v="0"/>
  </r>
  <r>
    <s v="F"/>
    <x v="1"/>
    <n v="118.7"/>
    <n v="1.69"/>
    <n v="41.6"/>
    <n v="82.5"/>
    <s v="139/70"/>
    <n v="162"/>
    <n v="50"/>
    <n v="135"/>
    <s v="Y"/>
    <s v="Y"/>
    <s v="High"/>
    <s v="Y"/>
    <n v="169"/>
    <n v="0.48799999999999999"/>
    <n v="139"/>
    <n v="70"/>
    <s v="Hypertension Stage 1"/>
    <n v="82"/>
    <n v="20.51"/>
    <x v="1"/>
  </r>
  <r>
    <s v="M"/>
    <x v="2"/>
    <m/>
    <n v="1.83"/>
    <n v="26.9"/>
    <n v="106.7"/>
    <s v="104/77"/>
    <n v="103"/>
    <n v="73"/>
    <n v="114"/>
    <s v="N"/>
    <s v="N"/>
    <s v="High"/>
    <s v="Y"/>
    <n v="183"/>
    <n v="0.58299999999999996"/>
    <n v="104"/>
    <n v="77"/>
    <s v="Normal"/>
    <n v="0"/>
    <n v="12.64"/>
    <x v="0"/>
  </r>
  <r>
    <s v="M"/>
    <x v="3"/>
    <n v="108.3"/>
    <n v="1.8"/>
    <n v="33.4"/>
    <n v="96.6"/>
    <s v="140/83"/>
    <n v="134"/>
    <n v="46"/>
    <n v="91"/>
    <s v="N"/>
    <s v="N"/>
    <s v="High"/>
    <s v="Y"/>
    <m/>
    <n v="0.53700000000000003"/>
    <n v="140"/>
    <n v="83"/>
    <s v="Hypertension Stage 1"/>
    <n v="58"/>
    <n v="16.36"/>
    <x v="0"/>
  </r>
  <r>
    <s v="F"/>
    <x v="0"/>
    <n v="99.5"/>
    <n v="1.86"/>
    <n v="28.8"/>
    <n v="102.7"/>
    <s v="144/83"/>
    <n v="146"/>
    <n v="64"/>
    <n v="141"/>
    <s v="Y"/>
    <s v="Y"/>
    <s v="High"/>
    <s v="N"/>
    <n v="186"/>
    <n v="0.55200000000000005"/>
    <n v="144"/>
    <n v="83"/>
    <s v="Hypertension Stage 1"/>
    <n v="52"/>
    <n v="17.88"/>
    <x v="0"/>
  </r>
  <r>
    <s v="F"/>
    <x v="4"/>
    <n v="117.9"/>
    <n v="1.87"/>
    <n v="33.700000000000003"/>
    <n v="81.400000000000006"/>
    <s v="142/90"/>
    <n v="156"/>
    <n v="67"/>
    <n v="82"/>
    <s v="Y"/>
    <s v="N"/>
    <s v="Moderate"/>
    <s v="Y"/>
    <n v="187"/>
    <n v="0.435"/>
    <n v="142"/>
    <n v="90"/>
    <s v="Hypertension Stage 2"/>
    <n v="59"/>
    <n v="16.96"/>
    <x v="1"/>
  </r>
  <r>
    <s v="M"/>
    <x v="5"/>
    <n v="117.9"/>
    <n v="1.82"/>
    <n v="35.6"/>
    <n v="74.8"/>
    <s v="96/63"/>
    <n v="184"/>
    <n v="66"/>
    <n v="87"/>
    <s v="N"/>
    <s v="Y"/>
    <s v="Low"/>
    <s v="N"/>
    <n v="182"/>
    <n v="0.41099999999999998"/>
    <n v="96"/>
    <n v="63"/>
    <s v="Normal"/>
    <n v="88"/>
    <n v="17.600000000000001"/>
    <x v="0"/>
  </r>
  <r>
    <s v="M"/>
    <x v="1"/>
    <n v="100.1"/>
    <n v="1.74"/>
    <n v="33.1"/>
    <n v="96.6"/>
    <s v="115/73"/>
    <n v="287"/>
    <n v="40"/>
    <n v="96"/>
    <s v="Y"/>
    <s v="N"/>
    <s v="Moderate"/>
    <s v="N"/>
    <n v="174"/>
    <n v="0.55500000000000005"/>
    <n v="115"/>
    <n v="73"/>
    <s v="Normal"/>
    <n v="217"/>
    <n v="18.11"/>
    <x v="1"/>
  </r>
  <r>
    <s v="F"/>
    <x v="6"/>
    <n v="110.1"/>
    <n v="1.86"/>
    <n v="31.8"/>
    <n v="92.4"/>
    <s v="107/95"/>
    <n v="177"/>
    <n v="68"/>
    <n v="70"/>
    <s v="Y"/>
    <s v="N"/>
    <s v="High"/>
    <s v="N"/>
    <n v="186"/>
    <n v="0.497"/>
    <m/>
    <n v="95"/>
    <s v="Hypertension Stage 2"/>
    <n v="79"/>
    <n v="15.25"/>
    <x v="0"/>
  </r>
  <r>
    <s v="F"/>
    <x v="4"/>
    <n v="97.6"/>
    <n v="1.86"/>
    <n v="28.2"/>
    <n v="74.599999999999994"/>
    <s v="133/83"/>
    <n v="281"/>
    <n v="68"/>
    <n v="126"/>
    <s v="N"/>
    <s v="N"/>
    <s v="Moderate"/>
    <s v="N"/>
    <n v="186"/>
    <n v="0.40100000000000002"/>
    <n v="133"/>
    <n v="83"/>
    <s v="Hypertension Stage 1"/>
    <n v="183"/>
    <n v="17.91"/>
    <x v="0"/>
  </r>
  <r>
    <s v="F"/>
    <x v="7"/>
    <n v="75.599999999999994"/>
    <n v="1.6"/>
    <n v="29.5"/>
    <n v="72.3"/>
    <s v="129/87"/>
    <n v="269"/>
    <n v="61"/>
    <n v="74"/>
    <s v="Y"/>
    <s v="Y"/>
    <s v="Low"/>
    <s v="Y"/>
    <n v="160"/>
    <n v="0.45200000000000001"/>
    <n v="129"/>
    <n v="87"/>
    <s v="Hypertension Stage 1"/>
    <n v="178"/>
    <n v="19.73"/>
    <x v="1"/>
  </r>
  <r>
    <s v="F"/>
    <x v="0"/>
    <n v="90.2"/>
    <n v="1.85"/>
    <n v="26.4"/>
    <n v="71.8"/>
    <s v="134/91"/>
    <n v="231"/>
    <n v="53"/>
    <n v="121"/>
    <s v="N"/>
    <s v="Y"/>
    <s v="Moderate"/>
    <s v="N"/>
    <n v="185"/>
    <n v="0.38800000000000001"/>
    <n v="134"/>
    <n v="91"/>
    <s v="Hypertension Stage 1"/>
    <n v="148"/>
    <n v="18.600000000000001"/>
    <x v="0"/>
  </r>
  <r>
    <s v="M"/>
    <x v="8"/>
    <m/>
    <m/>
    <n v="28.8"/>
    <n v="79.7"/>
    <s v="102/63"/>
    <n v="245"/>
    <n v="72"/>
    <n v="97"/>
    <s v="Y"/>
    <s v="N"/>
    <s v="Low"/>
    <s v="Y"/>
    <n v="178"/>
    <n v="0.44800000000000001"/>
    <n v="102"/>
    <n v="63"/>
    <s v="Normal"/>
    <n v="143"/>
    <n v="15.76"/>
    <x v="1"/>
  </r>
  <r>
    <s v="M"/>
    <x v="7"/>
    <n v="117"/>
    <n v="1.81"/>
    <n v="35.700000000000003"/>
    <n v="79.3"/>
    <s v="142/92"/>
    <n v="206"/>
    <n v="51"/>
    <n v="122"/>
    <s v="Y"/>
    <s v="Y"/>
    <s v="High"/>
    <s v="Y"/>
    <n v="181"/>
    <n v="0.438"/>
    <n v="142"/>
    <n v="92"/>
    <s v="Hypertension Stage 2"/>
    <n v="125"/>
    <n v="20.36"/>
    <x v="1"/>
  </r>
  <r>
    <s v="M"/>
    <x v="4"/>
    <n v="104.2"/>
    <n v="1.73"/>
    <n v="34.799999999999997"/>
    <n v="108.4"/>
    <s v="101/64"/>
    <m/>
    <n v="68"/>
    <n v="142"/>
    <s v="Y"/>
    <s v="Y"/>
    <s v="Low"/>
    <s v="Y"/>
    <n v="173"/>
    <n v="0.627"/>
    <n v="101"/>
    <n v="64"/>
    <s v="Normal"/>
    <n v="190"/>
    <m/>
    <x v="1"/>
  </r>
  <r>
    <s v="M"/>
    <x v="7"/>
    <n v="116.5"/>
    <n v="1.64"/>
    <n v="43.3"/>
    <n v="76.7"/>
    <s v="101/67"/>
    <n v="115"/>
    <n v="41"/>
    <n v="111"/>
    <s v="N"/>
    <s v="N"/>
    <s v="Low"/>
    <s v="N"/>
    <n v="164"/>
    <n v="0.46800000000000003"/>
    <n v="101"/>
    <n v="67"/>
    <s v="Normal"/>
    <n v="44"/>
    <n v="16.010000000000002"/>
    <x v="0"/>
  </r>
  <r>
    <s v="F"/>
    <x v="9"/>
    <n v="60.8"/>
    <n v="1.68"/>
    <n v="21.5"/>
    <n v="77.099999999999994"/>
    <s v="138/99"/>
    <m/>
    <n v="60"/>
    <m/>
    <s v="Y"/>
    <s v="Y"/>
    <s v="Low"/>
    <s v="N"/>
    <n v="168"/>
    <m/>
    <n v="138"/>
    <n v="99"/>
    <s v="Hypertension Stage 1"/>
    <n v="138"/>
    <n v="17.760000000000002"/>
    <x v="1"/>
  </r>
  <r>
    <s v="M"/>
    <x v="10"/>
    <n v="94.5"/>
    <n v="1.8"/>
    <n v="29.2"/>
    <n v="89.9"/>
    <s v="129/100"/>
    <m/>
    <n v="64"/>
    <n v="109"/>
    <s v="N"/>
    <s v="Y"/>
    <s v="Moderate"/>
    <s v="N"/>
    <n v="180"/>
    <n v="0.499"/>
    <n v="129"/>
    <n v="100"/>
    <s v="Hypertension Stage 2"/>
    <n v="78"/>
    <n v="17.73"/>
    <x v="0"/>
  </r>
  <r>
    <s v="F"/>
    <x v="9"/>
    <n v="58.3"/>
    <n v="1.85"/>
    <n v="17"/>
    <n v="100.6"/>
    <s v="138/96"/>
    <n v="167"/>
    <n v="51"/>
    <n v="135"/>
    <s v="N"/>
    <s v="N"/>
    <s v="Moderate"/>
    <s v="Y"/>
    <n v="185"/>
    <m/>
    <n v="138"/>
    <n v="96"/>
    <s v="Hypertension Stage 1"/>
    <n v="86"/>
    <n v="13.64"/>
    <x v="2"/>
  </r>
  <r>
    <s v="F"/>
    <x v="8"/>
    <n v="50.6"/>
    <n v="1.7"/>
    <n v="17.5"/>
    <m/>
    <s v="95/92"/>
    <n v="185"/>
    <n v="68"/>
    <n v="116"/>
    <s v="Y"/>
    <s v="N"/>
    <s v="Low"/>
    <s v="Y"/>
    <n v="170"/>
    <n v="0.64600000000000002"/>
    <n v="95"/>
    <n v="92"/>
    <s v="Hypertension Stage 2"/>
    <n v="87"/>
    <n v="11.95"/>
    <x v="1"/>
  </r>
  <r>
    <s v="F"/>
    <x v="11"/>
    <n v="85.6"/>
    <n v="1.77"/>
    <n v="27.3"/>
    <n v="98.7"/>
    <s v="132/92"/>
    <n v="282"/>
    <n v="80"/>
    <n v="112"/>
    <s v="Y"/>
    <s v="Y"/>
    <s v="Low"/>
    <s v="Y"/>
    <n v="177"/>
    <n v="0.55800000000000005"/>
    <n v="132"/>
    <n v="92"/>
    <s v="Hypertension Stage 1"/>
    <n v="172"/>
    <n v="19.7"/>
    <x v="1"/>
  </r>
  <r>
    <s v="F"/>
    <x v="12"/>
    <n v="92.7"/>
    <n v="1.61"/>
    <n v="35.799999999999997"/>
    <n v="105.6"/>
    <s v="120/89"/>
    <n v="176"/>
    <n v="71"/>
    <n v="85"/>
    <s v="Y"/>
    <s v="N"/>
    <s v="Low"/>
    <s v="Y"/>
    <n v="161"/>
    <n v="0.65600000000000003"/>
    <n v="120"/>
    <n v="89"/>
    <s v="Hypertension Stage 1"/>
    <n v="75"/>
    <n v="16.68"/>
    <x v="1"/>
  </r>
  <r>
    <s v="F"/>
    <x v="13"/>
    <n v="90.4"/>
    <m/>
    <n v="25"/>
    <n v="71.400000000000006"/>
    <s v="121/79"/>
    <n v="149"/>
    <n v="76"/>
    <n v="114"/>
    <s v="N"/>
    <s v="Y"/>
    <s v="Low"/>
    <s v="Y"/>
    <n v="190"/>
    <n v="0.376"/>
    <m/>
    <m/>
    <s v="Elevated"/>
    <n v="43"/>
    <n v="16.03"/>
    <x v="1"/>
  </r>
  <r>
    <s v="F"/>
    <x v="14"/>
    <n v="60.1"/>
    <n v="1.76"/>
    <n v="19.399999999999999"/>
    <n v="86.9"/>
    <s v="102/74"/>
    <n v="191"/>
    <n v="65"/>
    <n v="86"/>
    <s v="N"/>
    <s v="N"/>
    <s v="Moderate"/>
    <s v="Y"/>
    <n v="176"/>
    <n v="0.49399999999999999"/>
    <n v="102"/>
    <n v="74"/>
    <s v="Normal"/>
    <n v="96"/>
    <n v="12.8"/>
    <x v="2"/>
  </r>
  <r>
    <s v="M"/>
    <x v="15"/>
    <n v="96"/>
    <n v="1.63"/>
    <n v="36.1"/>
    <n v="78.2"/>
    <s v="98/99"/>
    <n v="158"/>
    <n v="39"/>
    <n v="108"/>
    <s v="Y"/>
    <s v="Y"/>
    <s v="Low"/>
    <s v="Y"/>
    <n v="163"/>
    <n v="0.48"/>
    <n v="98"/>
    <n v="99"/>
    <s v="Hypertension Stage 2"/>
    <n v="89"/>
    <n v="17.28"/>
    <x v="1"/>
  </r>
  <r>
    <s v="F"/>
    <x v="16"/>
    <n v="68.900000000000006"/>
    <n v="1.88"/>
    <n v="19.5"/>
    <n v="84.6"/>
    <s v="137/70"/>
    <n v="156"/>
    <m/>
    <n v="128"/>
    <s v="Y"/>
    <s v="Y"/>
    <s v="High"/>
    <s v="Y"/>
    <n v="188"/>
    <n v="0.45"/>
    <n v="137"/>
    <n v="70"/>
    <s v="Hypertension Stage 1"/>
    <n v="47"/>
    <n v="15.87"/>
    <x v="1"/>
  </r>
  <r>
    <s v="F"/>
    <x v="1"/>
    <n v="96"/>
    <n v="1.65"/>
    <n v="35.299999999999997"/>
    <n v="83.6"/>
    <s v="148/97"/>
    <n v="160"/>
    <n v="41"/>
    <m/>
    <s v="N"/>
    <s v="N"/>
    <s v="Low"/>
    <s v="Y"/>
    <n v="165"/>
    <n v="0.50700000000000001"/>
    <n v="148"/>
    <m/>
    <s v="Hypertension Stage 2"/>
    <n v="89"/>
    <n v="17.66"/>
    <x v="1"/>
  </r>
  <r>
    <s v="M"/>
    <x v="17"/>
    <n v="111.6"/>
    <n v="1.73"/>
    <m/>
    <n v="75.900000000000006"/>
    <s v="128/66"/>
    <n v="283"/>
    <n v="64"/>
    <n v="142"/>
    <s v="Y"/>
    <s v="N"/>
    <s v="Low"/>
    <s v="N"/>
    <n v="173"/>
    <n v="0.439"/>
    <n v="128"/>
    <n v="66"/>
    <s v="Elevated"/>
    <n v="189"/>
    <n v="19.52"/>
    <x v="1"/>
  </r>
  <r>
    <s v="M"/>
    <x v="1"/>
    <n v="106"/>
    <n v="1.82"/>
    <n v="32"/>
    <n v="109.3"/>
    <s v="97/63"/>
    <n v="287"/>
    <n v="35"/>
    <n v="130"/>
    <s v="N"/>
    <s v="Y"/>
    <s v="Moderate"/>
    <s v="N"/>
    <n v="182"/>
    <n v="0.60099999999999998"/>
    <n v="97"/>
    <n v="63"/>
    <s v="Normal"/>
    <n v="222"/>
    <n v="18.989999999999998"/>
    <x v="1"/>
  </r>
  <r>
    <s v="M"/>
    <x v="18"/>
    <m/>
    <n v="1.83"/>
    <n v="22.6"/>
    <n v="75.099999999999994"/>
    <s v="91/95"/>
    <n v="277"/>
    <n v="32"/>
    <n v="73"/>
    <s v="Y"/>
    <s v="N"/>
    <s v="Moderate"/>
    <s v="Y"/>
    <n v="183"/>
    <n v="0.41"/>
    <n v="91"/>
    <n v="95"/>
    <s v="Hypertension Stage 2"/>
    <n v="215"/>
    <n v="14.61"/>
    <x v="1"/>
  </r>
  <r>
    <s v="F"/>
    <x v="4"/>
    <n v="64.7"/>
    <n v="1.64"/>
    <n v="24.1"/>
    <n v="82.1"/>
    <s v="97/75"/>
    <n v="151"/>
    <n v="40"/>
    <n v="123"/>
    <s v="Y"/>
    <s v="N"/>
    <s v="Low"/>
    <s v="N"/>
    <n v="164"/>
    <m/>
    <n v="97"/>
    <n v="75"/>
    <s v="Normal"/>
    <n v="81"/>
    <n v="12.69"/>
    <x v="0"/>
  </r>
  <r>
    <s v="F"/>
    <x v="19"/>
    <n v="51.6"/>
    <n v="1.71"/>
    <n v="17.600000000000001"/>
    <n v="93.7"/>
    <s v="109/64"/>
    <n v="165"/>
    <n v="79"/>
    <n v="136"/>
    <s v="Y"/>
    <s v="Y"/>
    <s v="Low"/>
    <s v="N"/>
    <n v="171"/>
    <n v="0.54800000000000004"/>
    <n v="109"/>
    <n v="64"/>
    <s v="Normal"/>
    <n v="56"/>
    <n v="14.27"/>
    <x v="0"/>
  </r>
  <r>
    <s v="M"/>
    <x v="1"/>
    <n v="112.8"/>
    <n v="1.74"/>
    <n v="37.299999999999997"/>
    <n v="80.900000000000006"/>
    <s v="106/87"/>
    <n v="145"/>
    <n v="32"/>
    <n v="150"/>
    <s v="Y"/>
    <s v="Y"/>
    <s v="High"/>
    <s v="Y"/>
    <n v="174"/>
    <n v="0.46500000000000002"/>
    <n v="106"/>
    <n v="87"/>
    <s v="Hypertension Stage 1"/>
    <n v="83"/>
    <n v="17.66"/>
    <x v="1"/>
  </r>
  <r>
    <s v="M"/>
    <x v="6"/>
    <n v="108.4"/>
    <m/>
    <n v="36.200000000000003"/>
    <n v="80.099999999999994"/>
    <s v="100/83"/>
    <m/>
    <n v="48"/>
    <n v="145"/>
    <s v="Y"/>
    <s v="N"/>
    <s v="Moderate"/>
    <s v="N"/>
    <n v="173"/>
    <n v="0.46300000000000002"/>
    <n v="100"/>
    <n v="83"/>
    <s v="Hypertension Stage 1"/>
    <n v="55"/>
    <n v="14.9"/>
    <x v="0"/>
  </r>
  <r>
    <s v="M"/>
    <x v="0"/>
    <m/>
    <n v="1.62"/>
    <n v="24"/>
    <n v="105.5"/>
    <s v="122/84"/>
    <n v="155"/>
    <n v="74"/>
    <n v="130"/>
    <s v="N"/>
    <s v="N"/>
    <s v="Low"/>
    <s v="N"/>
    <n v="162"/>
    <n v="0.65100000000000002"/>
    <n v="122"/>
    <n v="84"/>
    <s v="Hypertension Stage 1"/>
    <n v="51"/>
    <n v="14"/>
    <x v="2"/>
  </r>
  <r>
    <s v="M"/>
    <x v="20"/>
    <n v="58.7"/>
    <n v="1.73"/>
    <n v="19.600000000000001"/>
    <m/>
    <s v="136/80"/>
    <n v="286"/>
    <n v="73"/>
    <n v="141"/>
    <s v="N"/>
    <s v="Y"/>
    <s v="High"/>
    <s v="Y"/>
    <n v="173"/>
    <n v="0.46"/>
    <n v="136"/>
    <m/>
    <s v="Hypertension Stage 1"/>
    <n v="183"/>
    <n v="18.440000000000001"/>
    <x v="0"/>
  </r>
  <r>
    <s v="F"/>
    <x v="0"/>
    <n v="116.2"/>
    <m/>
    <n v="36.700000000000003"/>
    <n v="89.8"/>
    <s v="99/99"/>
    <n v="115"/>
    <n v="52"/>
    <n v="147"/>
    <s v="N"/>
    <s v="Y"/>
    <s v="Moderate"/>
    <s v="Y"/>
    <n v="178"/>
    <n v="0.504"/>
    <n v="99"/>
    <n v="99"/>
    <s v="Hypertension Stage 2"/>
    <n v="33"/>
    <n v="16.59"/>
    <x v="0"/>
  </r>
  <r>
    <s v="F"/>
    <x v="21"/>
    <n v="100.4"/>
    <n v="1.77"/>
    <n v="32"/>
    <n v="82.5"/>
    <s v="144/73"/>
    <n v="164"/>
    <n v="75"/>
    <n v="96"/>
    <s v="N"/>
    <s v="Y"/>
    <s v="High"/>
    <s v="Y"/>
    <n v="177"/>
    <n v="0.46600000000000003"/>
    <n v="144"/>
    <n v="73"/>
    <s v="Hypertension Stage 2"/>
    <n v="59"/>
    <n v="18.88"/>
    <x v="0"/>
  </r>
  <r>
    <s v="M"/>
    <x v="5"/>
    <n v="81.599999999999994"/>
    <n v="1.87"/>
    <n v="23.3"/>
    <n v="70"/>
    <s v="130/75"/>
    <n v="285"/>
    <n v="69"/>
    <m/>
    <s v="N"/>
    <s v="N"/>
    <s v="Low"/>
    <s v="N"/>
    <n v="187"/>
    <n v="0.374"/>
    <m/>
    <n v="75"/>
    <s v="Hypertension Stage 1"/>
    <n v="186"/>
    <n v="16.86"/>
    <x v="0"/>
  </r>
  <r>
    <s v="M"/>
    <x v="22"/>
    <n v="69.3"/>
    <n v="1.63"/>
    <n v="26.1"/>
    <n v="102.6"/>
    <s v="134/64"/>
    <n v="111"/>
    <n v="74"/>
    <n v="94"/>
    <s v="N"/>
    <s v="N"/>
    <s v="Low"/>
    <s v="N"/>
    <n v="163"/>
    <n v="0.629"/>
    <n v="134"/>
    <n v="64"/>
    <s v="Hypertension Stage 1"/>
    <n v="7"/>
    <m/>
    <x v="0"/>
  </r>
  <r>
    <s v="F"/>
    <x v="2"/>
    <n v="109.2"/>
    <n v="1.74"/>
    <n v="36.1"/>
    <n v="80.099999999999994"/>
    <s v="117/85"/>
    <n v="155"/>
    <n v="65"/>
    <n v="138"/>
    <s v="Y"/>
    <s v="N"/>
    <s v="Low"/>
    <s v="Y"/>
    <n v="174"/>
    <n v="0.46"/>
    <n v="117"/>
    <n v="85"/>
    <s v="Hypertension Stage 1"/>
    <n v="60"/>
    <n v="16.170000000000002"/>
    <x v="1"/>
  </r>
  <r>
    <s v="F"/>
    <x v="23"/>
    <n v="102.1"/>
    <n v="1.9"/>
    <n v="28.3"/>
    <n v="94.1"/>
    <s v="116/61"/>
    <n v="297"/>
    <n v="38"/>
    <n v="98"/>
    <s v="Y"/>
    <s v="N"/>
    <s v="High"/>
    <s v="N"/>
    <n v="190"/>
    <m/>
    <n v="116"/>
    <n v="61"/>
    <s v="Normal"/>
    <n v="229"/>
    <n v="17.399999999999999"/>
    <x v="1"/>
  </r>
  <r>
    <s v="F"/>
    <x v="24"/>
    <n v="71.400000000000006"/>
    <n v="1.76"/>
    <n v="23.1"/>
    <n v="97.7"/>
    <s v="105/64"/>
    <n v="123"/>
    <n v="50"/>
    <n v="125"/>
    <s v="Y"/>
    <s v="N"/>
    <s v="High"/>
    <s v="Y"/>
    <n v="176"/>
    <n v="0.55500000000000005"/>
    <n v="105"/>
    <n v="64"/>
    <s v="Normal"/>
    <n v="43"/>
    <n v="12.33"/>
    <x v="0"/>
  </r>
  <r>
    <s v="F"/>
    <x v="3"/>
    <n v="64.400000000000006"/>
    <n v="1.76"/>
    <n v="20.8"/>
    <n v="100.6"/>
    <s v="129/78"/>
    <n v="132"/>
    <n v="49"/>
    <n v="145"/>
    <s v="Y"/>
    <s v="Y"/>
    <s v="Moderate"/>
    <s v="N"/>
    <n v="176"/>
    <m/>
    <n v="129"/>
    <n v="78"/>
    <s v="Elevated"/>
    <n v="53"/>
    <n v="15.25"/>
    <x v="0"/>
  </r>
  <r>
    <s v="F"/>
    <x v="2"/>
    <m/>
    <n v="1.81"/>
    <n v="32.1"/>
    <n v="75.7"/>
    <s v="94/61"/>
    <n v="144"/>
    <n v="69"/>
    <n v="129"/>
    <s v="N"/>
    <s v="Y"/>
    <s v="Moderate"/>
    <s v="Y"/>
    <n v="181"/>
    <n v="0.41799999999999998"/>
    <n v="94"/>
    <n v="61"/>
    <s v="Normal"/>
    <n v="45"/>
    <n v="16"/>
    <x v="0"/>
  </r>
  <r>
    <s v="F"/>
    <x v="19"/>
    <n v="115.5"/>
    <n v="1.64"/>
    <n v="42.9"/>
    <n v="73.400000000000006"/>
    <s v="129/75"/>
    <n v="229"/>
    <m/>
    <n v="85"/>
    <s v="N"/>
    <s v="Y"/>
    <s v="High"/>
    <s v="Y"/>
    <n v="164"/>
    <n v="0.44800000000000001"/>
    <n v="129"/>
    <n v="75"/>
    <s v="Elevated"/>
    <n v="156"/>
    <n v="21.61"/>
    <x v="1"/>
  </r>
  <r>
    <s v="F"/>
    <x v="8"/>
    <n v="81.8"/>
    <n v="1.61"/>
    <n v="31.6"/>
    <n v="88.5"/>
    <s v="110/74"/>
    <n v="111"/>
    <n v="31"/>
    <n v="123"/>
    <s v="N"/>
    <s v="Y"/>
    <s v="Moderate"/>
    <s v="Y"/>
    <n v="161"/>
    <n v="0.55000000000000004"/>
    <n v="110"/>
    <n v="74"/>
    <s v="Normal"/>
    <m/>
    <n v="16.04"/>
    <x v="1"/>
  </r>
  <r>
    <s v="M"/>
    <x v="13"/>
    <m/>
    <n v="1.71"/>
    <n v="36.6"/>
    <n v="79.7"/>
    <s v="120/77"/>
    <n v="250"/>
    <n v="60"/>
    <n v="88"/>
    <s v="N"/>
    <s v="Y"/>
    <s v="High"/>
    <s v="Y"/>
    <n v="171"/>
    <n v="0.46600000000000003"/>
    <n v="120"/>
    <n v="77"/>
    <s v="Elevated"/>
    <m/>
    <n v="20.32"/>
    <x v="1"/>
  </r>
  <r>
    <s v="M"/>
    <x v="9"/>
    <n v="114.7"/>
    <n v="1.8"/>
    <n v="35.4"/>
    <n v="75.099999999999994"/>
    <s v="145/84"/>
    <n v="119"/>
    <n v="74"/>
    <n v="133"/>
    <s v="Y"/>
    <s v="Y"/>
    <s v="High"/>
    <s v="N"/>
    <n v="180"/>
    <n v="0.41699999999999998"/>
    <n v="145"/>
    <n v="84"/>
    <s v="Hypertension Stage 1"/>
    <n v="15"/>
    <n v="18.71"/>
    <x v="0"/>
  </r>
  <r>
    <s v="M"/>
    <x v="25"/>
    <n v="61"/>
    <n v="1.82"/>
    <n v="18.399999999999999"/>
    <m/>
    <s v="97/73"/>
    <n v="260"/>
    <n v="79"/>
    <n v="78"/>
    <s v="N"/>
    <s v="N"/>
    <s v="Moderate"/>
    <s v="N"/>
    <n v="182"/>
    <n v="0.48099999999999998"/>
    <n v="97"/>
    <n v="73"/>
    <s v="Normal"/>
    <m/>
    <n v="13.73"/>
    <x v="0"/>
  </r>
  <r>
    <s v="M"/>
    <x v="1"/>
    <n v="110.3"/>
    <n v="1.61"/>
    <n v="42.6"/>
    <n v="74.5"/>
    <s v="135/96"/>
    <n v="101"/>
    <n v="43"/>
    <n v="117"/>
    <s v="N"/>
    <s v="N"/>
    <s v="High"/>
    <s v="N"/>
    <n v="161"/>
    <n v="0.46300000000000002"/>
    <n v="135"/>
    <m/>
    <s v="Hypertension Stage 1"/>
    <n v="28"/>
    <m/>
    <x v="0"/>
  </r>
  <r>
    <s v="F"/>
    <x v="2"/>
    <n v="75.2"/>
    <n v="1.7"/>
    <n v="26"/>
    <n v="93.2"/>
    <s v="135/75"/>
    <n v="144"/>
    <n v="49"/>
    <n v="103"/>
    <s v="Y"/>
    <s v="N"/>
    <s v="Moderate"/>
    <s v="N"/>
    <n v="170"/>
    <n v="0.54800000000000004"/>
    <n v="135"/>
    <n v="75"/>
    <s v="Hypertension Stage 1"/>
    <n v="65"/>
    <n v="14.83"/>
    <x v="0"/>
  </r>
  <r>
    <s v="M"/>
    <x v="26"/>
    <n v="96.3"/>
    <n v="1.75"/>
    <n v="31.4"/>
    <n v="90"/>
    <s v="102/71"/>
    <n v="115"/>
    <n v="73"/>
    <m/>
    <s v="N"/>
    <s v="Y"/>
    <s v="High"/>
    <s v="N"/>
    <n v="175"/>
    <n v="0.51400000000000001"/>
    <n v="102"/>
    <m/>
    <s v="Normal"/>
    <n v="12"/>
    <n v="15.68"/>
    <x v="0"/>
  </r>
  <r>
    <s v="F"/>
    <x v="27"/>
    <n v="67.900000000000006"/>
    <n v="1.83"/>
    <n v="20.3"/>
    <n v="108.2"/>
    <s v="148/92"/>
    <n v="128"/>
    <n v="32"/>
    <n v="87"/>
    <s v="Y"/>
    <s v="Y"/>
    <s v="High"/>
    <s v="Y"/>
    <n v="183"/>
    <n v="0.59099999999999997"/>
    <n v="148"/>
    <n v="92"/>
    <s v="Hypertension Stage 2"/>
    <n v="66"/>
    <n v="16.02"/>
    <x v="1"/>
  </r>
  <r>
    <s v="F"/>
    <x v="28"/>
    <n v="98.9"/>
    <n v="1.61"/>
    <n v="38.200000000000003"/>
    <n v="79.900000000000006"/>
    <s v="139/66"/>
    <n v="175"/>
    <n v="32"/>
    <n v="145"/>
    <s v="Y"/>
    <s v="Y"/>
    <s v="Moderate"/>
    <s v="N"/>
    <n v="161"/>
    <n v="0.496"/>
    <n v="139"/>
    <n v="66"/>
    <s v="Hypertension Stage 1"/>
    <n v="113"/>
    <n v="20.09"/>
    <x v="1"/>
  </r>
  <r>
    <s v="M"/>
    <x v="24"/>
    <n v="65.8"/>
    <n v="1.76"/>
    <n v="21.2"/>
    <n v="101.1"/>
    <s v="94/81"/>
    <n v="243"/>
    <n v="66"/>
    <n v="70"/>
    <s v="N"/>
    <s v="Y"/>
    <s v="Moderate"/>
    <s v="Y"/>
    <n v="176"/>
    <n v="0.57399999999999995"/>
    <n v="94"/>
    <n v="81"/>
    <s v="Hypertension Stage 1"/>
    <n v="147"/>
    <n v="15.8"/>
    <x v="0"/>
  </r>
  <r>
    <s v="F"/>
    <x v="6"/>
    <n v="74.599999999999994"/>
    <n v="1.74"/>
    <n v="24.6"/>
    <n v="107.8"/>
    <s v="104/60"/>
    <n v="124"/>
    <n v="48"/>
    <n v="98"/>
    <s v="Y"/>
    <s v="Y"/>
    <s v="High"/>
    <s v="N"/>
    <n v="174"/>
    <n v="0.62"/>
    <n v="104"/>
    <n v="60"/>
    <s v="Normal"/>
    <n v="46"/>
    <n v="14.6"/>
    <x v="0"/>
  </r>
  <r>
    <s v="F"/>
    <x v="23"/>
    <n v="100.5"/>
    <n v="1.82"/>
    <n v="30.3"/>
    <n v="106.4"/>
    <s v="129/71"/>
    <n v="257"/>
    <n v="76"/>
    <n v="89"/>
    <s v="Y"/>
    <s v="N"/>
    <s v="Moderate"/>
    <s v="N"/>
    <n v="182"/>
    <n v="0.58499999999999996"/>
    <n v="129"/>
    <n v="71"/>
    <s v="Elevated"/>
    <n v="151"/>
    <n v="17.649999999999999"/>
    <x v="1"/>
  </r>
  <r>
    <s v="F"/>
    <x v="3"/>
    <n v="101.5"/>
    <n v="1.69"/>
    <n v="35.5"/>
    <n v="91.5"/>
    <s v="98/73"/>
    <n v="103"/>
    <n v="74"/>
    <n v="93"/>
    <s v="N"/>
    <s v="N"/>
    <s v="Moderate"/>
    <s v="N"/>
    <n v="169"/>
    <n v="0.54100000000000004"/>
    <n v="98"/>
    <n v="73"/>
    <s v="Normal"/>
    <n v="-1"/>
    <n v="14.06"/>
    <x v="2"/>
  </r>
  <r>
    <s v="F"/>
    <x v="22"/>
    <n v="65.7"/>
    <n v="1.77"/>
    <n v="21"/>
    <n v="77.099999999999994"/>
    <s v="129/78"/>
    <n v="232"/>
    <n v="59"/>
    <n v="113"/>
    <s v="N"/>
    <s v="Y"/>
    <s v="High"/>
    <s v="N"/>
    <n v="177"/>
    <n v="0.436"/>
    <n v="129"/>
    <n v="78"/>
    <s v="Elevated"/>
    <n v="143"/>
    <n v="17.29"/>
    <x v="0"/>
  </r>
  <r>
    <s v="F"/>
    <x v="16"/>
    <n v="103.9"/>
    <n v="1.77"/>
    <n v="33.200000000000003"/>
    <n v="71.599999999999994"/>
    <s v="149/84"/>
    <n v="247"/>
    <n v="50"/>
    <n v="130"/>
    <s v="N"/>
    <s v="Y"/>
    <s v="Moderate"/>
    <s v="N"/>
    <n v="177"/>
    <n v="0.40500000000000003"/>
    <n v="149"/>
    <n v="84"/>
    <s v="Hypertension Stage 1"/>
    <n v="167"/>
    <n v="21.03"/>
    <x v="1"/>
  </r>
  <r>
    <s v="F"/>
    <x v="25"/>
    <n v="112.1"/>
    <n v="1.78"/>
    <n v="35.4"/>
    <n v="87.4"/>
    <s v="103/98"/>
    <m/>
    <n v="67"/>
    <n v="89"/>
    <s v="N"/>
    <s v="Y"/>
    <s v="Moderate"/>
    <s v="Y"/>
    <n v="178"/>
    <n v="0.49099999999999999"/>
    <n v="103"/>
    <n v="98"/>
    <s v="Hypertension Stage 2"/>
    <n v="50"/>
    <n v="17.170000000000002"/>
    <x v="1"/>
  </r>
  <r>
    <s v="M"/>
    <x v="24"/>
    <n v="118"/>
    <n v="1.64"/>
    <n v="43.9"/>
    <n v="73.599999999999994"/>
    <s v="99/92"/>
    <n v="199"/>
    <n v="51"/>
    <n v="129"/>
    <s v="N"/>
    <s v="N"/>
    <s v="Moderate"/>
    <s v="Y"/>
    <n v="164"/>
    <n v="0.44900000000000001"/>
    <n v="99"/>
    <n v="92"/>
    <s v="Hypertension Stage 2"/>
    <n v="118"/>
    <n v="17.71"/>
    <x v="0"/>
  </r>
  <r>
    <s v="M"/>
    <x v="11"/>
    <n v="107.4"/>
    <n v="1.6"/>
    <n v="42"/>
    <m/>
    <s v="114/91"/>
    <m/>
    <n v="52"/>
    <n v="89"/>
    <s v="Y"/>
    <s v="N"/>
    <s v="Moderate"/>
    <s v="N"/>
    <n v="160"/>
    <n v="0.57899999999999996"/>
    <n v="114"/>
    <n v="91"/>
    <s v="Hypertension Stage 2"/>
    <n v="89"/>
    <n v="17.52"/>
    <x v="0"/>
  </r>
  <r>
    <s v="F"/>
    <x v="23"/>
    <n v="60.6"/>
    <n v="1.88"/>
    <n v="17.100000000000001"/>
    <n v="75.7"/>
    <s v="116/64"/>
    <n v="146"/>
    <n v="50"/>
    <n v="99"/>
    <s v="N"/>
    <s v="Y"/>
    <s v="Low"/>
    <s v="Y"/>
    <n v="188"/>
    <n v="0.40300000000000002"/>
    <n v="116"/>
    <n v="64"/>
    <s v="Normal"/>
    <n v="66"/>
    <n v="14.14"/>
    <x v="1"/>
  </r>
  <r>
    <s v="F"/>
    <x v="28"/>
    <n v="54.7"/>
    <n v="1.61"/>
    <n v="21.1"/>
    <n v="78.099999999999994"/>
    <s v="93/65"/>
    <n v="193"/>
    <n v="79"/>
    <n v="127"/>
    <s v="N"/>
    <s v="Y"/>
    <s v="High"/>
    <s v="Y"/>
    <n v="161"/>
    <n v="0.48499999999999999"/>
    <n v="93"/>
    <n v="65"/>
    <s v="Normal"/>
    <n v="84"/>
    <n v="14.73"/>
    <x v="0"/>
  </r>
  <r>
    <s v="F"/>
    <x v="1"/>
    <n v="117.2"/>
    <n v="1.72"/>
    <n v="39.6"/>
    <n v="74.2"/>
    <s v="113/63"/>
    <n v="164"/>
    <n v="57"/>
    <n v="150"/>
    <s v="N"/>
    <s v="N"/>
    <s v="Low"/>
    <s v="N"/>
    <n v="172"/>
    <n v="0.43099999999999999"/>
    <n v="113"/>
    <n v="63"/>
    <s v="Normal"/>
    <n v="77"/>
    <n v="16.850000000000001"/>
    <x v="0"/>
  </r>
  <r>
    <s v="F"/>
    <x v="8"/>
    <n v="56.7"/>
    <n v="1.63"/>
    <n v="21.3"/>
    <n v="80.3"/>
    <s v="142/66"/>
    <n v="141"/>
    <n v="62"/>
    <n v="96"/>
    <s v="N"/>
    <s v="N"/>
    <s v="Moderate"/>
    <s v="N"/>
    <n v="163"/>
    <m/>
    <m/>
    <n v="66"/>
    <s v="Hypertension Stage 2"/>
    <n v="49"/>
    <n v="14.18"/>
    <x v="2"/>
  </r>
  <r>
    <s v="M"/>
    <x v="4"/>
    <n v="77"/>
    <m/>
    <n v="21.8"/>
    <n v="97.3"/>
    <s v="142/69"/>
    <n v="125"/>
    <n v="80"/>
    <n v="96"/>
    <s v="N"/>
    <s v="N"/>
    <s v="Moderate"/>
    <s v="Y"/>
    <n v="188"/>
    <n v="0.51800000000000002"/>
    <n v="142"/>
    <n v="69"/>
    <s v="Hypertension Stage 2"/>
    <n v="15"/>
    <n v="13.96"/>
    <x v="0"/>
  </r>
  <r>
    <s v="F"/>
    <x v="6"/>
    <n v="116.8"/>
    <n v="1.77"/>
    <n v="37.299999999999997"/>
    <n v="92.9"/>
    <s v="140/68"/>
    <n v="244"/>
    <n v="76"/>
    <n v="96"/>
    <s v="N"/>
    <s v="Y"/>
    <s v="High"/>
    <s v="N"/>
    <n v="177"/>
    <n v="0.52500000000000002"/>
    <n v="140"/>
    <n v="68"/>
    <s v="Hypertension Stage 2"/>
    <n v="138"/>
    <n v="21.34"/>
    <x v="0"/>
  </r>
  <r>
    <s v="M"/>
    <x v="1"/>
    <n v="51.4"/>
    <m/>
    <m/>
    <n v="79.8"/>
    <s v="102/79"/>
    <n v="170"/>
    <n v="36"/>
    <n v="138"/>
    <s v="N"/>
    <s v="N"/>
    <s v="High"/>
    <s v="N"/>
    <n v="168"/>
    <n v="0.47499999999999998"/>
    <n v="102"/>
    <n v="79"/>
    <s v="Normal"/>
    <n v="104"/>
    <n v="12.14"/>
    <x v="0"/>
  </r>
  <r>
    <s v="M"/>
    <x v="23"/>
    <n v="107.6"/>
    <n v="1.66"/>
    <n v="39"/>
    <n v="100.8"/>
    <s v="96/65"/>
    <n v="135"/>
    <n v="57"/>
    <n v="129"/>
    <s v="N"/>
    <s v="N"/>
    <s v="High"/>
    <s v="N"/>
    <n v="166"/>
    <n v="0.60699999999999998"/>
    <n v="96"/>
    <n v="65"/>
    <s v="Normal"/>
    <n v="48"/>
    <n v="15.3"/>
    <x v="0"/>
  </r>
  <r>
    <s v="F"/>
    <x v="10"/>
    <n v="82.5"/>
    <n v="1.76"/>
    <n v="26.6"/>
    <n v="92.8"/>
    <s v="101/81"/>
    <n v="300"/>
    <n v="38"/>
    <n v="98"/>
    <s v="N"/>
    <s v="Y"/>
    <s v="High"/>
    <s v="N"/>
    <n v="176"/>
    <n v="0.52700000000000002"/>
    <n v="101"/>
    <n v="81"/>
    <s v="Hypertension Stage 1"/>
    <n v="232"/>
    <n v="18.37"/>
    <x v="1"/>
  </r>
  <r>
    <s v="M"/>
    <x v="3"/>
    <n v="114.3"/>
    <n v="1.72"/>
    <n v="38.6"/>
    <n v="100"/>
    <s v="112/83"/>
    <n v="228"/>
    <n v="77"/>
    <n v="91"/>
    <s v="Y"/>
    <s v="Y"/>
    <s v="High"/>
    <s v="N"/>
    <n v="172"/>
    <n v="0.58099999999999996"/>
    <n v="112"/>
    <n v="83"/>
    <s v="Hypertension Stage 1"/>
    <n v="121"/>
    <n v="19.88"/>
    <x v="1"/>
  </r>
  <r>
    <s v="M"/>
    <x v="7"/>
    <n v="63.3"/>
    <n v="1.7"/>
    <n v="21.9"/>
    <n v="93.8"/>
    <s v="93/67"/>
    <m/>
    <n v="76"/>
    <n v="73"/>
    <s v="N"/>
    <s v="Y"/>
    <s v="High"/>
    <s v="N"/>
    <n v="170"/>
    <n v="0.55200000000000005"/>
    <n v="93"/>
    <n v="67"/>
    <s v="Normal"/>
    <n v="182"/>
    <n v="16.79"/>
    <x v="0"/>
  </r>
  <r>
    <s v="F"/>
    <x v="29"/>
    <n v="91.6"/>
    <n v="1.64"/>
    <n v="34.1"/>
    <n v="94.4"/>
    <s v="132/73"/>
    <n v="258"/>
    <n v="31"/>
    <n v="142"/>
    <s v="Y"/>
    <s v="Y"/>
    <s v="High"/>
    <s v="Y"/>
    <n v="164"/>
    <n v="0.57599999999999996"/>
    <n v="132"/>
    <m/>
    <s v="Hypertension Stage 1"/>
    <n v="197"/>
    <n v="20.58"/>
    <x v="1"/>
  </r>
  <r>
    <s v="F"/>
    <x v="23"/>
    <n v="52.5"/>
    <n v="1.78"/>
    <n v="16.600000000000001"/>
    <n v="75.8"/>
    <s v="98/63"/>
    <n v="119"/>
    <n v="50"/>
    <n v="128"/>
    <s v="Y"/>
    <s v="Y"/>
    <s v="High"/>
    <s v="Y"/>
    <n v="178"/>
    <n v="0.42599999999999999"/>
    <n v="98"/>
    <n v="63"/>
    <s v="Normal"/>
    <n v="39"/>
    <n v="12.6"/>
    <x v="1"/>
  </r>
  <r>
    <s v="F"/>
    <x v="24"/>
    <n v="109.7"/>
    <n v="1.81"/>
    <n v="33.5"/>
    <n v="80.8"/>
    <s v="120/74"/>
    <n v="278"/>
    <n v="63"/>
    <n v="142"/>
    <s v="N"/>
    <s v="Y"/>
    <s v="Moderate"/>
    <s v="Y"/>
    <n v="181"/>
    <n v="0.44600000000000001"/>
    <n v="120"/>
    <n v="74"/>
    <s v="Elevated"/>
    <n v="185"/>
    <n v="20.260000000000002"/>
    <x v="1"/>
  </r>
  <r>
    <s v="M"/>
    <x v="30"/>
    <n v="115.6"/>
    <n v="1.72"/>
    <n v="39.1"/>
    <n v="109.3"/>
    <s v="90/95"/>
    <n v="155"/>
    <n v="71"/>
    <n v="110"/>
    <s v="N"/>
    <s v="Y"/>
    <s v="Moderate"/>
    <s v="N"/>
    <n v="172"/>
    <n v="0.63500000000000001"/>
    <n v="90"/>
    <n v="95"/>
    <s v="Hypertension Stage 2"/>
    <n v="54"/>
    <n v="17.420000000000002"/>
    <x v="0"/>
  </r>
  <r>
    <s v="M"/>
    <x v="29"/>
    <n v="78.900000000000006"/>
    <n v="1.85"/>
    <n v="23.1"/>
    <n v="101.5"/>
    <s v="94/78"/>
    <n v="133"/>
    <n v="39"/>
    <n v="149"/>
    <s v="N"/>
    <s v="Y"/>
    <s v="Low"/>
    <s v="Y"/>
    <n v="185"/>
    <n v="0.54900000000000004"/>
    <n v="94"/>
    <n v="78"/>
    <s v="Normal"/>
    <n v="64"/>
    <m/>
    <x v="1"/>
  </r>
  <r>
    <s v="M"/>
    <x v="6"/>
    <n v="78.400000000000006"/>
    <n v="1.63"/>
    <n v="29.5"/>
    <n v="70.2"/>
    <s v="127/96"/>
    <n v="103"/>
    <n v="57"/>
    <n v="74"/>
    <s v="N"/>
    <s v="N"/>
    <s v="High"/>
    <s v="N"/>
    <n v="163"/>
    <n v="0.43099999999999999"/>
    <n v="127"/>
    <n v="96"/>
    <s v="Hypertension Stage 2"/>
    <n v="16"/>
    <n v="14.31"/>
    <x v="2"/>
  </r>
  <r>
    <s v="F"/>
    <x v="28"/>
    <n v="65.3"/>
    <n v="1.61"/>
    <n v="25.2"/>
    <n v="74.900000000000006"/>
    <s v="120/87"/>
    <n v="251"/>
    <n v="50"/>
    <n v="83"/>
    <s v="Y"/>
    <s v="N"/>
    <s v="Low"/>
    <s v="N"/>
    <m/>
    <n v="0.46500000000000002"/>
    <n v="120"/>
    <n v="87"/>
    <s v="Hypertension Stage 1"/>
    <n v="171"/>
    <n v="16.059999999999999"/>
    <x v="1"/>
  </r>
  <r>
    <s v="F"/>
    <x v="6"/>
    <n v="114.4"/>
    <n v="1.72"/>
    <n v="38.700000000000003"/>
    <n v="105"/>
    <s v="99/90"/>
    <n v="203"/>
    <n v="60"/>
    <n v="103"/>
    <s v="N"/>
    <s v="Y"/>
    <s v="Moderate"/>
    <s v="N"/>
    <n v="172"/>
    <n v="0.61"/>
    <n v="99"/>
    <n v="90"/>
    <s v="Hypertension Stage 2"/>
    <n v="113"/>
    <n v="18.75"/>
    <x v="0"/>
  </r>
  <r>
    <s v="M"/>
    <x v="10"/>
    <n v="114.5"/>
    <n v="1.83"/>
    <n v="34.200000000000003"/>
    <n v="93.8"/>
    <s v="114/63"/>
    <n v="204"/>
    <n v="48"/>
    <n v="140"/>
    <s v="N"/>
    <s v="Y"/>
    <s v="Moderate"/>
    <s v="N"/>
    <n v="183"/>
    <n v="0.51300000000000001"/>
    <n v="114"/>
    <n v="63"/>
    <s v="Normal"/>
    <n v="126"/>
    <n v="18.62"/>
    <x v="1"/>
  </r>
  <r>
    <s v="M"/>
    <x v="25"/>
    <n v="81.8"/>
    <n v="1.76"/>
    <n v="26.4"/>
    <n v="72.099999999999994"/>
    <s v="132/97"/>
    <n v="109"/>
    <n v="78"/>
    <n v="111"/>
    <s v="N"/>
    <s v="N"/>
    <s v="High"/>
    <s v="Y"/>
    <n v="176"/>
    <n v="0.41"/>
    <n v="132"/>
    <n v="97"/>
    <s v="Hypertension Stage 1"/>
    <n v="1"/>
    <n v="14.06"/>
    <x v="0"/>
  </r>
  <r>
    <s v="M"/>
    <x v="0"/>
    <n v="85.5"/>
    <n v="1.63"/>
    <n v="32.200000000000003"/>
    <n v="81.599999999999994"/>
    <s v="111/68"/>
    <n v="102"/>
    <n v="79"/>
    <n v="97"/>
    <s v="Y"/>
    <s v="N"/>
    <s v="Low"/>
    <s v="N"/>
    <n v="163"/>
    <n v="0.501"/>
    <n v="111"/>
    <n v="68"/>
    <s v="Normal"/>
    <m/>
    <n v="14.03"/>
    <x v="0"/>
  </r>
  <r>
    <s v="F"/>
    <x v="4"/>
    <n v="82.1"/>
    <m/>
    <n v="26.2"/>
    <n v="82.6"/>
    <s v="97/69"/>
    <n v="133"/>
    <n v="43"/>
    <m/>
    <s v="Y"/>
    <s v="N"/>
    <s v="Low"/>
    <s v="N"/>
    <n v="177"/>
    <n v="0.46700000000000003"/>
    <n v="97"/>
    <n v="69"/>
    <s v="Normal"/>
    <n v="60"/>
    <n v="12.75"/>
    <x v="1"/>
  </r>
  <r>
    <s v="F"/>
    <x v="6"/>
    <n v="113.4"/>
    <n v="1.68"/>
    <n v="40.200000000000003"/>
    <n v="109.2"/>
    <s v="120/71"/>
    <n v="281"/>
    <n v="70"/>
    <n v="140"/>
    <s v="N"/>
    <s v="N"/>
    <s v="High"/>
    <s v="N"/>
    <n v="168"/>
    <n v="0.65"/>
    <n v="120"/>
    <n v="71"/>
    <s v="Elevated"/>
    <n v="181"/>
    <n v="19.66"/>
    <x v="0"/>
  </r>
  <r>
    <s v="F"/>
    <x v="11"/>
    <n v="50.7"/>
    <n v="1.65"/>
    <n v="18.600000000000001"/>
    <n v="80.900000000000006"/>
    <s v="130/97"/>
    <n v="228"/>
    <n v="56"/>
    <n v="76"/>
    <s v="Y"/>
    <s v="Y"/>
    <s v="Low"/>
    <s v="N"/>
    <n v="165"/>
    <n v="0.49"/>
    <n v="130"/>
    <n v="97"/>
    <s v="Hypertension Stage 1"/>
    <n v="142"/>
    <n v="16.78"/>
    <x v="1"/>
  </r>
  <r>
    <s v="M"/>
    <x v="4"/>
    <n v="118.3"/>
    <n v="1.66"/>
    <n v="42.9"/>
    <m/>
    <s v="119/65"/>
    <n v="149"/>
    <n v="66"/>
    <n v="127"/>
    <s v="N"/>
    <s v="Y"/>
    <s v="Moderate"/>
    <s v="N"/>
    <n v="166"/>
    <n v="0.622"/>
    <n v="119"/>
    <n v="65"/>
    <s v="Normal"/>
    <n v="53"/>
    <m/>
    <x v="0"/>
  </r>
  <r>
    <s v="F"/>
    <x v="26"/>
    <n v="85.7"/>
    <n v="1.78"/>
    <n v="27"/>
    <n v="74.3"/>
    <s v="120/96"/>
    <n v="268"/>
    <n v="73"/>
    <n v="77"/>
    <s v="N"/>
    <s v="N"/>
    <s v="Low"/>
    <s v="N"/>
    <n v="178"/>
    <n v="0.41699999999999998"/>
    <n v="120"/>
    <n v="96"/>
    <s v="Hypertension Stage 2"/>
    <n v="165"/>
    <n v="16.760000000000002"/>
    <x v="1"/>
  </r>
  <r>
    <s v="F"/>
    <x v="29"/>
    <n v="110.1"/>
    <m/>
    <n v="35.5"/>
    <n v="95.6"/>
    <s v="145/84"/>
    <n v="108"/>
    <n v="66"/>
    <n v="78"/>
    <s v="N"/>
    <s v="Y"/>
    <s v="Moderate"/>
    <s v="N"/>
    <n v="176"/>
    <n v="0.54300000000000004"/>
    <n v="145"/>
    <n v="84"/>
    <s v="Hypertension Stage 1"/>
    <n v="12"/>
    <n v="18.510000000000002"/>
    <x v="0"/>
  </r>
  <r>
    <s v="F"/>
    <x v="11"/>
    <n v="70.5"/>
    <n v="1.68"/>
    <n v="25"/>
    <m/>
    <s v="111/93"/>
    <n v="154"/>
    <n v="47"/>
    <n v="119"/>
    <s v="Y"/>
    <s v="N"/>
    <s v="Low"/>
    <s v="N"/>
    <n v="168"/>
    <n v="0.495"/>
    <n v="111"/>
    <n v="93"/>
    <s v="Hypertension Stage 2"/>
    <n v="77"/>
    <n v="13.63"/>
    <x v="0"/>
  </r>
  <r>
    <s v="F"/>
    <x v="8"/>
    <n v="109.3"/>
    <n v="1.81"/>
    <n v="33.4"/>
    <n v="83.2"/>
    <s v="105/100"/>
    <n v="135"/>
    <n v="65"/>
    <n v="119"/>
    <s v="Y"/>
    <s v="Y"/>
    <s v="High"/>
    <s v="N"/>
    <n v="181"/>
    <n v="0.46"/>
    <n v="105"/>
    <n v="100"/>
    <s v="Hypertension Stage 2"/>
    <n v="40"/>
    <n v="16.63"/>
    <x v="1"/>
  </r>
  <r>
    <s v="F"/>
    <x v="11"/>
    <n v="84.6"/>
    <n v="1.81"/>
    <n v="25.8"/>
    <n v="74.5"/>
    <s v="100/91"/>
    <n v="220"/>
    <n v="47"/>
    <n v="77"/>
    <s v="N"/>
    <s v="N"/>
    <s v="High"/>
    <s v="Y"/>
    <n v="181"/>
    <n v="0.41199999999999998"/>
    <n v="100"/>
    <n v="91"/>
    <s v="Hypertension Stage 2"/>
    <n v="143"/>
    <n v="14.56"/>
    <x v="0"/>
  </r>
  <r>
    <s v="M"/>
    <x v="8"/>
    <n v="111"/>
    <n v="1.69"/>
    <n v="38.9"/>
    <n v="94.8"/>
    <s v="98/64"/>
    <m/>
    <n v="48"/>
    <n v="119"/>
    <s v="Y"/>
    <s v="N"/>
    <s v="Moderate"/>
    <s v="N"/>
    <n v="169"/>
    <n v="0.56100000000000005"/>
    <n v="98"/>
    <n v="64"/>
    <s v="Normal"/>
    <n v="178"/>
    <n v="17.8"/>
    <x v="1"/>
  </r>
  <r>
    <s v="M"/>
    <x v="6"/>
    <n v="78.8"/>
    <n v="1.81"/>
    <n v="24.1"/>
    <n v="101.8"/>
    <s v="135/80"/>
    <n v="194"/>
    <n v="73"/>
    <n v="90"/>
    <s v="N"/>
    <s v="N"/>
    <s v="Low"/>
    <s v="Y"/>
    <n v="181"/>
    <n v="0.56200000000000006"/>
    <n v="135"/>
    <n v="80"/>
    <s v="Hypertension Stage 1"/>
    <n v="91"/>
    <n v="15.45"/>
    <x v="0"/>
  </r>
  <r>
    <s v="F"/>
    <x v="11"/>
    <n v="116.9"/>
    <n v="1.66"/>
    <n v="42.4"/>
    <n v="78.099999999999994"/>
    <s v="124/72"/>
    <n v="211"/>
    <n v="75"/>
    <n v="117"/>
    <s v="Y"/>
    <s v="N"/>
    <s v="High"/>
    <s v="Y"/>
    <n v="166"/>
    <n v="0.47"/>
    <n v="124"/>
    <n v="72"/>
    <s v="Elevated"/>
    <n v="106"/>
    <n v="18.899999999999999"/>
    <x v="1"/>
  </r>
  <r>
    <s v="F"/>
    <x v="0"/>
    <n v="98.3"/>
    <n v="1.78"/>
    <n v="31"/>
    <n v="93"/>
    <s v="127/98"/>
    <n v="261"/>
    <n v="42"/>
    <n v="94"/>
    <s v="Y"/>
    <s v="Y"/>
    <s v="High"/>
    <s v="Y"/>
    <n v="178"/>
    <n v="0.52200000000000002"/>
    <n v="127"/>
    <n v="98"/>
    <s v="Hypertension Stage 2"/>
    <n v="189"/>
    <n v="19.77"/>
    <x v="1"/>
  </r>
  <r>
    <s v="M"/>
    <x v="25"/>
    <n v="84.1"/>
    <n v="1.86"/>
    <m/>
    <n v="74.599999999999994"/>
    <s v="90/78"/>
    <n v="249"/>
    <n v="62"/>
    <n v="118"/>
    <s v="N"/>
    <s v="N"/>
    <s v="Moderate"/>
    <s v="Y"/>
    <n v="186"/>
    <m/>
    <n v="90"/>
    <n v="78"/>
    <s v="Normal"/>
    <n v="157"/>
    <n v="14.34"/>
    <x v="0"/>
  </r>
  <r>
    <s v="M"/>
    <x v="10"/>
    <n v="99.1"/>
    <n v="1.6"/>
    <n v="38.700000000000003"/>
    <m/>
    <s v="103/96"/>
    <n v="237"/>
    <n v="58"/>
    <n v="132"/>
    <s v="N"/>
    <s v="Y"/>
    <s v="High"/>
    <s v="N"/>
    <n v="160"/>
    <n v="0.66500000000000004"/>
    <n v="103"/>
    <n v="96"/>
    <s v="Hypertension Stage 2"/>
    <n v="149"/>
    <n v="19.63"/>
    <x v="1"/>
  </r>
  <r>
    <s v="F"/>
    <x v="23"/>
    <n v="63.5"/>
    <n v="1.8"/>
    <n v="19.600000000000001"/>
    <n v="75.099999999999994"/>
    <s v="103/81"/>
    <n v="154"/>
    <n v="54"/>
    <n v="102"/>
    <s v="N"/>
    <s v="Y"/>
    <s v="High"/>
    <s v="Y"/>
    <n v="180"/>
    <n v="0.41699999999999998"/>
    <n v="103"/>
    <n v="81"/>
    <s v="Hypertension Stage 1"/>
    <n v="70"/>
    <n v="14.15"/>
    <x v="0"/>
  </r>
  <r>
    <s v="M"/>
    <x v="8"/>
    <n v="113.6"/>
    <n v="1.79"/>
    <n v="35.5"/>
    <m/>
    <s v="111/98"/>
    <n v="286"/>
    <n v="56"/>
    <n v="133"/>
    <s v="Y"/>
    <s v="N"/>
    <s v="Moderate"/>
    <s v="N"/>
    <n v="179"/>
    <n v="0.55800000000000005"/>
    <n v="111"/>
    <n v="98"/>
    <s v="Hypertension Stage 2"/>
    <n v="200"/>
    <n v="18.37"/>
    <x v="1"/>
  </r>
  <r>
    <s v="F"/>
    <x v="16"/>
    <n v="70.3"/>
    <n v="1.67"/>
    <m/>
    <n v="88.8"/>
    <s v="130/97"/>
    <n v="277"/>
    <n v="60"/>
    <n v="113"/>
    <s v="N"/>
    <s v="N"/>
    <s v="Low"/>
    <s v="Y"/>
    <n v="167"/>
    <n v="0.53200000000000003"/>
    <n v="130"/>
    <n v="97"/>
    <s v="Hypertension Stage 1"/>
    <n v="187"/>
    <n v="17.079999999999998"/>
    <x v="1"/>
  </r>
  <r>
    <s v="F"/>
    <x v="9"/>
    <n v="54.8"/>
    <n v="1.78"/>
    <n v="17.3"/>
    <n v="105.4"/>
    <s v="92/73"/>
    <m/>
    <n v="49"/>
    <n v="83"/>
    <s v="N"/>
    <s v="Y"/>
    <s v="Low"/>
    <s v="Y"/>
    <m/>
    <n v="0.59199999999999997"/>
    <n v="92"/>
    <n v="73"/>
    <s v="Normal"/>
    <n v="26"/>
    <n v="12.16"/>
    <x v="0"/>
  </r>
  <r>
    <s v="M"/>
    <x v="5"/>
    <n v="119.7"/>
    <n v="1.74"/>
    <n v="39.5"/>
    <n v="96"/>
    <s v="99/97"/>
    <n v="163"/>
    <n v="57"/>
    <n v="116"/>
    <s v="Y"/>
    <s v="N"/>
    <s v="Moderate"/>
    <s v="N"/>
    <n v="174"/>
    <n v="0.55200000000000005"/>
    <n v="99"/>
    <n v="97"/>
    <s v="Hypertension Stage 2"/>
    <n v="76"/>
    <n v="16.11"/>
    <x v="0"/>
  </r>
  <r>
    <s v="F"/>
    <x v="26"/>
    <n v="89.5"/>
    <n v="1.71"/>
    <n v="30.6"/>
    <n v="104.3"/>
    <s v="107/67"/>
    <n v="132"/>
    <n v="69"/>
    <n v="140"/>
    <s v="N"/>
    <s v="Y"/>
    <s v="Low"/>
    <s v="Y"/>
    <n v="171"/>
    <n v="0.61"/>
    <n v="107"/>
    <n v="67"/>
    <s v="Normal"/>
    <n v="33"/>
    <n v="16.11"/>
    <x v="1"/>
  </r>
  <r>
    <s v="F"/>
    <x v="21"/>
    <n v="59.2"/>
    <n v="1.78"/>
    <n v="18.7"/>
    <n v="88.6"/>
    <s v="137/68"/>
    <n v="122"/>
    <n v="80"/>
    <n v="110"/>
    <s v="Y"/>
    <s v="N"/>
    <s v="Low"/>
    <s v="Y"/>
    <n v="178"/>
    <n v="0.498"/>
    <n v="137"/>
    <n v="68"/>
    <s v="Hypertension Stage 1"/>
    <n v="12"/>
    <n v="13.03"/>
    <x v="0"/>
  </r>
  <r>
    <s v="F"/>
    <x v="22"/>
    <n v="77.7"/>
    <n v="1.61"/>
    <n v="30"/>
    <n v="93.1"/>
    <s v="104/81"/>
    <n v="225"/>
    <n v="43"/>
    <n v="121"/>
    <s v="Y"/>
    <s v="Y"/>
    <s v="High"/>
    <s v="Y"/>
    <n v="161"/>
    <n v="0.57799999999999996"/>
    <n v="104"/>
    <n v="81"/>
    <s v="Hypertension Stage 1"/>
    <n v="152"/>
    <n v="17.7"/>
    <x v="1"/>
  </r>
  <r>
    <s v="F"/>
    <x v="2"/>
    <n v="100.9"/>
    <n v="1.78"/>
    <n v="31.8"/>
    <n v="109.4"/>
    <s v="113/99"/>
    <n v="176"/>
    <n v="35"/>
    <n v="136"/>
    <s v="Y"/>
    <s v="N"/>
    <s v="Low"/>
    <s v="Y"/>
    <n v="178"/>
    <n v="0.61499999999999999"/>
    <n v="113"/>
    <n v="99"/>
    <s v="Hypertension Stage 2"/>
    <n v="111"/>
    <n v="15.53"/>
    <x v="1"/>
  </r>
  <r>
    <s v="M"/>
    <x v="11"/>
    <n v="53.3"/>
    <n v="1.63"/>
    <n v="20.100000000000001"/>
    <m/>
    <s v="90/67"/>
    <n v="142"/>
    <n v="40"/>
    <n v="129"/>
    <s v="N"/>
    <s v="Y"/>
    <s v="High"/>
    <s v="N"/>
    <n v="163"/>
    <n v="0.65600000000000003"/>
    <n v="90"/>
    <n v="67"/>
    <s v="Normal"/>
    <n v="72"/>
    <n v="13.36"/>
    <x v="2"/>
  </r>
  <r>
    <s v="M"/>
    <x v="30"/>
    <n v="74.8"/>
    <n v="1.84"/>
    <n v="22.1"/>
    <n v="103.4"/>
    <s v="122/88"/>
    <n v="228"/>
    <n v="76"/>
    <n v="99"/>
    <s v="Y"/>
    <s v="Y"/>
    <s v="Low"/>
    <s v="N"/>
    <m/>
    <n v="0.56200000000000006"/>
    <n v="122"/>
    <n v="88"/>
    <s v="Hypertension Stage 1"/>
    <n v="122"/>
    <n v="17.079999999999998"/>
    <x v="1"/>
  </r>
  <r>
    <s v="F"/>
    <x v="18"/>
    <n v="89.6"/>
    <n v="1.78"/>
    <n v="28.3"/>
    <n v="70.099999999999994"/>
    <s v="133/97"/>
    <n v="239"/>
    <n v="79"/>
    <n v="121"/>
    <s v="N"/>
    <s v="Y"/>
    <s v="Low"/>
    <s v="N"/>
    <m/>
    <n v="0.39400000000000002"/>
    <n v="133"/>
    <n v="97"/>
    <s v="Hypertension Stage 1"/>
    <n v="130"/>
    <n v="19.09"/>
    <x v="1"/>
  </r>
  <r>
    <s v="F"/>
    <x v="12"/>
    <n v="55.7"/>
    <n v="1.68"/>
    <n v="19.7"/>
    <n v="78.900000000000006"/>
    <s v="135/100"/>
    <n v="252"/>
    <n v="43"/>
    <n v="123"/>
    <s v="Y"/>
    <s v="Y"/>
    <s v="Low"/>
    <s v="Y"/>
    <n v="168"/>
    <m/>
    <n v="135"/>
    <n v="100"/>
    <s v="Hypertension Stage 1"/>
    <n v="179"/>
    <m/>
    <x v="1"/>
  </r>
  <r>
    <s v="F"/>
    <x v="9"/>
    <n v="93"/>
    <n v="1.88"/>
    <n v="26.3"/>
    <n v="99.2"/>
    <s v="114/96"/>
    <n v="158"/>
    <n v="58"/>
    <n v="138"/>
    <s v="Y"/>
    <s v="N"/>
    <s v="Moderate"/>
    <s v="Y"/>
    <n v="188"/>
    <n v="0.52800000000000002"/>
    <n v="114"/>
    <m/>
    <s v="Hypertension Stage 2"/>
    <n v="70"/>
    <n v="14.12"/>
    <x v="0"/>
  </r>
  <r>
    <s v="F"/>
    <x v="27"/>
    <n v="73"/>
    <n v="1.79"/>
    <n v="22.8"/>
    <n v="77.400000000000006"/>
    <s v="117/97"/>
    <n v="183"/>
    <n v="69"/>
    <n v="119"/>
    <s v="Y"/>
    <s v="Y"/>
    <s v="Low"/>
    <s v="N"/>
    <n v="179"/>
    <n v="0.432"/>
    <n v="117"/>
    <n v="97"/>
    <s v="Hypertension Stage 2"/>
    <n v="84"/>
    <n v="16.07"/>
    <x v="1"/>
  </r>
  <r>
    <s v="M"/>
    <x v="27"/>
    <n v="94.3"/>
    <n v="1.68"/>
    <n v="33.4"/>
    <n v="96.3"/>
    <s v="103/96"/>
    <n v="106"/>
    <n v="38"/>
    <n v="118"/>
    <s v="N"/>
    <s v="Y"/>
    <s v="Low"/>
    <s v="Y"/>
    <n v="168"/>
    <n v="0.57299999999999995"/>
    <n v="103"/>
    <n v="96"/>
    <s v="Hypertension Stage 2"/>
    <n v="38"/>
    <n v="15.95"/>
    <x v="1"/>
  </r>
  <r>
    <s v="F"/>
    <x v="29"/>
    <m/>
    <n v="1.64"/>
    <n v="30"/>
    <n v="95.9"/>
    <s v="114/63"/>
    <n v="178"/>
    <n v="62"/>
    <n v="90"/>
    <s v="Y"/>
    <s v="Y"/>
    <s v="Low"/>
    <s v="Y"/>
    <n v="164"/>
    <n v="0.58499999999999996"/>
    <m/>
    <n v="63"/>
    <s v="Normal"/>
    <n v="86"/>
    <n v="17.260000000000002"/>
    <x v="1"/>
  </r>
  <r>
    <s v="M"/>
    <x v="9"/>
    <n v="71.3"/>
    <n v="1.73"/>
    <n v="23.8"/>
    <n v="107.9"/>
    <s v="139/61"/>
    <n v="253"/>
    <n v="77"/>
    <n v="94"/>
    <s v="Y"/>
    <s v="N"/>
    <s v="Low"/>
    <s v="Y"/>
    <n v="173"/>
    <m/>
    <n v="139"/>
    <m/>
    <s v="Hypertension Stage 1"/>
    <n v="146"/>
    <n v="16.77"/>
    <x v="1"/>
  </r>
  <r>
    <s v="M"/>
    <x v="26"/>
    <n v="103.9"/>
    <n v="1.66"/>
    <n v="37.700000000000003"/>
    <n v="87.1"/>
    <s v="117/61"/>
    <n v="272"/>
    <n v="31"/>
    <n v="117"/>
    <s v="N"/>
    <s v="N"/>
    <s v="Low"/>
    <s v="N"/>
    <n v="166"/>
    <n v="0.52500000000000002"/>
    <n v="117"/>
    <n v="61"/>
    <s v="Normal"/>
    <n v="211"/>
    <n v="18.829999999999998"/>
    <x v="1"/>
  </r>
  <r>
    <s v="F"/>
    <x v="29"/>
    <n v="54.8"/>
    <n v="1.77"/>
    <n v="17.5"/>
    <n v="81.2"/>
    <s v="108/81"/>
    <n v="108"/>
    <n v="80"/>
    <n v="108"/>
    <s v="Y"/>
    <s v="N"/>
    <s v="Moderate"/>
    <s v="N"/>
    <n v="177"/>
    <n v="0.45900000000000002"/>
    <n v="108"/>
    <n v="81"/>
    <s v="Hypertension Stage 1"/>
    <n v="-2"/>
    <n v="11.06"/>
    <x v="0"/>
  </r>
  <r>
    <s v="F"/>
    <x v="11"/>
    <n v="113.8"/>
    <n v="1.84"/>
    <n v="33.6"/>
    <n v="96.9"/>
    <s v="94/92"/>
    <n v="203"/>
    <n v="56"/>
    <n v="109"/>
    <s v="Y"/>
    <s v="N"/>
    <s v="Moderate"/>
    <s v="N"/>
    <n v="184"/>
    <n v="0.52700000000000002"/>
    <n v="94"/>
    <n v="92"/>
    <s v="Hypertension Stage 2"/>
    <n v="117"/>
    <n v="15.48"/>
    <x v="0"/>
  </r>
  <r>
    <s v="F"/>
    <x v="28"/>
    <n v="117.7"/>
    <n v="1.62"/>
    <n v="44.8"/>
    <n v="80.8"/>
    <s v="137/82"/>
    <n v="202"/>
    <n v="77"/>
    <n v="75"/>
    <s v="N"/>
    <s v="Y"/>
    <s v="Low"/>
    <s v="N"/>
    <n v="162"/>
    <n v="0.499"/>
    <n v="137"/>
    <n v="82"/>
    <s v="Hypertension Stage 1"/>
    <n v="95"/>
    <n v="21.85"/>
    <x v="1"/>
  </r>
  <r>
    <s v="M"/>
    <x v="20"/>
    <n v="100.4"/>
    <n v="1.62"/>
    <n v="38.299999999999997"/>
    <n v="76.3"/>
    <s v="128/91"/>
    <n v="254"/>
    <n v="31"/>
    <n v="130"/>
    <s v="N"/>
    <s v="Y"/>
    <s v="Low"/>
    <s v="N"/>
    <n v="162"/>
    <n v="0.47099999999999997"/>
    <n v="128"/>
    <n v="91"/>
    <s v="Hypertension Stage 2"/>
    <n v="193"/>
    <n v="21.14"/>
    <x v="1"/>
  </r>
  <r>
    <s v="F"/>
    <x v="30"/>
    <n v="101"/>
    <n v="1.74"/>
    <n v="33.4"/>
    <n v="80.599999999999994"/>
    <s v="94/79"/>
    <n v="172"/>
    <n v="50"/>
    <n v="128"/>
    <s v="N"/>
    <s v="Y"/>
    <s v="Moderate"/>
    <s v="Y"/>
    <n v="174"/>
    <n v="0.46300000000000002"/>
    <n v="94"/>
    <n v="79"/>
    <s v="Normal"/>
    <n v="92"/>
    <n v="16.82"/>
    <x v="1"/>
  </r>
  <r>
    <s v="M"/>
    <x v="20"/>
    <n v="67.5"/>
    <n v="1.83"/>
    <n v="20.2"/>
    <n v="91.3"/>
    <s v="149/66"/>
    <n v="166"/>
    <n v="59"/>
    <n v="98"/>
    <s v="N"/>
    <s v="N"/>
    <s v="Moderate"/>
    <s v="N"/>
    <n v="183"/>
    <n v="0.499"/>
    <n v="149"/>
    <n v="66"/>
    <s v="Hypertension Stage 2"/>
    <n v="77"/>
    <n v="14.81"/>
    <x v="2"/>
  </r>
  <r>
    <s v="F"/>
    <x v="6"/>
    <n v="117.3"/>
    <n v="1.78"/>
    <n v="37"/>
    <n v="84.6"/>
    <s v="135/77"/>
    <n v="206"/>
    <n v="51"/>
    <n v="120"/>
    <s v="N"/>
    <s v="Y"/>
    <s v="High"/>
    <s v="N"/>
    <n v="178"/>
    <n v="0.47499999999999998"/>
    <n v="135"/>
    <n v="77"/>
    <s v="Hypertension Stage 1"/>
    <n v="125"/>
    <n v="20.27"/>
    <x v="0"/>
  </r>
  <r>
    <s v="F"/>
    <x v="13"/>
    <n v="94.4"/>
    <n v="1.8"/>
    <n v="29.1"/>
    <n v="90.9"/>
    <s v="100/76"/>
    <m/>
    <m/>
    <n v="89"/>
    <s v="N"/>
    <s v="N"/>
    <s v="Low"/>
    <s v="N"/>
    <n v="180"/>
    <n v="0.505"/>
    <n v="100"/>
    <n v="76"/>
    <s v="Normal"/>
    <n v="139"/>
    <n v="15.54"/>
    <x v="0"/>
  </r>
  <r>
    <s v="M"/>
    <x v="19"/>
    <n v="104.1"/>
    <n v="1.69"/>
    <n v="36.4"/>
    <n v="74.099999999999994"/>
    <s v="95/84"/>
    <n v="143"/>
    <n v="50"/>
    <n v="73"/>
    <s v="N"/>
    <s v="N"/>
    <s v="High"/>
    <s v="N"/>
    <n v="169"/>
    <n v="0.438"/>
    <n v="95"/>
    <n v="84"/>
    <s v="Hypertension Stage 1"/>
    <n v="63"/>
    <n v="14.89"/>
    <x v="2"/>
  </r>
  <r>
    <s v="F"/>
    <x v="19"/>
    <n v="113.4"/>
    <n v="1.76"/>
    <n v="36.6"/>
    <n v="101"/>
    <s v="110/83"/>
    <n v="101"/>
    <n v="31"/>
    <n v="98"/>
    <s v="Y"/>
    <s v="N"/>
    <s v="High"/>
    <s v="N"/>
    <n v="176"/>
    <n v="0.57399999999999995"/>
    <n v="110"/>
    <n v="83"/>
    <s v="Hypertension Stage 1"/>
    <n v="40"/>
    <n v="14.84"/>
    <x v="0"/>
  </r>
  <r>
    <s v="M"/>
    <x v="26"/>
    <n v="97.1"/>
    <n v="1.61"/>
    <n v="37.5"/>
    <m/>
    <s v="92/90"/>
    <n v="120"/>
    <n v="45"/>
    <n v="90"/>
    <s v="Y"/>
    <s v="N"/>
    <s v="High"/>
    <s v="Y"/>
    <n v="161"/>
    <n v="0.50900000000000001"/>
    <n v="92"/>
    <n v="90"/>
    <s v="Hypertension Stage 2"/>
    <m/>
    <n v="14.5"/>
    <x v="1"/>
  </r>
  <r>
    <s v="M"/>
    <x v="31"/>
    <m/>
    <n v="1.7"/>
    <n v="27.8"/>
    <n v="70.400000000000006"/>
    <s v="111/94"/>
    <m/>
    <n v="41"/>
    <n v="110"/>
    <s v="Y"/>
    <s v="Y"/>
    <s v="High"/>
    <s v="N"/>
    <n v="170"/>
    <n v="0.41399999999999998"/>
    <n v="111"/>
    <n v="94"/>
    <s v="Hypertension Stage 2"/>
    <n v="150"/>
    <n v="17.53"/>
    <x v="1"/>
  </r>
  <r>
    <s v="F"/>
    <x v="13"/>
    <n v="116.1"/>
    <n v="1.79"/>
    <n v="36.200000000000003"/>
    <n v="78.599999999999994"/>
    <s v="107/66"/>
    <n v="167"/>
    <n v="62"/>
    <n v="140"/>
    <s v="Y"/>
    <s v="Y"/>
    <s v="High"/>
    <s v="N"/>
    <n v="179"/>
    <n v="0.439"/>
    <n v="107"/>
    <n v="66"/>
    <s v="Normal"/>
    <n v="75"/>
    <n v="17.93"/>
    <x v="0"/>
  </r>
  <r>
    <s v="M"/>
    <x v="14"/>
    <n v="75.3"/>
    <n v="1.72"/>
    <n v="25.5"/>
    <n v="95.4"/>
    <s v="98/72"/>
    <n v="137"/>
    <n v="53"/>
    <n v="73"/>
    <s v="Y"/>
    <s v="Y"/>
    <s v="High"/>
    <s v="N"/>
    <n v="172"/>
    <n v="0.55500000000000005"/>
    <n v="98"/>
    <n v="72"/>
    <s v="Normal"/>
    <n v="54"/>
    <n v="14.74"/>
    <x v="0"/>
  </r>
  <r>
    <s v="F"/>
    <x v="19"/>
    <n v="113.5"/>
    <n v="1.74"/>
    <n v="37.5"/>
    <n v="85.8"/>
    <s v="150/96"/>
    <n v="290"/>
    <n v="64"/>
    <n v="118"/>
    <s v="Y"/>
    <s v="N"/>
    <s v="Moderate"/>
    <s v="Y"/>
    <n v="174"/>
    <n v="0.49299999999999999"/>
    <n v="150"/>
    <n v="96"/>
    <s v="Hypertension Stage 2"/>
    <n v="196"/>
    <n v="20.8"/>
    <x v="1"/>
  </r>
  <r>
    <s v="M"/>
    <x v="19"/>
    <n v="75.599999999999994"/>
    <n v="1.73"/>
    <n v="25.3"/>
    <n v="74.5"/>
    <s v="96/69"/>
    <n v="182"/>
    <n v="67"/>
    <n v="148"/>
    <s v="Y"/>
    <s v="N"/>
    <s v="High"/>
    <s v="N"/>
    <n v="173"/>
    <n v="0.43099999999999999"/>
    <n v="96"/>
    <n v="69"/>
    <s v="Normal"/>
    <n v="85"/>
    <n v="13.5"/>
    <x v="0"/>
  </r>
  <r>
    <s v="F"/>
    <x v="26"/>
    <n v="66.099999999999994"/>
    <n v="1.67"/>
    <n v="23.7"/>
    <n v="85.2"/>
    <s v="130/95"/>
    <n v="169"/>
    <n v="52"/>
    <n v="75"/>
    <s v="N"/>
    <s v="N"/>
    <s v="Low"/>
    <s v="N"/>
    <n v="167"/>
    <n v="0.51"/>
    <n v="130"/>
    <n v="95"/>
    <s v="Hypertension Stage 1"/>
    <n v="87"/>
    <n v="14.62"/>
    <x v="0"/>
  </r>
  <r>
    <s v="M"/>
    <x v="5"/>
    <n v="108.4"/>
    <n v="1.9"/>
    <n v="30"/>
    <n v="84.8"/>
    <s v="140/85"/>
    <n v="132"/>
    <n v="54"/>
    <n v="130"/>
    <s v="N"/>
    <s v="N"/>
    <s v="Moderate"/>
    <s v="Y"/>
    <n v="190"/>
    <n v="0.44600000000000001"/>
    <n v="140"/>
    <n v="85"/>
    <s v="Hypertension Stage 1"/>
    <n v="48"/>
    <n v="15.64"/>
    <x v="0"/>
  </r>
  <r>
    <s v="F"/>
    <x v="31"/>
    <n v="74.099999999999994"/>
    <n v="1.87"/>
    <n v="21.2"/>
    <n v="105.8"/>
    <s v="138/73"/>
    <n v="171"/>
    <n v="37"/>
    <n v="84"/>
    <s v="Y"/>
    <s v="N"/>
    <s v="Low"/>
    <s v="N"/>
    <n v="187"/>
    <n v="0.56599999999999995"/>
    <n v="138"/>
    <n v="73"/>
    <s v="Hypertension Stage 1"/>
    <n v="104"/>
    <n v="14.56"/>
    <x v="1"/>
  </r>
  <r>
    <s v="F"/>
    <x v="28"/>
    <n v="102.6"/>
    <m/>
    <n v="40.1"/>
    <n v="103.2"/>
    <s v="101/82"/>
    <n v="144"/>
    <n v="63"/>
    <n v="148"/>
    <s v="Y"/>
    <s v="Y"/>
    <s v="Moderate"/>
    <s v="Y"/>
    <n v="160"/>
    <n v="0.64500000000000002"/>
    <n v="101"/>
    <n v="82"/>
    <s v="Hypertension Stage 1"/>
    <n v="51"/>
    <n v="17.95"/>
    <x v="1"/>
  </r>
  <r>
    <s v="M"/>
    <x v="31"/>
    <n v="69.5"/>
    <n v="1.71"/>
    <n v="23.8"/>
    <n v="77.400000000000006"/>
    <s v="126/64"/>
    <n v="151"/>
    <n v="74"/>
    <n v="116"/>
    <s v="Y"/>
    <s v="Y"/>
    <s v="High"/>
    <s v="N"/>
    <n v="171"/>
    <n v="0.45300000000000001"/>
    <n v="126"/>
    <n v="64"/>
    <s v="Elevated"/>
    <n v="47"/>
    <n v="16.079999999999998"/>
    <x v="0"/>
  </r>
  <r>
    <s v="F"/>
    <x v="16"/>
    <n v="119.5"/>
    <n v="1.82"/>
    <n v="36.1"/>
    <n v="102.5"/>
    <s v="135/82"/>
    <n v="256"/>
    <n v="33"/>
    <n v="125"/>
    <s v="N"/>
    <s v="Y"/>
    <s v="Moderate"/>
    <s v="Y"/>
    <n v="182"/>
    <n v="0.56299999999999994"/>
    <n v="135"/>
    <n v="82"/>
    <s v="Hypertension Stage 1"/>
    <n v="193"/>
    <n v="21.09"/>
    <x v="1"/>
  </r>
  <r>
    <s v="M"/>
    <x v="10"/>
    <n v="108.7"/>
    <n v="1.81"/>
    <n v="33.200000000000003"/>
    <n v="84"/>
    <s v="150/71"/>
    <n v="158"/>
    <n v="33"/>
    <n v="114"/>
    <s v="Y"/>
    <s v="Y"/>
    <s v="High"/>
    <s v="N"/>
    <n v="181"/>
    <n v="0.46400000000000002"/>
    <m/>
    <n v="71"/>
    <s v="Hypertension Stage 2"/>
    <n v="95"/>
    <n v="19.3"/>
    <x v="1"/>
  </r>
  <r>
    <s v="M"/>
    <x v="5"/>
    <n v="118.3"/>
    <n v="1.69"/>
    <n v="41.4"/>
    <n v="72.099999999999994"/>
    <s v="116/93"/>
    <n v="171"/>
    <n v="44"/>
    <n v="145"/>
    <s v="N"/>
    <s v="N"/>
    <s v="Moderate"/>
    <s v="N"/>
    <m/>
    <n v="0.42699999999999999"/>
    <n v="116"/>
    <n v="93"/>
    <s v="Hypertension Stage 2"/>
    <n v="97"/>
    <n v="17.5"/>
    <x v="2"/>
  </r>
  <r>
    <s v="F"/>
    <x v="31"/>
    <n v="67.2"/>
    <n v="1.88"/>
    <n v="19"/>
    <n v="71.400000000000006"/>
    <s v="96/90"/>
    <n v="128"/>
    <m/>
    <n v="133"/>
    <s v="N"/>
    <s v="Y"/>
    <s v="Moderate"/>
    <s v="N"/>
    <n v="188"/>
    <n v="0.38"/>
    <m/>
    <n v="90"/>
    <s v="Hypertension Stage 2"/>
    <n v="55"/>
    <n v="13.16"/>
    <x v="0"/>
  </r>
  <r>
    <s v="F"/>
    <x v="7"/>
    <n v="111.4"/>
    <n v="1.76"/>
    <n v="36"/>
    <n v="98.7"/>
    <s v="117/93"/>
    <n v="263"/>
    <n v="45"/>
    <n v="98"/>
    <s v="N"/>
    <s v="Y"/>
    <s v="High"/>
    <s v="N"/>
    <n v="176"/>
    <n v="0.56100000000000005"/>
    <n v="117"/>
    <n v="93"/>
    <s v="Hypertension Stage 2"/>
    <n v="188"/>
    <n v="20.309999999999999"/>
    <x v="0"/>
  </r>
  <r>
    <s v="M"/>
    <x v="23"/>
    <n v="57.5"/>
    <n v="1.69"/>
    <n v="20.100000000000001"/>
    <n v="99.1"/>
    <s v="105/64"/>
    <n v="137"/>
    <n v="57"/>
    <n v="84"/>
    <s v="Y"/>
    <s v="Y"/>
    <s v="Low"/>
    <s v="Y"/>
    <n v="169"/>
    <n v="0.58599999999999997"/>
    <n v="105"/>
    <n v="64"/>
    <s v="Normal"/>
    <n v="50"/>
    <n v="14.01"/>
    <x v="1"/>
  </r>
  <r>
    <s v="M"/>
    <x v="23"/>
    <n v="57.6"/>
    <n v="1.81"/>
    <n v="17.600000000000001"/>
    <n v="100"/>
    <s v="97/84"/>
    <n v="137"/>
    <n v="48"/>
    <n v="113"/>
    <s v="Y"/>
    <s v="N"/>
    <s v="High"/>
    <s v="N"/>
    <n v="181"/>
    <n v="0.55200000000000005"/>
    <n v="97"/>
    <n v="84"/>
    <s v="Hypertension Stage 1"/>
    <n v="59"/>
    <n v="11.11"/>
    <x v="0"/>
  </r>
  <r>
    <s v="F"/>
    <x v="31"/>
    <n v="98.8"/>
    <n v="1.69"/>
    <n v="34.6"/>
    <n v="108.6"/>
    <s v="145/96"/>
    <n v="258"/>
    <n v="44"/>
    <n v="83"/>
    <s v="N"/>
    <s v="N"/>
    <s v="Low"/>
    <s v="N"/>
    <n v="169"/>
    <n v="0.64300000000000002"/>
    <n v="145"/>
    <n v="96"/>
    <s v="Hypertension Stage 2"/>
    <n v="184"/>
    <n v="19.329999999999998"/>
    <x v="1"/>
  </r>
  <r>
    <s v="M"/>
    <x v="30"/>
    <n v="50.6"/>
    <n v="1.81"/>
    <n v="15.4"/>
    <m/>
    <s v="127/77"/>
    <n v="227"/>
    <n v="32"/>
    <n v="88"/>
    <s v="Y"/>
    <s v="N"/>
    <s v="Low"/>
    <s v="N"/>
    <n v="181"/>
    <n v="0.40200000000000002"/>
    <m/>
    <n v="77"/>
    <s v="Elevated"/>
    <n v="165"/>
    <n v="13.97"/>
    <x v="1"/>
  </r>
  <r>
    <s v="M"/>
    <x v="20"/>
    <n v="110.9"/>
    <n v="1.62"/>
    <n v="42.3"/>
    <n v="109.5"/>
    <s v="98/60"/>
    <n v="199"/>
    <n v="30"/>
    <n v="150"/>
    <s v="Y"/>
    <s v="N"/>
    <s v="Moderate"/>
    <s v="Y"/>
    <n v="162"/>
    <n v="0.67600000000000005"/>
    <n v="98"/>
    <n v="60"/>
    <s v="Normal"/>
    <n v="139"/>
    <n v="17.34"/>
    <x v="1"/>
  </r>
  <r>
    <s v="M"/>
    <x v="27"/>
    <n v="90.7"/>
    <n v="1.75"/>
    <n v="29.6"/>
    <n v="97.6"/>
    <s v="91/79"/>
    <n v="264"/>
    <n v="36"/>
    <n v="138"/>
    <s v="Y"/>
    <s v="Y"/>
    <s v="Moderate"/>
    <s v="Y"/>
    <n v="175"/>
    <n v="0.55800000000000005"/>
    <n v="91"/>
    <n v="79"/>
    <s v="Normal"/>
    <n v="198"/>
    <n v="17.75"/>
    <x v="1"/>
  </r>
  <r>
    <s v="F"/>
    <x v="26"/>
    <n v="66.7"/>
    <n v="1.67"/>
    <n v="23.9"/>
    <n v="90.1"/>
    <s v="147/82"/>
    <n v="116"/>
    <n v="35"/>
    <n v="104"/>
    <s v="Y"/>
    <s v="N"/>
    <s v="High"/>
    <s v="Y"/>
    <m/>
    <n v="0.54"/>
    <n v="147"/>
    <n v="82"/>
    <s v="Hypertension Stage 1"/>
    <n v="51"/>
    <n v="14.45"/>
    <x v="1"/>
  </r>
  <r>
    <s v="M"/>
    <x v="10"/>
    <n v="95.9"/>
    <n v="1.62"/>
    <n v="36.5"/>
    <n v="81.7"/>
    <s v="117/91"/>
    <n v="281"/>
    <n v="40"/>
    <n v="150"/>
    <s v="N"/>
    <s v="N"/>
    <s v="Low"/>
    <s v="Y"/>
    <n v="162"/>
    <n v="0.504"/>
    <m/>
    <n v="91"/>
    <s v="Hypertension Stage 2"/>
    <n v="211"/>
    <n v="18.77"/>
    <x v="1"/>
  </r>
  <r>
    <s v="M"/>
    <x v="8"/>
    <n v="73.099999999999994"/>
    <n v="1.76"/>
    <n v="23.6"/>
    <n v="87.8"/>
    <s v="119/81"/>
    <n v="294"/>
    <n v="40"/>
    <n v="113"/>
    <s v="N"/>
    <s v="Y"/>
    <s v="Low"/>
    <s v="N"/>
    <n v="176"/>
    <n v="0.499"/>
    <n v="119"/>
    <n v="81"/>
    <s v="Hypertension Stage 1"/>
    <n v="224"/>
    <n v="18.55"/>
    <x v="1"/>
  </r>
  <r>
    <s v="F"/>
    <x v="20"/>
    <n v="94.5"/>
    <n v="1.85"/>
    <n v="27.6"/>
    <n v="78.5"/>
    <s v="136/61"/>
    <n v="177"/>
    <n v="38"/>
    <n v="145"/>
    <s v="Y"/>
    <s v="Y"/>
    <s v="Moderate"/>
    <s v="Y"/>
    <n v="185"/>
    <n v="0.42399999999999999"/>
    <n v="136"/>
    <n v="61"/>
    <s v="Hypertension Stage 1"/>
    <n v="109"/>
    <n v="17.86"/>
    <x v="1"/>
  </r>
  <r>
    <s v="M"/>
    <x v="8"/>
    <n v="81.400000000000006"/>
    <n v="1.63"/>
    <n v="30.6"/>
    <n v="106.7"/>
    <s v="149/81"/>
    <n v="191"/>
    <n v="41"/>
    <n v="71"/>
    <s v="Y"/>
    <s v="Y"/>
    <s v="Moderate"/>
    <s v="N"/>
    <n v="163"/>
    <n v="0.65500000000000003"/>
    <n v="149"/>
    <m/>
    <s v="Hypertension Stage 1"/>
    <m/>
    <n v="19.39"/>
    <x v="1"/>
  </r>
  <r>
    <s v="M"/>
    <x v="14"/>
    <n v="85.2"/>
    <n v="1.79"/>
    <n v="26.6"/>
    <n v="73.5"/>
    <s v="97/79"/>
    <n v="262"/>
    <n v="39"/>
    <n v="70"/>
    <s v="N"/>
    <s v="Y"/>
    <s v="High"/>
    <s v="N"/>
    <n v="179"/>
    <n v="0.41099999999999998"/>
    <n v="97"/>
    <n v="79"/>
    <s v="Normal"/>
    <n v="193"/>
    <n v="17.41"/>
    <x v="1"/>
  </r>
  <r>
    <s v="M"/>
    <x v="16"/>
    <n v="118.8"/>
    <n v="1.68"/>
    <n v="42.1"/>
    <n v="88.2"/>
    <s v="140/86"/>
    <n v="233"/>
    <n v="63"/>
    <n v="73"/>
    <s v="Y"/>
    <s v="N"/>
    <s v="Low"/>
    <s v="Y"/>
    <n v="168"/>
    <n v="0.52500000000000002"/>
    <n v="140"/>
    <n v="86"/>
    <s v="Hypertension Stage 1"/>
    <n v="140"/>
    <n v="20.079999999999998"/>
    <x v="1"/>
  </r>
  <r>
    <s v="M"/>
    <x v="5"/>
    <n v="99.4"/>
    <n v="1.88"/>
    <n v="28.1"/>
    <n v="75.599999999999994"/>
    <s v="121/67"/>
    <n v="182"/>
    <n v="35"/>
    <n v="126"/>
    <s v="N"/>
    <s v="Y"/>
    <s v="Moderate"/>
    <s v="N"/>
    <n v="188"/>
    <n v="0.40200000000000002"/>
    <n v="121"/>
    <n v="67"/>
    <s v="Elevated"/>
    <n v="117"/>
    <n v="17.309999999999999"/>
    <x v="0"/>
  </r>
  <r>
    <s v="F"/>
    <x v="0"/>
    <n v="71.7"/>
    <n v="1.72"/>
    <n v="24.2"/>
    <n v="109.9"/>
    <s v="150/84"/>
    <n v="170"/>
    <n v="38"/>
    <n v="92"/>
    <s v="Y"/>
    <s v="N"/>
    <s v="Moderate"/>
    <s v="Y"/>
    <n v="172"/>
    <n v="0.63900000000000001"/>
    <n v="150"/>
    <n v="84"/>
    <s v="Hypertension Stage 1"/>
    <n v="102"/>
    <n v="15.74"/>
    <x v="0"/>
  </r>
  <r>
    <s v="M"/>
    <x v="18"/>
    <n v="78.5"/>
    <n v="1.77"/>
    <n v="25.1"/>
    <n v="100.6"/>
    <s v="131/79"/>
    <n v="162"/>
    <n v="42"/>
    <n v="126"/>
    <s v="Y"/>
    <s v="N"/>
    <s v="Low"/>
    <s v="Y"/>
    <n v="177"/>
    <n v="0.56799999999999995"/>
    <n v="131"/>
    <m/>
    <s v="Hypertension Stage 1"/>
    <n v="90"/>
    <n v="14.81"/>
    <x v="1"/>
  </r>
  <r>
    <s v="F"/>
    <x v="8"/>
    <n v="57.4"/>
    <n v="1.76"/>
    <n v="18.5"/>
    <n v="96.6"/>
    <s v="119/92"/>
    <n v="212"/>
    <n v="58"/>
    <n v="76"/>
    <s v="Y"/>
    <s v="N"/>
    <s v="High"/>
    <s v="N"/>
    <n v="176"/>
    <n v="0.54900000000000004"/>
    <n v="119"/>
    <n v="92"/>
    <s v="Hypertension Stage 2"/>
    <n v="124"/>
    <n v="13.89"/>
    <x v="0"/>
  </r>
  <r>
    <s v="F"/>
    <x v="1"/>
    <n v="73.5"/>
    <n v="1.88"/>
    <n v="20.8"/>
    <n v="82.7"/>
    <s v="144/72"/>
    <m/>
    <n v="36"/>
    <n v="116"/>
    <s v="N"/>
    <s v="Y"/>
    <s v="Low"/>
    <s v="Y"/>
    <n v="188"/>
    <n v="0.44"/>
    <n v="144"/>
    <n v="72"/>
    <s v="Hypertension Stage 2"/>
    <n v="100"/>
    <n v="16.68"/>
    <x v="1"/>
  </r>
  <r>
    <s v="M"/>
    <x v="19"/>
    <n v="56.8"/>
    <n v="1.85"/>
    <n v="16.600000000000001"/>
    <n v="86.8"/>
    <s v="144/70"/>
    <n v="193"/>
    <n v="50"/>
    <n v="112"/>
    <s v="Y"/>
    <s v="N"/>
    <s v="Low"/>
    <s v="N"/>
    <n v="185"/>
    <n v="0.46899999999999997"/>
    <n v="144"/>
    <n v="70"/>
    <s v="Hypertension Stage 2"/>
    <n v="113"/>
    <n v="14.38"/>
    <x v="0"/>
  </r>
  <r>
    <s v="F"/>
    <x v="5"/>
    <n v="72.8"/>
    <n v="1.64"/>
    <n v="27.1"/>
    <n v="96.6"/>
    <s v="137/64"/>
    <n v="214"/>
    <n v="69"/>
    <n v="73"/>
    <s v="N"/>
    <s v="Y"/>
    <s v="Low"/>
    <s v="N"/>
    <n v="164"/>
    <n v="0.58899999999999997"/>
    <n v="137"/>
    <n v="64"/>
    <s v="Hypertension Stage 1"/>
    <n v="115"/>
    <n v="18.55"/>
    <x v="1"/>
  </r>
  <r>
    <s v="F"/>
    <x v="18"/>
    <n v="60.2"/>
    <n v="1.76"/>
    <n v="19.399999999999999"/>
    <n v="83.6"/>
    <s v="124/76"/>
    <n v="118"/>
    <n v="36"/>
    <n v="101"/>
    <s v="Y"/>
    <s v="N"/>
    <s v="High"/>
    <s v="Y"/>
    <n v="176"/>
    <n v="0.47499999999999998"/>
    <n v="124"/>
    <n v="76"/>
    <s v="Elevated"/>
    <n v="52"/>
    <n v="12.44"/>
    <x v="0"/>
  </r>
  <r>
    <s v="F"/>
    <x v="8"/>
    <n v="57.5"/>
    <n v="1.76"/>
    <n v="18.600000000000001"/>
    <n v="82.1"/>
    <s v="142/79"/>
    <n v="181"/>
    <n v="72"/>
    <n v="118"/>
    <s v="N"/>
    <s v="Y"/>
    <s v="High"/>
    <s v="N"/>
    <n v="176"/>
    <n v="0.46600000000000003"/>
    <n v="142"/>
    <n v="79"/>
    <s v="Hypertension Stage 2"/>
    <n v="79"/>
    <n v="16.440000000000001"/>
    <x v="0"/>
  </r>
  <r>
    <s v="F"/>
    <x v="23"/>
    <n v="67.3"/>
    <n v="1.67"/>
    <n v="24.1"/>
    <n v="93.5"/>
    <s v="102/79"/>
    <n v="217"/>
    <n v="30"/>
    <n v="99"/>
    <s v="N"/>
    <s v="N"/>
    <s v="High"/>
    <s v="Y"/>
    <n v="167"/>
    <n v="0.56000000000000005"/>
    <n v="102"/>
    <m/>
    <s v="Normal"/>
    <n v="157"/>
    <n v="14.26"/>
    <x v="1"/>
  </r>
  <r>
    <s v="F"/>
    <x v="16"/>
    <n v="58.4"/>
    <n v="1.78"/>
    <n v="18.399999999999999"/>
    <n v="90.7"/>
    <s v="92/84"/>
    <n v="166"/>
    <n v="40"/>
    <n v="76"/>
    <s v="Y"/>
    <s v="N"/>
    <s v="High"/>
    <s v="Y"/>
    <n v="178"/>
    <m/>
    <n v="92"/>
    <n v="84"/>
    <s v="Hypertension Stage 1"/>
    <n v="96"/>
    <n v="11.6"/>
    <x v="0"/>
  </r>
  <r>
    <s v="M"/>
    <x v="2"/>
    <n v="102.1"/>
    <n v="1.66"/>
    <n v="37.1"/>
    <n v="71.3"/>
    <s v="133/75"/>
    <n v="288"/>
    <m/>
    <n v="149"/>
    <s v="Y"/>
    <s v="Y"/>
    <s v="High"/>
    <s v="N"/>
    <m/>
    <n v="0.43"/>
    <n v="133"/>
    <n v="75"/>
    <s v="Hypertension Stage 1"/>
    <n v="207"/>
    <n v="21.83"/>
    <x v="1"/>
  </r>
  <r>
    <s v="F"/>
    <x v="5"/>
    <n v="74.599999999999994"/>
    <n v="1.7"/>
    <n v="25.8"/>
    <n v="84.4"/>
    <s v="125/73"/>
    <n v="294"/>
    <n v="74"/>
    <n v="76"/>
    <s v="Y"/>
    <s v="Y"/>
    <s v="Moderate"/>
    <s v="Y"/>
    <n v="170"/>
    <n v="0.496"/>
    <n v="125"/>
    <n v="73"/>
    <s v="Elevated"/>
    <n v="190"/>
    <n v="19.29"/>
    <x v="1"/>
  </r>
  <r>
    <s v="F"/>
    <x v="2"/>
    <n v="77"/>
    <n v="1.65"/>
    <n v="28.3"/>
    <n v="88.8"/>
    <s v="97/74"/>
    <n v="101"/>
    <n v="40"/>
    <n v="138"/>
    <s v="N"/>
    <s v="Y"/>
    <s v="High"/>
    <s v="N"/>
    <n v="165"/>
    <n v="0.53800000000000003"/>
    <m/>
    <n v="74"/>
    <s v="Normal"/>
    <n v="31"/>
    <n v="14.53"/>
    <x v="0"/>
  </r>
  <r>
    <s v="M"/>
    <x v="7"/>
    <n v="100.4"/>
    <n v="1.68"/>
    <n v="35.6"/>
    <n v="102"/>
    <s v="146/73"/>
    <n v="109"/>
    <n v="55"/>
    <n v="150"/>
    <s v="Y"/>
    <s v="Y"/>
    <s v="High"/>
    <s v="Y"/>
    <n v="168"/>
    <n v="0.60699999999999998"/>
    <n v="146"/>
    <n v="73"/>
    <s v="Hypertension Stage 2"/>
    <n v="24"/>
    <n v="18.600000000000001"/>
    <x v="1"/>
  </r>
  <r>
    <s v="M"/>
    <x v="18"/>
    <n v="85.2"/>
    <n v="1.69"/>
    <n v="29.8"/>
    <n v="96.3"/>
    <s v="91/61"/>
    <n v="247"/>
    <m/>
    <n v="129"/>
    <s v="Y"/>
    <s v="Y"/>
    <s v="High"/>
    <s v="Y"/>
    <n v="169"/>
    <n v="0.56999999999999995"/>
    <n v="91"/>
    <m/>
    <s v="Normal"/>
    <n v="138"/>
    <m/>
    <x v="1"/>
  </r>
  <r>
    <s v="F"/>
    <x v="31"/>
    <n v="106"/>
    <n v="1.78"/>
    <n v="33.5"/>
    <n v="82.9"/>
    <s v="119/89"/>
    <n v="117"/>
    <n v="36"/>
    <n v="95"/>
    <s v="Y"/>
    <s v="N"/>
    <s v="Moderate"/>
    <s v="N"/>
    <n v="178"/>
    <n v="0.46600000000000003"/>
    <n v="119"/>
    <n v="89"/>
    <s v="Hypertension Stage 1"/>
    <n v="51"/>
    <n v="14.99"/>
    <x v="1"/>
  </r>
  <r>
    <s v="M"/>
    <x v="25"/>
    <n v="117.9"/>
    <n v="1.66"/>
    <n v="42.8"/>
    <n v="108.6"/>
    <s v="133/65"/>
    <n v="120"/>
    <n v="64"/>
    <n v="132"/>
    <s v="N"/>
    <s v="Y"/>
    <s v="Moderate"/>
    <s v="Y"/>
    <n v="166"/>
    <n v="0.65400000000000003"/>
    <n v="133"/>
    <n v="65"/>
    <s v="Hypertension Stage 1"/>
    <n v="26"/>
    <n v="19.61"/>
    <x v="1"/>
  </r>
  <r>
    <s v="M"/>
    <x v="6"/>
    <n v="79.3"/>
    <n v="1.86"/>
    <n v="22.9"/>
    <n v="73.8"/>
    <s v="118/89"/>
    <n v="286"/>
    <n v="36"/>
    <n v="142"/>
    <s v="Y"/>
    <s v="Y"/>
    <s v="Low"/>
    <s v="N"/>
    <n v="186"/>
    <n v="0.39700000000000002"/>
    <n v="118"/>
    <n v="89"/>
    <s v="Hypertension Stage 1"/>
    <m/>
    <n v="18.2"/>
    <x v="1"/>
  </r>
  <r>
    <s v="F"/>
    <x v="26"/>
    <n v="89.4"/>
    <n v="1.67"/>
    <n v="32.1"/>
    <n v="107.2"/>
    <s v="118/89"/>
    <n v="206"/>
    <n v="54"/>
    <n v="140"/>
    <s v="Y"/>
    <s v="Y"/>
    <s v="Low"/>
    <s v="Y"/>
    <n v="167"/>
    <n v="0.64200000000000002"/>
    <n v="118"/>
    <n v="89"/>
    <s v="Hypertension Stage 1"/>
    <n v="122"/>
    <n v="18.440000000000001"/>
    <x v="1"/>
  </r>
  <r>
    <s v="M"/>
    <x v="18"/>
    <n v="105.3"/>
    <n v="1.62"/>
    <n v="40.1"/>
    <n v="88.2"/>
    <s v="121/94"/>
    <n v="162"/>
    <n v="43"/>
    <n v="79"/>
    <s v="Y"/>
    <s v="N"/>
    <s v="High"/>
    <s v="N"/>
    <n v="162"/>
    <n v="0.54400000000000004"/>
    <n v="121"/>
    <m/>
    <s v="Hypertension Stage 2"/>
    <n v="89"/>
    <n v="17.309999999999999"/>
    <x v="0"/>
  </r>
  <r>
    <s v="F"/>
    <x v="12"/>
    <m/>
    <n v="1.66"/>
    <n v="19"/>
    <n v="98.1"/>
    <s v="141/69"/>
    <n v="149"/>
    <n v="70"/>
    <n v="137"/>
    <s v="Y"/>
    <s v="Y"/>
    <s v="Moderate"/>
    <s v="Y"/>
    <n v="166"/>
    <n v="0.59099999999999997"/>
    <n v="141"/>
    <n v="69"/>
    <s v="Hypertension Stage 2"/>
    <n v="49"/>
    <n v="15.83"/>
    <x v="0"/>
  </r>
  <r>
    <s v="F"/>
    <x v="30"/>
    <n v="113.1"/>
    <n v="1.67"/>
    <n v="40.6"/>
    <n v="89.7"/>
    <s v="102/63"/>
    <n v="124"/>
    <n v="48"/>
    <n v="90"/>
    <s v="N"/>
    <s v="Y"/>
    <s v="High"/>
    <s v="Y"/>
    <m/>
    <n v="0.53700000000000003"/>
    <n v="102"/>
    <n v="63"/>
    <s v="Normal"/>
    <n v="46"/>
    <n v="17.7"/>
    <x v="1"/>
  </r>
  <r>
    <s v="M"/>
    <x v="15"/>
    <n v="74.8"/>
    <n v="1.88"/>
    <n v="21.2"/>
    <n v="73"/>
    <s v="130/71"/>
    <m/>
    <n v="49"/>
    <n v="107"/>
    <s v="Y"/>
    <s v="N"/>
    <s v="High"/>
    <s v="Y"/>
    <n v="188"/>
    <n v="0.38800000000000001"/>
    <n v="130"/>
    <n v="71"/>
    <s v="Hypertension Stage 1"/>
    <n v="76"/>
    <n v="13.84"/>
    <x v="0"/>
  </r>
  <r>
    <s v="M"/>
    <x v="12"/>
    <n v="73.3"/>
    <n v="1.74"/>
    <n v="24.2"/>
    <n v="95"/>
    <s v="111/84"/>
    <n v="158"/>
    <n v="37"/>
    <n v="81"/>
    <s v="N"/>
    <s v="Y"/>
    <s v="High"/>
    <s v="Y"/>
    <n v="174"/>
    <n v="0.54600000000000004"/>
    <n v="111"/>
    <n v="84"/>
    <s v="Hypertension Stage 1"/>
    <n v="91"/>
    <n v="15.55"/>
    <x v="0"/>
  </r>
  <r>
    <s v="M"/>
    <x v="27"/>
    <n v="57.9"/>
    <n v="1.87"/>
    <n v="16.600000000000001"/>
    <n v="78.3"/>
    <s v="102/60"/>
    <n v="215"/>
    <n v="68"/>
    <n v="90"/>
    <s v="N"/>
    <s v="Y"/>
    <s v="Moderate"/>
    <s v="N"/>
    <n v="187"/>
    <n v="0.41899999999999998"/>
    <m/>
    <n v="60"/>
    <s v="Normal"/>
    <n v="117"/>
    <n v="14.72"/>
    <x v="0"/>
  </r>
  <r>
    <s v="M"/>
    <x v="24"/>
    <n v="52.7"/>
    <n v="1.85"/>
    <n v="15.4"/>
    <n v="107.7"/>
    <s v="107/61"/>
    <n v="105"/>
    <n v="32"/>
    <n v="70"/>
    <s v="Y"/>
    <s v="N"/>
    <s v="High"/>
    <s v="N"/>
    <n v="185"/>
    <n v="0.58199999999999996"/>
    <n v="107"/>
    <n v="61"/>
    <s v="Normal"/>
    <n v="43"/>
    <n v="10.53"/>
    <x v="0"/>
  </r>
  <r>
    <s v="M"/>
    <x v="3"/>
    <n v="56.8"/>
    <n v="1.77"/>
    <n v="18.100000000000001"/>
    <n v="90.8"/>
    <s v="133/77"/>
    <n v="131"/>
    <n v="37"/>
    <n v="109"/>
    <s v="Y"/>
    <s v="Y"/>
    <s v="High"/>
    <s v="N"/>
    <n v="177"/>
    <n v="0.51300000000000001"/>
    <n v="133"/>
    <n v="77"/>
    <s v="Hypertension Stage 1"/>
    <n v="64"/>
    <n v="14.89"/>
    <x v="0"/>
  </r>
  <r>
    <s v="M"/>
    <x v="29"/>
    <n v="84.4"/>
    <n v="1.9"/>
    <n v="23.4"/>
    <n v="77.099999999999994"/>
    <s v="112/91"/>
    <n v="134"/>
    <n v="31"/>
    <n v="95"/>
    <s v="N"/>
    <s v="N"/>
    <s v="Moderate"/>
    <s v="N"/>
    <n v="190"/>
    <n v="0.40600000000000003"/>
    <n v="112"/>
    <n v="91"/>
    <s v="Hypertension Stage 2"/>
    <n v="73"/>
    <n v="12.96"/>
    <x v="0"/>
  </r>
  <r>
    <s v="F"/>
    <x v="6"/>
    <n v="103.5"/>
    <n v="1.81"/>
    <n v="31.6"/>
    <n v="84.6"/>
    <s v="122/65"/>
    <n v="114"/>
    <n v="55"/>
    <n v="138"/>
    <s v="N"/>
    <s v="Y"/>
    <s v="High"/>
    <s v="N"/>
    <n v="181"/>
    <n v="0.46700000000000003"/>
    <m/>
    <n v="65"/>
    <s v="Elevated"/>
    <n v="29"/>
    <n v="16.7"/>
    <x v="0"/>
  </r>
  <r>
    <s v="M"/>
    <x v="17"/>
    <n v="87.6"/>
    <n v="1.81"/>
    <n v="26.7"/>
    <n v="91.3"/>
    <s v="90/92"/>
    <n v="271"/>
    <n v="42"/>
    <n v="108"/>
    <s v="Y"/>
    <s v="N"/>
    <s v="Moderate"/>
    <s v="Y"/>
    <m/>
    <n v="0.504"/>
    <n v="90"/>
    <n v="92"/>
    <s v="Hypertension Stage 2"/>
    <n v="199"/>
    <n v="15.26"/>
    <x v="1"/>
  </r>
  <r>
    <s v="M"/>
    <x v="0"/>
    <n v="84.8"/>
    <n v="1.66"/>
    <n v="30.8"/>
    <n v="100.4"/>
    <s v="133/70"/>
    <n v="284"/>
    <n v="76"/>
    <n v="70"/>
    <s v="N"/>
    <s v="Y"/>
    <s v="Low"/>
    <s v="Y"/>
    <n v="166"/>
    <n v="0.60499999999999998"/>
    <n v="133"/>
    <n v="70"/>
    <s v="Hypertension Stage 1"/>
    <n v="178"/>
    <n v="20.49"/>
    <x v="1"/>
  </r>
  <r>
    <s v="M"/>
    <x v="2"/>
    <n v="115.4"/>
    <m/>
    <n v="36.799999999999997"/>
    <n v="91.9"/>
    <s v="142/64"/>
    <m/>
    <n v="39"/>
    <n v="118"/>
    <s v="Y"/>
    <s v="Y"/>
    <s v="High"/>
    <s v="N"/>
    <n v="177"/>
    <n v="0.51900000000000002"/>
    <n v="142"/>
    <n v="64"/>
    <s v="Hypertension Stage 2"/>
    <n v="67"/>
    <n v="19.18"/>
    <x v="1"/>
  </r>
  <r>
    <s v="F"/>
    <x v="18"/>
    <n v="70.7"/>
    <n v="1.82"/>
    <n v="21.3"/>
    <n v="109.7"/>
    <s v="117/62"/>
    <n v="157"/>
    <n v="37"/>
    <n v="105"/>
    <s v="N"/>
    <s v="Y"/>
    <s v="Moderate"/>
    <s v="N"/>
    <n v="182"/>
    <n v="0.60299999999999998"/>
    <n v="117"/>
    <n v="62"/>
    <s v="Normal"/>
    <n v="90"/>
    <n v="15.25"/>
    <x v="0"/>
  </r>
  <r>
    <s v="M"/>
    <x v="24"/>
    <n v="79.8"/>
    <n v="1.86"/>
    <n v="23.1"/>
    <n v="82.2"/>
    <s v="141/65"/>
    <n v="160"/>
    <n v="72"/>
    <n v="70"/>
    <s v="N"/>
    <s v="N"/>
    <s v="Low"/>
    <s v="Y"/>
    <n v="186"/>
    <n v="0.442"/>
    <n v="141"/>
    <n v="65"/>
    <s v="Hypertension Stage 2"/>
    <n v="58"/>
    <n v="14.87"/>
    <x v="0"/>
  </r>
  <r>
    <s v="M"/>
    <x v="21"/>
    <n v="95.7"/>
    <n v="1.89"/>
    <n v="26.8"/>
    <n v="96.8"/>
    <s v="113/94"/>
    <n v="186"/>
    <m/>
    <n v="112"/>
    <s v="Y"/>
    <s v="Y"/>
    <s v="High"/>
    <s v="N"/>
    <n v="189"/>
    <n v="0.51200000000000001"/>
    <n v="113"/>
    <n v="94"/>
    <s v="Hypertension Stage 2"/>
    <n v="84"/>
    <n v="16.73"/>
    <x v="0"/>
  </r>
  <r>
    <s v="F"/>
    <x v="22"/>
    <n v="71.400000000000006"/>
    <n v="1.79"/>
    <n v="22.3"/>
    <n v="104.4"/>
    <s v="122/80"/>
    <m/>
    <n v="64"/>
    <n v="88"/>
    <s v="Y"/>
    <s v="Y"/>
    <s v="Low"/>
    <s v="N"/>
    <n v="179"/>
    <n v="0.58299999999999996"/>
    <n v="122"/>
    <n v="80"/>
    <s v="Hypertension Stage 1"/>
    <n v="67"/>
    <n v="15.78"/>
    <x v="1"/>
  </r>
  <r>
    <s v="M"/>
    <x v="14"/>
    <n v="99.6"/>
    <n v="1.81"/>
    <m/>
    <n v="77.8"/>
    <s v="97/64"/>
    <n v="152"/>
    <n v="79"/>
    <n v="124"/>
    <s v="Y"/>
    <s v="N"/>
    <s v="Moderate"/>
    <s v="N"/>
    <n v="181"/>
    <n v="0.43"/>
    <n v="97"/>
    <n v="64"/>
    <s v="Normal"/>
    <n v="43"/>
    <n v="13.97"/>
    <x v="0"/>
  </r>
  <r>
    <s v="M"/>
    <x v="19"/>
    <n v="56.3"/>
    <n v="1.81"/>
    <n v="17.2"/>
    <n v="73"/>
    <s v="144/74"/>
    <n v="170"/>
    <n v="73"/>
    <n v="84"/>
    <s v="Y"/>
    <s v="N"/>
    <s v="Moderate"/>
    <s v="N"/>
    <n v="181"/>
    <n v="0.40300000000000002"/>
    <n v="144"/>
    <n v="74"/>
    <s v="Hypertension Stage 2"/>
    <n v="67"/>
    <n v="14.04"/>
    <x v="2"/>
  </r>
  <r>
    <s v="M"/>
    <x v="24"/>
    <n v="106"/>
    <n v="1.66"/>
    <n v="38.5"/>
    <n v="92.5"/>
    <s v="130/73"/>
    <n v="195"/>
    <n v="31"/>
    <n v="136"/>
    <s v="Y"/>
    <s v="N"/>
    <s v="Moderate"/>
    <s v="N"/>
    <n v="166"/>
    <n v="0.55700000000000005"/>
    <n v="130"/>
    <n v="73"/>
    <s v="Hypertension Stage 1"/>
    <n v="134"/>
    <n v="18.100000000000001"/>
    <x v="0"/>
  </r>
  <r>
    <s v="M"/>
    <x v="25"/>
    <n v="114.6"/>
    <n v="1.88"/>
    <m/>
    <n v="109.8"/>
    <s v="95/62"/>
    <n v="174"/>
    <n v="52"/>
    <n v="106"/>
    <s v="Y"/>
    <s v="N"/>
    <s v="High"/>
    <s v="N"/>
    <n v="188"/>
    <n v="0.58399999999999996"/>
    <m/>
    <n v="62"/>
    <s v="Normal"/>
    <n v="92"/>
    <n v="14.71"/>
    <x v="0"/>
  </r>
  <r>
    <s v="M"/>
    <x v="11"/>
    <n v="97"/>
    <n v="1.78"/>
    <n v="30.6"/>
    <n v="76.900000000000006"/>
    <s v="121/83"/>
    <n v="170"/>
    <n v="44"/>
    <n v="105"/>
    <s v="N"/>
    <s v="N"/>
    <s v="Moderate"/>
    <s v="Y"/>
    <n v="178"/>
    <n v="0.432"/>
    <n v="121"/>
    <n v="83"/>
    <s v="Hypertension Stage 1"/>
    <n v="96"/>
    <n v="15.57"/>
    <x v="0"/>
  </r>
  <r>
    <s v="M"/>
    <x v="21"/>
    <m/>
    <n v="1.81"/>
    <n v="18"/>
    <n v="87.8"/>
    <s v="118/84"/>
    <n v="159"/>
    <n v="41"/>
    <n v="150"/>
    <s v="N"/>
    <s v="N"/>
    <s v="Moderate"/>
    <s v="N"/>
    <n v="181"/>
    <n v="0.48499999999999999"/>
    <n v="118"/>
    <n v="84"/>
    <s v="Hypertension Stage 1"/>
    <n v="88"/>
    <n v="12.68"/>
    <x v="2"/>
  </r>
  <r>
    <s v="F"/>
    <x v="23"/>
    <n v="52.7"/>
    <n v="1.69"/>
    <n v="18.5"/>
    <n v="102.3"/>
    <s v="143/89"/>
    <n v="140"/>
    <n v="31"/>
    <n v="127"/>
    <s v="Y"/>
    <s v="N"/>
    <s v="Low"/>
    <s v="N"/>
    <n v="169"/>
    <n v="0.60499999999999998"/>
    <n v="143"/>
    <m/>
    <s v="Hypertension Stage 1"/>
    <n v="79"/>
    <n v="13.65"/>
    <x v="1"/>
  </r>
  <r>
    <s v="M"/>
    <x v="18"/>
    <n v="58.3"/>
    <n v="1.64"/>
    <m/>
    <n v="93.5"/>
    <s v="139/76"/>
    <n v="113"/>
    <n v="53"/>
    <n v="146"/>
    <s v="Y"/>
    <s v="N"/>
    <s v="Moderate"/>
    <s v="N"/>
    <n v="164"/>
    <n v="0.56999999999999995"/>
    <n v="139"/>
    <n v="76"/>
    <s v="Hypertension Stage 1"/>
    <n v="30"/>
    <n v="13.55"/>
    <x v="2"/>
  </r>
  <r>
    <s v="M"/>
    <x v="2"/>
    <n v="104.3"/>
    <n v="1.6"/>
    <n v="40.700000000000003"/>
    <n v="108.2"/>
    <s v="97/89"/>
    <n v="192"/>
    <n v="30"/>
    <n v="132"/>
    <s v="N"/>
    <s v="N"/>
    <s v="High"/>
    <s v="N"/>
    <n v="160"/>
    <n v="0.67600000000000005"/>
    <n v="97"/>
    <n v="89"/>
    <s v="Hypertension Stage 1"/>
    <n v="132"/>
    <n v="16.829999999999998"/>
    <x v="0"/>
  </r>
  <r>
    <s v="M"/>
    <x v="23"/>
    <n v="117.1"/>
    <m/>
    <n v="36.5"/>
    <n v="103.2"/>
    <s v="118/61"/>
    <n v="106"/>
    <n v="37"/>
    <n v="130"/>
    <s v="N"/>
    <s v="N"/>
    <s v="Moderate"/>
    <s v="Y"/>
    <n v="179"/>
    <n v="0.57699999999999996"/>
    <n v="118"/>
    <n v="61"/>
    <s v="Normal"/>
    <n v="39"/>
    <n v="15.32"/>
    <x v="1"/>
  </r>
  <r>
    <s v="F"/>
    <x v="23"/>
    <n v="83.2"/>
    <n v="1.66"/>
    <n v="30.2"/>
    <m/>
    <s v="91/64"/>
    <n v="148"/>
    <n v="69"/>
    <n v="138"/>
    <s v="Y"/>
    <s v="Y"/>
    <s v="Low"/>
    <s v="N"/>
    <n v="166"/>
    <n v="0.48099999999999998"/>
    <n v="91"/>
    <n v="64"/>
    <s v="Normal"/>
    <n v="49"/>
    <n v="15.55"/>
    <x v="1"/>
  </r>
  <r>
    <s v="F"/>
    <x v="2"/>
    <n v="69.400000000000006"/>
    <n v="1.86"/>
    <n v="20.100000000000001"/>
    <n v="76.099999999999994"/>
    <s v="98/94"/>
    <n v="185"/>
    <n v="40"/>
    <n v="119"/>
    <s v="N"/>
    <s v="Y"/>
    <s v="Moderate"/>
    <s v="N"/>
    <n v="186"/>
    <n v="0.40899999999999997"/>
    <n v="98"/>
    <m/>
    <s v="Hypertension Stage 2"/>
    <n v="115"/>
    <n v="14.62"/>
    <x v="0"/>
  </r>
  <r>
    <s v="M"/>
    <x v="19"/>
    <n v="77.599999999999994"/>
    <n v="1.85"/>
    <n v="22.7"/>
    <n v="101.1"/>
    <s v="114/92"/>
    <n v="147"/>
    <n v="59"/>
    <n v="122"/>
    <s v="N"/>
    <s v="Y"/>
    <s v="Moderate"/>
    <s v="Y"/>
    <n v="185"/>
    <n v="0.54600000000000004"/>
    <n v="114"/>
    <n v="92"/>
    <s v="Hypertension Stage 2"/>
    <n v="58"/>
    <n v="15.18"/>
    <x v="0"/>
  </r>
  <r>
    <s v="M"/>
    <x v="7"/>
    <m/>
    <n v="1.72"/>
    <m/>
    <n v="107.2"/>
    <s v="110/81"/>
    <n v="237"/>
    <n v="46"/>
    <n v="144"/>
    <s v="Y"/>
    <s v="N"/>
    <s v="Moderate"/>
    <s v="N"/>
    <n v="172"/>
    <n v="0.623"/>
    <n v="110"/>
    <n v="81"/>
    <s v="Hypertension Stage 1"/>
    <n v="161"/>
    <n v="15.48"/>
    <x v="0"/>
  </r>
  <r>
    <s v="M"/>
    <x v="21"/>
    <n v="99.5"/>
    <n v="1.7"/>
    <n v="34.4"/>
    <n v="93.1"/>
    <s v="98/87"/>
    <n v="150"/>
    <n v="30"/>
    <n v="76"/>
    <s v="Y"/>
    <s v="N"/>
    <s v="High"/>
    <s v="Y"/>
    <n v="170"/>
    <n v="0.54800000000000004"/>
    <m/>
    <n v="87"/>
    <s v="Hypertension Stage 1"/>
    <n v="90"/>
    <n v="14.78"/>
    <x v="1"/>
  </r>
  <r>
    <s v="F"/>
    <x v="4"/>
    <n v="69"/>
    <n v="1.87"/>
    <n v="19.7"/>
    <n v="77.5"/>
    <s v="107/88"/>
    <n v="184"/>
    <n v="45"/>
    <n v="75"/>
    <s v="N"/>
    <s v="Y"/>
    <s v="Low"/>
    <s v="Y"/>
    <m/>
    <n v="0.41399999999999998"/>
    <n v="107"/>
    <n v="88"/>
    <s v="Hypertension Stage 1"/>
    <n v="109"/>
    <n v="14.97"/>
    <x v="1"/>
  </r>
  <r>
    <s v="M"/>
    <x v="11"/>
    <m/>
    <n v="1.9"/>
    <n v="24.3"/>
    <m/>
    <s v="90/72"/>
    <n v="216"/>
    <n v="61"/>
    <n v="146"/>
    <s v="N"/>
    <s v="N"/>
    <s v="High"/>
    <s v="N"/>
    <n v="190"/>
    <n v="0.38"/>
    <n v="90"/>
    <n v="72"/>
    <s v="Normal"/>
    <n v="125"/>
    <n v="13.68"/>
    <x v="2"/>
  </r>
  <r>
    <s v="M"/>
    <x v="22"/>
    <n v="53.9"/>
    <n v="1.61"/>
    <n v="20.8"/>
    <n v="99.5"/>
    <s v="150/96"/>
    <n v="205"/>
    <n v="63"/>
    <n v="75"/>
    <s v="N"/>
    <s v="N"/>
    <s v="Moderate"/>
    <s v="N"/>
    <n v="161"/>
    <n v="0.61799999999999999"/>
    <m/>
    <n v="96"/>
    <s v="Hypertension Stage 2"/>
    <n v="112"/>
    <n v="15.76"/>
    <x v="0"/>
  </r>
  <r>
    <s v="F"/>
    <x v="14"/>
    <n v="51.1"/>
    <n v="1.73"/>
    <n v="17.100000000000001"/>
    <n v="106.2"/>
    <s v="149/68"/>
    <n v="215"/>
    <n v="65"/>
    <n v="79"/>
    <s v="Y"/>
    <s v="N"/>
    <s v="Low"/>
    <s v="N"/>
    <n v="173"/>
    <n v="0.61399999999999999"/>
    <n v="149"/>
    <n v="68"/>
    <s v="Hypertension Stage 2"/>
    <n v="120"/>
    <n v="15.17"/>
    <x v="0"/>
  </r>
  <r>
    <s v="M"/>
    <x v="24"/>
    <m/>
    <n v="1.62"/>
    <n v="28.3"/>
    <n v="91.6"/>
    <s v="90/80"/>
    <n v="195"/>
    <n v="43"/>
    <n v="90"/>
    <s v="Y"/>
    <s v="Y"/>
    <s v="High"/>
    <s v="Y"/>
    <n v="162"/>
    <n v="0.56499999999999995"/>
    <n v="90"/>
    <n v="80"/>
    <s v="Hypertension Stage 1"/>
    <n v="122"/>
    <n v="16.059999999999999"/>
    <x v="1"/>
  </r>
  <r>
    <s v="F"/>
    <x v="25"/>
    <n v="70.8"/>
    <n v="1.66"/>
    <n v="25.7"/>
    <n v="85.8"/>
    <s v="135/61"/>
    <n v="248"/>
    <n v="67"/>
    <n v="102"/>
    <s v="Y"/>
    <s v="N"/>
    <s v="Moderate"/>
    <s v="N"/>
    <n v="166"/>
    <n v="0.51700000000000002"/>
    <n v="135"/>
    <n v="61"/>
    <s v="Hypertension Stage 1"/>
    <n v="151"/>
    <n v="16.850000000000001"/>
    <x v="1"/>
  </r>
  <r>
    <s v="M"/>
    <x v="8"/>
    <n v="71.900000000000006"/>
    <n v="1.74"/>
    <n v="23.7"/>
    <n v="90.9"/>
    <s v="127/71"/>
    <n v="116"/>
    <n v="44"/>
    <n v="131"/>
    <s v="Y"/>
    <s v="Y"/>
    <s v="Low"/>
    <s v="Y"/>
    <n v="174"/>
    <n v="0.52200000000000002"/>
    <n v="127"/>
    <n v="71"/>
    <s v="Elevated"/>
    <n v="42"/>
    <n v="15.41"/>
    <x v="1"/>
  </r>
  <r>
    <s v="F"/>
    <x v="6"/>
    <n v="54.5"/>
    <n v="1.65"/>
    <n v="20"/>
    <n v="83.1"/>
    <s v="97/75"/>
    <n v="113"/>
    <n v="33"/>
    <n v="76"/>
    <s v="Y"/>
    <s v="N"/>
    <s v="Moderate"/>
    <s v="Y"/>
    <n v="165"/>
    <n v="0.504"/>
    <n v="97"/>
    <n v="75"/>
    <s v="Normal"/>
    <n v="50"/>
    <n v="11.11"/>
    <x v="0"/>
  </r>
  <r>
    <s v="F"/>
    <x v="11"/>
    <n v="102"/>
    <n v="1.63"/>
    <n v="38.4"/>
    <n v="97.1"/>
    <s v="111/86"/>
    <n v="215"/>
    <n v="38"/>
    <n v="98"/>
    <s v="N"/>
    <s v="Y"/>
    <s v="Low"/>
    <s v="N"/>
    <n v="163"/>
    <n v="0.59599999999999997"/>
    <n v="111"/>
    <n v="86"/>
    <s v="Hypertension Stage 1"/>
    <n v="147"/>
    <n v="19.53"/>
    <x v="1"/>
  </r>
  <r>
    <s v="M"/>
    <x v="30"/>
    <n v="114.2"/>
    <n v="1.77"/>
    <n v="36.5"/>
    <n v="78.400000000000006"/>
    <s v="140/70"/>
    <n v="277"/>
    <n v="33"/>
    <n v="109"/>
    <s v="N"/>
    <s v="Y"/>
    <s v="High"/>
    <s v="N"/>
    <n v="177"/>
    <n v="0.443"/>
    <n v="140"/>
    <n v="70"/>
    <s v="Hypertension Stage 2"/>
    <m/>
    <n v="21.84"/>
    <x v="1"/>
  </r>
  <r>
    <s v="F"/>
    <x v="27"/>
    <n v="94.6"/>
    <n v="1.89"/>
    <n v="26.5"/>
    <n v="96.7"/>
    <s v="96/73"/>
    <m/>
    <n v="45"/>
    <m/>
    <s v="N"/>
    <s v="Y"/>
    <s v="Low"/>
    <s v="Y"/>
    <n v="189"/>
    <n v="0.51200000000000001"/>
    <n v="96"/>
    <n v="73"/>
    <s v="Normal"/>
    <n v="144"/>
    <n v="16.48"/>
    <x v="1"/>
  </r>
  <r>
    <s v="M"/>
    <x v="0"/>
    <n v="104"/>
    <n v="1.69"/>
    <n v="36.4"/>
    <n v="105.5"/>
    <s v="143/67"/>
    <n v="148"/>
    <n v="60"/>
    <n v="107"/>
    <s v="Y"/>
    <s v="Y"/>
    <s v="Low"/>
    <s v="N"/>
    <n v="169"/>
    <n v="0.624"/>
    <n v="143"/>
    <n v="67"/>
    <s v="Hypertension Stage 2"/>
    <n v="58"/>
    <n v="19.39"/>
    <x v="1"/>
  </r>
  <r>
    <s v="M"/>
    <x v="31"/>
    <n v="52.9"/>
    <n v="1.7"/>
    <n v="18.3"/>
    <m/>
    <s v="139/66"/>
    <n v="170"/>
    <n v="41"/>
    <n v="118"/>
    <s v="Y"/>
    <s v="N"/>
    <s v="High"/>
    <s v="Y"/>
    <n v="170"/>
    <n v="0.433"/>
    <n v="139"/>
    <n v="66"/>
    <s v="Hypertension Stage 1"/>
    <n v="99"/>
    <n v="14.01"/>
    <x v="0"/>
  </r>
  <r>
    <s v="M"/>
    <x v="18"/>
    <n v="82.9"/>
    <n v="1.75"/>
    <n v="27.1"/>
    <n v="77.3"/>
    <s v="148/91"/>
    <n v="157"/>
    <m/>
    <n v="141"/>
    <s v="Y"/>
    <s v="Y"/>
    <s v="High"/>
    <s v="Y"/>
    <n v="175"/>
    <m/>
    <n v="148"/>
    <n v="91"/>
    <s v="Hypertension Stage 2"/>
    <n v="73"/>
    <n v="17.96"/>
    <x v="1"/>
  </r>
  <r>
    <s v="F"/>
    <x v="24"/>
    <n v="98.2"/>
    <n v="1.74"/>
    <n v="32.4"/>
    <n v="106"/>
    <s v="103/98"/>
    <m/>
    <n v="52"/>
    <n v="113"/>
    <s v="Y"/>
    <s v="Y"/>
    <s v="Moderate"/>
    <s v="N"/>
    <n v="174"/>
    <m/>
    <n v="103"/>
    <n v="98"/>
    <s v="Hypertension Stage 2"/>
    <n v="35"/>
    <n v="15.97"/>
    <x v="0"/>
  </r>
  <r>
    <s v="F"/>
    <x v="13"/>
    <n v="93.1"/>
    <m/>
    <n v="27.5"/>
    <n v="101.2"/>
    <s v="124/70"/>
    <n v="165"/>
    <n v="31"/>
    <n v="140"/>
    <s v="Y"/>
    <s v="N"/>
    <s v="Moderate"/>
    <s v="Y"/>
    <n v="184"/>
    <n v="0.55000000000000004"/>
    <n v="124"/>
    <n v="70"/>
    <s v="Elevated"/>
    <n v="104"/>
    <n v="15"/>
    <x v="1"/>
  </r>
  <r>
    <s v="M"/>
    <x v="7"/>
    <n v="97"/>
    <n v="1.66"/>
    <n v="35.200000000000003"/>
    <n v="86.9"/>
    <s v="128/81"/>
    <n v="221"/>
    <n v="41"/>
    <n v="83"/>
    <s v="N"/>
    <s v="Y"/>
    <s v="Moderate"/>
    <s v="Y"/>
    <n v="166"/>
    <n v="0.52300000000000002"/>
    <n v="128"/>
    <n v="81"/>
    <s v="Hypertension Stage 1"/>
    <n v="150"/>
    <n v="19.86"/>
    <x v="1"/>
  </r>
  <r>
    <s v="M"/>
    <x v="25"/>
    <n v="116.2"/>
    <n v="1.67"/>
    <n v="41.7"/>
    <n v="97.6"/>
    <s v="149/66"/>
    <n v="173"/>
    <n v="40"/>
    <n v="133"/>
    <s v="N"/>
    <s v="Y"/>
    <s v="High"/>
    <s v="N"/>
    <n v="167"/>
    <n v="0.58399999999999996"/>
    <n v="149"/>
    <n v="66"/>
    <s v="Hypertension Stage 2"/>
    <n v="103"/>
    <n v="21.25"/>
    <x v="0"/>
  </r>
  <r>
    <s v="F"/>
    <x v="14"/>
    <n v="113.3"/>
    <n v="1.78"/>
    <n v="35.799999999999997"/>
    <n v="79.599999999999994"/>
    <s v="92/89"/>
    <n v="158"/>
    <n v="34"/>
    <n v="111"/>
    <s v="Y"/>
    <s v="N"/>
    <s v="Moderate"/>
    <s v="Y"/>
    <n v="178"/>
    <n v="0.44700000000000001"/>
    <n v="92"/>
    <n v="89"/>
    <s v="Hypertension Stage 1"/>
    <n v="94"/>
    <n v="14.92"/>
    <x v="1"/>
  </r>
  <r>
    <s v="M"/>
    <x v="27"/>
    <n v="83"/>
    <n v="1.85"/>
    <n v="24.3"/>
    <n v="91.7"/>
    <s v="141/78"/>
    <n v="279"/>
    <n v="59"/>
    <n v="116"/>
    <s v="Y"/>
    <s v="Y"/>
    <s v="Low"/>
    <s v="N"/>
    <m/>
    <n v="0.496"/>
    <n v="141"/>
    <n v="78"/>
    <s v="Hypertension Stage 2"/>
    <n v="190"/>
    <n v="19.489999999999998"/>
    <x v="1"/>
  </r>
  <r>
    <s v="M"/>
    <x v="22"/>
    <n v="78.7"/>
    <n v="1.64"/>
    <m/>
    <n v="105.5"/>
    <s v="137/76"/>
    <n v="196"/>
    <n v="37"/>
    <n v="102"/>
    <s v="N"/>
    <s v="N"/>
    <s v="High"/>
    <s v="Y"/>
    <n v="164"/>
    <n v="0.64300000000000002"/>
    <n v="137"/>
    <n v="76"/>
    <s v="Hypertension Stage 1"/>
    <n v="129"/>
    <n v="16.63"/>
    <x v="1"/>
  </r>
  <r>
    <s v="M"/>
    <x v="28"/>
    <n v="108.6"/>
    <n v="1.86"/>
    <n v="31.4"/>
    <n v="93.9"/>
    <s v="133/63"/>
    <n v="109"/>
    <n v="42"/>
    <n v="79"/>
    <s v="N"/>
    <s v="Y"/>
    <s v="Moderate"/>
    <s v="N"/>
    <n v="186"/>
    <n v="0.505"/>
    <n v="133"/>
    <n v="63"/>
    <s v="Hypertension Stage 1"/>
    <m/>
    <n v="17.11"/>
    <x v="0"/>
  </r>
  <r>
    <s v="F"/>
    <x v="24"/>
    <n v="61"/>
    <n v="1.73"/>
    <n v="20.399999999999999"/>
    <n v="79.7"/>
    <s v="131/95"/>
    <n v="299"/>
    <n v="79"/>
    <n v="130"/>
    <s v="Y"/>
    <s v="N"/>
    <s v="Moderate"/>
    <s v="Y"/>
    <n v="173"/>
    <n v="0.46100000000000002"/>
    <n v="131"/>
    <n v="95"/>
    <s v="Hypertension Stage 1"/>
    <n v="190"/>
    <n v="16.61"/>
    <x v="0"/>
  </r>
  <r>
    <s v="F"/>
    <x v="19"/>
    <n v="98.9"/>
    <m/>
    <n v="30.2"/>
    <n v="77.900000000000006"/>
    <s v="129/86"/>
    <n v="174"/>
    <n v="37"/>
    <n v="149"/>
    <s v="N"/>
    <s v="N"/>
    <s v="Low"/>
    <s v="Y"/>
    <n v="181"/>
    <m/>
    <n v="129"/>
    <n v="86"/>
    <s v="Hypertension Stage 1"/>
    <n v="107"/>
    <n v="15.97"/>
    <x v="1"/>
  </r>
  <r>
    <s v="F"/>
    <x v="0"/>
    <n v="55.1"/>
    <n v="1.77"/>
    <n v="17.600000000000001"/>
    <n v="109.7"/>
    <s v="119/61"/>
    <n v="204"/>
    <n v="68"/>
    <n v="137"/>
    <s v="N"/>
    <s v="N"/>
    <s v="High"/>
    <s v="N"/>
    <n v="177"/>
    <m/>
    <n v="119"/>
    <n v="61"/>
    <s v="Normal"/>
    <n v="106"/>
    <n v="13.55"/>
    <x v="2"/>
  </r>
  <r>
    <s v="M"/>
    <x v="21"/>
    <n v="52.5"/>
    <n v="1.64"/>
    <n v="19.5"/>
    <n v="102.4"/>
    <s v="143/67"/>
    <n v="118"/>
    <n v="30"/>
    <n v="102"/>
    <s v="Y"/>
    <s v="Y"/>
    <s v="High"/>
    <s v="Y"/>
    <n v="164"/>
    <n v="0.624"/>
    <n v="143"/>
    <n v="67"/>
    <s v="Hypertension Stage 2"/>
    <n v="58"/>
    <n v="15.41"/>
    <x v="1"/>
  </r>
  <r>
    <s v="M"/>
    <x v="7"/>
    <n v="105.6"/>
    <n v="1.8"/>
    <n v="32.6"/>
    <n v="71.7"/>
    <s v="127/84"/>
    <n v="252"/>
    <n v="48"/>
    <n v="134"/>
    <s v="Y"/>
    <s v="Y"/>
    <s v="Moderate"/>
    <s v="Y"/>
    <n v="180"/>
    <n v="0.39800000000000002"/>
    <n v="127"/>
    <n v="84"/>
    <s v="Hypertension Stage 1"/>
    <n v="174"/>
    <n v="19.91"/>
    <x v="1"/>
  </r>
  <r>
    <s v="F"/>
    <x v="9"/>
    <n v="93.6"/>
    <n v="1.71"/>
    <m/>
    <n v="102.7"/>
    <s v="139/86"/>
    <n v="137"/>
    <n v="49"/>
    <n v="134"/>
    <s v="Y"/>
    <s v="Y"/>
    <s v="Low"/>
    <s v="N"/>
    <n v="171"/>
    <n v="0.60099999999999998"/>
    <n v="139"/>
    <m/>
    <s v="Hypertension Stage 1"/>
    <n v="58"/>
    <n v="18.09"/>
    <x v="1"/>
  </r>
  <r>
    <s v="M"/>
    <x v="11"/>
    <n v="96.7"/>
    <n v="1.64"/>
    <n v="36"/>
    <n v="74.5"/>
    <s v="126/71"/>
    <n v="238"/>
    <n v="58"/>
    <n v="125"/>
    <s v="Y"/>
    <s v="Y"/>
    <s v="High"/>
    <s v="Y"/>
    <n v="164"/>
    <n v="0.45400000000000001"/>
    <n v="126"/>
    <n v="71"/>
    <s v="Elevated"/>
    <n v="150"/>
    <n v="20.260000000000002"/>
    <x v="1"/>
  </r>
  <r>
    <s v="M"/>
    <x v="6"/>
    <n v="112.3"/>
    <n v="1.71"/>
    <n v="38.4"/>
    <n v="70.3"/>
    <s v="140/69"/>
    <m/>
    <n v="34"/>
    <m/>
    <s v="N"/>
    <s v="N"/>
    <s v="Low"/>
    <s v="Y"/>
    <n v="171"/>
    <n v="0.41099999999999998"/>
    <n v="140"/>
    <n v="69"/>
    <s v="Hypertension Stage 2"/>
    <n v="174"/>
    <n v="19.440000000000001"/>
    <x v="1"/>
  </r>
  <r>
    <s v="F"/>
    <x v="2"/>
    <n v="94.5"/>
    <n v="1.88"/>
    <n v="26.7"/>
    <n v="102.6"/>
    <s v="127/91"/>
    <n v="211"/>
    <n v="79"/>
    <n v="131"/>
    <s v="Y"/>
    <s v="Y"/>
    <s v="High"/>
    <s v="Y"/>
    <n v="188"/>
    <n v="0.54600000000000004"/>
    <n v="127"/>
    <n v="91"/>
    <s v="Hypertension Stage 2"/>
    <n v="102"/>
    <n v="17.91"/>
    <x v="1"/>
  </r>
  <r>
    <s v="M"/>
    <x v="4"/>
    <n v="110.5"/>
    <n v="1.64"/>
    <n v="41.1"/>
    <n v="88.3"/>
    <s v="103/73"/>
    <n v="119"/>
    <n v="35"/>
    <n v="141"/>
    <s v="Y"/>
    <s v="Y"/>
    <s v="Moderate"/>
    <s v="Y"/>
    <n v="164"/>
    <n v="0.53800000000000003"/>
    <n v="103"/>
    <n v="73"/>
    <s v="Normal"/>
    <n v="54"/>
    <n v="17.75"/>
    <x v="1"/>
  </r>
  <r>
    <s v="F"/>
    <x v="21"/>
    <n v="77.099999999999994"/>
    <n v="1.74"/>
    <n v="25.5"/>
    <n v="107.6"/>
    <s v="126/86"/>
    <n v="186"/>
    <n v="66"/>
    <n v="143"/>
    <s v="Y"/>
    <s v="N"/>
    <s v="Moderate"/>
    <s v="N"/>
    <n v="174"/>
    <n v="0.61799999999999999"/>
    <n v="126"/>
    <n v="86"/>
    <s v="Hypertension Stage 1"/>
    <n v="90"/>
    <n v="15.12"/>
    <x v="0"/>
  </r>
  <r>
    <s v="F"/>
    <x v="18"/>
    <n v="113.3"/>
    <n v="1.81"/>
    <n v="34.6"/>
    <m/>
    <s v="150/61"/>
    <n v="160"/>
    <n v="31"/>
    <n v="111"/>
    <s v="N"/>
    <s v="Y"/>
    <s v="Moderate"/>
    <s v="Y"/>
    <n v="181"/>
    <m/>
    <n v="150"/>
    <n v="61"/>
    <s v="Hypertension Stage 2"/>
    <n v="99"/>
    <n v="19.62"/>
    <x v="1"/>
  </r>
  <r>
    <s v="M"/>
    <x v="22"/>
    <n v="88.6"/>
    <n v="1.64"/>
    <n v="32.9"/>
    <n v="109.5"/>
    <s v="94/64"/>
    <n v="276"/>
    <n v="78"/>
    <n v="112"/>
    <s v="N"/>
    <s v="N"/>
    <s v="High"/>
    <s v="Y"/>
    <n v="164"/>
    <n v="0.66800000000000004"/>
    <n v="94"/>
    <n v="64"/>
    <s v="Normal"/>
    <n v="168"/>
    <n v="16.8"/>
    <x v="1"/>
  </r>
  <r>
    <s v="M"/>
    <x v="19"/>
    <n v="91.4"/>
    <n v="1.82"/>
    <n v="27.6"/>
    <m/>
    <s v="110/92"/>
    <n v="146"/>
    <n v="80"/>
    <n v="112"/>
    <s v="Y"/>
    <s v="N"/>
    <s v="High"/>
    <s v="Y"/>
    <n v="182"/>
    <n v="0.55400000000000005"/>
    <n v="110"/>
    <n v="92"/>
    <s v="Hypertension Stage 2"/>
    <n v="36"/>
    <m/>
    <x v="0"/>
  </r>
  <r>
    <s v="F"/>
    <x v="7"/>
    <n v="72.900000000000006"/>
    <n v="1.77"/>
    <n v="23.3"/>
    <n v="70.599999999999994"/>
    <s v="98/66"/>
    <n v="124"/>
    <n v="61"/>
    <n v="84"/>
    <s v="Y"/>
    <s v="N"/>
    <s v="High"/>
    <s v="Y"/>
    <n v="177"/>
    <n v="0.39900000000000002"/>
    <n v="98"/>
    <n v="66"/>
    <s v="Normal"/>
    <n v="33"/>
    <n v="12.04"/>
    <x v="0"/>
  </r>
  <r>
    <s v="M"/>
    <x v="2"/>
    <n v="91.9"/>
    <n v="1.75"/>
    <n v="30"/>
    <n v="78.2"/>
    <s v="125/65"/>
    <n v="185"/>
    <n v="52"/>
    <n v="148"/>
    <s v="Y"/>
    <s v="Y"/>
    <s v="Low"/>
    <s v="N"/>
    <n v="175"/>
    <n v="0.44700000000000001"/>
    <n v="125"/>
    <n v="65"/>
    <s v="Elevated"/>
    <n v="103"/>
    <n v="17.95"/>
    <x v="1"/>
  </r>
  <r>
    <s v="F"/>
    <x v="8"/>
    <n v="102.2"/>
    <n v="1.75"/>
    <n v="33.4"/>
    <n v="106.7"/>
    <s v="121/68"/>
    <n v="207"/>
    <n v="49"/>
    <n v="147"/>
    <s v="Y"/>
    <s v="Y"/>
    <s v="Low"/>
    <s v="Y"/>
    <n v="175"/>
    <n v="0.61"/>
    <n v="121"/>
    <n v="68"/>
    <s v="Elevated"/>
    <n v="128"/>
    <n v="18.87"/>
    <x v="1"/>
  </r>
  <r>
    <s v="M"/>
    <x v="12"/>
    <n v="54.3"/>
    <n v="1.73"/>
    <n v="18.100000000000001"/>
    <n v="98.6"/>
    <s v="133/86"/>
    <n v="220"/>
    <m/>
    <n v="86"/>
    <s v="N"/>
    <s v="N"/>
    <s v="Moderate"/>
    <s v="Y"/>
    <n v="173"/>
    <n v="0.56999999999999995"/>
    <n v="133"/>
    <n v="86"/>
    <s v="Hypertension Stage 1"/>
    <n v="121"/>
    <n v="14.67"/>
    <x v="0"/>
  </r>
  <r>
    <s v="M"/>
    <x v="12"/>
    <n v="100.7"/>
    <n v="1.75"/>
    <n v="32.9"/>
    <n v="101.1"/>
    <s v="101/98"/>
    <n v="192"/>
    <n v="59"/>
    <n v="72"/>
    <s v="N"/>
    <s v="N"/>
    <s v="Low"/>
    <s v="N"/>
    <n v="175"/>
    <n v="0.57799999999999996"/>
    <n v="101"/>
    <n v="98"/>
    <s v="Hypertension Stage 2"/>
    <n v="103"/>
    <n v="15.47"/>
    <x v="0"/>
  </r>
  <r>
    <s v="F"/>
    <x v="31"/>
    <n v="101.8"/>
    <n v="1.61"/>
    <n v="39.299999999999997"/>
    <n v="98.5"/>
    <s v="121/100"/>
    <n v="161"/>
    <m/>
    <n v="108"/>
    <s v="N"/>
    <s v="N"/>
    <s v="Low"/>
    <s v="Y"/>
    <n v="161"/>
    <n v="0.61199999999999999"/>
    <n v="121"/>
    <n v="100"/>
    <s v="Hypertension Stage 2"/>
    <n v="58"/>
    <n v="17.13"/>
    <x v="1"/>
  </r>
  <r>
    <s v="F"/>
    <x v="0"/>
    <n v="112.3"/>
    <n v="1.76"/>
    <n v="36.299999999999997"/>
    <n v="102"/>
    <s v="148/96"/>
    <n v="149"/>
    <n v="59"/>
    <n v="103"/>
    <s v="N"/>
    <s v="Y"/>
    <s v="Moderate"/>
    <s v="Y"/>
    <n v="176"/>
    <n v="0.57999999999999996"/>
    <n v="148"/>
    <n v="96"/>
    <s v="Hypertension Stage 2"/>
    <n v="60"/>
    <n v="19.64"/>
    <x v="0"/>
  </r>
  <r>
    <s v="F"/>
    <x v="11"/>
    <n v="110"/>
    <n v="1.69"/>
    <n v="38.5"/>
    <n v="85.6"/>
    <s v="100/62"/>
    <n v="101"/>
    <n v="40"/>
    <n v="105"/>
    <s v="Y"/>
    <s v="Y"/>
    <s v="Low"/>
    <s v="Y"/>
    <n v="169"/>
    <n v="0.50700000000000001"/>
    <n v="100"/>
    <n v="62"/>
    <s v="Normal"/>
    <n v="31"/>
    <n v="16.72"/>
    <x v="1"/>
  </r>
  <r>
    <s v="M"/>
    <x v="7"/>
    <n v="60.6"/>
    <n v="1.68"/>
    <n v="21.5"/>
    <n v="105.2"/>
    <s v="103/82"/>
    <m/>
    <n v="75"/>
    <n v="107"/>
    <s v="Y"/>
    <s v="Y"/>
    <s v="High"/>
    <s v="Y"/>
    <n v="168"/>
    <n v="0.626"/>
    <n v="103"/>
    <n v="82"/>
    <s v="Hypertension Stage 1"/>
    <n v="48"/>
    <n v="14.51"/>
    <x v="0"/>
  </r>
  <r>
    <s v="F"/>
    <x v="10"/>
    <n v="100.8"/>
    <n v="1.84"/>
    <n v="29.8"/>
    <n v="88.4"/>
    <s v="110/78"/>
    <n v="102"/>
    <n v="33"/>
    <n v="128"/>
    <s v="Y"/>
    <s v="Y"/>
    <s v="High"/>
    <s v="N"/>
    <m/>
    <n v="0.48"/>
    <n v="110"/>
    <n v="78"/>
    <s v="Normal"/>
    <n v="39"/>
    <n v="15.5"/>
    <x v="1"/>
  </r>
  <r>
    <s v="M"/>
    <x v="7"/>
    <n v="103.8"/>
    <n v="1.65"/>
    <n v="38.1"/>
    <n v="101.7"/>
    <s v="94/73"/>
    <n v="177"/>
    <m/>
    <n v="131"/>
    <s v="Y"/>
    <s v="N"/>
    <s v="High"/>
    <s v="Y"/>
    <n v="165"/>
    <n v="0.61599999999999999"/>
    <n v="94"/>
    <n v="73"/>
    <s v="Normal"/>
    <n v="89"/>
    <n v="15.86"/>
    <x v="0"/>
  </r>
  <r>
    <s v="M"/>
    <x v="10"/>
    <n v="78.400000000000006"/>
    <n v="1.84"/>
    <n v="23.2"/>
    <n v="101.1"/>
    <s v="109/83"/>
    <n v="186"/>
    <n v="70"/>
    <n v="70"/>
    <s v="Y"/>
    <s v="N"/>
    <s v="Moderate"/>
    <s v="N"/>
    <n v="184"/>
    <n v="0.54900000000000004"/>
    <n v="109"/>
    <n v="83"/>
    <s v="Hypertension Stage 1"/>
    <n v="86"/>
    <n v="13.81"/>
    <x v="0"/>
  </r>
  <r>
    <s v="M"/>
    <x v="12"/>
    <n v="64.099999999999994"/>
    <n v="1.7"/>
    <n v="22.2"/>
    <n v="99.1"/>
    <s v="113/69"/>
    <n v="175"/>
    <n v="55"/>
    <n v="125"/>
    <s v="Y"/>
    <s v="N"/>
    <s v="Moderate"/>
    <s v="Y"/>
    <n v="170"/>
    <n v="0.58299999999999996"/>
    <n v="113"/>
    <n v="69"/>
    <s v="Normal"/>
    <n v="90"/>
    <n v="13.59"/>
    <x v="0"/>
  </r>
  <r>
    <s v="M"/>
    <x v="11"/>
    <n v="64.8"/>
    <n v="1.76"/>
    <n v="20.9"/>
    <n v="109.1"/>
    <s v="135/96"/>
    <n v="294"/>
    <n v="70"/>
    <n v="89"/>
    <s v="N"/>
    <s v="Y"/>
    <s v="High"/>
    <s v="N"/>
    <n v="176"/>
    <n v="0.62"/>
    <n v="135"/>
    <n v="96"/>
    <s v="Hypertension Stage 1"/>
    <n v="194"/>
    <n v="18.809999999999999"/>
    <x v="0"/>
  </r>
  <r>
    <s v="M"/>
    <x v="25"/>
    <n v="106.4"/>
    <n v="1.73"/>
    <n v="35.6"/>
    <n v="70.3"/>
    <s v="136/76"/>
    <m/>
    <n v="69"/>
    <n v="90"/>
    <s v="Y"/>
    <s v="N"/>
    <s v="High"/>
    <s v="N"/>
    <n v="173"/>
    <n v="0.40600000000000003"/>
    <n v="136"/>
    <n v="76"/>
    <s v="Hypertension Stage 1"/>
    <n v="29"/>
    <n v="16.48"/>
    <x v="0"/>
  </r>
  <r>
    <s v="F"/>
    <x v="13"/>
    <n v="55.5"/>
    <n v="1.62"/>
    <n v="21.1"/>
    <n v="74.3"/>
    <s v="139/64"/>
    <n v="168"/>
    <n v="37"/>
    <n v="120"/>
    <s v="Y"/>
    <s v="Y"/>
    <s v="High"/>
    <s v="Y"/>
    <n v="162"/>
    <n v="0.45900000000000002"/>
    <n v="139"/>
    <n v="64"/>
    <s v="Hypertension Stage 1"/>
    <n v="101"/>
    <m/>
    <x v="1"/>
  </r>
  <r>
    <s v="F"/>
    <x v="29"/>
    <n v="75.400000000000006"/>
    <n v="1.68"/>
    <n v="26.7"/>
    <n v="94.1"/>
    <s v="141/69"/>
    <n v="138"/>
    <n v="77"/>
    <n v="80"/>
    <s v="N"/>
    <s v="N"/>
    <s v="Moderate"/>
    <s v="Y"/>
    <n v="168"/>
    <n v="0.56000000000000005"/>
    <n v="141"/>
    <n v="69"/>
    <s v="Hypertension Stage 2"/>
    <m/>
    <n v="15.15"/>
    <x v="0"/>
  </r>
  <r>
    <s v="F"/>
    <x v="17"/>
    <n v="80.599999999999994"/>
    <n v="1.83"/>
    <n v="24.1"/>
    <n v="83.5"/>
    <s v="114/69"/>
    <n v="289"/>
    <n v="45"/>
    <n v="93"/>
    <s v="N"/>
    <s v="Y"/>
    <s v="Moderate"/>
    <s v="N"/>
    <n v="183"/>
    <n v="0.45600000000000002"/>
    <n v="114"/>
    <n v="69"/>
    <s v="Normal"/>
    <n v="214"/>
    <n v="18.3"/>
    <x v="0"/>
  </r>
  <r>
    <s v="F"/>
    <x v="31"/>
    <n v="93.7"/>
    <n v="1.84"/>
    <n v="27.7"/>
    <n v="102.7"/>
    <s v="118/64"/>
    <n v="231"/>
    <m/>
    <n v="72"/>
    <s v="Y"/>
    <s v="N"/>
    <s v="Low"/>
    <s v="N"/>
    <n v="184"/>
    <n v="0.55800000000000005"/>
    <n v="118"/>
    <n v="64"/>
    <s v="Normal"/>
    <n v="147"/>
    <n v="16.059999999999999"/>
    <x v="1"/>
  </r>
  <r>
    <s v="M"/>
    <x v="15"/>
    <n v="106.2"/>
    <n v="1.76"/>
    <n v="34.299999999999997"/>
    <n v="74.8"/>
    <s v="124/66"/>
    <n v="171"/>
    <n v="48"/>
    <n v="141"/>
    <s v="Y"/>
    <s v="N"/>
    <s v="High"/>
    <s v="N"/>
    <n v="176"/>
    <n v="0.42499999999999999"/>
    <n v="124"/>
    <n v="66"/>
    <s v="Elevated"/>
    <n v="93"/>
    <n v="16.48"/>
    <x v="0"/>
  </r>
  <r>
    <s v="F"/>
    <x v="17"/>
    <n v="100.6"/>
    <n v="1.66"/>
    <n v="36.5"/>
    <n v="107.3"/>
    <s v="94/93"/>
    <n v="287"/>
    <n v="63"/>
    <n v="150"/>
    <s v="N"/>
    <s v="N"/>
    <s v="High"/>
    <s v="N"/>
    <n v="166"/>
    <n v="0.64600000000000002"/>
    <n v="94"/>
    <n v="93"/>
    <s v="Hypertension Stage 2"/>
    <n v="194"/>
    <n v="17.739999999999998"/>
    <x v="0"/>
  </r>
  <r>
    <s v="M"/>
    <x v="2"/>
    <n v="93.9"/>
    <n v="1.72"/>
    <n v="31.7"/>
    <n v="82.1"/>
    <s v="104/60"/>
    <n v="144"/>
    <n v="50"/>
    <n v="137"/>
    <s v="N"/>
    <s v="N"/>
    <s v="High"/>
    <s v="Y"/>
    <n v="172"/>
    <n v="0.47699999999999998"/>
    <n v="104"/>
    <n v="60"/>
    <s v="Normal"/>
    <n v="64"/>
    <n v="14.42"/>
    <x v="0"/>
  </r>
  <r>
    <s v="M"/>
    <x v="10"/>
    <n v="107"/>
    <n v="1.62"/>
    <n v="40.799999999999997"/>
    <n v="101.7"/>
    <s v="117/66"/>
    <n v="147"/>
    <n v="45"/>
    <n v="106"/>
    <s v="Y"/>
    <s v="Y"/>
    <s v="Moderate"/>
    <s v="Y"/>
    <n v="162"/>
    <n v="0.628"/>
    <n v="117"/>
    <n v="66"/>
    <s v="Normal"/>
    <n v="72"/>
    <n v="18.95"/>
    <x v="1"/>
  </r>
  <r>
    <s v="F"/>
    <x v="28"/>
    <n v="109.7"/>
    <n v="1.78"/>
    <n v="34.6"/>
    <n v="104.4"/>
    <s v="103/99"/>
    <n v="197"/>
    <m/>
    <n v="99"/>
    <s v="N"/>
    <s v="Y"/>
    <s v="High"/>
    <s v="N"/>
    <n v="178"/>
    <n v="0.58699999999999997"/>
    <n v="103"/>
    <n v="99"/>
    <s v="Hypertension Stage 2"/>
    <m/>
    <n v="18.010000000000002"/>
    <x v="1"/>
  </r>
  <r>
    <s v="M"/>
    <x v="20"/>
    <n v="84.2"/>
    <n v="1.77"/>
    <n v="26.9"/>
    <n v="106"/>
    <s v="114/90"/>
    <n v="180"/>
    <n v="39"/>
    <n v="115"/>
    <s v="Y"/>
    <s v="N"/>
    <s v="Low"/>
    <s v="Y"/>
    <n v="177"/>
    <m/>
    <n v="114"/>
    <n v="90"/>
    <s v="Hypertension Stage 2"/>
    <n v="111"/>
    <n v="14.68"/>
    <x v="1"/>
  </r>
  <r>
    <s v="M"/>
    <x v="19"/>
    <n v="85"/>
    <n v="1.66"/>
    <n v="30.8"/>
    <n v="79.900000000000006"/>
    <s v="116/69"/>
    <n v="130"/>
    <n v="70"/>
    <n v="125"/>
    <s v="N"/>
    <s v="N"/>
    <s v="Moderate"/>
    <s v="Y"/>
    <n v="166"/>
    <n v="0.48099999999999998"/>
    <n v="116"/>
    <n v="69"/>
    <s v="Normal"/>
    <n v="30"/>
    <n v="14.56"/>
    <x v="0"/>
  </r>
  <r>
    <s v="F"/>
    <x v="30"/>
    <n v="73.2"/>
    <n v="1.68"/>
    <n v="25.9"/>
    <n v="104.9"/>
    <s v="136/93"/>
    <n v="138"/>
    <n v="39"/>
    <n v="81"/>
    <s v="Y"/>
    <s v="Y"/>
    <s v="High"/>
    <s v="Y"/>
    <n v="168"/>
    <n v="0.624"/>
    <n v="136"/>
    <n v="93"/>
    <s v="Hypertension Stage 1"/>
    <m/>
    <n v="16.739999999999998"/>
    <x v="1"/>
  </r>
  <r>
    <s v="M"/>
    <x v="8"/>
    <n v="94.6"/>
    <n v="1.74"/>
    <n v="31.2"/>
    <n v="99.1"/>
    <s v="99/82"/>
    <n v="209"/>
    <n v="60"/>
    <n v="127"/>
    <s v="N"/>
    <s v="Y"/>
    <s v="Moderate"/>
    <s v="N"/>
    <n v="174"/>
    <n v="0.56999999999999995"/>
    <n v="99"/>
    <n v="82"/>
    <s v="Hypertension Stage 1"/>
    <n v="119"/>
    <n v="17.37"/>
    <x v="1"/>
  </r>
  <r>
    <s v="F"/>
    <x v="6"/>
    <n v="50.5"/>
    <n v="1.64"/>
    <n v="18.8"/>
    <n v="75.400000000000006"/>
    <s v="100/96"/>
    <n v="240"/>
    <n v="53"/>
    <n v="98"/>
    <s v="N"/>
    <s v="Y"/>
    <s v="Low"/>
    <s v="N"/>
    <n v="164"/>
    <n v="0.46"/>
    <n v="100"/>
    <n v="96"/>
    <s v="Hypertension Stage 2"/>
    <n v="157"/>
    <n v="15.56"/>
    <x v="0"/>
  </r>
  <r>
    <s v="F"/>
    <x v="30"/>
    <n v="58.3"/>
    <n v="1.7"/>
    <n v="20.2"/>
    <n v="96.7"/>
    <s v="140/95"/>
    <n v="280"/>
    <n v="33"/>
    <n v="93"/>
    <s v="Y"/>
    <s v="Y"/>
    <s v="Moderate"/>
    <s v="Y"/>
    <n v="170"/>
    <n v="0.56899999999999995"/>
    <n v="140"/>
    <n v="95"/>
    <s v="Hypertension Stage 2"/>
    <n v="217"/>
    <n v="18.64"/>
    <x v="1"/>
  </r>
  <r>
    <s v="M"/>
    <x v="30"/>
    <n v="64.8"/>
    <n v="1.61"/>
    <n v="25"/>
    <n v="77.900000000000006"/>
    <s v="101/72"/>
    <n v="276"/>
    <n v="30"/>
    <n v="128"/>
    <s v="Y"/>
    <s v="N"/>
    <s v="Moderate"/>
    <s v="N"/>
    <n v="161"/>
    <n v="0.48399999999999999"/>
    <n v="101"/>
    <n v="72"/>
    <s v="Normal"/>
    <n v="216"/>
    <n v="15.57"/>
    <x v="1"/>
  </r>
  <r>
    <s v="M"/>
    <x v="29"/>
    <n v="101.1"/>
    <n v="1.89"/>
    <n v="28.3"/>
    <n v="76.3"/>
    <s v="99/76"/>
    <n v="165"/>
    <n v="67"/>
    <n v="107"/>
    <s v="N"/>
    <s v="N"/>
    <s v="High"/>
    <s v="Y"/>
    <n v="189"/>
    <n v="0.40400000000000003"/>
    <n v="99"/>
    <n v="76"/>
    <s v="Normal"/>
    <n v="68"/>
    <n v="13.91"/>
    <x v="0"/>
  </r>
  <r>
    <s v="M"/>
    <x v="30"/>
    <n v="62.2"/>
    <n v="1.7"/>
    <n v="21.5"/>
    <n v="75.900000000000006"/>
    <s v="150/91"/>
    <n v="211"/>
    <n v="72"/>
    <n v="86"/>
    <s v="Y"/>
    <s v="N"/>
    <s v="Moderate"/>
    <s v="Y"/>
    <n v="170"/>
    <m/>
    <n v="150"/>
    <n v="91"/>
    <s v="Hypertension Stage 2"/>
    <n v="109"/>
    <n v="16.02"/>
    <x v="1"/>
  </r>
  <r>
    <s v="M"/>
    <x v="19"/>
    <n v="96"/>
    <n v="1.85"/>
    <n v="28"/>
    <n v="78.099999999999994"/>
    <s v="139/81"/>
    <n v="257"/>
    <n v="38"/>
    <n v="125"/>
    <s v="Y"/>
    <s v="N"/>
    <s v="High"/>
    <s v="Y"/>
    <n v="185"/>
    <n v="0.42199999999999999"/>
    <n v="139"/>
    <n v="81"/>
    <s v="Hypertension Stage 1"/>
    <n v="189"/>
    <n v="17.690000000000001"/>
    <x v="1"/>
  </r>
  <r>
    <s v="F"/>
    <x v="28"/>
    <n v="116.8"/>
    <n v="1.62"/>
    <n v="44.5"/>
    <n v="102.6"/>
    <s v="104/83"/>
    <n v="208"/>
    <n v="46"/>
    <n v="123"/>
    <s v="Y"/>
    <s v="Y"/>
    <s v="Low"/>
    <s v="N"/>
    <n v="162"/>
    <n v="0.63300000000000001"/>
    <n v="104"/>
    <n v="83"/>
    <s v="Hypertension Stage 1"/>
    <n v="132"/>
    <n v="20.260000000000002"/>
    <x v="1"/>
  </r>
  <r>
    <s v="M"/>
    <x v="13"/>
    <n v="99.4"/>
    <n v="1.7"/>
    <n v="34.4"/>
    <n v="87.4"/>
    <s v="111/84"/>
    <n v="113"/>
    <n v="33"/>
    <n v="116"/>
    <s v="Y"/>
    <s v="N"/>
    <s v="Low"/>
    <s v="N"/>
    <n v="170"/>
    <n v="0.51400000000000001"/>
    <n v="111"/>
    <n v="84"/>
    <s v="Hypertension Stage 1"/>
    <n v="50"/>
    <n v="14.69"/>
    <x v="1"/>
  </r>
  <r>
    <s v="F"/>
    <x v="29"/>
    <n v="53.4"/>
    <n v="1.88"/>
    <n v="15.1"/>
    <n v="79.8"/>
    <s v="147/64"/>
    <n v="146"/>
    <n v="44"/>
    <n v="127"/>
    <s v="N"/>
    <s v="N"/>
    <s v="High"/>
    <s v="Y"/>
    <n v="188"/>
    <n v="0.42399999999999999"/>
    <n v="147"/>
    <n v="64"/>
    <s v="Hypertension Stage 2"/>
    <n v="72"/>
    <n v="13.29"/>
    <x v="0"/>
  </r>
  <r>
    <s v="F"/>
    <x v="13"/>
    <n v="94"/>
    <n v="1.6"/>
    <n v="36.700000000000003"/>
    <n v="84.7"/>
    <s v="117/69"/>
    <n v="156"/>
    <n v="80"/>
    <n v="90"/>
    <s v="Y"/>
    <s v="N"/>
    <s v="Low"/>
    <s v="Y"/>
    <n v="160"/>
    <n v="0.52900000000000003"/>
    <n v="117"/>
    <n v="69"/>
    <s v="Normal"/>
    <n v="46"/>
    <n v="16.309999999999999"/>
    <x v="1"/>
  </r>
  <r>
    <s v="M"/>
    <x v="0"/>
    <n v="55.1"/>
    <n v="1.76"/>
    <n v="17.8"/>
    <n v="107.6"/>
    <s v="115/100"/>
    <n v="243"/>
    <n v="42"/>
    <n v="88"/>
    <s v="N"/>
    <s v="Y"/>
    <s v="Moderate"/>
    <s v="N"/>
    <n v="176"/>
    <m/>
    <n v="115"/>
    <n v="100"/>
    <s v="Hypertension Stage 2"/>
    <n v="171"/>
    <n v="16.170000000000002"/>
    <x v="0"/>
  </r>
  <r>
    <s v="M"/>
    <x v="1"/>
    <n v="69.3"/>
    <n v="1.79"/>
    <n v="21.6"/>
    <m/>
    <s v="141/85"/>
    <n v="224"/>
    <n v="43"/>
    <n v="141"/>
    <s v="N"/>
    <s v="Y"/>
    <s v="High"/>
    <s v="Y"/>
    <n v="179"/>
    <n v="0.53"/>
    <n v="141"/>
    <n v="85"/>
    <s v="Hypertension Stage 1"/>
    <n v="151"/>
    <n v="17.850000000000001"/>
    <x v="1"/>
  </r>
  <r>
    <s v="M"/>
    <x v="8"/>
    <n v="72.2"/>
    <n v="1.72"/>
    <n v="24.4"/>
    <n v="86.9"/>
    <s v="110/77"/>
    <n v="127"/>
    <n v="35"/>
    <m/>
    <s v="Y"/>
    <s v="N"/>
    <s v="High"/>
    <s v="N"/>
    <n v="172"/>
    <m/>
    <n v="110"/>
    <n v="77"/>
    <s v="Normal"/>
    <n v="62"/>
    <n v="12.92"/>
    <x v="0"/>
  </r>
  <r>
    <s v="F"/>
    <x v="25"/>
    <n v="77.7"/>
    <n v="1.62"/>
    <n v="29.6"/>
    <n v="94.7"/>
    <s v="102/71"/>
    <m/>
    <n v="52"/>
    <n v="144"/>
    <s v="N"/>
    <s v="N"/>
    <s v="Low"/>
    <s v="N"/>
    <n v="162"/>
    <n v="0.58499999999999996"/>
    <n v="102"/>
    <n v="71"/>
    <s v="Normal"/>
    <n v="188"/>
    <n v="16.420000000000002"/>
    <x v="1"/>
  </r>
  <r>
    <s v="F"/>
    <x v="17"/>
    <n v="112.9"/>
    <n v="1.75"/>
    <n v="36.9"/>
    <n v="98"/>
    <s v="136/85"/>
    <n v="163"/>
    <n v="64"/>
    <n v="82"/>
    <s v="Y"/>
    <s v="Y"/>
    <s v="High"/>
    <s v="Y"/>
    <n v="175"/>
    <m/>
    <n v="136"/>
    <n v="85"/>
    <s v="Hypertension Stage 1"/>
    <n v="69"/>
    <n v="19.440000000000001"/>
    <x v="1"/>
  </r>
  <r>
    <s v="M"/>
    <x v="26"/>
    <n v="104.6"/>
    <n v="1.67"/>
    <n v="37.5"/>
    <n v="108.7"/>
    <s v="145/62"/>
    <n v="152"/>
    <n v="67"/>
    <n v="83"/>
    <s v="N"/>
    <s v="Y"/>
    <s v="Moderate"/>
    <s v="Y"/>
    <n v="167"/>
    <n v="0.65100000000000002"/>
    <n v="145"/>
    <n v="62"/>
    <s v="Hypertension Stage 2"/>
    <n v="55"/>
    <n v="19.79"/>
    <x v="1"/>
  </r>
  <r>
    <s v="M"/>
    <x v="21"/>
    <n v="67.599999999999994"/>
    <n v="1.81"/>
    <n v="20.6"/>
    <n v="98.3"/>
    <s v="113/72"/>
    <n v="258"/>
    <n v="69"/>
    <n v="80"/>
    <s v="Y"/>
    <s v="Y"/>
    <s v="Moderate"/>
    <s v="N"/>
    <n v="181"/>
    <n v="0.54300000000000004"/>
    <n v="113"/>
    <n v="72"/>
    <s v="Normal"/>
    <n v="159"/>
    <n v="16.93"/>
    <x v="0"/>
  </r>
  <r>
    <s v="F"/>
    <x v="3"/>
    <n v="110.3"/>
    <n v="1.7"/>
    <n v="38.200000000000003"/>
    <n v="100.9"/>
    <s v="123/75"/>
    <n v="139"/>
    <n v="34"/>
    <n v="86"/>
    <s v="Y"/>
    <s v="N"/>
    <s v="Low"/>
    <s v="Y"/>
    <n v="170"/>
    <m/>
    <n v="123"/>
    <n v="75"/>
    <s v="Elevated"/>
    <n v="75"/>
    <n v="16.57"/>
    <x v="1"/>
  </r>
  <r>
    <s v="F"/>
    <x v="26"/>
    <n v="78.8"/>
    <n v="1.76"/>
    <n v="25.4"/>
    <n v="84"/>
    <s v="99/75"/>
    <n v="105"/>
    <n v="60"/>
    <n v="99"/>
    <s v="N"/>
    <s v="N"/>
    <s v="Moderate"/>
    <s v="N"/>
    <n v="176"/>
    <m/>
    <n v="99"/>
    <n v="75"/>
    <s v="Normal"/>
    <n v="15"/>
    <n v="12.13"/>
    <x v="0"/>
  </r>
  <r>
    <s v="F"/>
    <x v="30"/>
    <n v="61.5"/>
    <n v="1.86"/>
    <n v="17.8"/>
    <n v="102.5"/>
    <s v="106/61"/>
    <n v="151"/>
    <n v="80"/>
    <n v="92"/>
    <s v="N"/>
    <s v="Y"/>
    <s v="High"/>
    <s v="Y"/>
    <n v="186"/>
    <n v="0.55100000000000005"/>
    <n v="106"/>
    <n v="61"/>
    <s v="Normal"/>
    <n v="41"/>
    <n v="13.88"/>
    <x v="0"/>
  </r>
  <r>
    <s v="M"/>
    <x v="14"/>
    <n v="71.8"/>
    <n v="1.61"/>
    <n v="27.7"/>
    <n v="107.4"/>
    <s v="129/77"/>
    <n v="179"/>
    <n v="77"/>
    <m/>
    <s v="N"/>
    <s v="N"/>
    <s v="High"/>
    <s v="N"/>
    <n v="161"/>
    <n v="0.66700000000000004"/>
    <m/>
    <n v="77"/>
    <s v="Elevated"/>
    <n v="72"/>
    <n v="15.57"/>
    <x v="2"/>
  </r>
  <r>
    <s v="M"/>
    <x v="22"/>
    <n v="78.8"/>
    <n v="1.7"/>
    <n v="27.3"/>
    <n v="71.900000000000006"/>
    <s v="101/78"/>
    <n v="131"/>
    <n v="62"/>
    <n v="84"/>
    <s v="N"/>
    <s v="Y"/>
    <s v="Low"/>
    <s v="Y"/>
    <n v="170"/>
    <n v="0.42299999999999999"/>
    <n v="101"/>
    <n v="78"/>
    <s v="Normal"/>
    <n v="39"/>
    <n v="15.13"/>
    <x v="1"/>
  </r>
  <r>
    <s v="M"/>
    <x v="20"/>
    <n v="106.9"/>
    <n v="1.79"/>
    <n v="33.4"/>
    <n v="94.5"/>
    <s v="98/76"/>
    <n v="228"/>
    <n v="74"/>
    <n v="140"/>
    <s v="Y"/>
    <s v="Y"/>
    <s v="Moderate"/>
    <s v="N"/>
    <n v="179"/>
    <n v="0.52800000000000002"/>
    <n v="98"/>
    <n v="76"/>
    <s v="Normal"/>
    <n v="124"/>
    <n v="18.14"/>
    <x v="1"/>
  </r>
  <r>
    <s v="M"/>
    <x v="1"/>
    <n v="83"/>
    <n v="1.68"/>
    <n v="29.4"/>
    <n v="75.099999999999994"/>
    <s v="108/67"/>
    <n v="104"/>
    <n v="65"/>
    <n v="138"/>
    <s v="N"/>
    <s v="N"/>
    <s v="Low"/>
    <s v="N"/>
    <n v="168"/>
    <n v="0.44700000000000001"/>
    <n v="108"/>
    <m/>
    <s v="Normal"/>
    <n v="9"/>
    <n v="13.36"/>
    <x v="0"/>
  </r>
  <r>
    <s v="F"/>
    <x v="20"/>
    <n v="90.3"/>
    <n v="1.68"/>
    <n v="32"/>
    <n v="84.5"/>
    <s v="121/88"/>
    <n v="224"/>
    <n v="52"/>
    <n v="121"/>
    <s v="N"/>
    <s v="Y"/>
    <s v="Low"/>
    <s v="Y"/>
    <n v="168"/>
    <n v="0.503"/>
    <n v="121"/>
    <n v="88"/>
    <s v="Hypertension Stage 1"/>
    <n v="142"/>
    <m/>
    <x v="1"/>
  </r>
  <r>
    <s v="F"/>
    <x v="16"/>
    <n v="114"/>
    <n v="1.74"/>
    <n v="37.700000000000003"/>
    <n v="102.6"/>
    <s v="91/79"/>
    <n v="270"/>
    <n v="66"/>
    <n v="82"/>
    <s v="N"/>
    <s v="N"/>
    <s v="Low"/>
    <s v="Y"/>
    <n v="174"/>
    <n v="0.59"/>
    <n v="91"/>
    <n v="79"/>
    <s v="Normal"/>
    <n v="174"/>
    <n v="17.489999999999998"/>
    <x v="1"/>
  </r>
  <r>
    <s v="M"/>
    <x v="23"/>
    <n v="64.900000000000006"/>
    <n v="1.85"/>
    <n v="19"/>
    <n v="95.4"/>
    <s v="91/88"/>
    <n v="247"/>
    <n v="55"/>
    <n v="119"/>
    <s v="N"/>
    <s v="Y"/>
    <s v="Low"/>
    <s v="N"/>
    <n v="185"/>
    <n v="0.51600000000000001"/>
    <n v="91"/>
    <m/>
    <s v="Hypertension Stage 1"/>
    <n v="162"/>
    <n v="15.29"/>
    <x v="1"/>
  </r>
  <r>
    <s v="M"/>
    <x v="22"/>
    <n v="72"/>
    <n v="1.75"/>
    <n v="23.5"/>
    <n v="89.1"/>
    <s v="100/90"/>
    <n v="198"/>
    <n v="76"/>
    <n v="141"/>
    <s v="N"/>
    <s v="N"/>
    <s v="Low"/>
    <s v="N"/>
    <n v="175"/>
    <n v="0.50900000000000001"/>
    <n v="100"/>
    <n v="90"/>
    <s v="Hypertension Stage 2"/>
    <n v="92"/>
    <n v="13.66"/>
    <x v="0"/>
  </r>
  <r>
    <s v="M"/>
    <x v="5"/>
    <n v="94.4"/>
    <n v="1.7"/>
    <m/>
    <n v="77"/>
    <s v="104/85"/>
    <n v="127"/>
    <n v="71"/>
    <n v="147"/>
    <s v="N"/>
    <s v="Y"/>
    <s v="Moderate"/>
    <s v="Y"/>
    <n v="170"/>
    <n v="0.45300000000000001"/>
    <n v="104"/>
    <n v="85"/>
    <s v="Hypertension Stage 1"/>
    <n v="26"/>
    <n v="16.28"/>
    <x v="0"/>
  </r>
  <r>
    <s v="F"/>
    <x v="22"/>
    <n v="104.5"/>
    <n v="1.65"/>
    <m/>
    <n v="106.4"/>
    <s v="129/63"/>
    <m/>
    <n v="48"/>
    <n v="88"/>
    <s v="N"/>
    <s v="Y"/>
    <s v="High"/>
    <s v="N"/>
    <n v="165"/>
    <n v="0.64500000000000002"/>
    <n v="129"/>
    <n v="63"/>
    <s v="Elevated"/>
    <n v="59"/>
    <n v="18.87"/>
    <x v="0"/>
  </r>
  <r>
    <s v="M"/>
    <x v="18"/>
    <n v="79.2"/>
    <n v="1.63"/>
    <n v="29.8"/>
    <n v="72.2"/>
    <s v="128/88"/>
    <n v="108"/>
    <n v="45"/>
    <n v="88"/>
    <s v="Y"/>
    <s v="Y"/>
    <s v="Low"/>
    <s v="Y"/>
    <n v="163"/>
    <n v="0.443"/>
    <n v="128"/>
    <n v="88"/>
    <s v="Hypertension Stage 1"/>
    <n v="33"/>
    <m/>
    <x v="1"/>
  </r>
  <r>
    <s v="F"/>
    <x v="24"/>
    <n v="95.6"/>
    <n v="1.68"/>
    <n v="33.9"/>
    <n v="94"/>
    <s v="124/91"/>
    <n v="116"/>
    <n v="52"/>
    <n v="103"/>
    <s v="N"/>
    <s v="Y"/>
    <s v="High"/>
    <s v="N"/>
    <n v="168"/>
    <n v="0.56000000000000005"/>
    <n v="124"/>
    <n v="91"/>
    <s v="Hypertension Stage 2"/>
    <n v="34"/>
    <n v="17.3"/>
    <x v="0"/>
  </r>
  <r>
    <s v="M"/>
    <x v="20"/>
    <n v="74.7"/>
    <n v="1.84"/>
    <n v="22.1"/>
    <n v="89.1"/>
    <s v="131/67"/>
    <n v="291"/>
    <n v="39"/>
    <n v="132"/>
    <s v="Y"/>
    <s v="N"/>
    <s v="Moderate"/>
    <s v="N"/>
    <n v="184"/>
    <n v="0.48399999999999999"/>
    <n v="131"/>
    <n v="67"/>
    <s v="Hypertension Stage 1"/>
    <n v="222"/>
    <n v="16.79"/>
    <x v="0"/>
  </r>
  <r>
    <s v="F"/>
    <x v="14"/>
    <n v="77.599999999999994"/>
    <n v="1.78"/>
    <n v="24.5"/>
    <n v="84.6"/>
    <s v="124/90"/>
    <n v="143"/>
    <n v="76"/>
    <n v="108"/>
    <s v="N"/>
    <s v="N"/>
    <s v="Low"/>
    <s v="N"/>
    <n v="178"/>
    <n v="0.47499999999999998"/>
    <n v="124"/>
    <n v="90"/>
    <s v="Hypertension Stage 2"/>
    <n v="37"/>
    <n v="13.96"/>
    <x v="2"/>
  </r>
  <r>
    <s v="F"/>
    <x v="4"/>
    <n v="91.4"/>
    <n v="1.61"/>
    <n v="35.299999999999997"/>
    <n v="93.3"/>
    <s v="111/78"/>
    <m/>
    <n v="69"/>
    <n v="117"/>
    <s v="Y"/>
    <s v="Y"/>
    <s v="Moderate"/>
    <s v="N"/>
    <n v="161"/>
    <n v="0.57999999999999996"/>
    <n v="111"/>
    <n v="78"/>
    <s v="Normal"/>
    <n v="18"/>
    <n v="16.95"/>
    <x v="1"/>
  </r>
  <r>
    <s v="F"/>
    <x v="13"/>
    <n v="91.9"/>
    <n v="1.74"/>
    <n v="30.4"/>
    <n v="72.2"/>
    <s v="137/82"/>
    <n v="186"/>
    <m/>
    <m/>
    <s v="N"/>
    <s v="N"/>
    <s v="Moderate"/>
    <s v="Y"/>
    <n v="174"/>
    <n v="0.41499999999999998"/>
    <n v="137"/>
    <n v="82"/>
    <s v="Hypertension Stage 1"/>
    <n v="95"/>
    <n v="16.649999999999999"/>
    <x v="0"/>
  </r>
  <r>
    <s v="M"/>
    <x v="19"/>
    <n v="87.9"/>
    <n v="1.9"/>
    <n v="24.3"/>
    <n v="103.7"/>
    <s v="128/93"/>
    <n v="178"/>
    <n v="56"/>
    <n v="78"/>
    <s v="Y"/>
    <s v="Y"/>
    <s v="Low"/>
    <s v="N"/>
    <n v="190"/>
    <n v="0.54600000000000004"/>
    <n v="128"/>
    <n v="93"/>
    <s v="Hypertension Stage 2"/>
    <n v="92"/>
    <n v="16.82"/>
    <x v="0"/>
  </r>
  <r>
    <s v="M"/>
    <x v="7"/>
    <n v="69.099999999999994"/>
    <n v="1.84"/>
    <n v="20.399999999999999"/>
    <n v="95.9"/>
    <s v="129/78"/>
    <n v="131"/>
    <n v="66"/>
    <n v="113"/>
    <s v="N"/>
    <s v="N"/>
    <s v="Low"/>
    <s v="N"/>
    <n v="184"/>
    <n v="0.52100000000000002"/>
    <n v="129"/>
    <n v="78"/>
    <s v="Elevated"/>
    <n v="35"/>
    <n v="13.15"/>
    <x v="2"/>
  </r>
  <r>
    <s v="F"/>
    <x v="25"/>
    <n v="90"/>
    <n v="1.69"/>
    <n v="31.5"/>
    <n v="72.599999999999994"/>
    <s v="109/67"/>
    <n v="256"/>
    <m/>
    <n v="142"/>
    <s v="Y"/>
    <s v="N"/>
    <s v="High"/>
    <s v="N"/>
    <n v="169"/>
    <n v="0.43"/>
    <n v="109"/>
    <n v="67"/>
    <s v="Normal"/>
    <n v="164"/>
    <n v="16.87"/>
    <x v="1"/>
  </r>
  <r>
    <s v="F"/>
    <x v="2"/>
    <n v="59.2"/>
    <n v="1.8"/>
    <n v="18.3"/>
    <n v="71.900000000000006"/>
    <s v="116/83"/>
    <n v="280"/>
    <n v="79"/>
    <n v="84"/>
    <s v="N"/>
    <s v="N"/>
    <s v="High"/>
    <s v="N"/>
    <n v="180"/>
    <n v="0.39900000000000002"/>
    <n v="116"/>
    <n v="83"/>
    <s v="Hypertension Stage 1"/>
    <n v="171"/>
    <n v="15.06"/>
    <x v="0"/>
  </r>
  <r>
    <s v="M"/>
    <x v="15"/>
    <n v="83.7"/>
    <n v="1.83"/>
    <n v="25"/>
    <n v="85.6"/>
    <s v="136/60"/>
    <n v="117"/>
    <m/>
    <n v="86"/>
    <s v="Y"/>
    <s v="N"/>
    <s v="High"/>
    <s v="N"/>
    <n v="183"/>
    <n v="0.46800000000000003"/>
    <n v="136"/>
    <n v="60"/>
    <s v="Hypertension Stage 1"/>
    <n v="57"/>
    <n v="14.14"/>
    <x v="0"/>
  </r>
  <r>
    <s v="F"/>
    <x v="10"/>
    <n v="116.3"/>
    <n v="1.62"/>
    <n v="44.3"/>
    <n v="99.1"/>
    <s v="149/61"/>
    <n v="293"/>
    <n v="52"/>
    <n v="139"/>
    <s v="N"/>
    <s v="Y"/>
    <s v="Moderate"/>
    <s v="Y"/>
    <n v="162"/>
    <n v="0.61199999999999999"/>
    <n v="149"/>
    <n v="61"/>
    <s v="Hypertension Stage 2"/>
    <m/>
    <n v="24.17"/>
    <x v="1"/>
  </r>
  <r>
    <s v="F"/>
    <x v="26"/>
    <n v="50.4"/>
    <n v="1.62"/>
    <n v="19.2"/>
    <n v="92.6"/>
    <s v="133/74"/>
    <n v="288"/>
    <n v="48"/>
    <n v="134"/>
    <s v="N"/>
    <s v="N"/>
    <s v="Moderate"/>
    <s v="N"/>
    <n v="162"/>
    <n v="0.57199999999999995"/>
    <n v="133"/>
    <n v="74"/>
    <s v="Hypertension Stage 1"/>
    <n v="210"/>
    <n v="16.25"/>
    <x v="0"/>
  </r>
  <r>
    <s v="M"/>
    <x v="7"/>
    <n v="66.8"/>
    <n v="1.81"/>
    <n v="20.399999999999999"/>
    <n v="100.8"/>
    <s v="142/67"/>
    <m/>
    <n v="45"/>
    <n v="93"/>
    <s v="N"/>
    <s v="N"/>
    <s v="Low"/>
    <s v="Y"/>
    <n v="181"/>
    <n v="0.55700000000000005"/>
    <m/>
    <n v="67"/>
    <s v="Hypertension Stage 2"/>
    <n v="57"/>
    <n v="13.82"/>
    <x v="0"/>
  </r>
  <r>
    <s v="M"/>
    <x v="1"/>
    <m/>
    <n v="1.72"/>
    <n v="30.4"/>
    <n v="92.4"/>
    <s v="149/93"/>
    <n v="187"/>
    <n v="72"/>
    <n v="149"/>
    <s v="Y"/>
    <s v="Y"/>
    <s v="High"/>
    <s v="N"/>
    <n v="172"/>
    <n v="0.53700000000000003"/>
    <n v="149"/>
    <n v="93"/>
    <s v="Hypertension Stage 2"/>
    <n v="85"/>
    <n v="19.27"/>
    <x v="1"/>
  </r>
  <r>
    <s v="M"/>
    <x v="27"/>
    <n v="59"/>
    <n v="1.71"/>
    <n v="20.2"/>
    <n v="107.6"/>
    <s v="138/96"/>
    <n v="271"/>
    <n v="56"/>
    <n v="111"/>
    <s v="Y"/>
    <s v="Y"/>
    <s v="Low"/>
    <s v="N"/>
    <n v="171"/>
    <n v="0.629"/>
    <n v="138"/>
    <n v="96"/>
    <s v="Hypertension Stage 1"/>
    <n v="185"/>
    <n v="18.36"/>
    <x v="1"/>
  </r>
  <r>
    <s v="F"/>
    <x v="26"/>
    <n v="76.900000000000006"/>
    <n v="1.8"/>
    <n v="23.7"/>
    <m/>
    <s v="93/89"/>
    <n v="294"/>
    <n v="57"/>
    <n v="150"/>
    <s v="Y"/>
    <s v="N"/>
    <s v="Moderate"/>
    <s v="Y"/>
    <n v="180"/>
    <n v="0.48399999999999999"/>
    <n v="93"/>
    <n v="89"/>
    <s v="Hypertension Stage 1"/>
    <n v="207"/>
    <n v="15.27"/>
    <x v="1"/>
  </r>
  <r>
    <s v="F"/>
    <x v="7"/>
    <n v="67.400000000000006"/>
    <n v="1.63"/>
    <n v="25.4"/>
    <n v="100"/>
    <s v="123/77"/>
    <n v="196"/>
    <n v="30"/>
    <n v="71"/>
    <s v="N"/>
    <s v="Y"/>
    <s v="Moderate"/>
    <s v="N"/>
    <n v="163"/>
    <n v="0.61299999999999999"/>
    <n v="123"/>
    <n v="77"/>
    <s v="Elevated"/>
    <n v="136"/>
    <n v="17.149999999999999"/>
    <x v="0"/>
  </r>
  <r>
    <s v="M"/>
    <x v="18"/>
    <n v="91.4"/>
    <m/>
    <n v="30.9"/>
    <n v="96.3"/>
    <s v="106/83"/>
    <n v="126"/>
    <n v="32"/>
    <n v="72"/>
    <s v="N"/>
    <s v="Y"/>
    <s v="Moderate"/>
    <s v="N"/>
    <n v="172"/>
    <n v="0.56000000000000005"/>
    <n v="106"/>
    <n v="83"/>
    <s v="Hypertension Stage 1"/>
    <n v="64"/>
    <m/>
    <x v="0"/>
  </r>
  <r>
    <s v="F"/>
    <x v="11"/>
    <n v="91.4"/>
    <n v="1.74"/>
    <n v="30.2"/>
    <n v="98.7"/>
    <s v="117/64"/>
    <m/>
    <n v="35"/>
    <n v="101"/>
    <s v="Y"/>
    <s v="Y"/>
    <s v="Moderate"/>
    <s v="Y"/>
    <n v="174"/>
    <n v="0.56699999999999995"/>
    <n v="117"/>
    <n v="64"/>
    <s v="Normal"/>
    <n v="90"/>
    <n v="16.989999999999998"/>
    <x v="1"/>
  </r>
  <r>
    <s v="M"/>
    <x v="13"/>
    <n v="100.8"/>
    <n v="1.7"/>
    <n v="34.9"/>
    <n v="108.8"/>
    <s v="100/80"/>
    <m/>
    <n v="71"/>
    <n v="148"/>
    <s v="N"/>
    <s v="N"/>
    <s v="Low"/>
    <s v="Y"/>
    <n v="170"/>
    <n v="0.64"/>
    <n v="100"/>
    <n v="80"/>
    <s v="Hypertension Stage 1"/>
    <n v="11"/>
    <n v="14.22"/>
    <x v="0"/>
  </r>
  <r>
    <s v="F"/>
    <x v="7"/>
    <n v="104.3"/>
    <n v="1.78"/>
    <n v="32.9"/>
    <n v="108.7"/>
    <s v="99/70"/>
    <n v="164"/>
    <n v="56"/>
    <n v="120"/>
    <s v="N"/>
    <s v="N"/>
    <s v="Moderate"/>
    <s v="Y"/>
    <n v="178"/>
    <n v="0.61099999999999999"/>
    <n v="99"/>
    <n v="70"/>
    <s v="Normal"/>
    <n v="78"/>
    <n v="14.81"/>
    <x v="0"/>
  </r>
  <r>
    <s v="F"/>
    <x v="15"/>
    <n v="96.2"/>
    <n v="1.89"/>
    <n v="26.9"/>
    <n v="91.8"/>
    <s v="145/60"/>
    <n v="227"/>
    <n v="66"/>
    <n v="137"/>
    <s v="N"/>
    <s v="N"/>
    <s v="Moderate"/>
    <s v="Y"/>
    <m/>
    <n v="0.48599999999999999"/>
    <n v="145"/>
    <n v="60"/>
    <s v="Hypertension Stage 2"/>
    <n v="131"/>
    <n v="17.170000000000002"/>
    <x v="0"/>
  </r>
  <r>
    <s v="M"/>
    <x v="18"/>
    <n v="117.6"/>
    <n v="1.76"/>
    <n v="38"/>
    <n v="105"/>
    <s v="104/96"/>
    <n v="173"/>
    <n v="58"/>
    <n v="113"/>
    <s v="N"/>
    <s v="N"/>
    <s v="High"/>
    <s v="N"/>
    <n v="176"/>
    <n v="0.59699999999999998"/>
    <n v="104"/>
    <n v="96"/>
    <s v="Hypertension Stage 2"/>
    <n v="85"/>
    <n v="16.260000000000002"/>
    <x v="2"/>
  </r>
  <r>
    <s v="F"/>
    <x v="30"/>
    <n v="106.4"/>
    <n v="1.83"/>
    <n v="31.8"/>
    <n v="89"/>
    <s v="110/71"/>
    <n v="103"/>
    <n v="72"/>
    <n v="108"/>
    <s v="Y"/>
    <s v="Y"/>
    <s v="High"/>
    <s v="Y"/>
    <n v="183"/>
    <n v="0.48599999999999999"/>
    <n v="110"/>
    <n v="71"/>
    <s v="Normal"/>
    <n v="1"/>
    <n v="15.92"/>
    <x v="1"/>
  </r>
  <r>
    <s v="F"/>
    <x v="3"/>
    <n v="73.3"/>
    <n v="1.63"/>
    <n v="27.6"/>
    <n v="108.7"/>
    <s v="123/89"/>
    <n v="169"/>
    <n v="32"/>
    <n v="93"/>
    <s v="N"/>
    <s v="Y"/>
    <s v="Moderate"/>
    <s v="N"/>
    <n v="163"/>
    <n v="0.66700000000000004"/>
    <n v="123"/>
    <n v="89"/>
    <s v="Hypertension Stage 1"/>
    <n v="107"/>
    <n v="17.05"/>
    <x v="0"/>
  </r>
  <r>
    <s v="M"/>
    <x v="12"/>
    <n v="57.2"/>
    <n v="1.86"/>
    <n v="16.5"/>
    <n v="88.8"/>
    <s v="93/85"/>
    <n v="115"/>
    <n v="36"/>
    <n v="142"/>
    <s v="N"/>
    <s v="Y"/>
    <s v="Moderate"/>
    <s v="Y"/>
    <n v="186"/>
    <n v="0.47699999999999998"/>
    <n v="93"/>
    <n v="85"/>
    <s v="Hypertension Stage 1"/>
    <n v="49"/>
    <n v="12.25"/>
    <x v="0"/>
  </r>
  <r>
    <s v="M"/>
    <x v="7"/>
    <n v="63.6"/>
    <n v="1.81"/>
    <n v="19.399999999999999"/>
    <m/>
    <s v="95/66"/>
    <n v="169"/>
    <n v="69"/>
    <n v="115"/>
    <s v="Y"/>
    <s v="N"/>
    <s v="High"/>
    <s v="Y"/>
    <n v="181"/>
    <n v="0.50700000000000001"/>
    <n v="95"/>
    <n v="66"/>
    <s v="Normal"/>
    <n v="70"/>
    <n v="12.01"/>
    <x v="0"/>
  </r>
  <r>
    <s v="M"/>
    <x v="0"/>
    <n v="65.400000000000006"/>
    <n v="1.7"/>
    <n v="22.6"/>
    <m/>
    <s v="129/94"/>
    <n v="129"/>
    <n v="52"/>
    <n v="89"/>
    <s v="N"/>
    <s v="N"/>
    <s v="Low"/>
    <s v="N"/>
    <n v="170"/>
    <n v="0.44800000000000001"/>
    <n v="129"/>
    <n v="94"/>
    <s v="Hypertension Stage 2"/>
    <n v="47"/>
    <n v="13.55"/>
    <x v="2"/>
  </r>
  <r>
    <s v="F"/>
    <x v="21"/>
    <n v="96.3"/>
    <n v="1.71"/>
    <n v="32.9"/>
    <n v="74.2"/>
    <s v="99/83"/>
    <n v="290"/>
    <n v="35"/>
    <n v="132"/>
    <s v="N"/>
    <s v="N"/>
    <s v="High"/>
    <s v="Y"/>
    <m/>
    <n v="0.434"/>
    <n v="99"/>
    <n v="83"/>
    <s v="Hypertension Stage 1"/>
    <n v="225"/>
    <n v="17.329999999999998"/>
    <x v="1"/>
  </r>
  <r>
    <s v="M"/>
    <x v="13"/>
    <n v="54"/>
    <n v="1.61"/>
    <m/>
    <n v="96.7"/>
    <s v="116/72"/>
    <n v="253"/>
    <n v="37"/>
    <m/>
    <s v="N"/>
    <s v="N"/>
    <s v="High"/>
    <s v="Y"/>
    <n v="161"/>
    <n v="0.60099999999999998"/>
    <n v="116"/>
    <n v="72"/>
    <s v="Normal"/>
    <n v="186"/>
    <n v="15.02"/>
    <x v="0"/>
  </r>
  <r>
    <s v="M"/>
    <x v="11"/>
    <n v="62.1"/>
    <n v="1.68"/>
    <n v="22"/>
    <n v="71"/>
    <s v="110/93"/>
    <n v="184"/>
    <n v="51"/>
    <n v="144"/>
    <s v="Y"/>
    <s v="Y"/>
    <s v="Low"/>
    <s v="N"/>
    <n v="168"/>
    <n v="0.42299999999999999"/>
    <n v="110"/>
    <n v="93"/>
    <s v="Hypertension Stage 2"/>
    <m/>
    <n v="15.58"/>
    <x v="0"/>
  </r>
  <r>
    <s v="F"/>
    <x v="9"/>
    <n v="119"/>
    <n v="1.64"/>
    <n v="44.2"/>
    <n v="73.599999999999994"/>
    <s v="116/69"/>
    <n v="139"/>
    <n v="38"/>
    <n v="128"/>
    <s v="N"/>
    <s v="Y"/>
    <s v="Moderate"/>
    <s v="N"/>
    <n v="164"/>
    <n v="0.44900000000000001"/>
    <n v="116"/>
    <n v="69"/>
    <s v="Normal"/>
    <n v="71"/>
    <n v="19.420000000000002"/>
    <x v="0"/>
  </r>
  <r>
    <s v="M"/>
    <x v="12"/>
    <n v="88.7"/>
    <n v="1.62"/>
    <n v="33.799999999999997"/>
    <n v="109.2"/>
    <s v="111/76"/>
    <n v="285"/>
    <n v="53"/>
    <n v="120"/>
    <s v="N"/>
    <s v="Y"/>
    <s v="Low"/>
    <s v="Y"/>
    <n v="162"/>
    <n v="0.67400000000000004"/>
    <n v="111"/>
    <m/>
    <s v="Normal"/>
    <n v="202"/>
    <n v="20.010000000000002"/>
    <x v="1"/>
  </r>
  <r>
    <s v="M"/>
    <x v="25"/>
    <n v="58.4"/>
    <n v="1.71"/>
    <n v="20"/>
    <n v="86.4"/>
    <s v="123/75"/>
    <n v="210"/>
    <n v="43"/>
    <n v="111"/>
    <s v="N"/>
    <s v="N"/>
    <s v="High"/>
    <s v="Y"/>
    <n v="171"/>
    <n v="0.505"/>
    <n v="123"/>
    <n v="75"/>
    <s v="Elevated"/>
    <n v="137"/>
    <n v="14.35"/>
    <x v="0"/>
  </r>
  <r>
    <s v="F"/>
    <x v="29"/>
    <n v="54.1"/>
    <n v="1.86"/>
    <n v="15.6"/>
    <n v="74.099999999999994"/>
    <s v="125/61"/>
    <n v="299"/>
    <n v="32"/>
    <n v="120"/>
    <s v="N"/>
    <s v="Y"/>
    <s v="High"/>
    <s v="Y"/>
    <n v="186"/>
    <n v="0.39800000000000002"/>
    <n v="125"/>
    <n v="61"/>
    <s v="Elevated"/>
    <n v="237"/>
    <n v="17.350000000000001"/>
    <x v="1"/>
  </r>
  <r>
    <s v="F"/>
    <x v="11"/>
    <n v="61.8"/>
    <n v="1.87"/>
    <n v="17.7"/>
    <n v="94.3"/>
    <s v="93/63"/>
    <n v="188"/>
    <n v="77"/>
    <n v="125"/>
    <s v="N"/>
    <s v="Y"/>
    <s v="Moderate"/>
    <s v="N"/>
    <n v="187"/>
    <n v="0.504"/>
    <n v="93"/>
    <n v="63"/>
    <s v="Normal"/>
    <n v="81"/>
    <n v="13.95"/>
    <x v="2"/>
  </r>
  <r>
    <s v="F"/>
    <x v="18"/>
    <n v="64.900000000000006"/>
    <n v="1.77"/>
    <n v="20.7"/>
    <n v="98.2"/>
    <s v="141/79"/>
    <n v="178"/>
    <n v="45"/>
    <n v="77"/>
    <s v="N"/>
    <s v="N"/>
    <s v="Low"/>
    <s v="N"/>
    <n v="177"/>
    <n v="0.55500000000000005"/>
    <n v="141"/>
    <m/>
    <s v="Hypertension Stage 2"/>
    <n v="103"/>
    <n v="14.75"/>
    <x v="2"/>
  </r>
  <r>
    <s v="M"/>
    <x v="31"/>
    <n v="91.5"/>
    <n v="1.84"/>
    <n v="27"/>
    <n v="106.6"/>
    <s v="138/100"/>
    <n v="209"/>
    <n v="35"/>
    <n v="107"/>
    <s v="N"/>
    <s v="Y"/>
    <s v="High"/>
    <s v="N"/>
    <n v="184"/>
    <m/>
    <n v="138"/>
    <n v="100"/>
    <s v="Hypertension Stage 1"/>
    <n v="144"/>
    <n v="18.48"/>
    <x v="1"/>
  </r>
  <r>
    <s v="F"/>
    <x v="15"/>
    <n v="99.2"/>
    <n v="1.8"/>
    <n v="30.6"/>
    <n v="71.599999999999994"/>
    <s v="108/65"/>
    <n v="206"/>
    <n v="78"/>
    <n v="95"/>
    <s v="Y"/>
    <s v="N"/>
    <s v="High"/>
    <s v="Y"/>
    <n v="180"/>
    <m/>
    <m/>
    <n v="65"/>
    <s v="Normal"/>
    <n v="98"/>
    <n v="15.64"/>
    <x v="1"/>
  </r>
  <r>
    <s v="M"/>
    <x v="13"/>
    <n v="102.6"/>
    <m/>
    <m/>
    <n v="96.9"/>
    <s v="137/81"/>
    <n v="240"/>
    <n v="77"/>
    <n v="120"/>
    <s v="Y"/>
    <s v="N"/>
    <s v="High"/>
    <s v="N"/>
    <m/>
    <n v="0.58699999999999997"/>
    <n v="137"/>
    <n v="81"/>
    <s v="Hypertension Stage 1"/>
    <n v="133"/>
    <n v="19.190000000000001"/>
    <x v="0"/>
  </r>
  <r>
    <s v="M"/>
    <x v="14"/>
    <n v="87.7"/>
    <n v="1.86"/>
    <n v="25.3"/>
    <n v="87.9"/>
    <s v="135/91"/>
    <n v="253"/>
    <n v="74"/>
    <n v="124"/>
    <s v="Y"/>
    <s v="N"/>
    <s v="High"/>
    <s v="Y"/>
    <n v="186"/>
    <n v="0.47299999999999998"/>
    <n v="135"/>
    <n v="91"/>
    <s v="Hypertension Stage 1"/>
    <n v="149"/>
    <n v="16.87"/>
    <x v="1"/>
  </r>
  <r>
    <s v="F"/>
    <x v="18"/>
    <n v="103.1"/>
    <n v="1.81"/>
    <n v="31.5"/>
    <n v="74"/>
    <s v="109/70"/>
    <n v="120"/>
    <m/>
    <n v="144"/>
    <s v="Y"/>
    <s v="Y"/>
    <s v="High"/>
    <s v="Y"/>
    <n v="181"/>
    <n v="0.40899999999999997"/>
    <n v="109"/>
    <n v="70"/>
    <s v="Normal"/>
    <n v="53"/>
    <n v="16.149999999999999"/>
    <x v="1"/>
  </r>
  <r>
    <s v="F"/>
    <x v="2"/>
    <n v="59.8"/>
    <n v="1.67"/>
    <n v="21.4"/>
    <n v="97.1"/>
    <s v="129/80"/>
    <n v="196"/>
    <n v="41"/>
    <n v="125"/>
    <s v="Y"/>
    <s v="N"/>
    <s v="Low"/>
    <s v="N"/>
    <n v="167"/>
    <n v="0.58099999999999996"/>
    <n v="129"/>
    <n v="80"/>
    <s v="Hypertension Stage 1"/>
    <n v="125"/>
    <n v="14.65"/>
    <x v="0"/>
  </r>
  <r>
    <s v="M"/>
    <x v="14"/>
    <n v="53.9"/>
    <n v="1.79"/>
    <n v="16.8"/>
    <n v="74.3"/>
    <s v="136/97"/>
    <n v="129"/>
    <n v="47"/>
    <n v="138"/>
    <s v="N"/>
    <s v="Y"/>
    <s v="High"/>
    <s v="N"/>
    <n v="179"/>
    <n v="0.41499999999999998"/>
    <n v="136"/>
    <n v="97"/>
    <s v="Hypertension Stage 1"/>
    <n v="52"/>
    <n v="14.74"/>
    <x v="2"/>
  </r>
  <r>
    <s v="M"/>
    <x v="23"/>
    <n v="108.8"/>
    <n v="1.77"/>
    <n v="34.700000000000003"/>
    <n v="104.2"/>
    <s v="96/93"/>
    <n v="277"/>
    <n v="38"/>
    <n v="113"/>
    <s v="Y"/>
    <s v="Y"/>
    <s v="Moderate"/>
    <s v="Y"/>
    <n v="177"/>
    <m/>
    <n v="96"/>
    <n v="93"/>
    <s v="Hypertension Stage 2"/>
    <n v="209"/>
    <n v="19.28"/>
    <x v="1"/>
  </r>
  <r>
    <s v="F"/>
    <x v="0"/>
    <n v="51.3"/>
    <n v="1.6"/>
    <n v="20"/>
    <n v="86.8"/>
    <s v="136/61"/>
    <n v="162"/>
    <n v="46"/>
    <n v="88"/>
    <s v="Y"/>
    <s v="N"/>
    <s v="High"/>
    <s v="N"/>
    <n v="160"/>
    <n v="0.54200000000000004"/>
    <n v="136"/>
    <n v="61"/>
    <s v="Hypertension Stage 1"/>
    <n v="86"/>
    <n v="14.04"/>
    <x v="2"/>
  </r>
  <r>
    <s v="M"/>
    <x v="17"/>
    <n v="90.9"/>
    <n v="1.61"/>
    <m/>
    <n v="97.9"/>
    <s v="103/69"/>
    <n v="233"/>
    <n v="72"/>
    <n v="138"/>
    <s v="Y"/>
    <s v="N"/>
    <s v="Moderate"/>
    <s v="Y"/>
    <n v="161"/>
    <n v="0.60799999999999998"/>
    <n v="103"/>
    <n v="69"/>
    <s v="Normal"/>
    <n v="131"/>
    <n v="16.829999999999998"/>
    <x v="1"/>
  </r>
  <r>
    <s v="M"/>
    <x v="4"/>
    <n v="108.5"/>
    <m/>
    <n v="40.799999999999997"/>
    <n v="90.3"/>
    <s v="135/90"/>
    <n v="208"/>
    <n v="40"/>
    <n v="142"/>
    <s v="Y"/>
    <s v="Y"/>
    <s v="Moderate"/>
    <s v="Y"/>
    <n v="163"/>
    <n v="0.55400000000000005"/>
    <n v="135"/>
    <m/>
    <s v="Hypertension Stage 1"/>
    <n v="138"/>
    <n v="21.07"/>
    <x v="1"/>
  </r>
  <r>
    <s v="M"/>
    <x v="9"/>
    <n v="59.3"/>
    <n v="1.61"/>
    <n v="22.9"/>
    <n v="87.6"/>
    <s v="121/68"/>
    <n v="168"/>
    <n v="34"/>
    <n v="124"/>
    <s v="N"/>
    <s v="Y"/>
    <s v="High"/>
    <s v="Y"/>
    <n v="161"/>
    <m/>
    <n v="121"/>
    <n v="68"/>
    <s v="Elevated"/>
    <n v="104"/>
    <n v="15.99"/>
    <x v="0"/>
  </r>
  <r>
    <s v="M"/>
    <x v="15"/>
    <n v="110.5"/>
    <n v="1.88"/>
    <n v="31.3"/>
    <n v="106.6"/>
    <s v="148/64"/>
    <n v="208"/>
    <n v="52"/>
    <n v="135"/>
    <s v="N"/>
    <s v="N"/>
    <s v="High"/>
    <s v="Y"/>
    <n v="188"/>
    <n v="0.56699999999999995"/>
    <n v="148"/>
    <n v="64"/>
    <s v="Hypertension Stage 2"/>
    <n v="126"/>
    <n v="17.82"/>
    <x v="0"/>
  </r>
  <r>
    <s v="M"/>
    <x v="12"/>
    <m/>
    <n v="1.61"/>
    <n v="26.7"/>
    <m/>
    <s v="150/78"/>
    <n v="269"/>
    <n v="43"/>
    <n v="122"/>
    <s v="N"/>
    <s v="Y"/>
    <s v="High"/>
    <s v="Y"/>
    <n v="161"/>
    <n v="0.61199999999999999"/>
    <n v="150"/>
    <n v="78"/>
    <s v="Hypertension Stage 2"/>
    <n v="196"/>
    <n v="20.22"/>
    <x v="1"/>
  </r>
  <r>
    <s v="F"/>
    <x v="16"/>
    <n v="59.8"/>
    <n v="1.74"/>
    <m/>
    <n v="103.9"/>
    <s v="127/78"/>
    <n v="208"/>
    <n v="73"/>
    <n v="143"/>
    <s v="N"/>
    <s v="N"/>
    <s v="High"/>
    <s v="Y"/>
    <n v="174"/>
    <n v="0.59699999999999998"/>
    <n v="127"/>
    <n v="78"/>
    <s v="Elevated"/>
    <n v="105"/>
    <n v="14.47"/>
    <x v="0"/>
  </r>
  <r>
    <s v="F"/>
    <x v="24"/>
    <n v="54.2"/>
    <n v="1.78"/>
    <n v="17.100000000000001"/>
    <n v="91.8"/>
    <s v="117/81"/>
    <n v="274"/>
    <n v="38"/>
    <n v="144"/>
    <s v="Y"/>
    <s v="Y"/>
    <s v="High"/>
    <s v="Y"/>
    <n v="178"/>
    <n v="0.51600000000000001"/>
    <n v="117"/>
    <n v="81"/>
    <s v="Hypertension Stage 1"/>
    <n v="206"/>
    <n v="16.75"/>
    <x v="1"/>
  </r>
  <r>
    <s v="M"/>
    <x v="4"/>
    <n v="91.2"/>
    <n v="1.78"/>
    <m/>
    <n v="78.599999999999994"/>
    <s v="125/100"/>
    <n v="190"/>
    <n v="74"/>
    <n v="89"/>
    <s v="Y"/>
    <s v="Y"/>
    <s v="Low"/>
    <s v="N"/>
    <n v="178"/>
    <n v="0.442"/>
    <n v="125"/>
    <n v="100"/>
    <s v="Hypertension Stage 2"/>
    <n v="86"/>
    <n v="17.809999999999999"/>
    <x v="1"/>
  </r>
  <r>
    <s v="M"/>
    <x v="26"/>
    <n v="98.7"/>
    <n v="1.64"/>
    <m/>
    <n v="72.599999999999994"/>
    <s v="126/80"/>
    <n v="234"/>
    <n v="30"/>
    <n v="95"/>
    <s v="Y"/>
    <s v="N"/>
    <s v="High"/>
    <s v="N"/>
    <n v="164"/>
    <n v="0.443"/>
    <n v="126"/>
    <n v="80"/>
    <s v="Hypertension Stage 1"/>
    <n v="174"/>
    <n v="18.32"/>
    <x v="1"/>
  </r>
  <r>
    <s v="F"/>
    <x v="21"/>
    <n v="104.1"/>
    <n v="1.88"/>
    <n v="29.5"/>
    <n v="83.4"/>
    <s v="132/86"/>
    <n v="196"/>
    <n v="68"/>
    <n v="110"/>
    <s v="Y"/>
    <s v="N"/>
    <s v="Low"/>
    <s v="Y"/>
    <n v="188"/>
    <m/>
    <n v="132"/>
    <n v="86"/>
    <s v="Hypertension Stage 1"/>
    <n v="98"/>
    <n v="16.420000000000002"/>
    <x v="1"/>
  </r>
  <r>
    <s v="F"/>
    <x v="22"/>
    <n v="73.7"/>
    <n v="1.66"/>
    <n v="26.7"/>
    <n v="108.9"/>
    <s v="92/74"/>
    <n v="173"/>
    <n v="45"/>
    <n v="80"/>
    <s v="Y"/>
    <s v="Y"/>
    <s v="High"/>
    <s v="N"/>
    <n v="166"/>
    <n v="0.65600000000000003"/>
    <n v="92"/>
    <n v="74"/>
    <s v="Normal"/>
    <n v="98"/>
    <n v="15.4"/>
    <x v="1"/>
  </r>
  <r>
    <s v="F"/>
    <x v="21"/>
    <n v="114.1"/>
    <n v="1.66"/>
    <n v="41.4"/>
    <m/>
    <s v="93/88"/>
    <n v="222"/>
    <n v="59"/>
    <n v="146"/>
    <s v="Y"/>
    <s v="Y"/>
    <s v="High"/>
    <s v="N"/>
    <n v="166"/>
    <n v="0.46700000000000003"/>
    <n v="93"/>
    <n v="88"/>
    <s v="Hypertension Stage 1"/>
    <n v="133"/>
    <n v="19.37"/>
    <x v="1"/>
  </r>
  <r>
    <s v="M"/>
    <x v="31"/>
    <n v="98.5"/>
    <n v="1.69"/>
    <n v="34.5"/>
    <n v="105.8"/>
    <s v="126/60"/>
    <n v="257"/>
    <n v="34"/>
    <n v="109"/>
    <s v="Y"/>
    <s v="Y"/>
    <s v="Moderate"/>
    <s v="Y"/>
    <n v="169"/>
    <n v="0.626"/>
    <n v="126"/>
    <n v="60"/>
    <s v="Elevated"/>
    <n v="193"/>
    <n v="20.34"/>
    <x v="1"/>
  </r>
  <r>
    <s v="M"/>
    <x v="26"/>
    <n v="75.3"/>
    <n v="1.65"/>
    <n v="27.7"/>
    <n v="95.6"/>
    <s v="120/83"/>
    <n v="131"/>
    <n v="53"/>
    <n v="81"/>
    <s v="N"/>
    <s v="Y"/>
    <s v="Moderate"/>
    <s v="N"/>
    <n v="165"/>
    <n v="0.57899999999999996"/>
    <n v="120"/>
    <m/>
    <s v="Hypertension Stage 1"/>
    <n v="48"/>
    <m/>
    <x v="0"/>
  </r>
  <r>
    <s v="F"/>
    <x v="31"/>
    <n v="106.6"/>
    <n v="1.69"/>
    <n v="37.299999999999997"/>
    <n v="101"/>
    <s v="134/82"/>
    <n v="252"/>
    <n v="44"/>
    <n v="124"/>
    <s v="N"/>
    <s v="N"/>
    <s v="Low"/>
    <s v="N"/>
    <n v="169"/>
    <n v="0.59799999999999998"/>
    <n v="134"/>
    <n v="82"/>
    <s v="Hypertension Stage 1"/>
    <m/>
    <n v="19.2"/>
    <x v="1"/>
  </r>
  <r>
    <s v="M"/>
    <x v="17"/>
    <n v="118.1"/>
    <m/>
    <n v="35.700000000000003"/>
    <n v="93.4"/>
    <s v="130/87"/>
    <n v="151"/>
    <n v="39"/>
    <m/>
    <s v="Y"/>
    <s v="Y"/>
    <s v="Low"/>
    <s v="Y"/>
    <n v="182"/>
    <n v="0.51300000000000001"/>
    <n v="130"/>
    <n v="87"/>
    <s v="Hypertension Stage 1"/>
    <n v="82"/>
    <n v="18.66"/>
    <x v="1"/>
  </r>
  <r>
    <s v="M"/>
    <x v="22"/>
    <n v="73"/>
    <n v="1.79"/>
    <n v="22.8"/>
    <m/>
    <s v="95/60"/>
    <n v="260"/>
    <n v="61"/>
    <n v="72"/>
    <s v="Y"/>
    <s v="N"/>
    <s v="Moderate"/>
    <s v="Y"/>
    <n v="179"/>
    <n v="0.434"/>
    <n v="95"/>
    <n v="60"/>
    <s v="Normal"/>
    <n v="169"/>
    <n v="14.51"/>
    <x v="1"/>
  </r>
  <r>
    <s v="M"/>
    <x v="28"/>
    <m/>
    <n v="1.85"/>
    <n v="26.1"/>
    <n v="98.5"/>
    <s v="114/92"/>
    <n v="295"/>
    <n v="39"/>
    <m/>
    <s v="N"/>
    <s v="N"/>
    <s v="Moderate"/>
    <s v="N"/>
    <n v="185"/>
    <n v="0.53200000000000003"/>
    <n v="114"/>
    <n v="92"/>
    <s v="Hypertension Stage 2"/>
    <n v="226"/>
    <n v="16.82"/>
    <x v="1"/>
  </r>
  <r>
    <s v="M"/>
    <x v="24"/>
    <n v="108.8"/>
    <n v="1.87"/>
    <n v="31.1"/>
    <n v="74.2"/>
    <s v="128/75"/>
    <n v="216"/>
    <n v="55"/>
    <n v="115"/>
    <s v="N"/>
    <s v="N"/>
    <s v="High"/>
    <s v="Y"/>
    <n v="187"/>
    <n v="0.39700000000000002"/>
    <n v="128"/>
    <n v="75"/>
    <s v="Elevated"/>
    <n v="131"/>
    <n v="16.940000000000001"/>
    <x v="0"/>
  </r>
  <r>
    <s v="F"/>
    <x v="21"/>
    <n v="68.5"/>
    <n v="1.83"/>
    <n v="20.5"/>
    <n v="84.1"/>
    <s v="140/89"/>
    <n v="184"/>
    <n v="77"/>
    <n v="122"/>
    <s v="Y"/>
    <s v="Y"/>
    <s v="High"/>
    <s v="Y"/>
    <n v="183"/>
    <n v="0.46"/>
    <n v="140"/>
    <n v="89"/>
    <s v="Hypertension Stage 1"/>
    <n v="77"/>
    <n v="16.78"/>
    <x v="0"/>
  </r>
  <r>
    <s v="F"/>
    <x v="6"/>
    <n v="60.7"/>
    <n v="1.63"/>
    <n v="22.8"/>
    <n v="78.900000000000006"/>
    <s v="116/100"/>
    <n v="200"/>
    <n v="68"/>
    <n v="136"/>
    <s v="Y"/>
    <s v="N"/>
    <s v="Moderate"/>
    <s v="N"/>
    <n v="163"/>
    <n v="0.48399999999999999"/>
    <n v="116"/>
    <n v="100"/>
    <s v="Hypertension Stage 2"/>
    <n v="102"/>
    <n v="14.36"/>
    <x v="2"/>
  </r>
  <r>
    <s v="M"/>
    <x v="5"/>
    <n v="99.5"/>
    <n v="1.75"/>
    <n v="32.5"/>
    <n v="73.2"/>
    <s v="100/80"/>
    <n v="149"/>
    <n v="78"/>
    <n v="73"/>
    <s v="Y"/>
    <s v="N"/>
    <s v="Low"/>
    <s v="Y"/>
    <n v="175"/>
    <n v="0.41799999999999998"/>
    <n v="100"/>
    <n v="80"/>
    <s v="Hypertension Stage 1"/>
    <n v="41"/>
    <n v="14.48"/>
    <x v="1"/>
  </r>
  <r>
    <s v="M"/>
    <x v="8"/>
    <n v="95.2"/>
    <n v="1.89"/>
    <n v="26.7"/>
    <n v="81.599999999999994"/>
    <s v="133/94"/>
    <n v="249"/>
    <n v="53"/>
    <n v="134"/>
    <s v="N"/>
    <s v="N"/>
    <s v="Moderate"/>
    <s v="Y"/>
    <n v="189"/>
    <n v="0.432"/>
    <n v="133"/>
    <n v="94"/>
    <s v="Hypertension Stage 1"/>
    <m/>
    <n v="16.97"/>
    <x v="1"/>
  </r>
  <r>
    <s v="F"/>
    <x v="11"/>
    <n v="83.9"/>
    <n v="1.85"/>
    <n v="24.5"/>
    <n v="109.2"/>
    <s v="143/93"/>
    <n v="179"/>
    <m/>
    <n v="105"/>
    <s v="N"/>
    <s v="Y"/>
    <s v="Low"/>
    <s v="N"/>
    <n v="185"/>
    <n v="0.59"/>
    <n v="143"/>
    <n v="93"/>
    <s v="Hypertension Stage 2"/>
    <n v="107"/>
    <n v="17.63"/>
    <x v="0"/>
  </r>
  <r>
    <s v="M"/>
    <x v="19"/>
    <n v="73.7"/>
    <n v="1.7"/>
    <n v="25.5"/>
    <n v="88.2"/>
    <s v="146/61"/>
    <n v="190"/>
    <n v="66"/>
    <n v="89"/>
    <s v="N"/>
    <s v="N"/>
    <s v="Low"/>
    <s v="N"/>
    <n v="170"/>
    <n v="0.51900000000000002"/>
    <n v="146"/>
    <n v="61"/>
    <s v="Hypertension Stage 2"/>
    <n v="94"/>
    <n v="16.2"/>
    <x v="0"/>
  </r>
  <r>
    <s v="M"/>
    <x v="17"/>
    <n v="67.5"/>
    <n v="1.83"/>
    <n v="20.2"/>
    <n v="100"/>
    <s v="119/75"/>
    <n v="185"/>
    <n v="49"/>
    <n v="79"/>
    <s v="N"/>
    <s v="N"/>
    <s v="Moderate"/>
    <s v="Y"/>
    <n v="183"/>
    <n v="0.54600000000000004"/>
    <n v="119"/>
    <m/>
    <s v="Normal"/>
    <n v="106"/>
    <n v="13.69"/>
    <x v="0"/>
  </r>
  <r>
    <s v="M"/>
    <x v="30"/>
    <n v="88.7"/>
    <n v="1.62"/>
    <n v="33.799999999999997"/>
    <n v="99.9"/>
    <s v="139/85"/>
    <n v="257"/>
    <n v="76"/>
    <n v="138"/>
    <s v="N"/>
    <s v="Y"/>
    <s v="Low"/>
    <s v="N"/>
    <n v="162"/>
    <n v="0.61699999999999999"/>
    <n v="139"/>
    <m/>
    <s v="Hypertension Stage 1"/>
    <n v="151"/>
    <n v="20.85"/>
    <x v="1"/>
  </r>
  <r>
    <s v="M"/>
    <x v="21"/>
    <n v="57.2"/>
    <n v="1.61"/>
    <n v="22.1"/>
    <n v="98.1"/>
    <s v="139/61"/>
    <n v="137"/>
    <n v="54"/>
    <n v="75"/>
    <s v="Y"/>
    <s v="Y"/>
    <s v="Low"/>
    <s v="N"/>
    <n v="161"/>
    <n v="0.60899999999999999"/>
    <n v="139"/>
    <m/>
    <s v="Hypertension Stage 1"/>
    <n v="53"/>
    <n v="16.11"/>
    <x v="0"/>
  </r>
  <r>
    <s v="M"/>
    <x v="4"/>
    <m/>
    <n v="1.84"/>
    <n v="25.8"/>
    <n v="70.599999999999994"/>
    <s v="113/96"/>
    <n v="276"/>
    <n v="48"/>
    <n v="89"/>
    <s v="N"/>
    <s v="N"/>
    <s v="High"/>
    <s v="N"/>
    <n v="184"/>
    <n v="0.38400000000000001"/>
    <n v="113"/>
    <n v="96"/>
    <s v="Hypertension Stage 2"/>
    <n v="198"/>
    <n v="16.329999999999998"/>
    <x v="0"/>
  </r>
  <r>
    <s v="M"/>
    <x v="16"/>
    <n v="51.5"/>
    <n v="1.85"/>
    <n v="15"/>
    <m/>
    <s v="108/61"/>
    <n v="167"/>
    <n v="50"/>
    <n v="117"/>
    <s v="N"/>
    <s v="N"/>
    <s v="Low"/>
    <s v="Y"/>
    <n v="185"/>
    <n v="0.59299999999999997"/>
    <n v="108"/>
    <n v="61"/>
    <s v="Normal"/>
    <n v="87"/>
    <n v="11.74"/>
    <x v="0"/>
  </r>
  <r>
    <s v="M"/>
    <x v="2"/>
    <n v="82.2"/>
    <n v="1.77"/>
    <n v="26.2"/>
    <n v="108.4"/>
    <s v="105/88"/>
    <n v="237"/>
    <n v="72"/>
    <n v="128"/>
    <s v="Y"/>
    <s v="Y"/>
    <s v="Low"/>
    <s v="Y"/>
    <n v="177"/>
    <n v="0.61199999999999999"/>
    <n v="105"/>
    <n v="88"/>
    <s v="Hypertension Stage 1"/>
    <n v="135"/>
    <n v="17.23"/>
    <x v="1"/>
  </r>
  <r>
    <s v="F"/>
    <x v="14"/>
    <n v="101.7"/>
    <n v="1.68"/>
    <n v="36"/>
    <n v="107.2"/>
    <s v="143/98"/>
    <n v="160"/>
    <n v="41"/>
    <n v="86"/>
    <s v="N"/>
    <s v="N"/>
    <s v="High"/>
    <s v="Y"/>
    <n v="168"/>
    <n v="0.63800000000000001"/>
    <n v="143"/>
    <n v="98"/>
    <s v="Hypertension Stage 2"/>
    <n v="89"/>
    <n v="17.55"/>
    <x v="0"/>
  </r>
  <r>
    <s v="F"/>
    <x v="29"/>
    <n v="93"/>
    <n v="1.89"/>
    <n v="26"/>
    <n v="85.3"/>
    <s v="117/84"/>
    <n v="124"/>
    <n v="49"/>
    <n v="103"/>
    <s v="Y"/>
    <s v="Y"/>
    <s v="Moderate"/>
    <s v="N"/>
    <n v="189"/>
    <n v="0.45100000000000001"/>
    <n v="117"/>
    <n v="84"/>
    <s v="Hypertension Stage 1"/>
    <n v="45"/>
    <n v="15.53"/>
    <x v="1"/>
  </r>
  <r>
    <s v="F"/>
    <x v="18"/>
    <n v="115"/>
    <n v="1.83"/>
    <n v="34.299999999999997"/>
    <n v="93.6"/>
    <s v="139/79"/>
    <n v="100"/>
    <n v="31"/>
    <n v="125"/>
    <s v="Y"/>
    <s v="N"/>
    <s v="Moderate"/>
    <s v="N"/>
    <n v="183"/>
    <n v="0.51100000000000001"/>
    <n v="139"/>
    <n v="79"/>
    <s v="Hypertension Stage 1"/>
    <n v="39"/>
    <n v="15.81"/>
    <x v="0"/>
  </r>
  <r>
    <s v="M"/>
    <x v="4"/>
    <n v="77.400000000000006"/>
    <n v="1.65"/>
    <n v="28.4"/>
    <n v="80.5"/>
    <s v="98/63"/>
    <n v="265"/>
    <n v="31"/>
    <n v="79"/>
    <s v="N"/>
    <s v="N"/>
    <s v="Moderate"/>
    <s v="Y"/>
    <n v="165"/>
    <n v="0.48799999999999999"/>
    <n v="98"/>
    <n v="63"/>
    <s v="Normal"/>
    <n v="204"/>
    <n v="15.88"/>
    <x v="1"/>
  </r>
  <r>
    <s v="M"/>
    <x v="8"/>
    <n v="110.8"/>
    <n v="1.82"/>
    <n v="33.5"/>
    <n v="108.3"/>
    <s v="120/72"/>
    <n v="177"/>
    <n v="39"/>
    <n v="82"/>
    <s v="N"/>
    <s v="Y"/>
    <s v="High"/>
    <s v="N"/>
    <n v="182"/>
    <n v="0.59499999999999997"/>
    <n v="120"/>
    <n v="72"/>
    <s v="Elevated"/>
    <n v="108"/>
    <n v="18.239999999999998"/>
    <x v="1"/>
  </r>
  <r>
    <s v="F"/>
    <x v="4"/>
    <m/>
    <n v="1.75"/>
    <n v="31.8"/>
    <n v="71.400000000000006"/>
    <s v="135/88"/>
    <n v="272"/>
    <n v="58"/>
    <n v="132"/>
    <s v="N"/>
    <s v="N"/>
    <s v="Low"/>
    <s v="N"/>
    <n v="175"/>
    <n v="0.40799999999999997"/>
    <n v="135"/>
    <n v="88"/>
    <s v="Hypertension Stage 1"/>
    <n v="184"/>
    <n v="18.55"/>
    <x v="1"/>
  </r>
  <r>
    <s v="M"/>
    <x v="16"/>
    <n v="82.4"/>
    <n v="1.74"/>
    <n v="27.2"/>
    <n v="100.7"/>
    <s v="139/63"/>
    <m/>
    <n v="37"/>
    <n v="140"/>
    <s v="N"/>
    <s v="Y"/>
    <s v="High"/>
    <s v="N"/>
    <n v="174"/>
    <n v="0.57899999999999996"/>
    <n v="139"/>
    <n v="63"/>
    <s v="Hypertension Stage 1"/>
    <n v="226"/>
    <n v="20.25"/>
    <x v="1"/>
  </r>
  <r>
    <s v="M"/>
    <x v="28"/>
    <n v="50.7"/>
    <n v="1.69"/>
    <n v="17.8"/>
    <n v="72.7"/>
    <s v="107/74"/>
    <n v="274"/>
    <n v="33"/>
    <n v="143"/>
    <s v="N"/>
    <s v="Y"/>
    <s v="Low"/>
    <s v="Y"/>
    <n v="169"/>
    <n v="0.43"/>
    <n v="107"/>
    <n v="74"/>
    <s v="Normal"/>
    <n v="211"/>
    <n v="16.39"/>
    <x v="1"/>
  </r>
  <r>
    <s v="M"/>
    <x v="15"/>
    <n v="110.4"/>
    <n v="1.6"/>
    <n v="43.1"/>
    <n v="92.5"/>
    <s v="123/93"/>
    <n v="159"/>
    <n v="38"/>
    <n v="95"/>
    <s v="Y"/>
    <s v="Y"/>
    <s v="Moderate"/>
    <s v="Y"/>
    <n v="160"/>
    <n v="0.57799999999999996"/>
    <n v="123"/>
    <n v="93"/>
    <s v="Hypertension Stage 2"/>
    <n v="91"/>
    <n v="19.95"/>
    <x v="1"/>
  </r>
  <r>
    <s v="F"/>
    <x v="24"/>
    <n v="62.7"/>
    <n v="1.83"/>
    <m/>
    <n v="72.5"/>
    <s v="148/85"/>
    <n v="134"/>
    <n v="55"/>
    <n v="92"/>
    <s v="Y"/>
    <s v="Y"/>
    <s v="Low"/>
    <s v="N"/>
    <n v="183"/>
    <m/>
    <n v="148"/>
    <n v="85"/>
    <s v="Hypertension Stage 1"/>
    <n v="49"/>
    <n v="15.82"/>
    <x v="0"/>
  </r>
  <r>
    <s v="F"/>
    <x v="29"/>
    <n v="96.7"/>
    <n v="1.82"/>
    <n v="29.2"/>
    <m/>
    <s v="122/71"/>
    <n v="195"/>
    <n v="57"/>
    <n v="120"/>
    <s v="Y"/>
    <s v="N"/>
    <s v="High"/>
    <s v="N"/>
    <n v="182"/>
    <n v="0.40100000000000002"/>
    <n v="122"/>
    <n v="71"/>
    <s v="Elevated"/>
    <n v="108"/>
    <n v="15.84"/>
    <x v="0"/>
  </r>
  <r>
    <s v="F"/>
    <x v="30"/>
    <n v="110.5"/>
    <n v="1.72"/>
    <n v="37.4"/>
    <n v="70.8"/>
    <s v="96/72"/>
    <m/>
    <n v="33"/>
    <n v="104"/>
    <s v="Y"/>
    <s v="N"/>
    <s v="High"/>
    <s v="Y"/>
    <n v="172"/>
    <n v="0.41199999999999998"/>
    <n v="96"/>
    <n v="72"/>
    <s v="Normal"/>
    <n v="91"/>
    <n v="15.36"/>
    <x v="1"/>
  </r>
  <r>
    <s v="F"/>
    <x v="12"/>
    <n v="94.1"/>
    <n v="1.79"/>
    <n v="29.4"/>
    <n v="101.6"/>
    <s v="119/69"/>
    <n v="276"/>
    <n v="36"/>
    <n v="98"/>
    <s v="Y"/>
    <s v="N"/>
    <s v="Moderate"/>
    <s v="N"/>
    <n v="179"/>
    <n v="0.56799999999999995"/>
    <n v="119"/>
    <n v="69"/>
    <s v="Normal"/>
    <n v="210"/>
    <m/>
    <x v="1"/>
  </r>
  <r>
    <s v="M"/>
    <x v="15"/>
    <n v="117.6"/>
    <n v="1.89"/>
    <n v="32.9"/>
    <n v="76"/>
    <s v="97/87"/>
    <n v="272"/>
    <n v="45"/>
    <n v="143"/>
    <s v="N"/>
    <s v="N"/>
    <s v="Moderate"/>
    <s v="N"/>
    <n v="189"/>
    <n v="0.40200000000000002"/>
    <n v="97"/>
    <n v="87"/>
    <s v="Hypertension Stage 1"/>
    <n v="197"/>
    <n v="16.87"/>
    <x v="0"/>
  </r>
  <r>
    <s v="F"/>
    <x v="30"/>
    <n v="93.4"/>
    <n v="1.73"/>
    <n v="31.2"/>
    <n v="86.9"/>
    <s v="111/90"/>
    <n v="167"/>
    <n v="36"/>
    <n v="106"/>
    <s v="N"/>
    <s v="Y"/>
    <s v="Moderate"/>
    <s v="Y"/>
    <n v="173"/>
    <n v="0.502"/>
    <n v="111"/>
    <n v="90"/>
    <s v="Hypertension Stage 2"/>
    <n v="101"/>
    <n v="17.13"/>
    <x v="1"/>
  </r>
  <r>
    <s v="M"/>
    <x v="7"/>
    <m/>
    <n v="1.82"/>
    <n v="22.6"/>
    <m/>
    <s v="113/94"/>
    <n v="165"/>
    <n v="56"/>
    <n v="137"/>
    <s v="Y"/>
    <s v="N"/>
    <s v="Moderate"/>
    <s v="Y"/>
    <n v="182"/>
    <n v="0.54100000000000004"/>
    <n v="113"/>
    <n v="94"/>
    <s v="Hypertension Stage 2"/>
    <n v="79"/>
    <n v="13.47"/>
    <x v="0"/>
  </r>
  <r>
    <s v="F"/>
    <x v="30"/>
    <n v="52.5"/>
    <n v="1.83"/>
    <n v="15.7"/>
    <n v="75"/>
    <s v="113/95"/>
    <n v="243"/>
    <n v="38"/>
    <n v="115"/>
    <s v="Y"/>
    <s v="N"/>
    <s v="Moderate"/>
    <s v="N"/>
    <n v="183"/>
    <n v="0.41"/>
    <n v="113"/>
    <n v="95"/>
    <s v="Hypertension Stage 2"/>
    <n v="175"/>
    <n v="13.65"/>
    <x v="1"/>
  </r>
  <r>
    <s v="M"/>
    <x v="27"/>
    <n v="66.2"/>
    <n v="1.86"/>
    <n v="19.100000000000001"/>
    <n v="93.1"/>
    <s v="133/87"/>
    <n v="166"/>
    <n v="30"/>
    <n v="132"/>
    <s v="N"/>
    <s v="Y"/>
    <s v="Low"/>
    <s v="N"/>
    <n v="186"/>
    <n v="0.501"/>
    <n v="133"/>
    <n v="87"/>
    <s v="Hypertension Stage 1"/>
    <n v="106"/>
    <n v="15.79"/>
    <x v="1"/>
  </r>
  <r>
    <s v="M"/>
    <x v="24"/>
    <n v="111.9"/>
    <n v="1.71"/>
    <n v="38.299999999999997"/>
    <n v="109.4"/>
    <s v="102/91"/>
    <n v="241"/>
    <n v="49"/>
    <n v="96"/>
    <s v="N"/>
    <s v="Y"/>
    <s v="Low"/>
    <s v="N"/>
    <n v="171"/>
    <n v="0.64"/>
    <n v="102"/>
    <m/>
    <s v="Hypertension Stage 2"/>
    <n v="162"/>
    <n v="19.579999999999998"/>
    <x v="1"/>
  </r>
  <r>
    <s v="M"/>
    <x v="12"/>
    <n v="54.7"/>
    <n v="1.83"/>
    <n v="16.3"/>
    <n v="101.1"/>
    <s v="103/88"/>
    <n v="270"/>
    <n v="31"/>
    <n v="97"/>
    <s v="N"/>
    <s v="Y"/>
    <s v="Low"/>
    <s v="Y"/>
    <n v="183"/>
    <n v="0.55200000000000005"/>
    <n v="103"/>
    <n v="88"/>
    <s v="Hypertension Stage 1"/>
    <n v="209"/>
    <n v="15.81"/>
    <x v="1"/>
  </r>
  <r>
    <s v="M"/>
    <x v="27"/>
    <n v="66"/>
    <n v="1.75"/>
    <n v="21.6"/>
    <n v="76.3"/>
    <s v="135/85"/>
    <n v="241"/>
    <n v="41"/>
    <n v="141"/>
    <s v="N"/>
    <s v="Y"/>
    <s v="Moderate"/>
    <s v="Y"/>
    <n v="175"/>
    <n v="0.436"/>
    <n v="135"/>
    <n v="85"/>
    <s v="Hypertension Stage 1"/>
    <n v="170"/>
    <n v="17.89"/>
    <x v="1"/>
  </r>
  <r>
    <s v="M"/>
    <x v="29"/>
    <n v="95.2"/>
    <n v="1.67"/>
    <n v="34.1"/>
    <n v="91.6"/>
    <s v="97/71"/>
    <n v="279"/>
    <n v="42"/>
    <n v="98"/>
    <s v="Y"/>
    <s v="N"/>
    <s v="Moderate"/>
    <s v="Y"/>
    <n v="167"/>
    <n v="0.54900000000000004"/>
    <n v="97"/>
    <n v="71"/>
    <s v="Normal"/>
    <m/>
    <n v="17.25"/>
    <x v="1"/>
  </r>
  <r>
    <s v="F"/>
    <x v="7"/>
    <n v="61.8"/>
    <n v="1.78"/>
    <n v="19.5"/>
    <n v="71"/>
    <s v="108/87"/>
    <n v="225"/>
    <n v="75"/>
    <n v="138"/>
    <s v="Y"/>
    <s v="N"/>
    <s v="High"/>
    <s v="N"/>
    <n v="178"/>
    <n v="0.39900000000000002"/>
    <n v="108"/>
    <n v="87"/>
    <s v="Hypertension Stage 1"/>
    <n v="120"/>
    <n v="13.8"/>
    <x v="0"/>
  </r>
  <r>
    <s v="M"/>
    <x v="23"/>
    <n v="100.3"/>
    <n v="1.66"/>
    <n v="36.4"/>
    <n v="101.3"/>
    <s v="108/61"/>
    <n v="213"/>
    <n v="64"/>
    <n v="135"/>
    <s v="N"/>
    <s v="N"/>
    <s v="Low"/>
    <s v="N"/>
    <n v="166"/>
    <n v="0.61"/>
    <n v="108"/>
    <n v="61"/>
    <s v="Normal"/>
    <n v="119"/>
    <n v="16.940000000000001"/>
    <x v="1"/>
  </r>
  <r>
    <s v="F"/>
    <x v="27"/>
    <n v="66.5"/>
    <n v="1.83"/>
    <n v="19.899999999999999"/>
    <n v="98"/>
    <s v="127/75"/>
    <n v="200"/>
    <n v="39"/>
    <n v="98"/>
    <s v="N"/>
    <s v="Y"/>
    <s v="High"/>
    <s v="Y"/>
    <m/>
    <n v="0.53600000000000003"/>
    <n v="127"/>
    <n v="75"/>
    <s v="Elevated"/>
    <n v="131"/>
    <n v="16.329999999999998"/>
    <x v="1"/>
  </r>
  <r>
    <s v="F"/>
    <x v="6"/>
    <n v="75.400000000000006"/>
    <n v="1.8"/>
    <n v="23.3"/>
    <n v="86.5"/>
    <s v="149/78"/>
    <n v="296"/>
    <m/>
    <n v="137"/>
    <s v="N"/>
    <s v="Y"/>
    <s v="High"/>
    <s v="N"/>
    <m/>
    <n v="0.48099999999999998"/>
    <n v="149"/>
    <m/>
    <s v="Hypertension Stage 2"/>
    <n v="209"/>
    <n v="20.03"/>
    <x v="0"/>
  </r>
  <r>
    <s v="F"/>
    <x v="7"/>
    <n v="108.3"/>
    <n v="1.8"/>
    <n v="33.4"/>
    <n v="76.2"/>
    <s v="149/91"/>
    <n v="278"/>
    <n v="61"/>
    <n v="106"/>
    <s v="Y"/>
    <s v="N"/>
    <s v="High"/>
    <s v="Y"/>
    <n v="180"/>
    <n v="0.42299999999999999"/>
    <n v="149"/>
    <n v="91"/>
    <s v="Hypertension Stage 2"/>
    <n v="187"/>
    <n v="19.690000000000001"/>
    <x v="1"/>
  </r>
  <r>
    <s v="M"/>
    <x v="26"/>
    <n v="69.2"/>
    <n v="1.87"/>
    <n v="19.8"/>
    <n v="96.8"/>
    <s v="93/78"/>
    <n v="218"/>
    <n v="56"/>
    <n v="71"/>
    <s v="N"/>
    <s v="Y"/>
    <s v="Moderate"/>
    <s v="N"/>
    <n v="187"/>
    <n v="0.51800000000000002"/>
    <n v="93"/>
    <n v="78"/>
    <s v="Normal"/>
    <n v="132"/>
    <n v="14.97"/>
    <x v="0"/>
  </r>
  <r>
    <s v="F"/>
    <x v="24"/>
    <n v="90.5"/>
    <n v="1.79"/>
    <n v="28.2"/>
    <n v="82.1"/>
    <s v="141/95"/>
    <n v="282"/>
    <n v="34"/>
    <n v="101"/>
    <s v="N"/>
    <s v="Y"/>
    <s v="Moderate"/>
    <s v="N"/>
    <n v="179"/>
    <n v="0.45900000000000002"/>
    <n v="141"/>
    <n v="95"/>
    <s v="Hypertension Stage 2"/>
    <n v="218"/>
    <n v="20.329999999999998"/>
    <x v="1"/>
  </r>
  <r>
    <s v="M"/>
    <x v="2"/>
    <n v="100.8"/>
    <n v="1.87"/>
    <n v="28.8"/>
    <n v="96.5"/>
    <s v="112/97"/>
    <n v="130"/>
    <n v="41"/>
    <n v="84"/>
    <s v="Y"/>
    <s v="Y"/>
    <s v="High"/>
    <s v="N"/>
    <n v="187"/>
    <n v="0.51600000000000001"/>
    <n v="112"/>
    <n v="97"/>
    <s v="Hypertension Stage 2"/>
    <n v="59"/>
    <n v="15.96"/>
    <x v="1"/>
  </r>
  <r>
    <s v="M"/>
    <x v="0"/>
    <n v="98.5"/>
    <n v="1.72"/>
    <n v="33.299999999999997"/>
    <n v="87.6"/>
    <s v="127/77"/>
    <n v="245"/>
    <n v="60"/>
    <n v="131"/>
    <s v="Y"/>
    <s v="Y"/>
    <s v="Moderate"/>
    <s v="N"/>
    <n v="172"/>
    <n v="0.50900000000000001"/>
    <n v="127"/>
    <n v="77"/>
    <s v="Elevated"/>
    <n v="155"/>
    <n v="19.91"/>
    <x v="1"/>
  </r>
  <r>
    <s v="M"/>
    <x v="0"/>
    <n v="68.099999999999994"/>
    <n v="1.88"/>
    <n v="19.3"/>
    <n v="70.900000000000006"/>
    <s v="145/96"/>
    <n v="285"/>
    <n v="32"/>
    <n v="77"/>
    <s v="N"/>
    <s v="Y"/>
    <s v="Moderate"/>
    <s v="Y"/>
    <n v="188"/>
    <n v="0.377"/>
    <n v="145"/>
    <n v="96"/>
    <s v="Hypertension Stage 2"/>
    <n v="223"/>
    <n v="18.809999999999999"/>
    <x v="1"/>
  </r>
  <r>
    <s v="F"/>
    <x v="0"/>
    <n v="54.2"/>
    <n v="1.85"/>
    <n v="15.8"/>
    <n v="89.8"/>
    <s v="94/78"/>
    <n v="223"/>
    <n v="78"/>
    <n v="71"/>
    <s v="N"/>
    <s v="Y"/>
    <s v="Moderate"/>
    <s v="N"/>
    <n v="185"/>
    <n v="0.48499999999999999"/>
    <n v="94"/>
    <n v="78"/>
    <s v="Normal"/>
    <n v="115"/>
    <n v="14.32"/>
    <x v="0"/>
  </r>
  <r>
    <s v="M"/>
    <x v="17"/>
    <n v="89.7"/>
    <n v="1.6"/>
    <n v="35"/>
    <n v="95.5"/>
    <s v="133/64"/>
    <n v="172"/>
    <n v="45"/>
    <n v="142"/>
    <s v="N"/>
    <s v="N"/>
    <s v="Low"/>
    <s v="Y"/>
    <n v="160"/>
    <n v="0.59699999999999998"/>
    <n v="133"/>
    <n v="64"/>
    <s v="Hypertension Stage 1"/>
    <n v="97"/>
    <n v="17.09"/>
    <x v="1"/>
  </r>
  <r>
    <s v="F"/>
    <x v="6"/>
    <n v="85.1"/>
    <n v="1.73"/>
    <n v="28.4"/>
    <n v="75.099999999999994"/>
    <s v="150/64"/>
    <n v="292"/>
    <n v="59"/>
    <n v="89"/>
    <s v="Y"/>
    <s v="N"/>
    <s v="Moderate"/>
    <s v="Y"/>
    <n v="173"/>
    <n v="0.434"/>
    <n v="150"/>
    <n v="64"/>
    <s v="Hypertension Stage 2"/>
    <n v="203"/>
    <n v="19.02"/>
    <x v="1"/>
  </r>
  <r>
    <s v="F"/>
    <x v="5"/>
    <n v="94.7"/>
    <n v="1.82"/>
    <n v="28.6"/>
    <n v="76.7"/>
    <s v="132/92"/>
    <n v="243"/>
    <n v="34"/>
    <n v="121"/>
    <s v="Y"/>
    <s v="N"/>
    <s v="Moderate"/>
    <s v="Y"/>
    <n v="182"/>
    <n v="0.42099999999999999"/>
    <n v="132"/>
    <n v="92"/>
    <s v="Hypertension Stage 1"/>
    <n v="179"/>
    <n v="17.18"/>
    <x v="1"/>
  </r>
  <r>
    <s v="F"/>
    <x v="17"/>
    <n v="110.2"/>
    <n v="1.75"/>
    <n v="36"/>
    <n v="93.4"/>
    <s v="143/89"/>
    <n v="269"/>
    <n v="73"/>
    <n v="77"/>
    <s v="N"/>
    <s v="Y"/>
    <s v="Low"/>
    <s v="N"/>
    <n v="175"/>
    <n v="0.53400000000000003"/>
    <n v="143"/>
    <n v="89"/>
    <s v="Hypertension Stage 1"/>
    <m/>
    <n v="21.73"/>
    <x v="1"/>
  </r>
  <r>
    <s v="F"/>
    <x v="4"/>
    <n v="91.2"/>
    <m/>
    <n v="33.5"/>
    <n v="76.400000000000006"/>
    <s v="98/88"/>
    <n v="189"/>
    <n v="45"/>
    <n v="141"/>
    <s v="N"/>
    <s v="Y"/>
    <s v="Low"/>
    <s v="Y"/>
    <n v="165"/>
    <n v="0.46300000000000002"/>
    <n v="98"/>
    <n v="88"/>
    <s v="Hypertension Stage 1"/>
    <n v="114"/>
    <n v="17.38"/>
    <x v="1"/>
  </r>
  <r>
    <s v="M"/>
    <x v="21"/>
    <n v="61.7"/>
    <n v="1.86"/>
    <n v="17.8"/>
    <n v="74.400000000000006"/>
    <s v="128/64"/>
    <n v="181"/>
    <n v="46"/>
    <n v="71"/>
    <s v="N"/>
    <s v="Y"/>
    <s v="Moderate"/>
    <s v="N"/>
    <n v="186"/>
    <n v="0.4"/>
    <n v="128"/>
    <n v="64"/>
    <s v="Elevated"/>
    <n v="105"/>
    <m/>
    <x v="2"/>
  </r>
  <r>
    <s v="F"/>
    <x v="26"/>
    <n v="87"/>
    <n v="1.62"/>
    <n v="33.200000000000003"/>
    <n v="109.8"/>
    <s v="142/87"/>
    <n v="120"/>
    <n v="78"/>
    <n v="85"/>
    <s v="Y"/>
    <s v="N"/>
    <s v="High"/>
    <s v="Y"/>
    <n v="162"/>
    <n v="0.67800000000000005"/>
    <m/>
    <n v="87"/>
    <s v="Hypertension Stage 1"/>
    <n v="12"/>
    <n v="16.14"/>
    <x v="1"/>
  </r>
  <r>
    <s v="M"/>
    <x v="25"/>
    <n v="77"/>
    <n v="1.61"/>
    <n v="29.7"/>
    <n v="99.7"/>
    <s v="96/85"/>
    <n v="220"/>
    <n v="55"/>
    <n v="105"/>
    <s v="Y"/>
    <s v="N"/>
    <s v="Low"/>
    <s v="Y"/>
    <n v="161"/>
    <n v="0.61899999999999999"/>
    <n v="96"/>
    <n v="85"/>
    <s v="Hypertension Stage 1"/>
    <n v="135"/>
    <n v="15.14"/>
    <x v="1"/>
  </r>
  <r>
    <s v="M"/>
    <x v="5"/>
    <n v="79.8"/>
    <n v="1.67"/>
    <n v="28.6"/>
    <n v="93.5"/>
    <s v="104/84"/>
    <n v="174"/>
    <n v="56"/>
    <n v="119"/>
    <s v="Y"/>
    <s v="Y"/>
    <s v="Moderate"/>
    <s v="Y"/>
    <n v="167"/>
    <n v="0.56000000000000005"/>
    <n v="104"/>
    <n v="84"/>
    <s v="Hypertension Stage 1"/>
    <n v="88"/>
    <n v="16.399999999999999"/>
    <x v="1"/>
  </r>
  <r>
    <s v="M"/>
    <x v="25"/>
    <n v="70.400000000000006"/>
    <n v="1.69"/>
    <n v="24.6"/>
    <n v="75.900000000000006"/>
    <s v="132/87"/>
    <n v="113"/>
    <n v="33"/>
    <n v="130"/>
    <s v="N"/>
    <s v="N"/>
    <s v="Low"/>
    <s v="Y"/>
    <m/>
    <n v="0.44900000000000001"/>
    <n v="132"/>
    <n v="87"/>
    <s v="Hypertension Stage 1"/>
    <n v="50"/>
    <n v="13.78"/>
    <x v="1"/>
  </r>
  <r>
    <s v="F"/>
    <x v="3"/>
    <n v="113.6"/>
    <n v="1.85"/>
    <n v="33.200000000000003"/>
    <n v="107.6"/>
    <s v="131/88"/>
    <n v="123"/>
    <m/>
    <n v="132"/>
    <s v="N"/>
    <s v="Y"/>
    <s v="High"/>
    <s v="Y"/>
    <n v="185"/>
    <n v="0.58199999999999996"/>
    <n v="131"/>
    <n v="88"/>
    <s v="Hypertension Stage 1"/>
    <n v="15"/>
    <n v="17.649999999999999"/>
    <x v="0"/>
  </r>
  <r>
    <s v="M"/>
    <x v="0"/>
    <n v="108.8"/>
    <n v="1.89"/>
    <n v="30.5"/>
    <n v="83"/>
    <s v="122/75"/>
    <n v="228"/>
    <n v="46"/>
    <n v="116"/>
    <s v="Y"/>
    <s v="Y"/>
    <s v="Low"/>
    <s v="Y"/>
    <n v="189"/>
    <n v="0.439"/>
    <n v="122"/>
    <n v="75"/>
    <s v="Elevated"/>
    <n v="152"/>
    <n v="18.760000000000002"/>
    <x v="1"/>
  </r>
  <r>
    <s v="M"/>
    <x v="4"/>
    <n v="118.1"/>
    <n v="1.66"/>
    <n v="42.9"/>
    <n v="99.9"/>
    <s v="142/79"/>
    <n v="295"/>
    <n v="60"/>
    <n v="115"/>
    <s v="N"/>
    <s v="Y"/>
    <s v="High"/>
    <s v="Y"/>
    <n v="166"/>
    <n v="0.60199999999999998"/>
    <n v="142"/>
    <n v="79"/>
    <s v="Hypertension Stage 2"/>
    <n v="205"/>
    <n v="23.58"/>
    <x v="1"/>
  </r>
  <r>
    <s v="F"/>
    <x v="29"/>
    <m/>
    <n v="1.62"/>
    <m/>
    <n v="87.2"/>
    <s v="141/70"/>
    <n v="174"/>
    <n v="71"/>
    <n v="94"/>
    <s v="N"/>
    <s v="Y"/>
    <s v="Low"/>
    <s v="N"/>
    <n v="162"/>
    <n v="0.53800000000000003"/>
    <n v="141"/>
    <n v="70"/>
    <s v="Hypertension Stage 2"/>
    <n v="73"/>
    <n v="17.89"/>
    <x v="1"/>
  </r>
  <r>
    <s v="M"/>
    <x v="14"/>
    <n v="105.7"/>
    <m/>
    <n v="36.1"/>
    <n v="78.8"/>
    <s v="101/81"/>
    <n v="232"/>
    <n v="79"/>
    <n v="82"/>
    <s v="N"/>
    <s v="N"/>
    <s v="Moderate"/>
    <s v="Y"/>
    <n v="171"/>
    <n v="0.46100000000000002"/>
    <n v="101"/>
    <n v="81"/>
    <s v="Hypertension Stage 1"/>
    <n v="123"/>
    <n v="16.91"/>
    <x v="0"/>
  </r>
  <r>
    <s v="M"/>
    <x v="1"/>
    <n v="67.400000000000006"/>
    <n v="1.75"/>
    <n v="22"/>
    <n v="71.099999999999994"/>
    <s v="95/97"/>
    <n v="293"/>
    <n v="70"/>
    <n v="87"/>
    <s v="Y"/>
    <s v="N"/>
    <s v="Moderate"/>
    <s v="Y"/>
    <n v="175"/>
    <n v="0.40600000000000003"/>
    <n v="95"/>
    <n v="97"/>
    <s v="Hypertension Stage 2"/>
    <n v="193"/>
    <n v="15.01"/>
    <x v="1"/>
  </r>
  <r>
    <s v="F"/>
    <x v="21"/>
    <n v="107.6"/>
    <n v="1.87"/>
    <n v="30.8"/>
    <n v="97.8"/>
    <s v="108/64"/>
    <n v="176"/>
    <n v="73"/>
    <n v="98"/>
    <s v="Y"/>
    <s v="N"/>
    <s v="Low"/>
    <s v="N"/>
    <n v="187"/>
    <n v="0.52300000000000002"/>
    <n v="108"/>
    <n v="64"/>
    <s v="Normal"/>
    <n v="73"/>
    <n v="15.08"/>
    <x v="0"/>
  </r>
  <r>
    <s v="F"/>
    <x v="12"/>
    <n v="89.8"/>
    <n v="1.84"/>
    <n v="26.5"/>
    <n v="97.7"/>
    <s v="91/65"/>
    <n v="260"/>
    <n v="75"/>
    <n v="85"/>
    <s v="Y"/>
    <s v="Y"/>
    <s v="Moderate"/>
    <s v="Y"/>
    <n v="184"/>
    <n v="0.53100000000000003"/>
    <n v="91"/>
    <n v="65"/>
    <s v="Normal"/>
    <n v="155"/>
    <n v="17.05"/>
    <x v="1"/>
  </r>
  <r>
    <s v="M"/>
    <x v="27"/>
    <n v="116.2"/>
    <n v="1.9"/>
    <n v="32.200000000000003"/>
    <n v="96.2"/>
    <s v="143/70"/>
    <n v="105"/>
    <n v="40"/>
    <n v="130"/>
    <s v="Y"/>
    <s v="Y"/>
    <s v="Low"/>
    <s v="Y"/>
    <n v="190"/>
    <n v="0.50600000000000001"/>
    <n v="143"/>
    <m/>
    <s v="Hypertension Stage 2"/>
    <n v="35"/>
    <n v="17.690000000000001"/>
    <x v="1"/>
  </r>
  <r>
    <s v="F"/>
    <x v="18"/>
    <n v="105"/>
    <n v="1.73"/>
    <n v="35.1"/>
    <n v="93.4"/>
    <s v="126/74"/>
    <m/>
    <n v="34"/>
    <n v="94"/>
    <s v="N"/>
    <s v="Y"/>
    <s v="Low"/>
    <s v="Y"/>
    <n v="173"/>
    <n v="0.54"/>
    <n v="126"/>
    <n v="74"/>
    <s v="Elevated"/>
    <n v="66"/>
    <n v="17.920000000000002"/>
    <x v="1"/>
  </r>
  <r>
    <s v="M"/>
    <x v="6"/>
    <n v="74.099999999999994"/>
    <n v="1.89"/>
    <n v="20.7"/>
    <n v="105.9"/>
    <s v="135/66"/>
    <n v="147"/>
    <n v="64"/>
    <n v="142"/>
    <s v="N"/>
    <s v="N"/>
    <s v="Low"/>
    <s v="N"/>
    <n v="189"/>
    <n v="0.56000000000000005"/>
    <n v="135"/>
    <n v="66"/>
    <s v="Hypertension Stage 1"/>
    <n v="53"/>
    <n v="13.83"/>
    <x v="2"/>
  </r>
  <r>
    <s v="M"/>
    <x v="3"/>
    <n v="112.6"/>
    <n v="1.87"/>
    <n v="32.200000000000003"/>
    <n v="82.8"/>
    <s v="115/64"/>
    <n v="226"/>
    <n v="33"/>
    <n v="112"/>
    <s v="N"/>
    <s v="Y"/>
    <s v="Moderate"/>
    <s v="Y"/>
    <n v="187"/>
    <n v="0.443"/>
    <n v="115"/>
    <n v="64"/>
    <s v="Normal"/>
    <n v="163"/>
    <n v="18.71"/>
    <x v="1"/>
  </r>
  <r>
    <s v="M"/>
    <x v="17"/>
    <n v="71.900000000000006"/>
    <n v="1.86"/>
    <n v="20.8"/>
    <n v="88.6"/>
    <s v="121/92"/>
    <n v="211"/>
    <n v="45"/>
    <n v="106"/>
    <s v="Y"/>
    <s v="Y"/>
    <s v="Moderate"/>
    <s v="Y"/>
    <n v="186"/>
    <n v="0.47599999999999998"/>
    <n v="121"/>
    <n v="92"/>
    <s v="Hypertension Stage 2"/>
    <n v="136"/>
    <n v="16.43"/>
    <x v="1"/>
  </r>
  <r>
    <s v="M"/>
    <x v="17"/>
    <m/>
    <n v="1.88"/>
    <n v="29.1"/>
    <n v="78.400000000000006"/>
    <s v="119/99"/>
    <n v="213"/>
    <n v="54"/>
    <m/>
    <s v="N"/>
    <s v="Y"/>
    <s v="Moderate"/>
    <s v="Y"/>
    <n v="188"/>
    <n v="0.41699999999999998"/>
    <n v="119"/>
    <n v="99"/>
    <s v="Hypertension Stage 2"/>
    <n v="129"/>
    <n v="18.03"/>
    <x v="1"/>
  </r>
  <r>
    <s v="M"/>
    <x v="12"/>
    <n v="112.8"/>
    <n v="1.88"/>
    <n v="31.9"/>
    <n v="90.6"/>
    <s v="134/89"/>
    <n v="123"/>
    <n v="30"/>
    <n v="131"/>
    <s v="Y"/>
    <s v="N"/>
    <s v="High"/>
    <s v="Y"/>
    <n v="188"/>
    <n v="0.48199999999999998"/>
    <n v="134"/>
    <n v="89"/>
    <s v="Hypertension Stage 1"/>
    <n v="63"/>
    <n v="15.54"/>
    <x v="1"/>
  </r>
  <r>
    <s v="F"/>
    <x v="15"/>
    <n v="81.2"/>
    <n v="1.75"/>
    <n v="26.5"/>
    <n v="74"/>
    <s v="141/76"/>
    <n v="225"/>
    <n v="31"/>
    <n v="124"/>
    <s v="Y"/>
    <s v="N"/>
    <s v="Moderate"/>
    <s v="Y"/>
    <n v="175"/>
    <n v="0.42299999999999999"/>
    <n v="141"/>
    <m/>
    <s v="Hypertension Stage 2"/>
    <n v="164"/>
    <n v="16.850000000000001"/>
    <x v="1"/>
  </r>
  <r>
    <s v="F"/>
    <x v="27"/>
    <n v="73.900000000000006"/>
    <n v="1.75"/>
    <n v="24.1"/>
    <n v="95.8"/>
    <s v="145/71"/>
    <m/>
    <m/>
    <n v="144"/>
    <s v="Y"/>
    <s v="N"/>
    <s v="High"/>
    <s v="Y"/>
    <n v="175"/>
    <n v="0.54700000000000004"/>
    <n v="145"/>
    <n v="71"/>
    <s v="Hypertension Stage 2"/>
    <n v="31"/>
    <n v="14.67"/>
    <x v="0"/>
  </r>
  <r>
    <s v="M"/>
    <x v="11"/>
    <n v="110.6"/>
    <n v="1.7"/>
    <n v="38.299999999999997"/>
    <n v="80.3"/>
    <s v="148/95"/>
    <n v="177"/>
    <n v="65"/>
    <n v="121"/>
    <s v="Y"/>
    <s v="Y"/>
    <s v="Low"/>
    <s v="Y"/>
    <n v="170"/>
    <n v="0.47199999999999998"/>
    <n v="148"/>
    <n v="95"/>
    <s v="Hypertension Stage 2"/>
    <n v="82"/>
    <n v="20.6"/>
    <x v="1"/>
  </r>
  <r>
    <s v="F"/>
    <x v="28"/>
    <n v="107.8"/>
    <n v="1.78"/>
    <n v="34"/>
    <n v="103.5"/>
    <s v="111/69"/>
    <n v="179"/>
    <n v="73"/>
    <n v="132"/>
    <s v="N"/>
    <s v="N"/>
    <s v="Low"/>
    <s v="Y"/>
    <n v="178"/>
    <n v="0.58099999999999996"/>
    <n v="111"/>
    <n v="69"/>
    <s v="Normal"/>
    <n v="76"/>
    <n v="15.93"/>
    <x v="1"/>
  </r>
  <r>
    <s v="F"/>
    <x v="12"/>
    <n v="61.4"/>
    <n v="1.71"/>
    <n v="21"/>
    <n v="83.6"/>
    <s v="134/69"/>
    <n v="246"/>
    <n v="72"/>
    <n v="136"/>
    <s v="N"/>
    <s v="Y"/>
    <s v="High"/>
    <s v="Y"/>
    <m/>
    <n v="0.48899999999999999"/>
    <n v="134"/>
    <n v="69"/>
    <s v="Hypertension Stage 1"/>
    <n v="144"/>
    <n v="17.82"/>
    <x v="0"/>
  </r>
  <r>
    <s v="F"/>
    <x v="22"/>
    <m/>
    <n v="1.82"/>
    <n v="35.799999999999997"/>
    <n v="93.5"/>
    <s v="120/70"/>
    <n v="260"/>
    <n v="37"/>
    <n v="125"/>
    <s v="Y"/>
    <s v="N"/>
    <s v="High"/>
    <s v="Y"/>
    <n v="182"/>
    <n v="0.51400000000000001"/>
    <n v="120"/>
    <n v="70"/>
    <s v="Elevated"/>
    <n v="193"/>
    <n v="18.36"/>
    <x v="1"/>
  </r>
  <r>
    <s v="M"/>
    <x v="12"/>
    <n v="80"/>
    <n v="1.64"/>
    <n v="29.7"/>
    <n v="103.6"/>
    <s v="114/70"/>
    <n v="299"/>
    <n v="46"/>
    <n v="148"/>
    <s v="N"/>
    <s v="N"/>
    <s v="Low"/>
    <s v="Y"/>
    <n v="164"/>
    <n v="0.63200000000000001"/>
    <n v="114"/>
    <n v="70"/>
    <s v="Normal"/>
    <n v="223"/>
    <n v="17.62"/>
    <x v="1"/>
  </r>
  <r>
    <s v="F"/>
    <x v="14"/>
    <n v="64.2"/>
    <n v="1.87"/>
    <n v="18.399999999999999"/>
    <n v="100.8"/>
    <s v="134/67"/>
    <n v="193"/>
    <n v="49"/>
    <n v="134"/>
    <s v="Y"/>
    <s v="Y"/>
    <s v="Moderate"/>
    <s v="N"/>
    <n v="187"/>
    <n v="0.53900000000000003"/>
    <m/>
    <n v="67"/>
    <s v="Hypertension Stage 1"/>
    <n v="114"/>
    <n v="16.239999999999998"/>
    <x v="0"/>
  </r>
  <r>
    <s v="M"/>
    <x v="16"/>
    <n v="62.3"/>
    <n v="1.84"/>
    <n v="18.399999999999999"/>
    <n v="90.9"/>
    <s v="95/94"/>
    <n v="208"/>
    <n v="30"/>
    <n v="101"/>
    <s v="Y"/>
    <s v="N"/>
    <s v="Low"/>
    <s v="Y"/>
    <n v="184"/>
    <n v="0.49399999999999999"/>
    <n v="95"/>
    <n v="94"/>
    <s v="Hypertension Stage 2"/>
    <n v="148"/>
    <n v="12.59"/>
    <x v="1"/>
  </r>
  <r>
    <s v="F"/>
    <x v="31"/>
    <n v="78.2"/>
    <n v="1.83"/>
    <n v="23.4"/>
    <n v="82.8"/>
    <s v="116/86"/>
    <n v="180"/>
    <n v="33"/>
    <n v="89"/>
    <s v="Y"/>
    <s v="N"/>
    <s v="Moderate"/>
    <s v="Y"/>
    <n v="183"/>
    <n v="0.45200000000000001"/>
    <n v="116"/>
    <n v="86"/>
    <s v="Hypertension Stage 1"/>
    <n v="117"/>
    <n v="14.08"/>
    <x v="1"/>
  </r>
  <r>
    <s v="M"/>
    <x v="8"/>
    <n v="50.1"/>
    <n v="1.77"/>
    <n v="16"/>
    <n v="104.1"/>
    <s v="146/95"/>
    <n v="210"/>
    <n v="70"/>
    <n v="108"/>
    <s v="N"/>
    <s v="N"/>
    <s v="Low"/>
    <s v="Y"/>
    <n v="177"/>
    <n v="0.58799999999999997"/>
    <n v="146"/>
    <m/>
    <s v="Hypertension Stage 2"/>
    <n v="110"/>
    <m/>
    <x v="1"/>
  </r>
  <r>
    <s v="M"/>
    <x v="15"/>
    <n v="53.9"/>
    <n v="1.67"/>
    <n v="19.3"/>
    <n v="79.3"/>
    <s v="104/77"/>
    <n v="193"/>
    <n v="69"/>
    <n v="131"/>
    <s v="Y"/>
    <s v="Y"/>
    <s v="Low"/>
    <s v="Y"/>
    <n v="167"/>
    <n v="0.47499999999999998"/>
    <n v="104"/>
    <n v="77"/>
    <s v="Normal"/>
    <n v="94"/>
    <n v="14.92"/>
    <x v="1"/>
  </r>
  <r>
    <s v="M"/>
    <x v="28"/>
    <n v="59"/>
    <n v="1.86"/>
    <n v="17.100000000000001"/>
    <n v="92"/>
    <s v="98/73"/>
    <n v="156"/>
    <m/>
    <n v="134"/>
    <s v="N"/>
    <s v="Y"/>
    <s v="Low"/>
    <s v="N"/>
    <n v="186"/>
    <n v="0.495"/>
    <n v="98"/>
    <n v="73"/>
    <s v="Normal"/>
    <n v="81"/>
    <n v="13.44"/>
    <x v="0"/>
  </r>
  <r>
    <s v="M"/>
    <x v="12"/>
    <n v="109.9"/>
    <n v="1.8"/>
    <n v="33.9"/>
    <n v="89.4"/>
    <s v="130/94"/>
    <n v="267"/>
    <n v="35"/>
    <n v="116"/>
    <s v="Y"/>
    <s v="N"/>
    <s v="Low"/>
    <s v="Y"/>
    <n v="180"/>
    <n v="0.497"/>
    <n v="130"/>
    <n v="94"/>
    <s v="Hypertension Stage 1"/>
    <n v="202"/>
    <n v="18.62"/>
    <x v="1"/>
  </r>
  <r>
    <s v="M"/>
    <x v="7"/>
    <n v="109.2"/>
    <n v="1.87"/>
    <n v="31.2"/>
    <n v="81"/>
    <s v="129/61"/>
    <n v="159"/>
    <n v="51"/>
    <n v="123"/>
    <s v="N"/>
    <s v="N"/>
    <s v="High"/>
    <s v="Y"/>
    <n v="187"/>
    <n v="0.433"/>
    <n v="129"/>
    <n v="61"/>
    <s v="Elevated"/>
    <n v="78"/>
    <n v="15.87"/>
    <x v="0"/>
  </r>
  <r>
    <s v="M"/>
    <x v="7"/>
    <n v="58.8"/>
    <n v="1.79"/>
    <n v="18.399999999999999"/>
    <n v="93.6"/>
    <s v="112/85"/>
    <n v="201"/>
    <n v="57"/>
    <n v="103"/>
    <s v="Y"/>
    <s v="N"/>
    <s v="Moderate"/>
    <s v="N"/>
    <n v="179"/>
    <n v="0.52300000000000002"/>
    <m/>
    <n v="85"/>
    <s v="Hypertension Stage 1"/>
    <n v="114"/>
    <n v="13.3"/>
    <x v="0"/>
  </r>
  <r>
    <s v="F"/>
    <x v="10"/>
    <n v="80"/>
    <n v="1.61"/>
    <n v="30.9"/>
    <n v="93"/>
    <s v="112/71"/>
    <n v="296"/>
    <n v="67"/>
    <n v="101"/>
    <s v="Y"/>
    <s v="N"/>
    <s v="Low"/>
    <s v="N"/>
    <n v="161"/>
    <n v="0.57799999999999996"/>
    <n v="112"/>
    <n v="71"/>
    <s v="Normal"/>
    <n v="199"/>
    <n v="17.7"/>
    <x v="1"/>
  </r>
  <r>
    <s v="M"/>
    <x v="3"/>
    <n v="63.7"/>
    <n v="1.86"/>
    <m/>
    <n v="70.5"/>
    <s v="123/83"/>
    <n v="262"/>
    <n v="48"/>
    <n v="106"/>
    <s v="Y"/>
    <s v="N"/>
    <s v="High"/>
    <s v="N"/>
    <n v="186"/>
    <n v="0.379"/>
    <n v="123"/>
    <n v="83"/>
    <s v="Hypertension Stage 1"/>
    <n v="184"/>
    <n v="15.07"/>
    <x v="0"/>
  </r>
  <r>
    <s v="F"/>
    <x v="2"/>
    <n v="65.8"/>
    <n v="1.9"/>
    <n v="18.2"/>
    <n v="102.8"/>
    <s v="116/89"/>
    <n v="136"/>
    <n v="35"/>
    <n v="128"/>
    <s v="N"/>
    <s v="N"/>
    <s v="Moderate"/>
    <s v="Y"/>
    <n v="190"/>
    <n v="0.54100000000000004"/>
    <n v="116"/>
    <n v="89"/>
    <s v="Hypertension Stage 1"/>
    <n v="71"/>
    <n v="12.16"/>
    <x v="0"/>
  </r>
  <r>
    <s v="F"/>
    <x v="22"/>
    <n v="96.9"/>
    <n v="1.81"/>
    <n v="29.6"/>
    <n v="77.599999999999994"/>
    <s v="122/91"/>
    <n v="167"/>
    <n v="49"/>
    <n v="111"/>
    <s v="Y"/>
    <s v="N"/>
    <s v="High"/>
    <s v="Y"/>
    <n v="181"/>
    <n v="0.42899999999999999"/>
    <n v="122"/>
    <n v="91"/>
    <s v="Hypertension Stage 2"/>
    <n v="88"/>
    <n v="15.36"/>
    <x v="1"/>
  </r>
  <r>
    <s v="M"/>
    <x v="12"/>
    <n v="102.5"/>
    <n v="1.87"/>
    <n v="29.3"/>
    <n v="97.3"/>
    <s v="99/89"/>
    <n v="239"/>
    <n v="41"/>
    <n v="118"/>
    <s v="Y"/>
    <s v="N"/>
    <s v="Moderate"/>
    <s v="N"/>
    <n v="187"/>
    <n v="0.52"/>
    <n v="99"/>
    <n v="89"/>
    <s v="Hypertension Stage 1"/>
    <m/>
    <n v="15.59"/>
    <x v="0"/>
  </r>
  <r>
    <s v="M"/>
    <x v="29"/>
    <m/>
    <n v="1.77"/>
    <n v="32.799999999999997"/>
    <n v="102.9"/>
    <s v="102/93"/>
    <n v="235"/>
    <n v="68"/>
    <n v="126"/>
    <s v="Y"/>
    <s v="Y"/>
    <s v="High"/>
    <s v="N"/>
    <n v="177"/>
    <n v="0.58099999999999996"/>
    <n v="102"/>
    <n v="93"/>
    <s v="Hypertension Stage 2"/>
    <n v="137"/>
    <n v="18.36"/>
    <x v="1"/>
  </r>
  <r>
    <s v="F"/>
    <x v="4"/>
    <n v="111.7"/>
    <n v="1.88"/>
    <n v="31.6"/>
    <n v="107.3"/>
    <s v="126/66"/>
    <n v="290"/>
    <n v="46"/>
    <n v="148"/>
    <s v="N"/>
    <s v="N"/>
    <s v="High"/>
    <s v="Y"/>
    <n v="188"/>
    <m/>
    <n v="126"/>
    <m/>
    <s v="Elevated"/>
    <n v="214"/>
    <n v="18.420000000000002"/>
    <x v="1"/>
  </r>
  <r>
    <s v="M"/>
    <x v="23"/>
    <n v="116"/>
    <n v="1.64"/>
    <n v="43.1"/>
    <n v="80.3"/>
    <s v="93/78"/>
    <n v="252"/>
    <n v="49"/>
    <n v="119"/>
    <s v="Y"/>
    <s v="Y"/>
    <s v="High"/>
    <s v="N"/>
    <m/>
    <n v="0.49"/>
    <n v="93"/>
    <n v="78"/>
    <s v="Normal"/>
    <n v="173"/>
    <n v="20.309999999999999"/>
    <x v="1"/>
  </r>
  <r>
    <s v="F"/>
    <x v="12"/>
    <n v="91"/>
    <n v="1.78"/>
    <n v="28.7"/>
    <n v="91"/>
    <s v="120/89"/>
    <n v="274"/>
    <n v="62"/>
    <n v="81"/>
    <s v="Y"/>
    <s v="Y"/>
    <s v="High"/>
    <s v="Y"/>
    <n v="178"/>
    <m/>
    <n v="120"/>
    <n v="89"/>
    <s v="Hypertension Stage 1"/>
    <n v="182"/>
    <m/>
    <x v="1"/>
  </r>
  <r>
    <s v="F"/>
    <x v="21"/>
    <n v="106.3"/>
    <n v="1.84"/>
    <n v="31.4"/>
    <n v="97.5"/>
    <s v="149/66"/>
    <n v="203"/>
    <n v="75"/>
    <n v="146"/>
    <s v="N"/>
    <s v="Y"/>
    <s v="Low"/>
    <s v="N"/>
    <n v="184"/>
    <n v="0.53"/>
    <n v="149"/>
    <n v="66"/>
    <s v="Hypertension Stage 2"/>
    <m/>
    <n v="19.79"/>
    <x v="1"/>
  </r>
  <r>
    <s v="M"/>
    <x v="19"/>
    <n v="112.9"/>
    <n v="1.69"/>
    <n v="39.5"/>
    <n v="84.4"/>
    <s v="125/73"/>
    <n v="132"/>
    <n v="74"/>
    <n v="92"/>
    <s v="N"/>
    <s v="Y"/>
    <s v="Low"/>
    <s v="Y"/>
    <n v="169"/>
    <n v="0.499"/>
    <n v="125"/>
    <n v="73"/>
    <s v="Elevated"/>
    <n v="28"/>
    <n v="18.79"/>
    <x v="1"/>
  </r>
  <r>
    <s v="M"/>
    <x v="19"/>
    <n v="67.5"/>
    <n v="1.86"/>
    <n v="19.5"/>
    <n v="87.7"/>
    <s v="139/82"/>
    <n v="101"/>
    <n v="67"/>
    <n v="103"/>
    <s v="Y"/>
    <s v="N"/>
    <s v="Low"/>
    <s v="Y"/>
    <n v="186"/>
    <n v="0.47199999999999998"/>
    <n v="139"/>
    <n v="82"/>
    <s v="Hypertension Stage 1"/>
    <m/>
    <n v="12.87"/>
    <x v="0"/>
  </r>
  <r>
    <s v="F"/>
    <x v="6"/>
    <n v="73.2"/>
    <n v="1.65"/>
    <n v="26.9"/>
    <n v="91"/>
    <s v="141/82"/>
    <n v="109"/>
    <n v="69"/>
    <n v="90"/>
    <s v="Y"/>
    <s v="Y"/>
    <s v="Low"/>
    <s v="N"/>
    <n v="165"/>
    <n v="0.55200000000000005"/>
    <n v="141"/>
    <n v="82"/>
    <s v="Hypertension Stage 1"/>
    <n v="10"/>
    <n v="16.61"/>
    <x v="1"/>
  </r>
  <r>
    <s v="F"/>
    <x v="2"/>
    <n v="73.7"/>
    <n v="1.7"/>
    <n v="25.5"/>
    <n v="84.2"/>
    <s v="129/92"/>
    <n v="192"/>
    <n v="74"/>
    <n v="144"/>
    <s v="Y"/>
    <s v="Y"/>
    <s v="Moderate"/>
    <s v="Y"/>
    <n v="170"/>
    <n v="0.495"/>
    <n v="129"/>
    <n v="92"/>
    <s v="Hypertension Stage 2"/>
    <n v="88"/>
    <n v="17.39"/>
    <x v="1"/>
  </r>
  <r>
    <s v="M"/>
    <x v="0"/>
    <n v="111.8"/>
    <m/>
    <n v="41.6"/>
    <n v="95.8"/>
    <s v="95/96"/>
    <n v="199"/>
    <n v="41"/>
    <n v="122"/>
    <s v="Y"/>
    <s v="N"/>
    <s v="High"/>
    <s v="N"/>
    <m/>
    <n v="0.58399999999999996"/>
    <n v="95"/>
    <n v="96"/>
    <s v="Hypertension Stage 2"/>
    <n v="128"/>
    <n v="17.05"/>
    <x v="0"/>
  </r>
  <r>
    <s v="F"/>
    <x v="6"/>
    <n v="92.9"/>
    <n v="1.87"/>
    <n v="26.6"/>
    <n v="71.8"/>
    <s v="113/79"/>
    <n v="115"/>
    <n v="79"/>
    <n v="125"/>
    <s v="N"/>
    <s v="N"/>
    <s v="High"/>
    <s v="Y"/>
    <n v="187"/>
    <n v="0.38400000000000001"/>
    <n v="113"/>
    <n v="79"/>
    <s v="Normal"/>
    <n v="6"/>
    <n v="13.27"/>
    <x v="0"/>
  </r>
  <r>
    <s v="F"/>
    <x v="10"/>
    <n v="106.3"/>
    <n v="1.88"/>
    <n v="30.1"/>
    <n v="102.2"/>
    <s v="140/98"/>
    <m/>
    <n v="40"/>
    <n v="82"/>
    <s v="N"/>
    <s v="Y"/>
    <s v="High"/>
    <s v="N"/>
    <m/>
    <n v="0.54400000000000004"/>
    <n v="140"/>
    <n v="98"/>
    <s v="Hypertension Stage 2"/>
    <n v="74"/>
    <n v="17.899999999999999"/>
    <x v="0"/>
  </r>
  <r>
    <s v="F"/>
    <x v="25"/>
    <n v="50.4"/>
    <n v="1.61"/>
    <n v="19.399999999999999"/>
    <n v="97.3"/>
    <s v="106/73"/>
    <n v="104"/>
    <n v="39"/>
    <n v="117"/>
    <s v="N"/>
    <s v="Y"/>
    <s v="High"/>
    <s v="N"/>
    <n v="161"/>
    <n v="0.60399999999999998"/>
    <m/>
    <n v="73"/>
    <s v="Normal"/>
    <n v="35"/>
    <n v="13.26"/>
    <x v="0"/>
  </r>
  <r>
    <s v="M"/>
    <x v="29"/>
    <n v="110.4"/>
    <n v="1.68"/>
    <n v="39.1"/>
    <n v="102.1"/>
    <s v="115/94"/>
    <n v="113"/>
    <n v="59"/>
    <n v="136"/>
    <s v="Y"/>
    <s v="Y"/>
    <s v="High"/>
    <s v="Y"/>
    <n v="168"/>
    <n v="0.60799999999999998"/>
    <n v="115"/>
    <m/>
    <s v="Hypertension Stage 2"/>
    <n v="24"/>
    <n v="17.829999999999998"/>
    <x v="1"/>
  </r>
  <r>
    <s v="F"/>
    <x v="31"/>
    <n v="51.8"/>
    <n v="1.61"/>
    <n v="20"/>
    <n v="73.5"/>
    <s v="143/89"/>
    <n v="209"/>
    <n v="41"/>
    <m/>
    <s v="Y"/>
    <s v="Y"/>
    <s v="Moderate"/>
    <s v="Y"/>
    <n v="161"/>
    <n v="0.45700000000000002"/>
    <n v="143"/>
    <n v="89"/>
    <s v="Hypertension Stage 1"/>
    <n v="138"/>
    <n v="17.329999999999998"/>
    <x v="1"/>
  </r>
  <r>
    <s v="F"/>
    <x v="15"/>
    <n v="84.2"/>
    <n v="1.66"/>
    <n v="30.6"/>
    <n v="96.1"/>
    <s v="139/61"/>
    <n v="281"/>
    <n v="59"/>
    <n v="136"/>
    <s v="N"/>
    <s v="Y"/>
    <s v="High"/>
    <s v="N"/>
    <n v="166"/>
    <n v="0.57899999999999996"/>
    <n v="139"/>
    <n v="61"/>
    <s v="Hypertension Stage 1"/>
    <n v="192"/>
    <n v="20.69"/>
    <x v="0"/>
  </r>
  <r>
    <s v="M"/>
    <x v="4"/>
    <m/>
    <n v="1.87"/>
    <n v="33.799999999999997"/>
    <n v="99.6"/>
    <s v="113/91"/>
    <n v="106"/>
    <m/>
    <n v="115"/>
    <s v="Y"/>
    <s v="Y"/>
    <s v="Low"/>
    <s v="N"/>
    <n v="187"/>
    <n v="0.53300000000000003"/>
    <m/>
    <n v="91"/>
    <s v="Hypertension Stage 2"/>
    <n v="33"/>
    <n v="16.53"/>
    <x v="1"/>
  </r>
  <r>
    <s v="F"/>
    <x v="11"/>
    <n v="86.8"/>
    <n v="1.81"/>
    <n v="26.5"/>
    <n v="101.6"/>
    <s v="92/66"/>
    <n v="128"/>
    <m/>
    <n v="140"/>
    <s v="N"/>
    <s v="N"/>
    <s v="High"/>
    <s v="Y"/>
    <m/>
    <n v="0.56100000000000005"/>
    <n v="92"/>
    <n v="66"/>
    <s v="Normal"/>
    <n v="49"/>
    <n v="12.46"/>
    <x v="0"/>
  </r>
  <r>
    <s v="F"/>
    <x v="1"/>
    <n v="82.4"/>
    <n v="1.6"/>
    <n v="32.200000000000003"/>
    <m/>
    <s v="115/75"/>
    <n v="175"/>
    <n v="73"/>
    <n v="148"/>
    <s v="N"/>
    <s v="N"/>
    <s v="Moderate"/>
    <s v="N"/>
    <n v="160"/>
    <m/>
    <n v="115"/>
    <n v="75"/>
    <s v="Normal"/>
    <m/>
    <n v="15.69"/>
    <x v="0"/>
  </r>
  <r>
    <s v="M"/>
    <x v="21"/>
    <n v="110.5"/>
    <n v="1.61"/>
    <n v="42.6"/>
    <n v="96.1"/>
    <s v="132/69"/>
    <n v="114"/>
    <n v="77"/>
    <n v="115"/>
    <s v="N"/>
    <s v="N"/>
    <s v="Moderate"/>
    <s v="Y"/>
    <m/>
    <n v="0.59699999999999998"/>
    <n v="132"/>
    <n v="69"/>
    <s v="Hypertension Stage 1"/>
    <n v="7"/>
    <n v="17.399999999999999"/>
    <x v="0"/>
  </r>
  <r>
    <s v="M"/>
    <x v="21"/>
    <n v="107.5"/>
    <n v="1.65"/>
    <n v="39.5"/>
    <n v="106.7"/>
    <s v="103/64"/>
    <n v="186"/>
    <n v="79"/>
    <n v="73"/>
    <s v="N"/>
    <s v="Y"/>
    <s v="High"/>
    <s v="Y"/>
    <n v="165"/>
    <n v="0.64700000000000002"/>
    <n v="103"/>
    <m/>
    <s v="Normal"/>
    <n v="77"/>
    <n v="18.77"/>
    <x v="0"/>
  </r>
  <r>
    <s v="M"/>
    <x v="14"/>
    <n v="107.8"/>
    <n v="1.82"/>
    <n v="32.5"/>
    <n v="87.8"/>
    <s v="97/71"/>
    <m/>
    <m/>
    <n v="103"/>
    <s v="Y"/>
    <s v="Y"/>
    <s v="High"/>
    <s v="N"/>
    <n v="182"/>
    <n v="0.48199999999999998"/>
    <n v="97"/>
    <n v="71"/>
    <s v="Normal"/>
    <n v="39"/>
    <n v="15.87"/>
    <x v="0"/>
  </r>
  <r>
    <s v="F"/>
    <x v="23"/>
    <n v="86.9"/>
    <n v="1.76"/>
    <n v="28.1"/>
    <m/>
    <s v="96/78"/>
    <n v="179"/>
    <n v="37"/>
    <n v="96"/>
    <s v="N"/>
    <s v="Y"/>
    <s v="Low"/>
    <s v="N"/>
    <n v="176"/>
    <n v="0.53200000000000003"/>
    <n v="96"/>
    <n v="78"/>
    <s v="Normal"/>
    <n v="112"/>
    <n v="16"/>
    <x v="1"/>
  </r>
  <r>
    <s v="F"/>
    <x v="17"/>
    <n v="55.7"/>
    <n v="1.76"/>
    <n v="18"/>
    <n v="106.8"/>
    <s v="111/85"/>
    <n v="105"/>
    <n v="31"/>
    <n v="146"/>
    <s v="Y"/>
    <s v="N"/>
    <s v="Low"/>
    <s v="Y"/>
    <n v="176"/>
    <n v="0.60699999999999998"/>
    <n v="111"/>
    <n v="85"/>
    <s v="Hypertension Stage 1"/>
    <n v="44"/>
    <n v="11.25"/>
    <x v="1"/>
  </r>
  <r>
    <s v="F"/>
    <x v="13"/>
    <n v="52.9"/>
    <n v="1.88"/>
    <n v="15"/>
    <n v="75.099999999999994"/>
    <s v="132/95"/>
    <n v="203"/>
    <n v="70"/>
    <n v="124"/>
    <s v="Y"/>
    <s v="N"/>
    <s v="High"/>
    <s v="N"/>
    <n v="188"/>
    <n v="0.39900000000000002"/>
    <n v="132"/>
    <n v="95"/>
    <s v="Hypertension Stage 1"/>
    <n v="103"/>
    <n v="13.66"/>
    <x v="0"/>
  </r>
  <r>
    <s v="F"/>
    <x v="10"/>
    <n v="58.5"/>
    <n v="1.82"/>
    <n v="17.7"/>
    <n v="83.9"/>
    <s v="97/80"/>
    <m/>
    <n v="55"/>
    <n v="112"/>
    <s v="N"/>
    <s v="N"/>
    <s v="Moderate"/>
    <s v="N"/>
    <n v="182"/>
    <n v="0.46100000000000002"/>
    <n v="97"/>
    <n v="80"/>
    <s v="Hypertension Stage 1"/>
    <n v="206"/>
    <n v="14.21"/>
    <x v="0"/>
  </r>
  <r>
    <s v="F"/>
    <x v="12"/>
    <n v="65.7"/>
    <n v="1.81"/>
    <n v="20.100000000000001"/>
    <n v="102.4"/>
    <s v="92/96"/>
    <n v="297"/>
    <n v="65"/>
    <n v="115"/>
    <s v="N"/>
    <s v="Y"/>
    <s v="Low"/>
    <s v="Y"/>
    <m/>
    <n v="0.56599999999999995"/>
    <n v="92"/>
    <n v="96"/>
    <s v="Hypertension Stage 2"/>
    <n v="202"/>
    <n v="16.559999999999999"/>
    <x v="1"/>
  </r>
  <r>
    <s v="M"/>
    <x v="10"/>
    <n v="53.1"/>
    <n v="1.63"/>
    <n v="20"/>
    <n v="105.9"/>
    <s v="140/85"/>
    <n v="153"/>
    <n v="80"/>
    <n v="114"/>
    <s v="N"/>
    <s v="Y"/>
    <s v="Low"/>
    <s v="Y"/>
    <n v="163"/>
    <n v="0.65"/>
    <n v="140"/>
    <n v="85"/>
    <s v="Hypertension Stage 1"/>
    <n v="43"/>
    <m/>
    <x v="1"/>
  </r>
  <r>
    <s v="M"/>
    <x v="18"/>
    <n v="106.2"/>
    <n v="1.87"/>
    <n v="30.4"/>
    <n v="105.5"/>
    <s v="119/92"/>
    <n v="268"/>
    <n v="50"/>
    <n v="139"/>
    <s v="Y"/>
    <s v="Y"/>
    <s v="Moderate"/>
    <s v="N"/>
    <n v="187"/>
    <n v="0.56399999999999995"/>
    <m/>
    <n v="92"/>
    <s v="Hypertension Stage 2"/>
    <n v="188"/>
    <n v="19.39"/>
    <x v="1"/>
  </r>
  <r>
    <s v="F"/>
    <x v="23"/>
    <n v="118.4"/>
    <n v="1.9"/>
    <n v="32.799999999999997"/>
    <n v="80.900000000000006"/>
    <s v="91/71"/>
    <n v="202"/>
    <n v="48"/>
    <n v="148"/>
    <s v="N"/>
    <s v="Y"/>
    <s v="High"/>
    <s v="N"/>
    <n v="190"/>
    <n v="0.42599999999999999"/>
    <n v="91"/>
    <n v="71"/>
    <s v="Normal"/>
    <n v="124"/>
    <n v="17.149999999999999"/>
    <x v="1"/>
  </r>
  <r>
    <s v="M"/>
    <x v="1"/>
    <n v="70.2"/>
    <n v="1.72"/>
    <n v="23.7"/>
    <n v="70"/>
    <s v="121/68"/>
    <n v="300"/>
    <n v="77"/>
    <n v="141"/>
    <s v="Y"/>
    <s v="N"/>
    <s v="High"/>
    <s v="Y"/>
    <n v="172"/>
    <n v="0.40699999999999997"/>
    <n v="121"/>
    <m/>
    <s v="Elevated"/>
    <n v="193"/>
    <n v="16.79"/>
    <x v="1"/>
  </r>
  <r>
    <s v="F"/>
    <x v="22"/>
    <n v="76.099999999999994"/>
    <n v="1.88"/>
    <n v="21.5"/>
    <n v="98.2"/>
    <s v="98/90"/>
    <n v="149"/>
    <n v="64"/>
    <n v="105"/>
    <s v="Y"/>
    <s v="N"/>
    <s v="Low"/>
    <s v="Y"/>
    <n v="188"/>
    <n v="0.52200000000000002"/>
    <n v="98"/>
    <n v="90"/>
    <s v="Hypertension Stage 2"/>
    <n v="55"/>
    <n v="12.18"/>
    <x v="1"/>
  </r>
  <r>
    <s v="F"/>
    <x v="10"/>
    <n v="104.8"/>
    <n v="1.84"/>
    <n v="31"/>
    <n v="104.6"/>
    <s v="150/97"/>
    <n v="192"/>
    <n v="78"/>
    <n v="106"/>
    <s v="Y"/>
    <s v="Y"/>
    <s v="High"/>
    <s v="Y"/>
    <n v="184"/>
    <n v="0.56799999999999995"/>
    <n v="150"/>
    <n v="97"/>
    <s v="Hypertension Stage 2"/>
    <n v="84"/>
    <n v="19.54"/>
    <x v="1"/>
  </r>
  <r>
    <s v="M"/>
    <x v="14"/>
    <n v="50.4"/>
    <n v="1.67"/>
    <n v="18.100000000000001"/>
    <n v="108.8"/>
    <s v="133/71"/>
    <m/>
    <n v="39"/>
    <n v="144"/>
    <s v="Y"/>
    <s v="N"/>
    <s v="Moderate"/>
    <s v="Y"/>
    <n v="167"/>
    <n v="0.65100000000000002"/>
    <n v="133"/>
    <n v="71"/>
    <s v="Hypertension Stage 1"/>
    <n v="188"/>
    <n v="15.41"/>
    <x v="1"/>
  </r>
  <r>
    <s v="M"/>
    <x v="23"/>
    <n v="113.8"/>
    <n v="1.8"/>
    <n v="35.1"/>
    <n v="109"/>
    <s v="127/80"/>
    <n v="237"/>
    <n v="40"/>
    <n v="129"/>
    <s v="Y"/>
    <s v="Y"/>
    <s v="High"/>
    <s v="N"/>
    <n v="180"/>
    <n v="0.60599999999999998"/>
    <n v="127"/>
    <n v="80"/>
    <s v="Hypertension Stage 1"/>
    <n v="167"/>
    <n v="20.11"/>
    <x v="1"/>
  </r>
  <r>
    <s v="F"/>
    <x v="4"/>
    <n v="73.3"/>
    <n v="1.87"/>
    <m/>
    <n v="74.599999999999994"/>
    <s v="113/79"/>
    <n v="144"/>
    <n v="73"/>
    <n v="129"/>
    <s v="N"/>
    <s v="Y"/>
    <s v="Moderate"/>
    <s v="N"/>
    <n v="187"/>
    <n v="0.39900000000000002"/>
    <n v="113"/>
    <n v="79"/>
    <s v="Normal"/>
    <n v="41"/>
    <n v="14.73"/>
    <x v="0"/>
  </r>
  <r>
    <s v="F"/>
    <x v="15"/>
    <n v="78.400000000000006"/>
    <n v="1.89"/>
    <n v="21.9"/>
    <n v="106.4"/>
    <s v="143/75"/>
    <n v="295"/>
    <n v="36"/>
    <n v="77"/>
    <s v="Y"/>
    <s v="Y"/>
    <s v="High"/>
    <s v="Y"/>
    <n v="189"/>
    <n v="0.56299999999999994"/>
    <n v="143"/>
    <n v="75"/>
    <s v="Hypertension Stage 2"/>
    <n v="229"/>
    <n v="19.43"/>
    <x v="1"/>
  </r>
  <r>
    <s v="M"/>
    <x v="13"/>
    <n v="103.8"/>
    <n v="1.84"/>
    <n v="30.7"/>
    <n v="82.1"/>
    <s v="123/87"/>
    <n v="267"/>
    <n v="68"/>
    <n v="75"/>
    <s v="N"/>
    <s v="N"/>
    <s v="Moderate"/>
    <s v="N"/>
    <n v="184"/>
    <n v="0.44600000000000001"/>
    <n v="123"/>
    <n v="87"/>
    <s v="Hypertension Stage 1"/>
    <n v="169"/>
    <n v="17.63"/>
    <x v="0"/>
  </r>
  <r>
    <s v="F"/>
    <x v="18"/>
    <n v="68"/>
    <n v="1.86"/>
    <n v="19.7"/>
    <n v="72.5"/>
    <s v="125/63"/>
    <n v="267"/>
    <n v="69"/>
    <n v="101"/>
    <s v="Y"/>
    <s v="Y"/>
    <s v="Low"/>
    <s v="Y"/>
    <n v="186"/>
    <n v="0.39"/>
    <n v="125"/>
    <n v="63"/>
    <s v="Elevated"/>
    <n v="168"/>
    <n v="17.53"/>
    <x v="1"/>
  </r>
  <r>
    <s v="M"/>
    <x v="7"/>
    <n v="58.3"/>
    <n v="1.81"/>
    <n v="17.8"/>
    <n v="94.4"/>
    <s v="115/71"/>
    <n v="182"/>
    <n v="61"/>
    <n v="125"/>
    <s v="N"/>
    <s v="Y"/>
    <s v="Low"/>
    <s v="Y"/>
    <n v="181"/>
    <n v="0.52200000000000002"/>
    <m/>
    <n v="71"/>
    <s v="Normal"/>
    <n v="91"/>
    <n v="14.95"/>
    <x v="0"/>
  </r>
  <r>
    <s v="M"/>
    <x v="23"/>
    <n v="75.8"/>
    <n v="1.9"/>
    <n v="21"/>
    <n v="96.8"/>
    <s v="142/66"/>
    <n v="280"/>
    <n v="52"/>
    <n v="91"/>
    <s v="N"/>
    <s v="Y"/>
    <s v="Low"/>
    <s v="Y"/>
    <n v="190"/>
    <n v="0.50900000000000001"/>
    <n v="142"/>
    <n v="66"/>
    <s v="Hypertension Stage 2"/>
    <n v="198"/>
    <n v="18.899999999999999"/>
    <x v="1"/>
  </r>
  <r>
    <s v="F"/>
    <x v="14"/>
    <n v="66.599999999999994"/>
    <n v="1.75"/>
    <n v="21.7"/>
    <n v="109"/>
    <s v="124/66"/>
    <n v="160"/>
    <n v="73"/>
    <n v="114"/>
    <s v="Y"/>
    <s v="N"/>
    <s v="High"/>
    <s v="N"/>
    <n v="175"/>
    <n v="0.623"/>
    <m/>
    <n v="66"/>
    <s v="Elevated"/>
    <n v="57"/>
    <n v="13.74"/>
    <x v="2"/>
  </r>
  <r>
    <s v="M"/>
    <x v="2"/>
    <n v="92.5"/>
    <n v="1.66"/>
    <n v="33.6"/>
    <n v="95.8"/>
    <s v="147/63"/>
    <n v="217"/>
    <n v="37"/>
    <n v="148"/>
    <s v="Y"/>
    <s v="Y"/>
    <s v="Moderate"/>
    <s v="N"/>
    <n v="166"/>
    <n v="0.57699999999999996"/>
    <n v="147"/>
    <n v="63"/>
    <s v="Hypertension Stage 2"/>
    <n v="150"/>
    <n v="20.41"/>
    <x v="1"/>
  </r>
  <r>
    <s v="F"/>
    <x v="25"/>
    <n v="94"/>
    <n v="1.9"/>
    <n v="26"/>
    <n v="78.8"/>
    <s v="149/89"/>
    <n v="184"/>
    <n v="30"/>
    <n v="102"/>
    <s v="Y"/>
    <s v="N"/>
    <s v="Moderate"/>
    <s v="Y"/>
    <n v="190"/>
    <n v="0.41499999999999998"/>
    <n v="149"/>
    <n v="89"/>
    <s v="Hypertension Stage 1"/>
    <n v="124"/>
    <n v="16.329999999999998"/>
    <x v="1"/>
  </r>
  <r>
    <s v="M"/>
    <x v="24"/>
    <n v="92.9"/>
    <n v="1.82"/>
    <n v="28"/>
    <n v="95.4"/>
    <s v="145/63"/>
    <n v="132"/>
    <n v="71"/>
    <n v="86"/>
    <s v="N"/>
    <s v="N"/>
    <s v="Low"/>
    <s v="N"/>
    <n v="182"/>
    <n v="0.52400000000000002"/>
    <n v="145"/>
    <n v="63"/>
    <s v="Hypertension Stage 2"/>
    <n v="31"/>
    <n v="15.49"/>
    <x v="0"/>
  </r>
  <r>
    <s v="M"/>
    <x v="30"/>
    <m/>
    <n v="1.82"/>
    <n v="16.2"/>
    <n v="82.2"/>
    <s v="136/95"/>
    <m/>
    <n v="32"/>
    <n v="124"/>
    <s v="Y"/>
    <s v="N"/>
    <s v="High"/>
    <s v="N"/>
    <m/>
    <n v="0.45200000000000001"/>
    <n v="136"/>
    <n v="95"/>
    <s v="Hypertension Stage 1"/>
    <n v="136"/>
    <n v="14"/>
    <x v="0"/>
  </r>
  <r>
    <s v="F"/>
    <x v="15"/>
    <n v="51.9"/>
    <n v="1.67"/>
    <n v="18.600000000000001"/>
    <n v="101.2"/>
    <s v="103/80"/>
    <n v="225"/>
    <n v="58"/>
    <m/>
    <s v="Y"/>
    <s v="N"/>
    <s v="High"/>
    <s v="N"/>
    <m/>
    <n v="0.60599999999999998"/>
    <n v="103"/>
    <n v="80"/>
    <s v="Hypertension Stage 1"/>
    <n v="137"/>
    <n v="13.37"/>
    <x v="0"/>
  </r>
  <r>
    <s v="F"/>
    <x v="3"/>
    <n v="65.8"/>
    <n v="1.89"/>
    <n v="18.399999999999999"/>
    <n v="109"/>
    <s v="107/64"/>
    <n v="271"/>
    <n v="33"/>
    <n v="147"/>
    <s v="Y"/>
    <s v="Y"/>
    <s v="Low"/>
    <s v="Y"/>
    <n v="189"/>
    <n v="0.57699999999999996"/>
    <m/>
    <n v="64"/>
    <s v="Normal"/>
    <n v="208"/>
    <n v="16.45"/>
    <x v="1"/>
  </r>
  <r>
    <s v="M"/>
    <x v="14"/>
    <n v="83.6"/>
    <n v="1.7"/>
    <n v="28.9"/>
    <n v="101.8"/>
    <s v="141/81"/>
    <n v="118"/>
    <n v="58"/>
    <n v="91"/>
    <s v="N"/>
    <s v="N"/>
    <s v="High"/>
    <s v="Y"/>
    <n v="170"/>
    <n v="0.59899999999999998"/>
    <n v="141"/>
    <n v="81"/>
    <s v="Hypertension Stage 1"/>
    <n v="30"/>
    <n v="15.19"/>
    <x v="0"/>
  </r>
  <r>
    <s v="F"/>
    <x v="24"/>
    <n v="119.9"/>
    <n v="1.85"/>
    <m/>
    <m/>
    <s v="126/62"/>
    <n v="220"/>
    <n v="44"/>
    <n v="85"/>
    <s v="N"/>
    <s v="N"/>
    <s v="Moderate"/>
    <s v="Y"/>
    <n v="185"/>
    <n v="0.41399999999999998"/>
    <n v="126"/>
    <n v="62"/>
    <s v="Elevated"/>
    <n v="146"/>
    <n v="17.7"/>
    <x v="0"/>
  </r>
  <r>
    <s v="M"/>
    <x v="13"/>
    <n v="118.2"/>
    <n v="1.72"/>
    <n v="40"/>
    <n v="77.5"/>
    <s v="136/83"/>
    <n v="290"/>
    <n v="68"/>
    <n v="92"/>
    <s v="Y"/>
    <s v="N"/>
    <s v="Low"/>
    <s v="N"/>
    <n v="172"/>
    <n v="0.45100000000000001"/>
    <n v="136"/>
    <n v="83"/>
    <s v="Hypertension Stage 1"/>
    <n v="192"/>
    <n v="20.6"/>
    <x v="1"/>
  </r>
  <r>
    <s v="M"/>
    <x v="8"/>
    <n v="116.5"/>
    <n v="1.81"/>
    <n v="35.6"/>
    <n v="107.9"/>
    <s v="135/87"/>
    <n v="270"/>
    <n v="32"/>
    <n v="135"/>
    <s v="N"/>
    <s v="Y"/>
    <s v="High"/>
    <s v="N"/>
    <n v="181"/>
    <n v="0.59599999999999997"/>
    <n v="135"/>
    <n v="87"/>
    <s v="Hypertension Stage 1"/>
    <n v="208"/>
    <n v="21.27"/>
    <x v="1"/>
  </r>
  <r>
    <s v="M"/>
    <x v="13"/>
    <n v="94.4"/>
    <n v="1.62"/>
    <n v="36"/>
    <n v="91"/>
    <s v="100/63"/>
    <n v="207"/>
    <n v="63"/>
    <n v="93"/>
    <s v="N"/>
    <s v="N"/>
    <s v="High"/>
    <s v="Y"/>
    <n v="162"/>
    <n v="0.56200000000000006"/>
    <n v="100"/>
    <n v="63"/>
    <s v="Normal"/>
    <n v="114"/>
    <n v="16.34"/>
    <x v="0"/>
  </r>
  <r>
    <s v="F"/>
    <x v="8"/>
    <n v="66.3"/>
    <n v="1.72"/>
    <n v="22.4"/>
    <n v="87"/>
    <s v="94/86"/>
    <n v="255"/>
    <n v="42"/>
    <n v="80"/>
    <s v="Y"/>
    <s v="Y"/>
    <s v="High"/>
    <s v="N"/>
    <n v="172"/>
    <n v="0.50600000000000001"/>
    <n v="94"/>
    <n v="86"/>
    <s v="Hypertension Stage 1"/>
    <n v="183"/>
    <n v="16.28"/>
    <x v="1"/>
  </r>
  <r>
    <s v="F"/>
    <x v="5"/>
    <n v="66.400000000000006"/>
    <n v="1.7"/>
    <n v="23"/>
    <n v="84.7"/>
    <s v="102/62"/>
    <n v="204"/>
    <n v="71"/>
    <n v="150"/>
    <s v="N"/>
    <s v="N"/>
    <s v="Low"/>
    <s v="Y"/>
    <n v="170"/>
    <n v="0.498"/>
    <n v="102"/>
    <n v="62"/>
    <s v="Normal"/>
    <n v="103"/>
    <n v="13.78"/>
    <x v="0"/>
  </r>
  <r>
    <s v="F"/>
    <x v="22"/>
    <n v="91"/>
    <n v="1.84"/>
    <n v="26.9"/>
    <n v="99.6"/>
    <s v="135/76"/>
    <n v="185"/>
    <n v="74"/>
    <n v="123"/>
    <s v="N"/>
    <s v="Y"/>
    <s v="Low"/>
    <s v="N"/>
    <n v="184"/>
    <n v="0.54100000000000004"/>
    <n v="135"/>
    <n v="76"/>
    <s v="Hypertension Stage 1"/>
    <n v="81"/>
    <n v="17.829999999999998"/>
    <x v="1"/>
  </r>
  <r>
    <s v="M"/>
    <x v="29"/>
    <n v="113.4"/>
    <n v="1.79"/>
    <n v="35.4"/>
    <n v="72.900000000000006"/>
    <s v="103/96"/>
    <n v="230"/>
    <n v="42"/>
    <n v="145"/>
    <s v="Y"/>
    <s v="N"/>
    <s v="Moderate"/>
    <s v="N"/>
    <n v="179"/>
    <n v="0.40699999999999997"/>
    <n v="103"/>
    <m/>
    <s v="Hypertension Stage 2"/>
    <n v="158"/>
    <n v="16.829999999999998"/>
    <x v="1"/>
  </r>
  <r>
    <s v="F"/>
    <x v="31"/>
    <n v="87.4"/>
    <n v="1.85"/>
    <n v="25.5"/>
    <n v="107.2"/>
    <s v="126/76"/>
    <n v="113"/>
    <n v="32"/>
    <n v="92"/>
    <s v="N"/>
    <s v="N"/>
    <s v="Low"/>
    <s v="N"/>
    <n v="185"/>
    <n v="0.57899999999999996"/>
    <n v="126"/>
    <n v="76"/>
    <s v="Elevated"/>
    <n v="51"/>
    <n v="13.66"/>
    <x v="1"/>
  </r>
  <r>
    <s v="M"/>
    <x v="13"/>
    <n v="119.6"/>
    <n v="1.75"/>
    <n v="39.1"/>
    <n v="105.6"/>
    <s v="90/82"/>
    <n v="234"/>
    <n v="79"/>
    <n v="109"/>
    <s v="N"/>
    <s v="Y"/>
    <s v="Moderate"/>
    <s v="Y"/>
    <n v="175"/>
    <n v="0.60299999999999998"/>
    <n v="90"/>
    <n v="82"/>
    <s v="Hypertension Stage 1"/>
    <n v="125"/>
    <n v="19"/>
    <x v="1"/>
  </r>
  <r>
    <s v="F"/>
    <x v="6"/>
    <n v="95"/>
    <n v="1.86"/>
    <n v="27.5"/>
    <n v="104.4"/>
    <s v="131/80"/>
    <n v="181"/>
    <n v="35"/>
    <n v="96"/>
    <s v="N"/>
    <s v="N"/>
    <s v="High"/>
    <s v="Y"/>
    <n v="186"/>
    <n v="0.56100000000000005"/>
    <n v="131"/>
    <n v="80"/>
    <s v="Hypertension Stage 1"/>
    <n v="116"/>
    <n v="15.67"/>
    <x v="0"/>
  </r>
  <r>
    <s v="F"/>
    <x v="31"/>
    <n v="73.900000000000006"/>
    <n v="1.82"/>
    <n v="22.3"/>
    <n v="72.7"/>
    <s v="94/81"/>
    <n v="247"/>
    <m/>
    <n v="107"/>
    <s v="Y"/>
    <s v="Y"/>
    <s v="Low"/>
    <s v="N"/>
    <n v="182"/>
    <n v="0.39900000000000002"/>
    <n v="94"/>
    <n v="81"/>
    <s v="Hypertension Stage 1"/>
    <n v="140"/>
    <n v="16.100000000000001"/>
    <x v="1"/>
  </r>
  <r>
    <s v="F"/>
    <x v="2"/>
    <n v="100.6"/>
    <n v="1.6"/>
    <n v="39.299999999999997"/>
    <m/>
    <s v="91/66"/>
    <n v="298"/>
    <n v="60"/>
    <n v="76"/>
    <s v="Y"/>
    <s v="N"/>
    <s v="Moderate"/>
    <s v="Y"/>
    <n v="160"/>
    <n v="0.54500000000000004"/>
    <n v="91"/>
    <n v="66"/>
    <s v="Normal"/>
    <n v="208"/>
    <n v="18.37"/>
    <x v="1"/>
  </r>
  <r>
    <s v="F"/>
    <x v="30"/>
    <n v="95.7"/>
    <n v="1.65"/>
    <n v="35.200000000000003"/>
    <n v="84.9"/>
    <s v="104/93"/>
    <n v="291"/>
    <n v="34"/>
    <n v="111"/>
    <s v="Y"/>
    <s v="Y"/>
    <s v="Low"/>
    <s v="N"/>
    <n v="165"/>
    <n v="0.51500000000000001"/>
    <n v="104"/>
    <n v="93"/>
    <s v="Hypertension Stage 2"/>
    <n v="227"/>
    <n v="20.059999999999999"/>
    <x v="1"/>
  </r>
  <r>
    <s v="M"/>
    <x v="0"/>
    <n v="108"/>
    <n v="1.79"/>
    <n v="33.700000000000003"/>
    <n v="74.099999999999994"/>
    <s v="148/87"/>
    <n v="174"/>
    <n v="55"/>
    <n v="139"/>
    <s v="N"/>
    <s v="N"/>
    <s v="High"/>
    <s v="Y"/>
    <n v="179"/>
    <n v="0.41399999999999998"/>
    <n v="148"/>
    <m/>
    <s v="Hypertension Stage 1"/>
    <n v="89"/>
    <n v="17.62"/>
    <x v="0"/>
  </r>
  <r>
    <s v="M"/>
    <x v="4"/>
    <n v="85.5"/>
    <n v="1.83"/>
    <n v="25.5"/>
    <n v="102.1"/>
    <s v="98/60"/>
    <n v="111"/>
    <m/>
    <n v="124"/>
    <s v="Y"/>
    <s v="Y"/>
    <s v="Low"/>
    <s v="Y"/>
    <n v="183"/>
    <n v="0.55800000000000005"/>
    <n v="98"/>
    <n v="60"/>
    <s v="Normal"/>
    <n v="48"/>
    <n v="14.22"/>
    <x v="1"/>
  </r>
  <r>
    <s v="M"/>
    <x v="28"/>
    <n v="83.6"/>
    <n v="1.64"/>
    <n v="31.1"/>
    <n v="98.2"/>
    <s v="120/94"/>
    <n v="109"/>
    <n v="78"/>
    <n v="107"/>
    <s v="N"/>
    <s v="N"/>
    <s v="Moderate"/>
    <s v="N"/>
    <n v="164"/>
    <n v="0.59899999999999998"/>
    <n v="120"/>
    <n v="94"/>
    <s v="Hypertension Stage 2"/>
    <n v="1"/>
    <n v="14.4"/>
    <x v="0"/>
  </r>
  <r>
    <s v="F"/>
    <x v="4"/>
    <n v="110.1"/>
    <n v="1.63"/>
    <n v="41.4"/>
    <n v="80.5"/>
    <s v="96/98"/>
    <m/>
    <n v="53"/>
    <n v="115"/>
    <s v="N"/>
    <s v="N"/>
    <s v="Moderate"/>
    <s v="Y"/>
    <n v="163"/>
    <n v="0.49399999999999999"/>
    <n v="96"/>
    <n v="98"/>
    <s v="Hypertension Stage 2"/>
    <n v="45"/>
    <n v="15.64"/>
    <x v="0"/>
  </r>
  <r>
    <s v="M"/>
    <x v="15"/>
    <n v="83.6"/>
    <n v="1.86"/>
    <n v="24.2"/>
    <n v="99.3"/>
    <s v="105/88"/>
    <n v="200"/>
    <n v="46"/>
    <n v="118"/>
    <s v="N"/>
    <s v="N"/>
    <s v="High"/>
    <s v="N"/>
    <n v="186"/>
    <n v="0.53400000000000003"/>
    <n v="105"/>
    <n v="88"/>
    <s v="Hypertension Stage 1"/>
    <n v="124"/>
    <n v="14.09"/>
    <x v="2"/>
  </r>
  <r>
    <s v="F"/>
    <x v="9"/>
    <n v="114.6"/>
    <n v="1.7"/>
    <m/>
    <n v="94"/>
    <s v="142/87"/>
    <m/>
    <n v="78"/>
    <n v="120"/>
    <s v="N"/>
    <s v="N"/>
    <s v="High"/>
    <s v="N"/>
    <n v="170"/>
    <n v="0.55300000000000005"/>
    <n v="142"/>
    <n v="87"/>
    <s v="Hypertension Stage 1"/>
    <n v="131"/>
    <n v="19.82"/>
    <x v="0"/>
  </r>
  <r>
    <s v="M"/>
    <x v="22"/>
    <n v="109"/>
    <n v="1.7"/>
    <m/>
    <n v="95.7"/>
    <s v="117/98"/>
    <n v="164"/>
    <n v="67"/>
    <n v="84"/>
    <s v="Y"/>
    <s v="N"/>
    <s v="Moderate"/>
    <s v="N"/>
    <n v="170"/>
    <n v="0.56299999999999994"/>
    <n v="117"/>
    <n v="98"/>
    <s v="Hypertension Stage 2"/>
    <n v="67"/>
    <n v="16.670000000000002"/>
    <x v="0"/>
  </r>
  <r>
    <s v="F"/>
    <x v="11"/>
    <n v="112.9"/>
    <n v="1.85"/>
    <n v="33"/>
    <n v="90.9"/>
    <s v="133/94"/>
    <n v="153"/>
    <n v="36"/>
    <n v="133"/>
    <s v="Y"/>
    <s v="N"/>
    <s v="Low"/>
    <s v="N"/>
    <n v="185"/>
    <n v="0.49099999999999999"/>
    <n v="133"/>
    <n v="94"/>
    <s v="Hypertension Stage 1"/>
    <n v="87"/>
    <n v="16.309999999999999"/>
    <x v="1"/>
  </r>
  <r>
    <s v="F"/>
    <x v="29"/>
    <n v="76.2"/>
    <n v="1.63"/>
    <n v="28.7"/>
    <n v="83.6"/>
    <s v="144/86"/>
    <n v="217"/>
    <n v="37"/>
    <n v="118"/>
    <s v="N"/>
    <s v="N"/>
    <s v="Moderate"/>
    <s v="N"/>
    <n v="163"/>
    <n v="0.51300000000000001"/>
    <n v="144"/>
    <n v="86"/>
    <s v="Hypertension Stage 1"/>
    <n v="150"/>
    <n v="17.28"/>
    <x v="1"/>
  </r>
  <r>
    <s v="F"/>
    <x v="17"/>
    <m/>
    <n v="1.81"/>
    <n v="17.399999999999999"/>
    <n v="90"/>
    <s v="102/86"/>
    <n v="148"/>
    <n v="52"/>
    <n v="130"/>
    <s v="N"/>
    <s v="Y"/>
    <s v="High"/>
    <s v="Y"/>
    <n v="181"/>
    <n v="0.497"/>
    <n v="102"/>
    <n v="86"/>
    <s v="Hypertension Stage 1"/>
    <n v="66"/>
    <n v="13.54"/>
    <x v="0"/>
  </r>
  <r>
    <s v="M"/>
    <x v="30"/>
    <n v="73.8"/>
    <n v="1.74"/>
    <n v="24.4"/>
    <n v="100.3"/>
    <s v="111/83"/>
    <n v="291"/>
    <n v="78"/>
    <n v="92"/>
    <s v="Y"/>
    <s v="Y"/>
    <s v="High"/>
    <s v="Y"/>
    <n v="174"/>
    <n v="0.57599999999999996"/>
    <n v="111"/>
    <n v="83"/>
    <s v="Hypertension Stage 1"/>
    <n v="183"/>
    <m/>
    <x v="1"/>
  </r>
  <r>
    <s v="M"/>
    <x v="30"/>
    <n v="115.6"/>
    <n v="1.74"/>
    <n v="38.200000000000003"/>
    <n v="109.7"/>
    <s v="126/86"/>
    <n v="290"/>
    <n v="73"/>
    <n v="119"/>
    <s v="Y"/>
    <s v="N"/>
    <s v="Low"/>
    <s v="Y"/>
    <n v="174"/>
    <n v="0.63"/>
    <n v="126"/>
    <n v="86"/>
    <s v="Hypertension Stage 1"/>
    <n v="187"/>
    <n v="19.739999999999998"/>
    <x v="1"/>
  </r>
  <r>
    <s v="F"/>
    <x v="4"/>
    <n v="98.3"/>
    <n v="1.9"/>
    <m/>
    <n v="86.9"/>
    <s v="112/84"/>
    <n v="168"/>
    <n v="74"/>
    <n v="78"/>
    <s v="N"/>
    <s v="N"/>
    <s v="High"/>
    <s v="Y"/>
    <n v="190"/>
    <n v="0.45700000000000002"/>
    <n v="112"/>
    <n v="84"/>
    <s v="Hypertension Stage 1"/>
    <n v="64"/>
    <n v="14.4"/>
    <x v="0"/>
  </r>
  <r>
    <s v="F"/>
    <x v="25"/>
    <n v="100.4"/>
    <n v="1.65"/>
    <n v="36.9"/>
    <n v="74.3"/>
    <s v="108/66"/>
    <n v="193"/>
    <n v="63"/>
    <n v="81"/>
    <s v="Y"/>
    <s v="N"/>
    <s v="Moderate"/>
    <s v="Y"/>
    <n v="165"/>
    <n v="0.45"/>
    <n v="108"/>
    <n v="66"/>
    <s v="Normal"/>
    <n v="100"/>
    <n v="16.64"/>
    <x v="1"/>
  </r>
  <r>
    <s v="M"/>
    <x v="17"/>
    <n v="72.3"/>
    <n v="1.86"/>
    <n v="20.9"/>
    <n v="96.3"/>
    <s v="125/99"/>
    <n v="207"/>
    <n v="40"/>
    <n v="87"/>
    <s v="N"/>
    <s v="Y"/>
    <s v="Moderate"/>
    <s v="Y"/>
    <n v="186"/>
    <n v="0.51800000000000002"/>
    <n v="125"/>
    <n v="99"/>
    <s v="Hypertension Stage 2"/>
    <n v="137"/>
    <n v="16.57"/>
    <x v="1"/>
  </r>
  <r>
    <s v="M"/>
    <x v="31"/>
    <n v="58.9"/>
    <n v="1.73"/>
    <n v="19.7"/>
    <n v="101.4"/>
    <s v="119/88"/>
    <m/>
    <n v="35"/>
    <n v="118"/>
    <s v="Y"/>
    <s v="Y"/>
    <s v="High"/>
    <s v="N"/>
    <n v="173"/>
    <n v="0.58599999999999997"/>
    <n v="119"/>
    <n v="88"/>
    <s v="Hypertension Stage 1"/>
    <n v="46"/>
    <n v="14.11"/>
    <x v="1"/>
  </r>
  <r>
    <s v="F"/>
    <x v="23"/>
    <n v="117.3"/>
    <n v="1.88"/>
    <m/>
    <n v="96.5"/>
    <s v="120/70"/>
    <n v="224"/>
    <m/>
    <n v="120"/>
    <s v="N"/>
    <s v="Y"/>
    <s v="High"/>
    <s v="N"/>
    <n v="188"/>
    <n v="0.51300000000000001"/>
    <n v="120"/>
    <m/>
    <s v="Elevated"/>
    <n v="114"/>
    <n v="19.12"/>
    <x v="1"/>
  </r>
  <r>
    <s v="F"/>
    <x v="1"/>
    <n v="111.9"/>
    <n v="1.81"/>
    <n v="34.200000000000003"/>
    <n v="95.2"/>
    <s v="132/71"/>
    <n v="129"/>
    <n v="78"/>
    <n v="131"/>
    <s v="Y"/>
    <s v="Y"/>
    <s v="Moderate"/>
    <s v="Y"/>
    <n v="181"/>
    <n v="0.52600000000000002"/>
    <n v="132"/>
    <n v="71"/>
    <s v="Hypertension Stage 1"/>
    <n v="21"/>
    <n v="18.02"/>
    <x v="1"/>
  </r>
  <r>
    <s v="F"/>
    <x v="2"/>
    <n v="57.5"/>
    <n v="1.62"/>
    <n v="21.9"/>
    <n v="84.2"/>
    <s v="118/76"/>
    <n v="238"/>
    <n v="73"/>
    <n v="126"/>
    <s v="Y"/>
    <s v="N"/>
    <s v="High"/>
    <s v="Y"/>
    <n v="162"/>
    <n v="0.52"/>
    <n v="118"/>
    <n v="76"/>
    <s v="Normal"/>
    <n v="135"/>
    <n v="15.04"/>
    <x v="1"/>
  </r>
  <r>
    <s v="M"/>
    <x v="30"/>
    <m/>
    <n v="1.69"/>
    <n v="39.4"/>
    <n v="102.6"/>
    <s v="110/77"/>
    <n v="121"/>
    <n v="77"/>
    <n v="88"/>
    <s v="N"/>
    <s v="Y"/>
    <s v="Low"/>
    <s v="N"/>
    <n v="169"/>
    <n v="0.60699999999999998"/>
    <n v="110"/>
    <n v="77"/>
    <s v="Normal"/>
    <n v="14"/>
    <n v="17.8"/>
    <x v="1"/>
  </r>
  <r>
    <s v="M"/>
    <x v="23"/>
    <n v="106.9"/>
    <n v="1.68"/>
    <n v="37.9"/>
    <n v="101.7"/>
    <s v="102/99"/>
    <n v="266"/>
    <n v="58"/>
    <n v="120"/>
    <s v="Y"/>
    <s v="Y"/>
    <s v="Low"/>
    <s v="N"/>
    <n v="168"/>
    <n v="0.60499999999999998"/>
    <m/>
    <n v="99"/>
    <s v="Hypertension Stage 2"/>
    <n v="178"/>
    <n v="20"/>
    <x v="1"/>
  </r>
  <r>
    <s v="M"/>
    <x v="6"/>
    <m/>
    <n v="1.71"/>
    <n v="31.3"/>
    <n v="104.2"/>
    <s v="130/89"/>
    <n v="193"/>
    <n v="63"/>
    <m/>
    <s v="N"/>
    <s v="Y"/>
    <s v="High"/>
    <s v="Y"/>
    <n v="171"/>
    <n v="0.60899999999999999"/>
    <n v="130"/>
    <n v="89"/>
    <s v="Hypertension Stage 1"/>
    <n v="100"/>
    <n v="18.62"/>
    <x v="0"/>
  </r>
  <r>
    <s v="F"/>
    <x v="21"/>
    <n v="85.9"/>
    <n v="1.8"/>
    <n v="26.5"/>
    <n v="89.7"/>
    <s v="141/78"/>
    <n v="271"/>
    <n v="49"/>
    <n v="124"/>
    <s v="Y"/>
    <s v="N"/>
    <s v="Moderate"/>
    <s v="Y"/>
    <n v="180"/>
    <n v="0.498"/>
    <n v="141"/>
    <n v="78"/>
    <s v="Hypertension Stage 2"/>
    <n v="192"/>
    <n v="17.77"/>
    <x v="1"/>
  </r>
  <r>
    <s v="F"/>
    <x v="29"/>
    <n v="51.8"/>
    <n v="1.67"/>
    <n v="18.600000000000001"/>
    <n v="87.8"/>
    <s v="95/94"/>
    <n v="198"/>
    <n v="53"/>
    <n v="117"/>
    <s v="N"/>
    <s v="Y"/>
    <s v="High"/>
    <s v="N"/>
    <n v="167"/>
    <n v="0.52600000000000002"/>
    <n v="95"/>
    <n v="94"/>
    <s v="Hypertension Stage 2"/>
    <n v="115"/>
    <n v="14.43"/>
    <x v="0"/>
  </r>
  <r>
    <s v="F"/>
    <x v="27"/>
    <n v="87.5"/>
    <n v="1.69"/>
    <n v="30.6"/>
    <n v="84.1"/>
    <s v="110/81"/>
    <n v="217"/>
    <n v="42"/>
    <n v="93"/>
    <s v="Y"/>
    <s v="N"/>
    <s v="Moderate"/>
    <s v="Y"/>
    <n v="169"/>
    <n v="0.498"/>
    <n v="110"/>
    <n v="81"/>
    <s v="Hypertension Stage 1"/>
    <n v="145"/>
    <n v="15.96"/>
    <x v="1"/>
  </r>
  <r>
    <s v="F"/>
    <x v="8"/>
    <n v="117.8"/>
    <n v="1.86"/>
    <n v="34.1"/>
    <n v="73.3"/>
    <s v="116/91"/>
    <n v="100"/>
    <n v="69"/>
    <n v="150"/>
    <s v="N"/>
    <s v="N"/>
    <s v="Low"/>
    <s v="N"/>
    <n v="186"/>
    <n v="0.39400000000000002"/>
    <n v="116"/>
    <n v="91"/>
    <s v="Hypertension Stage 2"/>
    <n v="1"/>
    <n v="14.62"/>
    <x v="0"/>
  </r>
  <r>
    <s v="M"/>
    <x v="10"/>
    <n v="117.4"/>
    <n v="1.82"/>
    <n v="35.4"/>
    <n v="104.5"/>
    <s v="109/76"/>
    <n v="181"/>
    <n v="66"/>
    <n v="101"/>
    <s v="N"/>
    <s v="Y"/>
    <s v="High"/>
    <s v="Y"/>
    <n v="182"/>
    <n v="0.57399999999999995"/>
    <n v="109"/>
    <n v="76"/>
    <s v="Normal"/>
    <n v="85"/>
    <n v="18.149999999999999"/>
    <x v="1"/>
  </r>
  <r>
    <s v="F"/>
    <x v="17"/>
    <n v="57.2"/>
    <n v="1.74"/>
    <n v="18.899999999999999"/>
    <n v="87.3"/>
    <s v="112/97"/>
    <n v="231"/>
    <n v="59"/>
    <n v="77"/>
    <s v="Y"/>
    <s v="N"/>
    <s v="High"/>
    <s v="Y"/>
    <n v="174"/>
    <n v="0.502"/>
    <n v="112"/>
    <n v="97"/>
    <s v="Hypertension Stage 2"/>
    <n v="142"/>
    <n v="14"/>
    <x v="1"/>
  </r>
  <r>
    <s v="F"/>
    <x v="7"/>
    <n v="72.7"/>
    <n v="1.77"/>
    <n v="23.2"/>
    <n v="82.2"/>
    <s v="142/73"/>
    <n v="263"/>
    <n v="73"/>
    <n v="109"/>
    <s v="N"/>
    <s v="Y"/>
    <s v="Moderate"/>
    <s v="Y"/>
    <n v="177"/>
    <n v="0.46400000000000002"/>
    <n v="142"/>
    <n v="73"/>
    <s v="Hypertension Stage 2"/>
    <n v="160"/>
    <n v="19"/>
    <x v="0"/>
  </r>
  <r>
    <s v="F"/>
    <x v="28"/>
    <n v="97.8"/>
    <m/>
    <n v="31.6"/>
    <n v="94.8"/>
    <s v="124/92"/>
    <n v="216"/>
    <n v="50"/>
    <n v="101"/>
    <s v="N"/>
    <s v="Y"/>
    <s v="High"/>
    <s v="N"/>
    <n v="176"/>
    <n v="0.53900000000000003"/>
    <n v="124"/>
    <n v="92"/>
    <s v="Hypertension Stage 2"/>
    <n v="136"/>
    <n v="18.84"/>
    <x v="1"/>
  </r>
  <r>
    <s v="M"/>
    <x v="9"/>
    <n v="59"/>
    <n v="1.74"/>
    <n v="19.5"/>
    <m/>
    <s v="91/81"/>
    <n v="200"/>
    <n v="58"/>
    <n v="104"/>
    <s v="Y"/>
    <s v="Y"/>
    <s v="Low"/>
    <s v="N"/>
    <n v="174"/>
    <n v="0.62"/>
    <n v="91"/>
    <n v="81"/>
    <s v="Hypertension Stage 1"/>
    <n v="112"/>
    <n v="14.45"/>
    <x v="0"/>
  </r>
  <r>
    <s v="M"/>
    <x v="18"/>
    <n v="70.900000000000006"/>
    <n v="1.82"/>
    <n v="21.4"/>
    <n v="94.3"/>
    <s v="148/85"/>
    <n v="254"/>
    <n v="46"/>
    <n v="89"/>
    <s v="N"/>
    <s v="Y"/>
    <s v="High"/>
    <s v="N"/>
    <n v="182"/>
    <n v="0.51800000000000002"/>
    <n v="148"/>
    <m/>
    <s v="Hypertension Stage 1"/>
    <n v="178"/>
    <n v="18.760000000000002"/>
    <x v="0"/>
  </r>
  <r>
    <s v="F"/>
    <x v="5"/>
    <n v="64.099999999999994"/>
    <n v="1.86"/>
    <n v="18.5"/>
    <m/>
    <s v="130/99"/>
    <n v="253"/>
    <n v="46"/>
    <n v="103"/>
    <s v="N"/>
    <s v="N"/>
    <s v="Low"/>
    <s v="N"/>
    <n v="186"/>
    <n v="0.45600000000000002"/>
    <n v="130"/>
    <n v="99"/>
    <s v="Hypertension Stage 1"/>
    <n v="177"/>
    <n v="15.26"/>
    <x v="0"/>
  </r>
  <r>
    <s v="F"/>
    <x v="31"/>
    <n v="53.3"/>
    <n v="1.84"/>
    <n v="15.7"/>
    <n v="107.3"/>
    <s v="142/72"/>
    <n v="157"/>
    <n v="47"/>
    <n v="75"/>
    <s v="Y"/>
    <s v="Y"/>
    <s v="Low"/>
    <s v="Y"/>
    <n v="184"/>
    <n v="0.58299999999999996"/>
    <n v="142"/>
    <n v="72"/>
    <s v="Hypertension Stage 2"/>
    <n v="80"/>
    <n v="15.38"/>
    <x v="1"/>
  </r>
  <r>
    <s v="F"/>
    <x v="14"/>
    <n v="54.5"/>
    <n v="1.83"/>
    <n v="16.3"/>
    <n v="77.400000000000006"/>
    <s v="119/83"/>
    <n v="189"/>
    <n v="30"/>
    <n v="92"/>
    <s v="Y"/>
    <s v="N"/>
    <s v="Moderate"/>
    <s v="N"/>
    <n v="183"/>
    <n v="0.42299999999999999"/>
    <n v="119"/>
    <n v="83"/>
    <s v="Hypertension Stage 1"/>
    <n v="129"/>
    <n v="12.99"/>
    <x v="0"/>
  </r>
  <r>
    <s v="M"/>
    <x v="9"/>
    <n v="64.5"/>
    <n v="1.84"/>
    <n v="19.100000000000001"/>
    <n v="78.400000000000006"/>
    <s v="118/100"/>
    <n v="163"/>
    <n v="79"/>
    <n v="143"/>
    <s v="N"/>
    <s v="N"/>
    <s v="High"/>
    <s v="Y"/>
    <n v="184"/>
    <n v="0.42599999999999999"/>
    <n v="118"/>
    <n v="100"/>
    <s v="Hypertension Stage 2"/>
    <n v="54"/>
    <n v="12.98"/>
    <x v="2"/>
  </r>
  <r>
    <s v="F"/>
    <x v="30"/>
    <n v="100.4"/>
    <n v="1.68"/>
    <n v="35.6"/>
    <n v="94.7"/>
    <s v="147/74"/>
    <n v="261"/>
    <n v="65"/>
    <n v="96"/>
    <s v="N"/>
    <s v="Y"/>
    <s v="Low"/>
    <s v="N"/>
    <n v="168"/>
    <n v="0.56399999999999995"/>
    <n v="147"/>
    <n v="74"/>
    <s v="Hypertension Stage 2"/>
    <n v="166"/>
    <n v="21.69"/>
    <x v="1"/>
  </r>
  <r>
    <s v="F"/>
    <x v="20"/>
    <n v="109.1"/>
    <n v="1.7"/>
    <n v="37.799999999999997"/>
    <n v="104.3"/>
    <s v="142/76"/>
    <n v="296"/>
    <n v="78"/>
    <n v="132"/>
    <s v="Y"/>
    <s v="N"/>
    <s v="Low"/>
    <s v="Y"/>
    <n v="170"/>
    <n v="0.61399999999999999"/>
    <n v="142"/>
    <n v="76"/>
    <s v="Hypertension Stage 2"/>
    <n v="188"/>
    <n v="20.58"/>
    <x v="1"/>
  </r>
  <r>
    <s v="M"/>
    <x v="8"/>
    <n v="100.6"/>
    <n v="1.66"/>
    <n v="36.5"/>
    <n v="107.8"/>
    <s v="127/93"/>
    <n v="257"/>
    <n v="56"/>
    <n v="150"/>
    <s v="N"/>
    <s v="N"/>
    <s v="Moderate"/>
    <s v="N"/>
    <n v="166"/>
    <n v="0.64900000000000002"/>
    <n v="127"/>
    <n v="93"/>
    <s v="Hypertension Stage 2"/>
    <n v="171"/>
    <n v="18.79"/>
    <x v="0"/>
  </r>
  <r>
    <s v="F"/>
    <x v="18"/>
    <n v="60.5"/>
    <n v="1.87"/>
    <n v="17.3"/>
    <n v="80"/>
    <s v="91/70"/>
    <n v="179"/>
    <n v="38"/>
    <n v="144"/>
    <s v="Y"/>
    <s v="Y"/>
    <s v="Moderate"/>
    <s v="Y"/>
    <n v="187"/>
    <m/>
    <n v="91"/>
    <n v="70"/>
    <s v="Normal"/>
    <n v="111"/>
    <n v="13.59"/>
    <x v="1"/>
  </r>
  <r>
    <s v="F"/>
    <x v="22"/>
    <n v="112.3"/>
    <n v="1.73"/>
    <n v="37.5"/>
    <n v="87.9"/>
    <s v="116/87"/>
    <n v="207"/>
    <n v="66"/>
    <n v="138"/>
    <s v="Y"/>
    <s v="Y"/>
    <s v="Low"/>
    <s v="N"/>
    <n v="173"/>
    <n v="0.50800000000000001"/>
    <n v="116"/>
    <n v="87"/>
    <s v="Hypertension Stage 1"/>
    <m/>
    <n v="19.440000000000001"/>
    <x v="1"/>
  </r>
  <r>
    <s v="F"/>
    <x v="30"/>
    <n v="92.3"/>
    <n v="1.69"/>
    <n v="32.299999999999997"/>
    <n v="107.1"/>
    <s v="147/79"/>
    <n v="230"/>
    <n v="70"/>
    <n v="74"/>
    <s v="Y"/>
    <s v="N"/>
    <s v="Low"/>
    <s v="N"/>
    <n v="169"/>
    <n v="0.63400000000000001"/>
    <n v="147"/>
    <n v="79"/>
    <s v="Hypertension Stage 2"/>
    <n v="130"/>
    <n v="18.41"/>
    <x v="1"/>
  </r>
  <r>
    <s v="M"/>
    <x v="17"/>
    <m/>
    <n v="1.86"/>
    <n v="33.9"/>
    <n v="99.5"/>
    <s v="97/72"/>
    <n v="218"/>
    <m/>
    <n v="108"/>
    <s v="Y"/>
    <s v="N"/>
    <s v="Low"/>
    <s v="N"/>
    <n v="186"/>
    <n v="0.53500000000000003"/>
    <n v="97"/>
    <n v="72"/>
    <s v="Normal"/>
    <n v="152"/>
    <n v="15.99"/>
    <x v="1"/>
  </r>
  <r>
    <s v="F"/>
    <x v="11"/>
    <n v="115.2"/>
    <n v="1.66"/>
    <n v="41.8"/>
    <n v="75.2"/>
    <s v="119/72"/>
    <n v="300"/>
    <n v="40"/>
    <n v="146"/>
    <s v="N"/>
    <s v="N"/>
    <s v="Moderate"/>
    <s v="Y"/>
    <n v="166"/>
    <n v="0.45300000000000001"/>
    <n v="119"/>
    <n v="72"/>
    <s v="Normal"/>
    <n v="230"/>
    <m/>
    <x v="0"/>
  </r>
  <r>
    <s v="F"/>
    <x v="27"/>
    <n v="72.8"/>
    <n v="1.79"/>
    <n v="22.7"/>
    <n v="76.8"/>
    <s v="119/81"/>
    <n v="276"/>
    <n v="36"/>
    <n v="75"/>
    <s v="Y"/>
    <s v="N"/>
    <s v="Moderate"/>
    <s v="Y"/>
    <n v="179"/>
    <n v="0.42899999999999999"/>
    <n v="119"/>
    <n v="81"/>
    <s v="Hypertension Stage 1"/>
    <n v="210"/>
    <n v="16.010000000000002"/>
    <x v="1"/>
  </r>
  <r>
    <s v="M"/>
    <x v="2"/>
    <n v="70.900000000000006"/>
    <n v="1.8"/>
    <n v="21.9"/>
    <n v="88"/>
    <s v="137/91"/>
    <n v="271"/>
    <n v="67"/>
    <n v="150"/>
    <s v="N"/>
    <s v="Y"/>
    <s v="Low"/>
    <s v="Y"/>
    <n v="180"/>
    <n v="0.48899999999999999"/>
    <n v="137"/>
    <n v="91"/>
    <s v="Hypertension Stage 1"/>
    <n v="174"/>
    <n v="18.649999999999999"/>
    <x v="1"/>
  </r>
  <r>
    <s v="F"/>
    <x v="3"/>
    <n v="58.1"/>
    <n v="1.78"/>
    <m/>
    <n v="98.9"/>
    <s v="93/61"/>
    <n v="173"/>
    <n v="36"/>
    <n v="130"/>
    <s v="Y"/>
    <s v="Y"/>
    <s v="Low"/>
    <s v="Y"/>
    <n v="178"/>
    <n v="0.55600000000000005"/>
    <n v="93"/>
    <m/>
    <s v="Normal"/>
    <n v="107"/>
    <n v="13.77"/>
    <x v="1"/>
  </r>
  <r>
    <s v="M"/>
    <x v="17"/>
    <n v="54.6"/>
    <n v="1.68"/>
    <n v="19.3"/>
    <n v="99.6"/>
    <s v="134/72"/>
    <n v="172"/>
    <n v="36"/>
    <n v="150"/>
    <s v="Y"/>
    <s v="Y"/>
    <s v="Low"/>
    <s v="Y"/>
    <n v="168"/>
    <n v="0.59299999999999997"/>
    <n v="134"/>
    <n v="72"/>
    <s v="Hypertension Stage 1"/>
    <n v="106"/>
    <n v="16"/>
    <x v="1"/>
  </r>
  <r>
    <s v="M"/>
    <x v="16"/>
    <n v="75.7"/>
    <n v="1.7"/>
    <n v="26.2"/>
    <n v="91"/>
    <s v="103/69"/>
    <n v="280"/>
    <n v="52"/>
    <n v="72"/>
    <s v="N"/>
    <s v="Y"/>
    <s v="Moderate"/>
    <s v="Y"/>
    <n v="170"/>
    <m/>
    <n v="103"/>
    <n v="69"/>
    <s v="Normal"/>
    <n v="198"/>
    <n v="17.989999999999998"/>
    <x v="1"/>
  </r>
  <r>
    <s v="F"/>
    <x v="23"/>
    <n v="116.2"/>
    <n v="1.89"/>
    <n v="32.5"/>
    <n v="81.3"/>
    <s v="118/84"/>
    <n v="108"/>
    <n v="43"/>
    <n v="103"/>
    <s v="N"/>
    <s v="Y"/>
    <s v="High"/>
    <s v="Y"/>
    <n v="189"/>
    <n v="0.43"/>
    <m/>
    <n v="84"/>
    <s v="Hypertension Stage 1"/>
    <n v="35"/>
    <n v="16.559999999999999"/>
    <x v="1"/>
  </r>
  <r>
    <s v="M"/>
    <x v="5"/>
    <n v="116.5"/>
    <n v="1.63"/>
    <n v="43.8"/>
    <n v="86.7"/>
    <s v="150/80"/>
    <n v="281"/>
    <n v="66"/>
    <n v="130"/>
    <s v="Y"/>
    <s v="Y"/>
    <s v="Low"/>
    <s v="N"/>
    <n v="163"/>
    <n v="0.53200000000000003"/>
    <n v="150"/>
    <n v="80"/>
    <s v="Hypertension Stage 1"/>
    <n v="185"/>
    <n v="23.88"/>
    <x v="1"/>
  </r>
  <r>
    <s v="M"/>
    <x v="12"/>
    <n v="62.3"/>
    <n v="1.89"/>
    <n v="17.399999999999999"/>
    <n v="96.8"/>
    <s v="125/64"/>
    <n v="256"/>
    <n v="60"/>
    <n v="93"/>
    <s v="Y"/>
    <s v="Y"/>
    <s v="Low"/>
    <s v="Y"/>
    <n v="189"/>
    <n v="0.51200000000000001"/>
    <n v="125"/>
    <n v="64"/>
    <s v="Elevated"/>
    <n v="166"/>
    <n v="16.850000000000001"/>
    <x v="1"/>
  </r>
  <r>
    <s v="F"/>
    <x v="8"/>
    <n v="59.4"/>
    <n v="1.88"/>
    <n v="16.8"/>
    <n v="91.2"/>
    <s v="102/84"/>
    <n v="214"/>
    <n v="69"/>
    <n v="77"/>
    <s v="N"/>
    <s v="N"/>
    <s v="Low"/>
    <s v="Y"/>
    <n v="188"/>
    <n v="0.48499999999999999"/>
    <n v="102"/>
    <n v="84"/>
    <s v="Hypertension Stage 1"/>
    <n v="115"/>
    <n v="12.74"/>
    <x v="1"/>
  </r>
  <r>
    <s v="F"/>
    <x v="11"/>
    <m/>
    <n v="1.71"/>
    <n v="20.5"/>
    <n v="101.5"/>
    <s v="117/86"/>
    <n v="127"/>
    <n v="34"/>
    <n v="88"/>
    <s v="Y"/>
    <s v="Y"/>
    <s v="Low"/>
    <s v="N"/>
    <n v="171"/>
    <n v="0.59399999999999997"/>
    <n v="117"/>
    <n v="86"/>
    <s v="Hypertension Stage 1"/>
    <n v="63"/>
    <n v="14.49"/>
    <x v="1"/>
  </r>
  <r>
    <s v="F"/>
    <x v="2"/>
    <n v="86.2"/>
    <n v="1.72"/>
    <n v="29.1"/>
    <n v="109.5"/>
    <s v="112/79"/>
    <n v="282"/>
    <n v="53"/>
    <n v="107"/>
    <s v="Y"/>
    <s v="Y"/>
    <s v="Moderate"/>
    <s v="N"/>
    <n v="172"/>
    <n v="0.63700000000000001"/>
    <n v="112"/>
    <n v="79"/>
    <s v="Normal"/>
    <m/>
    <n v="19.059999999999999"/>
    <x v="1"/>
  </r>
  <r>
    <s v="F"/>
    <x v="24"/>
    <m/>
    <n v="1.62"/>
    <n v="30.7"/>
    <n v="89.4"/>
    <s v="120/100"/>
    <n v="209"/>
    <n v="66"/>
    <n v="111"/>
    <s v="N"/>
    <s v="N"/>
    <s v="High"/>
    <s v="N"/>
    <n v="162"/>
    <n v="0.55200000000000005"/>
    <n v="120"/>
    <m/>
    <s v="Hypertension Stage 2"/>
    <n v="113"/>
    <n v="16.32"/>
    <x v="0"/>
  </r>
  <r>
    <s v="M"/>
    <x v="2"/>
    <n v="52.8"/>
    <n v="1.8"/>
    <n v="16.3"/>
    <n v="77.3"/>
    <s v="113/96"/>
    <n v="167"/>
    <n v="32"/>
    <n v="135"/>
    <s v="N"/>
    <s v="Y"/>
    <s v="Low"/>
    <s v="N"/>
    <n v="180"/>
    <n v="0.42899999999999999"/>
    <n v="113"/>
    <n v="96"/>
    <s v="Hypertension Stage 2"/>
    <n v="105"/>
    <n v="14.25"/>
    <x v="0"/>
  </r>
  <r>
    <s v="M"/>
    <x v="9"/>
    <n v="92"/>
    <n v="1.77"/>
    <n v="29.4"/>
    <n v="98.6"/>
    <s v="113/87"/>
    <n v="256"/>
    <n v="49"/>
    <n v="75"/>
    <s v="N"/>
    <s v="N"/>
    <s v="High"/>
    <s v="Y"/>
    <n v="177"/>
    <n v="0.55700000000000005"/>
    <m/>
    <n v="87"/>
    <s v="Hypertension Stage 1"/>
    <n v="177"/>
    <n v="16.649999999999999"/>
    <x v="0"/>
  </r>
  <r>
    <s v="M"/>
    <x v="0"/>
    <n v="106.7"/>
    <n v="1.85"/>
    <n v="31.2"/>
    <n v="72.599999999999994"/>
    <s v="102/74"/>
    <n v="100"/>
    <n v="55"/>
    <n v="95"/>
    <s v="Y"/>
    <s v="Y"/>
    <s v="Moderate"/>
    <s v="Y"/>
    <n v="185"/>
    <n v="0.39200000000000002"/>
    <n v="102"/>
    <n v="74"/>
    <s v="Normal"/>
    <n v="15"/>
    <n v="15.34"/>
    <x v="1"/>
  </r>
  <r>
    <s v="F"/>
    <x v="24"/>
    <n v="62.2"/>
    <n v="1.66"/>
    <n v="22.6"/>
    <n v="93.9"/>
    <s v="118/84"/>
    <n v="164"/>
    <n v="38"/>
    <n v="88"/>
    <s v="N"/>
    <s v="Y"/>
    <s v="High"/>
    <s v="Y"/>
    <n v="166"/>
    <n v="0.56599999999999995"/>
    <n v="118"/>
    <n v="84"/>
    <s v="Hypertension Stage 1"/>
    <n v="96"/>
    <n v="15.7"/>
    <x v="0"/>
  </r>
  <r>
    <s v="F"/>
    <x v="6"/>
    <n v="99.6"/>
    <n v="1.8"/>
    <n v="30.7"/>
    <n v="102.4"/>
    <s v="120/97"/>
    <n v="232"/>
    <n v="73"/>
    <m/>
    <s v="N"/>
    <s v="N"/>
    <s v="Low"/>
    <s v="N"/>
    <n v="180"/>
    <n v="0.56899999999999995"/>
    <n v="120"/>
    <n v="97"/>
    <s v="Hypertension Stage 2"/>
    <n v="129"/>
    <n v="16.78"/>
    <x v="0"/>
  </r>
  <r>
    <s v="F"/>
    <x v="26"/>
    <n v="52.4"/>
    <n v="1.66"/>
    <n v="19"/>
    <n v="95.6"/>
    <s v="93/73"/>
    <n v="103"/>
    <n v="37"/>
    <n v="144"/>
    <s v="Y"/>
    <s v="Y"/>
    <s v="Low"/>
    <s v="Y"/>
    <m/>
    <n v="0.57599999999999996"/>
    <n v="93"/>
    <n v="73"/>
    <s v="Normal"/>
    <n v="36"/>
    <m/>
    <x v="1"/>
  </r>
  <r>
    <s v="M"/>
    <x v="14"/>
    <n v="118.4"/>
    <n v="1.76"/>
    <n v="38.200000000000003"/>
    <n v="74.400000000000006"/>
    <s v="96/71"/>
    <n v="162"/>
    <n v="32"/>
    <n v="107"/>
    <s v="Y"/>
    <s v="Y"/>
    <s v="High"/>
    <s v="N"/>
    <n v="176"/>
    <n v="0.42299999999999999"/>
    <n v="96"/>
    <n v="71"/>
    <s v="Normal"/>
    <n v="100"/>
    <n v="17.68"/>
    <x v="1"/>
  </r>
  <r>
    <s v="M"/>
    <x v="13"/>
    <n v="60.4"/>
    <n v="1.81"/>
    <n v="18.399999999999999"/>
    <n v="94.6"/>
    <s v="136/67"/>
    <n v="268"/>
    <n v="56"/>
    <n v="85"/>
    <s v="Y"/>
    <s v="N"/>
    <s v="High"/>
    <s v="N"/>
    <n v="181"/>
    <n v="0.52300000000000002"/>
    <n v="136"/>
    <n v="67"/>
    <s v="Hypertension Stage 1"/>
    <n v="182"/>
    <n v="15.84"/>
    <x v="0"/>
  </r>
  <r>
    <s v="M"/>
    <x v="10"/>
    <n v="109.7"/>
    <n v="1.73"/>
    <n v="36.700000000000003"/>
    <m/>
    <s v="94/85"/>
    <n v="142"/>
    <n v="32"/>
    <n v="114"/>
    <s v="N"/>
    <s v="Y"/>
    <s v="Low"/>
    <s v="Y"/>
    <n v="173"/>
    <n v="0.436"/>
    <n v="94"/>
    <n v="85"/>
    <s v="Hypertension Stage 1"/>
    <n v="80"/>
    <n v="16.88"/>
    <x v="1"/>
  </r>
  <r>
    <s v="F"/>
    <x v="0"/>
    <n v="110.3"/>
    <n v="1.7"/>
    <n v="38.200000000000003"/>
    <n v="73.5"/>
    <s v="112/63"/>
    <n v="290"/>
    <n v="78"/>
    <m/>
    <s v="Y"/>
    <s v="Y"/>
    <s v="Low"/>
    <s v="N"/>
    <n v="170"/>
    <n v="0.432"/>
    <n v="112"/>
    <n v="63"/>
    <s v="Normal"/>
    <n v="182"/>
    <n v="21.04"/>
    <x v="1"/>
  </r>
  <r>
    <s v="F"/>
    <x v="21"/>
    <n v="109.2"/>
    <n v="1.86"/>
    <n v="31.6"/>
    <n v="91"/>
    <s v="146/74"/>
    <n v="277"/>
    <n v="30"/>
    <n v="107"/>
    <s v="N"/>
    <s v="N"/>
    <s v="High"/>
    <s v="N"/>
    <n v="186"/>
    <n v="0.48899999999999999"/>
    <n v="146"/>
    <n v="74"/>
    <s v="Hypertension Stage 2"/>
    <n v="217"/>
    <n v="19.16"/>
    <x v="0"/>
  </r>
  <r>
    <s v="F"/>
    <x v="10"/>
    <n v="118.9"/>
    <n v="1.89"/>
    <n v="33.299999999999997"/>
    <n v="76.7"/>
    <s v="147/74"/>
    <n v="193"/>
    <n v="43"/>
    <n v="81"/>
    <s v="Y"/>
    <s v="N"/>
    <s v="Moderate"/>
    <s v="N"/>
    <n v="189"/>
    <n v="0.40600000000000003"/>
    <n v="147"/>
    <n v="74"/>
    <s v="Hypertension Stage 2"/>
    <n v="120"/>
    <n v="17.87"/>
    <x v="0"/>
  </r>
  <r>
    <s v="M"/>
    <x v="14"/>
    <n v="63"/>
    <n v="1.76"/>
    <n v="20.3"/>
    <n v="91.9"/>
    <s v="139/89"/>
    <n v="187"/>
    <n v="74"/>
    <n v="146"/>
    <s v="Y"/>
    <s v="N"/>
    <s v="Moderate"/>
    <s v="Y"/>
    <n v="176"/>
    <n v="0.52200000000000002"/>
    <n v="139"/>
    <n v="89"/>
    <s v="Hypertension Stage 1"/>
    <n v="83"/>
    <n v="14.75"/>
    <x v="0"/>
  </r>
  <r>
    <s v="F"/>
    <x v="17"/>
    <n v="77.2"/>
    <n v="1.61"/>
    <n v="29.8"/>
    <n v="86.9"/>
    <s v="129/88"/>
    <n v="276"/>
    <n v="78"/>
    <n v="86"/>
    <s v="N"/>
    <s v="N"/>
    <s v="Low"/>
    <s v="Y"/>
    <n v="161"/>
    <n v="0.54"/>
    <n v="129"/>
    <n v="88"/>
    <s v="Hypertension Stage 1"/>
    <n v="168"/>
    <n v="17.93"/>
    <x v="1"/>
  </r>
  <r>
    <s v="M"/>
    <x v="1"/>
    <n v="52.9"/>
    <n v="1.69"/>
    <n v="18.5"/>
    <m/>
    <s v="106/66"/>
    <n v="170"/>
    <n v="59"/>
    <n v="130"/>
    <s v="N"/>
    <s v="Y"/>
    <s v="High"/>
    <s v="Y"/>
    <n v="169"/>
    <n v="0.45600000000000002"/>
    <n v="106"/>
    <n v="66"/>
    <s v="Normal"/>
    <n v="81"/>
    <n v="14.4"/>
    <x v="0"/>
  </r>
  <r>
    <s v="M"/>
    <x v="0"/>
    <n v="75.8"/>
    <n v="1.9"/>
    <n v="21"/>
    <n v="104"/>
    <s v="138/81"/>
    <n v="239"/>
    <n v="47"/>
    <n v="116"/>
    <s v="Y"/>
    <s v="Y"/>
    <s v="Low"/>
    <s v="Y"/>
    <n v="190"/>
    <n v="0.54700000000000004"/>
    <n v="138"/>
    <n v="81"/>
    <s v="Hypertension Stage 1"/>
    <n v="162"/>
    <n v="17.88"/>
    <x v="1"/>
  </r>
  <r>
    <s v="F"/>
    <x v="2"/>
    <n v="76.3"/>
    <n v="1.63"/>
    <n v="28.7"/>
    <n v="71.400000000000006"/>
    <s v="91/80"/>
    <n v="183"/>
    <n v="50"/>
    <n v="84"/>
    <s v="Y"/>
    <s v="N"/>
    <s v="Moderate"/>
    <s v="Y"/>
    <n v="163"/>
    <n v="0.438"/>
    <n v="91"/>
    <n v="80"/>
    <s v="Hypertension Stage 1"/>
    <n v="103"/>
    <n v="13.95"/>
    <x v="1"/>
  </r>
  <r>
    <s v="M"/>
    <x v="13"/>
    <n v="55"/>
    <n v="1.73"/>
    <m/>
    <n v="78.8"/>
    <s v="140/88"/>
    <n v="174"/>
    <n v="56"/>
    <n v="95"/>
    <s v="Y"/>
    <s v="N"/>
    <s v="Low"/>
    <s v="Y"/>
    <n v="173"/>
    <n v="0.45500000000000002"/>
    <n v="140"/>
    <n v="88"/>
    <s v="Hypertension Stage 1"/>
    <n v="88"/>
    <n v="14.16"/>
    <x v="0"/>
  </r>
  <r>
    <s v="F"/>
    <x v="24"/>
    <n v="59.6"/>
    <n v="1.78"/>
    <n v="18.8"/>
    <n v="70.3"/>
    <s v="128/94"/>
    <m/>
    <n v="34"/>
    <n v="84"/>
    <s v="Y"/>
    <s v="Y"/>
    <s v="High"/>
    <s v="N"/>
    <n v="178"/>
    <n v="0.39500000000000002"/>
    <n v="128"/>
    <n v="94"/>
    <s v="Hypertension Stage 2"/>
    <n v="172"/>
    <n v="16.88"/>
    <x v="1"/>
  </r>
  <r>
    <s v="F"/>
    <x v="19"/>
    <n v="94.7"/>
    <n v="1.7"/>
    <n v="32.799999999999997"/>
    <n v="90.1"/>
    <s v="115/60"/>
    <n v="105"/>
    <n v="31"/>
    <n v="79"/>
    <s v="Y"/>
    <s v="Y"/>
    <s v="Low"/>
    <s v="N"/>
    <n v="170"/>
    <n v="0.53"/>
    <n v="115"/>
    <n v="60"/>
    <s v="Normal"/>
    <n v="44"/>
    <n v="16.41"/>
    <x v="1"/>
  </r>
  <r>
    <s v="M"/>
    <x v="28"/>
    <n v="105.5"/>
    <n v="1.88"/>
    <n v="29.8"/>
    <n v="90.4"/>
    <s v="102/82"/>
    <n v="241"/>
    <n v="67"/>
    <n v="134"/>
    <s v="Y"/>
    <s v="N"/>
    <s v="Low"/>
    <s v="N"/>
    <n v="188"/>
    <n v="0.48099999999999998"/>
    <n v="102"/>
    <n v="82"/>
    <s v="Hypertension Stage 1"/>
    <n v="144"/>
    <n v="15.88"/>
    <x v="1"/>
  </r>
  <r>
    <s v="M"/>
    <x v="1"/>
    <n v="84.6"/>
    <n v="1.77"/>
    <n v="27"/>
    <n v="79.599999999999994"/>
    <s v="101/96"/>
    <n v="273"/>
    <n v="33"/>
    <n v="100"/>
    <s v="Y"/>
    <s v="N"/>
    <s v="High"/>
    <s v="N"/>
    <n v="177"/>
    <n v="0.45"/>
    <n v="101"/>
    <n v="96"/>
    <s v="Hypertension Stage 2"/>
    <n v="210"/>
    <n v="15.91"/>
    <x v="1"/>
  </r>
  <r>
    <s v="F"/>
    <x v="19"/>
    <n v="105.5"/>
    <n v="1.77"/>
    <n v="33.700000000000003"/>
    <n v="77.900000000000006"/>
    <s v="142/67"/>
    <n v="134"/>
    <n v="63"/>
    <n v="85"/>
    <s v="N"/>
    <s v="N"/>
    <s v="High"/>
    <s v="Y"/>
    <n v="177"/>
    <n v="0.44"/>
    <n v="142"/>
    <n v="67"/>
    <s v="Hypertension Stage 2"/>
    <n v="41"/>
    <n v="16.52"/>
    <x v="0"/>
  </r>
  <r>
    <s v="M"/>
    <x v="24"/>
    <n v="83.6"/>
    <n v="1.88"/>
    <n v="23.7"/>
    <n v="91"/>
    <s v="106/92"/>
    <n v="245"/>
    <n v="38"/>
    <n v="138"/>
    <s v="Y"/>
    <s v="Y"/>
    <s v="Low"/>
    <s v="Y"/>
    <n v="188"/>
    <n v="0.48399999999999999"/>
    <n v="106"/>
    <n v="92"/>
    <s v="Hypertension Stage 2"/>
    <n v="177"/>
    <n v="16.940000000000001"/>
    <x v="1"/>
  </r>
  <r>
    <s v="F"/>
    <x v="19"/>
    <n v="119.5"/>
    <n v="1.61"/>
    <n v="46.1"/>
    <n v="82.7"/>
    <s v="145/93"/>
    <n v="252"/>
    <n v="58"/>
    <n v="93"/>
    <s v="N"/>
    <s v="Y"/>
    <s v="High"/>
    <s v="N"/>
    <n v="161"/>
    <n v="0.51400000000000001"/>
    <n v="145"/>
    <n v="93"/>
    <s v="Hypertension Stage 2"/>
    <n v="164"/>
    <n v="23.51"/>
    <x v="0"/>
  </r>
  <r>
    <s v="M"/>
    <x v="11"/>
    <n v="56.4"/>
    <n v="1.85"/>
    <n v="16.5"/>
    <n v="84.2"/>
    <s v="144/85"/>
    <n v="155"/>
    <n v="53"/>
    <n v="104"/>
    <s v="N"/>
    <s v="N"/>
    <s v="Moderate"/>
    <s v="Y"/>
    <n v="185"/>
    <n v="0.45500000000000002"/>
    <n v="144"/>
    <n v="85"/>
    <s v="Hypertension Stage 1"/>
    <n v="72"/>
    <n v="13.6"/>
    <x v="2"/>
  </r>
  <r>
    <s v="F"/>
    <x v="9"/>
    <n v="97"/>
    <n v="1.87"/>
    <n v="27.7"/>
    <n v="97.4"/>
    <s v="143/100"/>
    <n v="147"/>
    <n v="73"/>
    <n v="92"/>
    <s v="N"/>
    <s v="Y"/>
    <s v="Low"/>
    <s v="N"/>
    <n v="187"/>
    <n v="0.52100000000000002"/>
    <m/>
    <n v="100"/>
    <s v="Hypertension Stage 2"/>
    <n v="44"/>
    <n v="17.63"/>
    <x v="0"/>
  </r>
  <r>
    <s v="M"/>
    <x v="27"/>
    <n v="74.7"/>
    <n v="1.66"/>
    <n v="27.1"/>
    <n v="71.900000000000006"/>
    <s v="92/60"/>
    <n v="119"/>
    <n v="46"/>
    <n v="104"/>
    <s v="N"/>
    <s v="Y"/>
    <s v="High"/>
    <s v="Y"/>
    <n v="166"/>
    <n v="0.433"/>
    <n v="92"/>
    <n v="60"/>
    <s v="Normal"/>
    <n v="43"/>
    <n v="14.4"/>
    <x v="1"/>
  </r>
  <r>
    <s v="F"/>
    <x v="13"/>
    <n v="85.3"/>
    <n v="1.65"/>
    <n v="31.3"/>
    <n v="80.8"/>
    <s v="104/85"/>
    <n v="233"/>
    <n v="55"/>
    <n v="137"/>
    <s v="Y"/>
    <s v="Y"/>
    <s v="Moderate"/>
    <s v="Y"/>
    <n v="165"/>
    <n v="0.49"/>
    <n v="104"/>
    <n v="85"/>
    <s v="Hypertension Stage 1"/>
    <n v="148"/>
    <n v="18.12"/>
    <x v="1"/>
  </r>
  <r>
    <s v="M"/>
    <x v="14"/>
    <m/>
    <n v="1.71"/>
    <n v="31.2"/>
    <n v="88.1"/>
    <s v="140/66"/>
    <n v="218"/>
    <m/>
    <n v="137"/>
    <s v="Y"/>
    <s v="N"/>
    <s v="Moderate"/>
    <s v="Y"/>
    <n v="171"/>
    <n v="0.51500000000000001"/>
    <n v="140"/>
    <n v="66"/>
    <s v="Hypertension Stage 2"/>
    <n v="138"/>
    <n v="17.600000000000001"/>
    <x v="1"/>
  </r>
  <r>
    <s v="F"/>
    <x v="31"/>
    <n v="109.4"/>
    <n v="1.83"/>
    <n v="32.700000000000003"/>
    <n v="88.5"/>
    <s v="127/84"/>
    <n v="150"/>
    <n v="46"/>
    <n v="78"/>
    <s v="Y"/>
    <s v="Y"/>
    <s v="Moderate"/>
    <s v="Y"/>
    <n v="183"/>
    <n v="0.48399999999999999"/>
    <n v="127"/>
    <n v="84"/>
    <s v="Hypertension Stage 1"/>
    <n v="74"/>
    <n v="17.89"/>
    <x v="1"/>
  </r>
  <r>
    <s v="M"/>
    <x v="2"/>
    <n v="98.7"/>
    <n v="1.63"/>
    <n v="37.1"/>
    <n v="89.7"/>
    <s v="139/93"/>
    <n v="158"/>
    <n v="64"/>
    <n v="131"/>
    <s v="Y"/>
    <s v="Y"/>
    <s v="Moderate"/>
    <s v="Y"/>
    <n v="163"/>
    <n v="0.55000000000000004"/>
    <n v="139"/>
    <n v="93"/>
    <s v="Hypertension Stage 1"/>
    <n v="64"/>
    <n v="19.53"/>
    <x v="1"/>
  </r>
  <r>
    <s v="F"/>
    <x v="12"/>
    <n v="116.3"/>
    <n v="1.72"/>
    <n v="39.299999999999997"/>
    <n v="91.8"/>
    <s v="148/100"/>
    <n v="143"/>
    <n v="31"/>
    <n v="101"/>
    <s v="Y"/>
    <s v="Y"/>
    <s v="Low"/>
    <s v="Y"/>
    <n v="172"/>
    <n v="0.53400000000000003"/>
    <n v="148"/>
    <n v="100"/>
    <s v="Hypertension Stage 2"/>
    <n v="82"/>
    <n v="20.12"/>
    <x v="1"/>
  </r>
  <r>
    <s v="F"/>
    <x v="21"/>
    <n v="89.7"/>
    <n v="1.7"/>
    <n v="31"/>
    <n v="83.5"/>
    <s v="146/91"/>
    <n v="217"/>
    <n v="66"/>
    <n v="132"/>
    <s v="N"/>
    <s v="Y"/>
    <s v="High"/>
    <s v="Y"/>
    <n v="170"/>
    <n v="0.49099999999999999"/>
    <n v="146"/>
    <n v="91"/>
    <s v="Hypertension Stage 2"/>
    <n v="121"/>
    <n v="19.84"/>
    <x v="1"/>
  </r>
  <r>
    <s v="M"/>
    <x v="8"/>
    <n v="95.7"/>
    <n v="1.61"/>
    <n v="36.9"/>
    <n v="98.4"/>
    <s v="114/63"/>
    <n v="114"/>
    <n v="47"/>
    <m/>
    <s v="N"/>
    <s v="N"/>
    <s v="Moderate"/>
    <s v="Y"/>
    <n v="161"/>
    <n v="0.61099999999999999"/>
    <n v="114"/>
    <n v="63"/>
    <s v="Normal"/>
    <n v="37"/>
    <n v="15.36"/>
    <x v="0"/>
  </r>
  <r>
    <s v="M"/>
    <x v="11"/>
    <n v="59.8"/>
    <n v="1.78"/>
    <n v="18.899999999999999"/>
    <n v="77.3"/>
    <s v="107/75"/>
    <n v="147"/>
    <n v="78"/>
    <n v="123"/>
    <s v="Y"/>
    <s v="N"/>
    <s v="High"/>
    <s v="Y"/>
    <n v="178"/>
    <n v="0.434"/>
    <n v="107"/>
    <n v="75"/>
    <s v="Normal"/>
    <n v="39"/>
    <n v="12.07"/>
    <x v="0"/>
  </r>
  <r>
    <s v="M"/>
    <x v="8"/>
    <n v="59.5"/>
    <n v="1.82"/>
    <n v="18"/>
    <n v="89.6"/>
    <s v="119/70"/>
    <n v="136"/>
    <n v="68"/>
    <n v="148"/>
    <s v="N"/>
    <s v="N"/>
    <s v="High"/>
    <s v="N"/>
    <n v="182"/>
    <n v="0.49199999999999999"/>
    <n v="119"/>
    <n v="70"/>
    <s v="Normal"/>
    <n v="38"/>
    <n v="12.27"/>
    <x v="2"/>
  </r>
  <r>
    <s v="F"/>
    <x v="15"/>
    <m/>
    <n v="1.71"/>
    <n v="17.8"/>
    <n v="103.4"/>
    <s v="106/88"/>
    <n v="215"/>
    <n v="43"/>
    <n v="110"/>
    <s v="N"/>
    <s v="N"/>
    <s v="Low"/>
    <s v="N"/>
    <n v="171"/>
    <n v="0.60499999999999998"/>
    <n v="106"/>
    <n v="88"/>
    <s v="Hypertension Stage 1"/>
    <m/>
    <n v="13.16"/>
    <x v="0"/>
  </r>
  <r>
    <s v="M"/>
    <x v="15"/>
    <m/>
    <n v="1.78"/>
    <n v="29"/>
    <n v="79.8"/>
    <s v="116/70"/>
    <n v="146"/>
    <n v="64"/>
    <n v="71"/>
    <s v="N"/>
    <s v="Y"/>
    <s v="Low"/>
    <s v="Y"/>
    <n v="178"/>
    <n v="0.44800000000000001"/>
    <n v="116"/>
    <n v="70"/>
    <s v="Normal"/>
    <n v="52"/>
    <n v="16.52"/>
    <x v="1"/>
  </r>
  <r>
    <s v="F"/>
    <x v="23"/>
    <n v="104.2"/>
    <n v="1.64"/>
    <n v="38.700000000000003"/>
    <n v="82.9"/>
    <s v="118/97"/>
    <n v="134"/>
    <m/>
    <n v="91"/>
    <s v="N"/>
    <s v="N"/>
    <s v="High"/>
    <s v="Y"/>
    <n v="164"/>
    <n v="0.505"/>
    <n v="118"/>
    <n v="97"/>
    <s v="Hypertension Stage 2"/>
    <n v="74"/>
    <n v="16.32"/>
    <x v="1"/>
  </r>
  <r>
    <s v="M"/>
    <x v="8"/>
    <n v="76.8"/>
    <n v="1.64"/>
    <n v="28.6"/>
    <n v="90.2"/>
    <s v="128/66"/>
    <n v="168"/>
    <n v="80"/>
    <n v="117"/>
    <s v="Y"/>
    <s v="N"/>
    <s v="High"/>
    <s v="N"/>
    <n v="164"/>
    <n v="0.55000000000000004"/>
    <n v="128"/>
    <n v="66"/>
    <s v="Elevated"/>
    <n v="58"/>
    <n v="15.48"/>
    <x v="0"/>
  </r>
  <r>
    <s v="F"/>
    <x v="30"/>
    <n v="97.2"/>
    <n v="1.66"/>
    <n v="35.299999999999997"/>
    <n v="103.4"/>
    <s v="121/66"/>
    <n v="203"/>
    <n v="64"/>
    <n v="102"/>
    <s v="Y"/>
    <s v="N"/>
    <s v="High"/>
    <s v="Y"/>
    <n v="166"/>
    <n v="0.623"/>
    <n v="121"/>
    <n v="66"/>
    <s v="Elevated"/>
    <n v="109"/>
    <n v="17.170000000000002"/>
    <x v="1"/>
  </r>
  <r>
    <s v="F"/>
    <x v="5"/>
    <n v="74.7"/>
    <m/>
    <n v="27.4"/>
    <n v="93.3"/>
    <s v="113/89"/>
    <n v="111"/>
    <n v="36"/>
    <n v="99"/>
    <s v="Y"/>
    <s v="N"/>
    <s v="Moderate"/>
    <s v="Y"/>
    <n v="165"/>
    <n v="0.56499999999999995"/>
    <n v="113"/>
    <n v="89"/>
    <s v="Hypertension Stage 1"/>
    <n v="45"/>
    <n v="13.35"/>
    <x v="1"/>
  </r>
  <r>
    <s v="M"/>
    <x v="6"/>
    <n v="116.7"/>
    <n v="1.87"/>
    <n v="33.4"/>
    <n v="107.6"/>
    <s v="131/69"/>
    <n v="215"/>
    <n v="33"/>
    <n v="70"/>
    <s v="N"/>
    <s v="Y"/>
    <s v="Moderate"/>
    <s v="N"/>
    <n v="187"/>
    <n v="0.57499999999999996"/>
    <n v="131"/>
    <n v="69"/>
    <s v="Hypertension Stage 1"/>
    <n v="152"/>
    <n v="19.53"/>
    <x v="1"/>
  </r>
  <r>
    <s v="F"/>
    <x v="4"/>
    <n v="59.3"/>
    <n v="1.75"/>
    <n v="19.399999999999999"/>
    <n v="104.4"/>
    <s v="119/63"/>
    <n v="275"/>
    <n v="47"/>
    <n v="95"/>
    <s v="Y"/>
    <s v="Y"/>
    <s v="High"/>
    <s v="Y"/>
    <n v="175"/>
    <n v="0.59699999999999998"/>
    <n v="119"/>
    <n v="63"/>
    <s v="Normal"/>
    <n v="198"/>
    <n v="17.329999999999998"/>
    <x v="1"/>
  </r>
  <r>
    <s v="M"/>
    <x v="17"/>
    <n v="68.7"/>
    <n v="1.64"/>
    <n v="25.5"/>
    <n v="75.5"/>
    <s v="116/72"/>
    <n v="164"/>
    <n v="44"/>
    <m/>
    <s v="N"/>
    <s v="Y"/>
    <s v="Low"/>
    <s v="N"/>
    <n v="164"/>
    <n v="0.46"/>
    <n v="116"/>
    <n v="72"/>
    <s v="Normal"/>
    <n v="90"/>
    <n v="16.18"/>
    <x v="1"/>
  </r>
  <r>
    <s v="F"/>
    <x v="18"/>
    <n v="116.4"/>
    <n v="1.64"/>
    <n v="43.3"/>
    <n v="109.4"/>
    <s v="124/65"/>
    <n v="198"/>
    <n v="39"/>
    <n v="148"/>
    <s v="Y"/>
    <s v="Y"/>
    <s v="High"/>
    <s v="Y"/>
    <n v="164"/>
    <n v="0.66700000000000004"/>
    <n v="124"/>
    <m/>
    <s v="Elevated"/>
    <n v="129"/>
    <n v="20.82"/>
    <x v="1"/>
  </r>
  <r>
    <s v="M"/>
    <x v="27"/>
    <n v="119.1"/>
    <n v="1.66"/>
    <n v="43.2"/>
    <m/>
    <s v="101/65"/>
    <n v="247"/>
    <n v="67"/>
    <n v="100"/>
    <s v="Y"/>
    <s v="Y"/>
    <s v="Moderate"/>
    <s v="Y"/>
    <m/>
    <n v="0.495"/>
    <n v="101"/>
    <n v="65"/>
    <s v="Normal"/>
    <n v="150"/>
    <n v="20.63"/>
    <x v="1"/>
  </r>
  <r>
    <s v="M"/>
    <x v="13"/>
    <n v="86"/>
    <n v="1.71"/>
    <n v="29.4"/>
    <n v="88.4"/>
    <s v="115/90"/>
    <n v="209"/>
    <n v="38"/>
    <n v="148"/>
    <s v="N"/>
    <s v="N"/>
    <s v="Moderate"/>
    <s v="Y"/>
    <n v="171"/>
    <m/>
    <n v="115"/>
    <n v="90"/>
    <s v="Hypertension Stage 2"/>
    <n v="141"/>
    <n v="15.81"/>
    <x v="1"/>
  </r>
  <r>
    <s v="M"/>
    <x v="6"/>
    <n v="78.099999999999994"/>
    <n v="1.85"/>
    <n v="22.8"/>
    <n v="74.2"/>
    <s v="100/76"/>
    <n v="118"/>
    <n v="70"/>
    <n v="72"/>
    <s v="N"/>
    <s v="Y"/>
    <s v="Moderate"/>
    <s v="N"/>
    <m/>
    <n v="0.40100000000000002"/>
    <n v="100"/>
    <n v="76"/>
    <s v="Normal"/>
    <n v="18"/>
    <n v="13.92"/>
    <x v="2"/>
  </r>
  <r>
    <s v="M"/>
    <x v="20"/>
    <m/>
    <n v="1.72"/>
    <n v="36.299999999999997"/>
    <m/>
    <s v="113/79"/>
    <n v="104"/>
    <n v="33"/>
    <n v="126"/>
    <s v="N"/>
    <s v="N"/>
    <s v="Low"/>
    <s v="N"/>
    <n v="172"/>
    <n v="0.54800000000000004"/>
    <n v="113"/>
    <n v="79"/>
    <s v="Normal"/>
    <n v="41"/>
    <n v="14.99"/>
    <x v="0"/>
  </r>
  <r>
    <s v="F"/>
    <x v="21"/>
    <n v="70.2"/>
    <n v="1.8"/>
    <m/>
    <n v="93.4"/>
    <s v="134/85"/>
    <n v="208"/>
    <n v="32"/>
    <n v="148"/>
    <s v="Y"/>
    <s v="N"/>
    <s v="Low"/>
    <s v="N"/>
    <n v="180"/>
    <n v="0.51900000000000002"/>
    <n v="134"/>
    <n v="85"/>
    <s v="Hypertension Stage 1"/>
    <m/>
    <n v="15.2"/>
    <x v="1"/>
  </r>
  <r>
    <s v="F"/>
    <x v="6"/>
    <n v="83.2"/>
    <n v="1.71"/>
    <n v="28.5"/>
    <n v="94.4"/>
    <s v="106/94"/>
    <n v="223"/>
    <n v="48"/>
    <n v="70"/>
    <s v="Y"/>
    <s v="Y"/>
    <s v="Low"/>
    <s v="Y"/>
    <n v="171"/>
    <n v="0.55200000000000005"/>
    <n v="106"/>
    <n v="94"/>
    <s v="Hypertension Stage 2"/>
    <n v="145"/>
    <n v="17.46"/>
    <x v="1"/>
  </r>
  <r>
    <s v="F"/>
    <x v="15"/>
    <n v="58.4"/>
    <n v="1.87"/>
    <n v="16.7"/>
    <n v="71.2"/>
    <s v="142/96"/>
    <n v="143"/>
    <m/>
    <n v="134"/>
    <s v="N"/>
    <s v="Y"/>
    <s v="Low"/>
    <s v="Y"/>
    <n v="187"/>
    <n v="0.38100000000000001"/>
    <m/>
    <n v="96"/>
    <s v="Hypertension Stage 2"/>
    <n v="44"/>
    <n v="15.3"/>
    <x v="0"/>
  </r>
  <r>
    <s v="F"/>
    <x v="28"/>
    <n v="89.7"/>
    <n v="1.88"/>
    <n v="25.4"/>
    <n v="107.5"/>
    <s v="145/92"/>
    <n v="142"/>
    <m/>
    <n v="96"/>
    <s v="Y"/>
    <s v="Y"/>
    <s v="Low"/>
    <s v="Y"/>
    <n v="188"/>
    <n v="0.57199999999999995"/>
    <n v="145"/>
    <n v="92"/>
    <s v="Hypertension Stage 2"/>
    <n v="42"/>
    <n v="17.170000000000002"/>
    <x v="1"/>
  </r>
  <r>
    <s v="F"/>
    <x v="7"/>
    <n v="112.4"/>
    <n v="1.69"/>
    <n v="39.4"/>
    <n v="101.2"/>
    <s v="139/77"/>
    <n v="209"/>
    <n v="40"/>
    <n v="98"/>
    <s v="N"/>
    <s v="N"/>
    <s v="High"/>
    <s v="N"/>
    <n v="169"/>
    <n v="0.59899999999999998"/>
    <n v="139"/>
    <n v="77"/>
    <s v="Hypertension Stage 1"/>
    <n v="139"/>
    <n v="19.010000000000002"/>
    <x v="0"/>
  </r>
  <r>
    <s v="M"/>
    <x v="27"/>
    <n v="56.5"/>
    <n v="1.83"/>
    <n v="16.899999999999999"/>
    <n v="86.9"/>
    <s v="118/95"/>
    <n v="262"/>
    <n v="35"/>
    <m/>
    <s v="N"/>
    <s v="Y"/>
    <s v="Moderate"/>
    <s v="N"/>
    <n v="183"/>
    <n v="0.47499999999999998"/>
    <n v="118"/>
    <n v="95"/>
    <s v="Hypertension Stage 2"/>
    <n v="197"/>
    <n v="16.52"/>
    <x v="1"/>
  </r>
  <r>
    <s v="F"/>
    <x v="21"/>
    <n v="94.5"/>
    <n v="1.64"/>
    <n v="35.1"/>
    <n v="77.099999999999994"/>
    <s v="119/95"/>
    <n v="104"/>
    <n v="36"/>
    <n v="144"/>
    <s v="Y"/>
    <s v="Y"/>
    <s v="High"/>
    <s v="Y"/>
    <n v="164"/>
    <n v="0.47"/>
    <n v="119"/>
    <n v="95"/>
    <s v="Hypertension Stage 2"/>
    <n v="38"/>
    <n v="17.05"/>
    <x v="1"/>
  </r>
  <r>
    <s v="M"/>
    <x v="5"/>
    <n v="86.2"/>
    <n v="1.86"/>
    <n v="24.9"/>
    <n v="88"/>
    <s v="139/98"/>
    <n v="219"/>
    <n v="65"/>
    <n v="104"/>
    <s v="Y"/>
    <s v="N"/>
    <s v="Low"/>
    <s v="N"/>
    <n v="186"/>
    <n v="0.47299999999999998"/>
    <n v="139"/>
    <n v="98"/>
    <s v="Hypertension Stage 1"/>
    <n v="124"/>
    <n v="16.309999999999999"/>
    <x v="0"/>
  </r>
  <r>
    <s v="M"/>
    <x v="5"/>
    <n v="114"/>
    <n v="1.75"/>
    <n v="37.200000000000003"/>
    <n v="76.7"/>
    <s v="105/95"/>
    <n v="197"/>
    <n v="77"/>
    <n v="122"/>
    <s v="Y"/>
    <s v="Y"/>
    <s v="Moderate"/>
    <s v="Y"/>
    <n v="175"/>
    <n v="0.438"/>
    <n v="105"/>
    <n v="95"/>
    <s v="Hypertension Stage 2"/>
    <n v="90"/>
    <n v="18.63"/>
    <x v="1"/>
  </r>
  <r>
    <s v="M"/>
    <x v="9"/>
    <n v="105.4"/>
    <n v="1.88"/>
    <n v="29.8"/>
    <n v="108.1"/>
    <s v="125/88"/>
    <n v="195"/>
    <n v="69"/>
    <n v="141"/>
    <s v="N"/>
    <s v="Y"/>
    <s v="Moderate"/>
    <s v="N"/>
    <n v="188"/>
    <n v="0.57499999999999996"/>
    <n v="125"/>
    <n v="88"/>
    <s v="Hypertension Stage 1"/>
    <n v="96"/>
    <n v="18.11"/>
    <x v="0"/>
  </r>
  <r>
    <s v="M"/>
    <x v="2"/>
    <n v="77.7"/>
    <n v="1.63"/>
    <n v="29.2"/>
    <n v="90.7"/>
    <s v="120/96"/>
    <n v="258"/>
    <n v="74"/>
    <n v="109"/>
    <s v="N"/>
    <s v="Y"/>
    <s v="High"/>
    <s v="Y"/>
    <n v="163"/>
    <n v="0.55600000000000005"/>
    <n v="120"/>
    <n v="96"/>
    <s v="Hypertension Stage 2"/>
    <n v="154"/>
    <n v="19"/>
    <x v="1"/>
  </r>
  <r>
    <s v="M"/>
    <x v="9"/>
    <n v="62.2"/>
    <n v="1.82"/>
    <n v="18.8"/>
    <n v="107.5"/>
    <s v="131/81"/>
    <n v="241"/>
    <n v="47"/>
    <n v="79"/>
    <s v="N"/>
    <s v="N"/>
    <s v="Low"/>
    <s v="Y"/>
    <n v="182"/>
    <n v="0.59099999999999997"/>
    <n v="131"/>
    <n v="81"/>
    <s v="Hypertension Stage 1"/>
    <n v="164"/>
    <n v="15.13"/>
    <x v="0"/>
  </r>
  <r>
    <s v="M"/>
    <x v="17"/>
    <n v="77.5"/>
    <n v="1.75"/>
    <n v="25.3"/>
    <n v="86.2"/>
    <s v="139/81"/>
    <n v="129"/>
    <n v="66"/>
    <n v="119"/>
    <s v="Y"/>
    <s v="Y"/>
    <s v="High"/>
    <s v="Y"/>
    <n v="175"/>
    <m/>
    <n v="139"/>
    <m/>
    <s v="Hypertension Stage 1"/>
    <n v="33"/>
    <n v="16.59"/>
    <x v="1"/>
  </r>
  <r>
    <s v="F"/>
    <x v="23"/>
    <n v="58.1"/>
    <n v="1.71"/>
    <n v="19.899999999999999"/>
    <n v="98.9"/>
    <s v="98/83"/>
    <n v="226"/>
    <n v="64"/>
    <n v="99"/>
    <s v="Y"/>
    <s v="N"/>
    <s v="High"/>
    <s v="N"/>
    <n v="171"/>
    <n v="0.57799999999999996"/>
    <n v="98"/>
    <n v="83"/>
    <s v="Hypertension Stage 1"/>
    <n v="132"/>
    <n v="13.4"/>
    <x v="0"/>
  </r>
  <r>
    <s v="F"/>
    <x v="17"/>
    <n v="97.2"/>
    <n v="1.81"/>
    <n v="29.7"/>
    <n v="74.8"/>
    <s v="131/95"/>
    <n v="137"/>
    <n v="39"/>
    <n v="113"/>
    <s v="N"/>
    <s v="N"/>
    <s v="Moderate"/>
    <s v="N"/>
    <n v="181"/>
    <n v="0.41299999999999998"/>
    <n v="131"/>
    <n v="95"/>
    <s v="Hypertension Stage 1"/>
    <n v="68"/>
    <n v="15.23"/>
    <x v="0"/>
  </r>
  <r>
    <s v="F"/>
    <x v="5"/>
    <n v="63.2"/>
    <n v="1.65"/>
    <m/>
    <n v="98.2"/>
    <s v="131/67"/>
    <n v="286"/>
    <m/>
    <n v="128"/>
    <s v="N"/>
    <s v="N"/>
    <s v="Low"/>
    <s v="Y"/>
    <n v="165"/>
    <n v="0.59499999999999997"/>
    <n v="131"/>
    <n v="67"/>
    <s v="Hypertension Stage 1"/>
    <n v="212"/>
    <n v="16.91"/>
    <x v="0"/>
  </r>
  <r>
    <s v="F"/>
    <x v="3"/>
    <n v="66"/>
    <n v="1.69"/>
    <n v="23.1"/>
    <n v="91.2"/>
    <s v="123/89"/>
    <n v="126"/>
    <n v="50"/>
    <n v="79"/>
    <s v="N"/>
    <s v="Y"/>
    <s v="High"/>
    <s v="Y"/>
    <n v="169"/>
    <n v="0.54"/>
    <n v="123"/>
    <n v="89"/>
    <s v="Hypertension Stage 1"/>
    <n v="46"/>
    <n v="15.29"/>
    <x v="0"/>
  </r>
  <r>
    <s v="M"/>
    <x v="20"/>
    <n v="117.2"/>
    <n v="1.87"/>
    <n v="33.5"/>
    <n v="102.7"/>
    <s v="147/77"/>
    <n v="143"/>
    <n v="74"/>
    <n v="86"/>
    <s v="N"/>
    <s v="Y"/>
    <s v="High"/>
    <s v="Y"/>
    <n v="187"/>
    <n v="0.54900000000000004"/>
    <n v="147"/>
    <n v="77"/>
    <s v="Hypertension Stage 2"/>
    <n v="39"/>
    <n v="18.91"/>
    <x v="0"/>
  </r>
  <r>
    <s v="M"/>
    <x v="15"/>
    <n v="52.8"/>
    <n v="1.64"/>
    <n v="19.600000000000001"/>
    <n v="74.2"/>
    <s v="139/78"/>
    <n v="225"/>
    <n v="76"/>
    <n v="86"/>
    <s v="N"/>
    <s v="N"/>
    <s v="Low"/>
    <s v="Y"/>
    <n v="164"/>
    <n v="0.45200000000000001"/>
    <n v="139"/>
    <n v="78"/>
    <s v="Hypertension Stage 1"/>
    <n v="119"/>
    <n v="15.37"/>
    <x v="0"/>
  </r>
  <r>
    <s v="F"/>
    <x v="9"/>
    <n v="104.3"/>
    <n v="1.86"/>
    <n v="30.1"/>
    <n v="84.3"/>
    <s v="125/61"/>
    <m/>
    <n v="64"/>
    <n v="119"/>
    <s v="N"/>
    <s v="N"/>
    <s v="Moderate"/>
    <s v="Y"/>
    <n v="186"/>
    <n v="0.45300000000000001"/>
    <n v="125"/>
    <n v="61"/>
    <s v="Elevated"/>
    <m/>
    <n v="17.71"/>
    <x v="0"/>
  </r>
  <r>
    <s v="F"/>
    <x v="6"/>
    <n v="100"/>
    <n v="1.75"/>
    <m/>
    <n v="91.6"/>
    <s v="131/100"/>
    <n v="128"/>
    <n v="36"/>
    <n v="131"/>
    <s v="N"/>
    <s v="Y"/>
    <s v="Moderate"/>
    <s v="Y"/>
    <n v="175"/>
    <m/>
    <n v="131"/>
    <n v="100"/>
    <s v="Hypertension Stage 1"/>
    <n v="62"/>
    <n v="17.649999999999999"/>
    <x v="1"/>
  </r>
  <r>
    <s v="F"/>
    <x v="4"/>
    <n v="51.6"/>
    <n v="1.73"/>
    <n v="17.2"/>
    <n v="79.7"/>
    <s v="103/83"/>
    <n v="151"/>
    <n v="71"/>
    <n v="88"/>
    <s v="Y"/>
    <s v="N"/>
    <s v="High"/>
    <s v="Y"/>
    <n v="173"/>
    <n v="0.46100000000000002"/>
    <n v="103"/>
    <n v="83"/>
    <s v="Hypertension Stage 1"/>
    <n v="50"/>
    <n v="11.61"/>
    <x v="0"/>
  </r>
  <r>
    <s v="F"/>
    <x v="7"/>
    <n v="58.6"/>
    <n v="1.72"/>
    <n v="19.8"/>
    <n v="102"/>
    <s v="117/92"/>
    <n v="102"/>
    <n v="78"/>
    <n v="141"/>
    <s v="N"/>
    <s v="N"/>
    <s v="High"/>
    <s v="N"/>
    <m/>
    <n v="0.59299999999999997"/>
    <n v="117"/>
    <n v="92"/>
    <s v="Hypertension Stage 2"/>
    <n v="-6"/>
    <m/>
    <x v="2"/>
  </r>
  <r>
    <s v="M"/>
    <x v="2"/>
    <n v="117.8"/>
    <n v="1.8"/>
    <n v="36.4"/>
    <n v="95"/>
    <s v="130/75"/>
    <n v="298"/>
    <n v="41"/>
    <n v="149"/>
    <s v="N"/>
    <s v="Y"/>
    <s v="Low"/>
    <s v="Y"/>
    <n v="180"/>
    <n v="0.52800000000000002"/>
    <m/>
    <n v="75"/>
    <s v="Hypertension Stage 1"/>
    <n v="227"/>
    <n v="21.74"/>
    <x v="1"/>
  </r>
  <r>
    <s v="F"/>
    <x v="25"/>
    <n v="110"/>
    <n v="1.89"/>
    <n v="30.8"/>
    <n v="97"/>
    <s v="97/79"/>
    <n v="264"/>
    <n v="44"/>
    <n v="108"/>
    <s v="N"/>
    <s v="Y"/>
    <s v="Moderate"/>
    <s v="Y"/>
    <n v="189"/>
    <n v="0.51300000000000001"/>
    <n v="97"/>
    <n v="79"/>
    <s v="Normal"/>
    <n v="190"/>
    <n v="18.29"/>
    <x v="1"/>
  </r>
  <r>
    <s v="F"/>
    <x v="13"/>
    <n v="66.8"/>
    <n v="1.71"/>
    <n v="22.8"/>
    <n v="87.7"/>
    <s v="120/100"/>
    <n v="235"/>
    <n v="58"/>
    <n v="85"/>
    <s v="N"/>
    <s v="Y"/>
    <s v="Low"/>
    <s v="Y"/>
    <n v="171"/>
    <n v="0.51300000000000001"/>
    <n v="120"/>
    <n v="100"/>
    <s v="Hypertension Stage 2"/>
    <n v="147"/>
    <n v="17.260000000000002"/>
    <x v="1"/>
  </r>
  <r>
    <s v="F"/>
    <x v="26"/>
    <n v="60.6"/>
    <n v="1.75"/>
    <n v="19.8"/>
    <n v="78.099999999999994"/>
    <s v="130/98"/>
    <n v="153"/>
    <n v="58"/>
    <n v="144"/>
    <s v="N"/>
    <s v="Y"/>
    <s v="Low"/>
    <s v="Y"/>
    <n v="175"/>
    <n v="0.44600000000000001"/>
    <n v="130"/>
    <n v="98"/>
    <s v="Hypertension Stage 1"/>
    <n v="65"/>
    <n v="15.52"/>
    <x v="1"/>
  </r>
  <r>
    <s v="M"/>
    <x v="4"/>
    <n v="109.5"/>
    <n v="1.79"/>
    <n v="34.200000000000003"/>
    <n v="103.4"/>
    <s v="117/81"/>
    <n v="109"/>
    <m/>
    <n v="92"/>
    <s v="Y"/>
    <s v="Y"/>
    <s v="High"/>
    <s v="N"/>
    <n v="179"/>
    <n v="0.57799999999999996"/>
    <n v="117"/>
    <n v="81"/>
    <s v="Hypertension Stage 1"/>
    <n v="31"/>
    <n v="16.87"/>
    <x v="1"/>
  </r>
  <r>
    <s v="F"/>
    <x v="23"/>
    <n v="112.1"/>
    <n v="1.81"/>
    <n v="34.200000000000003"/>
    <n v="100.2"/>
    <s v="103/85"/>
    <n v="289"/>
    <n v="43"/>
    <m/>
    <s v="N"/>
    <s v="N"/>
    <s v="Moderate"/>
    <s v="N"/>
    <n v="181"/>
    <n v="0.55400000000000005"/>
    <n v="103"/>
    <n v="85"/>
    <s v="Hypertension Stage 1"/>
    <n v="216"/>
    <n v="17.77"/>
    <x v="0"/>
  </r>
  <r>
    <s v="M"/>
    <x v="9"/>
    <n v="59.2"/>
    <n v="1.65"/>
    <m/>
    <n v="90.4"/>
    <s v="150/98"/>
    <n v="114"/>
    <n v="56"/>
    <n v="134"/>
    <s v="Y"/>
    <s v="N"/>
    <s v="High"/>
    <s v="Y"/>
    <n v="165"/>
    <n v="0.54800000000000004"/>
    <n v="150"/>
    <n v="98"/>
    <s v="Hypertension Stage 2"/>
    <n v="28"/>
    <n v="14.12"/>
    <x v="0"/>
  </r>
  <r>
    <s v="F"/>
    <x v="0"/>
    <n v="73.3"/>
    <n v="1.61"/>
    <n v="28.3"/>
    <n v="101.2"/>
    <s v="136/80"/>
    <n v="260"/>
    <n v="78"/>
    <n v="74"/>
    <s v="N"/>
    <s v="Y"/>
    <s v="Moderate"/>
    <s v="N"/>
    <n v="161"/>
    <m/>
    <n v="136"/>
    <n v="80"/>
    <s v="Hypertension Stage 1"/>
    <n v="152"/>
    <n v="19.66"/>
    <x v="0"/>
  </r>
  <r>
    <s v="M"/>
    <x v="9"/>
    <n v="110.9"/>
    <n v="1.74"/>
    <n v="36.6"/>
    <n v="92.8"/>
    <s v="114/89"/>
    <n v="125"/>
    <n v="70"/>
    <n v="85"/>
    <s v="Y"/>
    <s v="Y"/>
    <s v="Low"/>
    <s v="N"/>
    <n v="174"/>
    <n v="0.53300000000000003"/>
    <n v="114"/>
    <n v="89"/>
    <s v="Hypertension Stage 1"/>
    <n v="25"/>
    <n v="17.52"/>
    <x v="1"/>
  </r>
  <r>
    <s v="F"/>
    <x v="14"/>
    <n v="50.1"/>
    <n v="1.8"/>
    <n v="15.5"/>
    <n v="89"/>
    <s v="127/74"/>
    <n v="262"/>
    <n v="54"/>
    <n v="121"/>
    <s v="N"/>
    <s v="N"/>
    <s v="Low"/>
    <s v="Y"/>
    <n v="180"/>
    <n v="0.49399999999999999"/>
    <n v="127"/>
    <n v="74"/>
    <s v="Elevated"/>
    <n v="178"/>
    <n v="14.69"/>
    <x v="0"/>
  </r>
  <r>
    <s v="M"/>
    <x v="15"/>
    <n v="58.7"/>
    <n v="1.74"/>
    <m/>
    <n v="98.7"/>
    <s v="102/79"/>
    <n v="159"/>
    <n v="74"/>
    <n v="139"/>
    <s v="N"/>
    <s v="Y"/>
    <s v="High"/>
    <s v="N"/>
    <n v="174"/>
    <n v="0.56699999999999995"/>
    <n v="102"/>
    <n v="79"/>
    <s v="Normal"/>
    <n v="55"/>
    <n v="14.16"/>
    <x v="2"/>
  </r>
  <r>
    <s v="M"/>
    <x v="16"/>
    <n v="87.9"/>
    <n v="1.75"/>
    <n v="28.7"/>
    <n v="89.9"/>
    <s v="140/72"/>
    <n v="230"/>
    <n v="34"/>
    <n v="112"/>
    <s v="N"/>
    <s v="N"/>
    <s v="Moderate"/>
    <s v="Y"/>
    <m/>
    <n v="0.51400000000000001"/>
    <n v="140"/>
    <n v="72"/>
    <s v="Hypertension Stage 2"/>
    <n v="166"/>
    <n v="17.34"/>
    <x v="1"/>
  </r>
  <r>
    <s v="M"/>
    <x v="27"/>
    <n v="52.1"/>
    <n v="1.79"/>
    <n v="16.3"/>
    <n v="73.7"/>
    <s v="118/97"/>
    <n v="296"/>
    <n v="54"/>
    <n v="106"/>
    <s v="Y"/>
    <s v="N"/>
    <s v="Low"/>
    <s v="N"/>
    <n v="179"/>
    <n v="0.41199999999999998"/>
    <n v="118"/>
    <n v="97"/>
    <s v="Hypertension Stage 2"/>
    <n v="212"/>
    <n v="15.08"/>
    <x v="1"/>
  </r>
  <r>
    <s v="F"/>
    <x v="18"/>
    <m/>
    <n v="1.65"/>
    <n v="36.700000000000003"/>
    <n v="108.1"/>
    <s v="130/81"/>
    <n v="101"/>
    <n v="31"/>
    <n v="83"/>
    <s v="N"/>
    <s v="Y"/>
    <s v="Moderate"/>
    <s v="N"/>
    <n v="165"/>
    <n v="0.65500000000000003"/>
    <n v="130"/>
    <n v="81"/>
    <s v="Hypertension Stage 1"/>
    <n v="40"/>
    <n v="17.86"/>
    <x v="0"/>
  </r>
  <r>
    <s v="F"/>
    <x v="26"/>
    <n v="85.6"/>
    <n v="1.89"/>
    <n v="24"/>
    <n v="89.1"/>
    <s v="91/69"/>
    <n v="243"/>
    <n v="79"/>
    <n v="104"/>
    <s v="Y"/>
    <s v="N"/>
    <s v="High"/>
    <s v="N"/>
    <n v="189"/>
    <n v="0.47099999999999997"/>
    <m/>
    <n v="69"/>
    <s v="Normal"/>
    <n v="134"/>
    <n v="14.21"/>
    <x v="0"/>
  </r>
  <r>
    <s v="M"/>
    <x v="12"/>
    <n v="95.5"/>
    <n v="1.61"/>
    <m/>
    <n v="107.5"/>
    <s v="121/61"/>
    <n v="294"/>
    <n v="34"/>
    <n v="125"/>
    <s v="N"/>
    <s v="N"/>
    <s v="Low"/>
    <s v="N"/>
    <n v="161"/>
    <n v="0.66800000000000004"/>
    <n v="121"/>
    <n v="61"/>
    <s v="Elevated"/>
    <n v="230"/>
    <n v="19.29"/>
    <x v="1"/>
  </r>
  <r>
    <s v="F"/>
    <x v="14"/>
    <n v="71.3"/>
    <n v="1.72"/>
    <n v="24.1"/>
    <n v="82.2"/>
    <s v="113/77"/>
    <n v="106"/>
    <n v="39"/>
    <n v="95"/>
    <s v="Y"/>
    <s v="N"/>
    <s v="High"/>
    <s v="N"/>
    <n v="172"/>
    <n v="0.47799999999999998"/>
    <n v="113"/>
    <m/>
    <s v="Normal"/>
    <n v="37"/>
    <n v="12.59"/>
    <x v="0"/>
  </r>
  <r>
    <s v="M"/>
    <x v="19"/>
    <n v="64.2"/>
    <n v="1.84"/>
    <m/>
    <n v="75.5"/>
    <s v="131/79"/>
    <n v="294"/>
    <n v="74"/>
    <n v="74"/>
    <s v="N"/>
    <s v="Y"/>
    <s v="Moderate"/>
    <s v="Y"/>
    <n v="184"/>
    <n v="0.41"/>
    <n v="131"/>
    <n v="79"/>
    <s v="Hypertension Stage 1"/>
    <n v="190"/>
    <n v="18.23"/>
    <x v="0"/>
  </r>
  <r>
    <s v="M"/>
    <x v="5"/>
    <n v="105.1"/>
    <n v="1.83"/>
    <n v="31.4"/>
    <n v="78.099999999999994"/>
    <s v="119/97"/>
    <n v="146"/>
    <n v="70"/>
    <m/>
    <s v="N"/>
    <s v="N"/>
    <s v="Moderate"/>
    <s v="Y"/>
    <n v="183"/>
    <n v="0.42699999999999999"/>
    <n v="119"/>
    <n v="97"/>
    <s v="Hypertension Stage 2"/>
    <n v="46"/>
    <n v="15.15"/>
    <x v="0"/>
  </r>
  <r>
    <s v="F"/>
    <x v="1"/>
    <n v="81.5"/>
    <n v="1.8"/>
    <n v="25.2"/>
    <n v="104.6"/>
    <s v="133/87"/>
    <n v="149"/>
    <n v="40"/>
    <n v="140"/>
    <s v="Y"/>
    <s v="Y"/>
    <s v="High"/>
    <s v="N"/>
    <n v="180"/>
    <n v="0.58099999999999996"/>
    <n v="133"/>
    <n v="87"/>
    <s v="Hypertension Stage 1"/>
    <n v="79"/>
    <n v="16.670000000000002"/>
    <x v="1"/>
  </r>
  <r>
    <s v="M"/>
    <x v="27"/>
    <n v="57"/>
    <n v="1.79"/>
    <n v="17.8"/>
    <n v="86.4"/>
    <s v="109/84"/>
    <n v="269"/>
    <n v="48"/>
    <n v="70"/>
    <s v="N"/>
    <s v="Y"/>
    <s v="Low"/>
    <s v="Y"/>
    <n v="179"/>
    <n v="0.48299999999999998"/>
    <n v="109"/>
    <n v="84"/>
    <s v="Hypertension Stage 1"/>
    <n v="191"/>
    <n v="16.39"/>
    <x v="1"/>
  </r>
  <r>
    <s v="M"/>
    <x v="15"/>
    <n v="71.099999999999994"/>
    <n v="1.87"/>
    <n v="20.3"/>
    <n v="81.599999999999994"/>
    <s v="126/91"/>
    <n v="289"/>
    <n v="31"/>
    <n v="92"/>
    <s v="Y"/>
    <s v="Y"/>
    <s v="Moderate"/>
    <s v="N"/>
    <n v="187"/>
    <n v="0.436"/>
    <n v="126"/>
    <n v="91"/>
    <s v="Hypertension Stage 2"/>
    <n v="228"/>
    <n v="18.14"/>
    <x v="1"/>
  </r>
  <r>
    <s v="F"/>
    <x v="8"/>
    <n v="106.4"/>
    <n v="1.73"/>
    <n v="35.6"/>
    <n v="108"/>
    <s v="128/67"/>
    <n v="181"/>
    <n v="56"/>
    <n v="96"/>
    <s v="N"/>
    <s v="N"/>
    <s v="Moderate"/>
    <s v="Y"/>
    <n v="173"/>
    <n v="0.624"/>
    <n v="128"/>
    <n v="67"/>
    <s v="Elevated"/>
    <n v="95"/>
    <n v="17.14"/>
    <x v="0"/>
  </r>
  <r>
    <s v="F"/>
    <x v="23"/>
    <n v="118.8"/>
    <n v="1.88"/>
    <n v="33.6"/>
    <n v="89.9"/>
    <s v="117/92"/>
    <n v="150"/>
    <n v="53"/>
    <n v="85"/>
    <s v="Y"/>
    <s v="N"/>
    <s v="High"/>
    <s v="Y"/>
    <n v="188"/>
    <n v="0.47799999999999998"/>
    <n v="117"/>
    <n v="92"/>
    <s v="Hypertension Stage 2"/>
    <n v="67"/>
    <n v="15.57"/>
    <x v="1"/>
  </r>
  <r>
    <s v="F"/>
    <x v="3"/>
    <n v="105.8"/>
    <n v="1.8"/>
    <n v="32.700000000000003"/>
    <n v="99.1"/>
    <s v="91/98"/>
    <n v="244"/>
    <n v="36"/>
    <n v="146"/>
    <s v="Y"/>
    <s v="N"/>
    <s v="Moderate"/>
    <s v="N"/>
    <n v="180"/>
    <n v="0.55100000000000005"/>
    <n v="91"/>
    <n v="98"/>
    <s v="Hypertension Stage 2"/>
    <n v="178"/>
    <n v="15.97"/>
    <x v="1"/>
  </r>
  <r>
    <s v="F"/>
    <x v="28"/>
    <n v="69.2"/>
    <n v="1.82"/>
    <n v="20.9"/>
    <n v="104.5"/>
    <s v="105/72"/>
    <n v="254"/>
    <n v="46"/>
    <n v="117"/>
    <s v="N"/>
    <s v="Y"/>
    <s v="Low"/>
    <s v="N"/>
    <n v="182"/>
    <n v="0.57399999999999995"/>
    <n v="105"/>
    <n v="72"/>
    <s v="Normal"/>
    <n v="178"/>
    <n v="16.510000000000002"/>
    <x v="1"/>
  </r>
  <r>
    <s v="F"/>
    <x v="13"/>
    <n v="108"/>
    <n v="1.72"/>
    <n v="36.5"/>
    <n v="101.1"/>
    <s v="134/60"/>
    <n v="130"/>
    <n v="52"/>
    <n v="98"/>
    <s v="N"/>
    <s v="N"/>
    <s v="High"/>
    <s v="N"/>
    <n v="172"/>
    <n v="0.58799999999999997"/>
    <n v="134"/>
    <n v="60"/>
    <s v="Hypertension Stage 1"/>
    <n v="48"/>
    <n v="16.600000000000001"/>
    <x v="2"/>
  </r>
  <r>
    <s v="F"/>
    <x v="14"/>
    <n v="58"/>
    <n v="1.63"/>
    <n v="21.8"/>
    <n v="78.2"/>
    <s v="95/100"/>
    <n v="262"/>
    <n v="54"/>
    <n v="139"/>
    <s v="Y"/>
    <s v="Y"/>
    <s v="High"/>
    <s v="Y"/>
    <n v="163"/>
    <n v="0.48"/>
    <n v="95"/>
    <n v="100"/>
    <s v="Hypertension Stage 2"/>
    <n v="178"/>
    <n v="16.350000000000001"/>
    <x v="1"/>
  </r>
  <r>
    <s v="F"/>
    <x v="6"/>
    <n v="116.9"/>
    <n v="1.85"/>
    <n v="34.200000000000003"/>
    <n v="96.7"/>
    <s v="96/65"/>
    <n v="198"/>
    <n v="77"/>
    <n v="108"/>
    <s v="Y"/>
    <s v="N"/>
    <s v="Low"/>
    <s v="N"/>
    <n v="185"/>
    <n v="0.52300000000000002"/>
    <n v="96"/>
    <n v="65"/>
    <s v="Normal"/>
    <n v="91"/>
    <m/>
    <x v="0"/>
  </r>
  <r>
    <s v="F"/>
    <x v="6"/>
    <n v="105.4"/>
    <m/>
    <n v="38.200000000000003"/>
    <n v="73.900000000000006"/>
    <s v="129/87"/>
    <n v="175"/>
    <n v="44"/>
    <n v="72"/>
    <s v="Y"/>
    <s v="N"/>
    <s v="Moderate"/>
    <s v="Y"/>
    <n v="166"/>
    <n v="0.44500000000000001"/>
    <n v="129"/>
    <n v="87"/>
    <s v="Hypertension Stage 1"/>
    <n v="101"/>
    <m/>
    <x v="0"/>
  </r>
  <r>
    <s v="M"/>
    <x v="3"/>
    <n v="98.7"/>
    <n v="1.71"/>
    <n v="33.799999999999997"/>
    <n v="85.3"/>
    <s v="137/91"/>
    <n v="192"/>
    <n v="37"/>
    <n v="76"/>
    <s v="N"/>
    <s v="Y"/>
    <s v="Moderate"/>
    <s v="N"/>
    <n v="171"/>
    <n v="0.499"/>
    <n v="137"/>
    <n v="91"/>
    <s v="Hypertension Stage 1"/>
    <n v="125"/>
    <n v="19.45"/>
    <x v="0"/>
  </r>
  <r>
    <s v="M"/>
    <x v="22"/>
    <n v="61.8"/>
    <n v="1.67"/>
    <n v="22.2"/>
    <n v="91.8"/>
    <s v="112/61"/>
    <n v="154"/>
    <n v="46"/>
    <n v="121"/>
    <s v="Y"/>
    <s v="N"/>
    <s v="High"/>
    <s v="Y"/>
    <n v="167"/>
    <n v="0.55000000000000004"/>
    <n v="112"/>
    <n v="61"/>
    <s v="Normal"/>
    <n v="78"/>
    <n v="13.12"/>
    <x v="0"/>
  </r>
  <r>
    <s v="F"/>
    <x v="24"/>
    <n v="57.1"/>
    <m/>
    <n v="16.5"/>
    <n v="78.599999999999994"/>
    <s v="104/66"/>
    <m/>
    <m/>
    <n v="137"/>
    <s v="Y"/>
    <s v="N"/>
    <s v="Low"/>
    <s v="N"/>
    <n v="186"/>
    <n v="0.42299999999999999"/>
    <m/>
    <n v="66"/>
    <s v="Normal"/>
    <n v="101"/>
    <n v="12.04"/>
    <x v="0"/>
  </r>
  <r>
    <s v="M"/>
    <x v="0"/>
    <n v="74.8"/>
    <n v="1.69"/>
    <n v="26.2"/>
    <n v="102.5"/>
    <s v="148/98"/>
    <n v="207"/>
    <n v="80"/>
    <n v="124"/>
    <s v="N"/>
    <s v="Y"/>
    <s v="High"/>
    <s v="N"/>
    <n v="169"/>
    <n v="0.60699999999999998"/>
    <n v="148"/>
    <n v="98"/>
    <s v="Hypertension Stage 2"/>
    <n v="97"/>
    <n v="18.78"/>
    <x v="0"/>
  </r>
  <r>
    <s v="F"/>
    <x v="19"/>
    <n v="89.2"/>
    <n v="1.87"/>
    <n v="25.5"/>
    <n v="72.5"/>
    <s v="115/72"/>
    <n v="229"/>
    <n v="41"/>
    <n v="70"/>
    <s v="Y"/>
    <s v="Y"/>
    <s v="High"/>
    <s v="N"/>
    <n v="187"/>
    <n v="0.38800000000000001"/>
    <n v="115"/>
    <n v="72"/>
    <s v="Normal"/>
    <n v="158"/>
    <m/>
    <x v="1"/>
  </r>
  <r>
    <s v="F"/>
    <x v="27"/>
    <n v="63.4"/>
    <n v="1.63"/>
    <n v="23.9"/>
    <n v="76.3"/>
    <s v="125/87"/>
    <n v="141"/>
    <n v="39"/>
    <n v="88"/>
    <s v="Y"/>
    <s v="N"/>
    <s v="Low"/>
    <s v="Y"/>
    <n v="163"/>
    <n v="0.46800000000000003"/>
    <n v="125"/>
    <n v="87"/>
    <s v="Hypertension Stage 1"/>
    <n v="72"/>
    <n v="13.85"/>
    <x v="1"/>
  </r>
  <r>
    <s v="M"/>
    <x v="0"/>
    <n v="65.2"/>
    <n v="1.76"/>
    <n v="21"/>
    <n v="72.599999999999994"/>
    <s v="141/69"/>
    <n v="147"/>
    <n v="46"/>
    <m/>
    <s v="N"/>
    <s v="N"/>
    <s v="Low"/>
    <s v="N"/>
    <n v="176"/>
    <n v="0.41199999999999998"/>
    <n v="141"/>
    <n v="69"/>
    <s v="Hypertension Stage 2"/>
    <n v="71"/>
    <n v="14.19"/>
    <x v="2"/>
  </r>
  <r>
    <s v="F"/>
    <x v="1"/>
    <n v="91.8"/>
    <n v="1.66"/>
    <n v="33.299999999999997"/>
    <n v="88.7"/>
    <s v="132/65"/>
    <n v="171"/>
    <n v="41"/>
    <n v="89"/>
    <s v="N"/>
    <s v="N"/>
    <s v="Low"/>
    <s v="Y"/>
    <n v="166"/>
    <n v="0.53400000000000003"/>
    <n v="132"/>
    <n v="65"/>
    <s v="Hypertension Stage 1"/>
    <n v="100"/>
    <n v="16.68"/>
    <x v="1"/>
  </r>
  <r>
    <s v="M"/>
    <x v="29"/>
    <n v="69.2"/>
    <n v="1.9"/>
    <n v="19.2"/>
    <n v="88.5"/>
    <s v="123/72"/>
    <n v="121"/>
    <n v="44"/>
    <n v="124"/>
    <s v="Y"/>
    <s v="Y"/>
    <s v="Moderate"/>
    <s v="N"/>
    <n v="190"/>
    <n v="0.46600000000000003"/>
    <n v="123"/>
    <n v="72"/>
    <s v="Elevated"/>
    <n v="47"/>
    <m/>
    <x v="0"/>
  </r>
  <r>
    <s v="F"/>
    <x v="5"/>
    <n v="89.4"/>
    <n v="1.61"/>
    <n v="34.5"/>
    <n v="97.6"/>
    <s v="142/61"/>
    <n v="214"/>
    <n v="54"/>
    <n v="145"/>
    <s v="Y"/>
    <s v="Y"/>
    <s v="Moderate"/>
    <s v="N"/>
    <n v="161"/>
    <n v="0.60599999999999998"/>
    <n v="142"/>
    <n v="61"/>
    <s v="Hypertension Stage 2"/>
    <n v="130"/>
    <n v="20.28"/>
    <x v="1"/>
  </r>
  <r>
    <s v="M"/>
    <x v="5"/>
    <n v="74"/>
    <n v="1.76"/>
    <n v="23.9"/>
    <n v="77.400000000000006"/>
    <s v="118/86"/>
    <n v="165"/>
    <n v="71"/>
    <n v="90"/>
    <s v="N"/>
    <s v="N"/>
    <s v="High"/>
    <s v="Y"/>
    <n v="176"/>
    <n v="0.44"/>
    <n v="118"/>
    <m/>
    <s v="Hypertension Stage 1"/>
    <n v="64"/>
    <n v="13.98"/>
    <x v="2"/>
  </r>
  <r>
    <s v="M"/>
    <x v="15"/>
    <n v="116.9"/>
    <n v="1.74"/>
    <n v="38.6"/>
    <n v="89.3"/>
    <s v="126/73"/>
    <n v="103"/>
    <n v="41"/>
    <n v="148"/>
    <s v="N"/>
    <s v="N"/>
    <s v="Moderate"/>
    <s v="Y"/>
    <n v="174"/>
    <n v="0.51300000000000001"/>
    <n v="126"/>
    <n v="73"/>
    <s v="Elevated"/>
    <n v="32"/>
    <n v="16.079999999999998"/>
    <x v="0"/>
  </r>
  <r>
    <s v="F"/>
    <x v="0"/>
    <m/>
    <n v="1.62"/>
    <n v="40.6"/>
    <n v="98.2"/>
    <s v="113/98"/>
    <n v="255"/>
    <n v="59"/>
    <n v="78"/>
    <s v="N"/>
    <s v="N"/>
    <s v="Low"/>
    <s v="Y"/>
    <n v="162"/>
    <n v="0.60599999999999998"/>
    <n v="113"/>
    <n v="98"/>
    <s v="Hypertension Stage 2"/>
    <n v="166"/>
    <n v="18.87"/>
    <x v="1"/>
  </r>
  <r>
    <s v="F"/>
    <x v="6"/>
    <n v="50.5"/>
    <n v="1.72"/>
    <n v="17.100000000000001"/>
    <n v="76.3"/>
    <s v="146/89"/>
    <n v="274"/>
    <n v="54"/>
    <n v="84"/>
    <s v="N"/>
    <s v="N"/>
    <s v="Low"/>
    <s v="N"/>
    <n v="172"/>
    <n v="0.44400000000000001"/>
    <n v="146"/>
    <n v="89"/>
    <s v="Hypertension Stage 1"/>
    <n v="190"/>
    <n v="16.2"/>
    <x v="0"/>
  </r>
  <r>
    <s v="M"/>
    <x v="31"/>
    <n v="89.5"/>
    <n v="1.86"/>
    <n v="25.9"/>
    <n v="73.8"/>
    <s v="107/83"/>
    <n v="298"/>
    <n v="37"/>
    <n v="71"/>
    <s v="Y"/>
    <s v="Y"/>
    <s v="High"/>
    <s v="N"/>
    <n v="186"/>
    <n v="0.39700000000000002"/>
    <n v="107"/>
    <n v="83"/>
    <s v="Hypertension Stage 1"/>
    <n v="231"/>
    <n v="18.489999999999998"/>
    <x v="1"/>
  </r>
  <r>
    <s v="F"/>
    <x v="29"/>
    <n v="113.2"/>
    <n v="1.73"/>
    <n v="37.799999999999997"/>
    <n v="82.1"/>
    <s v="137/89"/>
    <n v="216"/>
    <n v="61"/>
    <n v="115"/>
    <s v="Y"/>
    <s v="Y"/>
    <s v="Moderate"/>
    <s v="Y"/>
    <m/>
    <n v="0.47499999999999998"/>
    <n v="137"/>
    <n v="89"/>
    <s v="Hypertension Stage 1"/>
    <n v="125"/>
    <n v="20.73"/>
    <x v="1"/>
  </r>
  <r>
    <s v="M"/>
    <x v="16"/>
    <n v="57.8"/>
    <n v="1.74"/>
    <n v="19.100000000000001"/>
    <n v="89"/>
    <s v="119/68"/>
    <n v="222"/>
    <n v="52"/>
    <n v="137"/>
    <s v="N"/>
    <s v="N"/>
    <s v="Low"/>
    <s v="Y"/>
    <n v="174"/>
    <n v="0.51100000000000001"/>
    <n v="119"/>
    <n v="68"/>
    <s v="Normal"/>
    <n v="140"/>
    <n v="14.21"/>
    <x v="1"/>
  </r>
  <r>
    <s v="F"/>
    <x v="19"/>
    <n v="87.7"/>
    <n v="1.89"/>
    <n v="24.6"/>
    <n v="92.6"/>
    <s v="105/93"/>
    <n v="263"/>
    <n v="52"/>
    <n v="126"/>
    <s v="Y"/>
    <s v="Y"/>
    <s v="Low"/>
    <s v="Y"/>
    <n v="189"/>
    <m/>
    <n v="105"/>
    <n v="93"/>
    <s v="Hypertension Stage 2"/>
    <n v="181"/>
    <n v="17.43"/>
    <x v="1"/>
  </r>
  <r>
    <s v="M"/>
    <x v="0"/>
    <n v="57.7"/>
    <n v="1.86"/>
    <n v="16.7"/>
    <n v="84.3"/>
    <s v="107/66"/>
    <m/>
    <n v="79"/>
    <n v="150"/>
    <s v="Y"/>
    <s v="N"/>
    <s v="High"/>
    <s v="Y"/>
    <n v="186"/>
    <n v="0.45300000000000001"/>
    <n v="107"/>
    <n v="66"/>
    <s v="Normal"/>
    <m/>
    <n v="13.45"/>
    <x v="0"/>
  </r>
  <r>
    <s v="M"/>
    <x v="22"/>
    <n v="70.400000000000006"/>
    <n v="1.9"/>
    <n v="19.5"/>
    <n v="71.5"/>
    <s v="95/86"/>
    <n v="281"/>
    <n v="58"/>
    <n v="113"/>
    <s v="N"/>
    <s v="N"/>
    <s v="High"/>
    <s v="N"/>
    <n v="190"/>
    <n v="0.376"/>
    <n v="95"/>
    <n v="86"/>
    <s v="Hypertension Stage 1"/>
    <n v="193"/>
    <n v="14.27"/>
    <x v="0"/>
  </r>
  <r>
    <s v="F"/>
    <x v="1"/>
    <n v="67.400000000000006"/>
    <n v="1.87"/>
    <n v="19.3"/>
    <m/>
    <s v="94/81"/>
    <n v="177"/>
    <n v="51"/>
    <n v="93"/>
    <s v="Y"/>
    <s v="N"/>
    <s v="High"/>
    <s v="N"/>
    <n v="187"/>
    <n v="0.52200000000000002"/>
    <n v="94"/>
    <n v="81"/>
    <s v="Hypertension Stage 1"/>
    <n v="96"/>
    <n v="12.1"/>
    <x v="0"/>
  </r>
  <r>
    <s v="M"/>
    <x v="11"/>
    <n v="84.4"/>
    <n v="1.76"/>
    <n v="27.2"/>
    <n v="102.8"/>
    <s v="127/89"/>
    <m/>
    <n v="60"/>
    <n v="129"/>
    <s v="Y"/>
    <s v="Y"/>
    <s v="High"/>
    <s v="N"/>
    <n v="176"/>
    <n v="0.58399999999999996"/>
    <n v="127"/>
    <n v="89"/>
    <s v="Hypertension Stage 1"/>
    <n v="56"/>
    <n v="16.71"/>
    <x v="0"/>
  </r>
  <r>
    <s v="M"/>
    <x v="2"/>
    <n v="92"/>
    <n v="1.84"/>
    <n v="27.2"/>
    <n v="89.5"/>
    <s v="136/77"/>
    <n v="247"/>
    <n v="61"/>
    <n v="103"/>
    <s v="Y"/>
    <s v="N"/>
    <s v="Low"/>
    <s v="N"/>
    <m/>
    <n v="0.48599999999999999"/>
    <n v="136"/>
    <n v="77"/>
    <s v="Hypertension Stage 1"/>
    <n v="156"/>
    <n v="17.18"/>
    <x v="1"/>
  </r>
  <r>
    <s v="M"/>
    <x v="25"/>
    <n v="110.6"/>
    <n v="1.85"/>
    <n v="32.299999999999997"/>
    <n v="70.8"/>
    <s v="118/68"/>
    <n v="115"/>
    <n v="40"/>
    <n v="72"/>
    <s v="Y"/>
    <s v="N"/>
    <s v="High"/>
    <s v="N"/>
    <n v="185"/>
    <n v="0.38300000000000001"/>
    <m/>
    <n v="68"/>
    <s v="Normal"/>
    <n v="45"/>
    <n v="14.66"/>
    <x v="0"/>
  </r>
  <r>
    <s v="M"/>
    <x v="9"/>
    <n v="72.8"/>
    <n v="1.76"/>
    <n v="23.5"/>
    <n v="76.3"/>
    <s v="130/66"/>
    <n v="118"/>
    <n v="63"/>
    <n v="109"/>
    <s v="Y"/>
    <s v="N"/>
    <s v="Moderate"/>
    <s v="N"/>
    <n v="176"/>
    <n v="0.434"/>
    <n v="130"/>
    <n v="66"/>
    <s v="Hypertension Stage 1"/>
    <n v="25"/>
    <n v="13.56"/>
    <x v="2"/>
  </r>
  <r>
    <s v="M"/>
    <x v="30"/>
    <n v="61.1"/>
    <n v="1.63"/>
    <n v="23"/>
    <n v="91.5"/>
    <s v="98/85"/>
    <n v="111"/>
    <n v="73"/>
    <n v="113"/>
    <s v="Y"/>
    <s v="Y"/>
    <s v="High"/>
    <s v="Y"/>
    <n v="163"/>
    <n v="0.56100000000000005"/>
    <n v="98"/>
    <n v="85"/>
    <s v="Hypertension Stage 1"/>
    <n v="8"/>
    <n v="13.72"/>
    <x v="1"/>
  </r>
  <r>
    <s v="F"/>
    <x v="2"/>
    <n v="85.6"/>
    <n v="1.66"/>
    <n v="31.1"/>
    <n v="83.6"/>
    <s v="103/99"/>
    <n v="222"/>
    <n v="66"/>
    <n v="99"/>
    <s v="Y"/>
    <s v="Y"/>
    <s v="High"/>
    <s v="N"/>
    <n v="166"/>
    <n v="0.504"/>
    <n v="103"/>
    <n v="99"/>
    <s v="Hypertension Stage 2"/>
    <n v="126"/>
    <m/>
    <x v="1"/>
  </r>
  <r>
    <s v="F"/>
    <x v="17"/>
    <n v="82.2"/>
    <n v="1.87"/>
    <n v="23.5"/>
    <m/>
    <s v="113/69"/>
    <n v="217"/>
    <n v="34"/>
    <n v="103"/>
    <s v="Y"/>
    <s v="Y"/>
    <s v="Low"/>
    <s v="N"/>
    <n v="187"/>
    <n v="0.48699999999999999"/>
    <n v="113"/>
    <n v="69"/>
    <s v="Normal"/>
    <n v="153"/>
    <n v="16.690000000000001"/>
    <x v="1"/>
  </r>
  <r>
    <s v="F"/>
    <x v="25"/>
    <n v="113.9"/>
    <n v="1.89"/>
    <n v="31.9"/>
    <m/>
    <s v="129/82"/>
    <n v="239"/>
    <n v="61"/>
    <n v="90"/>
    <s v="N"/>
    <s v="Y"/>
    <s v="High"/>
    <s v="Y"/>
    <n v="189"/>
    <n v="0.40400000000000003"/>
    <n v="129"/>
    <n v="82"/>
    <s v="Hypertension Stage 1"/>
    <n v="148"/>
    <n v="19.61"/>
    <x v="1"/>
  </r>
  <r>
    <s v="F"/>
    <x v="2"/>
    <n v="86.8"/>
    <n v="1.67"/>
    <n v="31.1"/>
    <n v="71.599999999999994"/>
    <s v="120/69"/>
    <n v="105"/>
    <n v="53"/>
    <n v="97"/>
    <s v="Y"/>
    <s v="Y"/>
    <s v="High"/>
    <s v="Y"/>
    <n v="167"/>
    <n v="0.42899999999999999"/>
    <n v="120"/>
    <n v="69"/>
    <s v="Elevated"/>
    <n v="22"/>
    <n v="16.32"/>
    <x v="1"/>
  </r>
  <r>
    <s v="M"/>
    <x v="0"/>
    <n v="53.1"/>
    <n v="1.69"/>
    <n v="18.600000000000001"/>
    <n v="82.9"/>
    <s v="124/73"/>
    <n v="192"/>
    <n v="76"/>
    <n v="103"/>
    <s v="N"/>
    <s v="N"/>
    <s v="Moderate"/>
    <s v="N"/>
    <n v="169"/>
    <n v="0.49099999999999999"/>
    <m/>
    <n v="73"/>
    <s v="Elevated"/>
    <n v="86"/>
    <n v="13.76"/>
    <x v="2"/>
  </r>
  <r>
    <s v="F"/>
    <x v="1"/>
    <n v="79.7"/>
    <n v="1.78"/>
    <n v="25.2"/>
    <n v="86.9"/>
    <s v="140/62"/>
    <n v="248"/>
    <n v="36"/>
    <n v="73"/>
    <s v="Y"/>
    <s v="Y"/>
    <s v="Moderate"/>
    <s v="Y"/>
    <n v="178"/>
    <n v="0.48799999999999999"/>
    <n v="140"/>
    <n v="62"/>
    <s v="Hypertension Stage 2"/>
    <n v="182"/>
    <n v="19"/>
    <x v="1"/>
  </r>
  <r>
    <s v="M"/>
    <x v="13"/>
    <n v="115.8"/>
    <n v="1.61"/>
    <n v="44.7"/>
    <n v="81.3"/>
    <s v="120/89"/>
    <n v="232"/>
    <n v="64"/>
    <n v="89"/>
    <s v="N"/>
    <s v="Y"/>
    <s v="Moderate"/>
    <s v="Y"/>
    <n v="161"/>
    <n v="0.505"/>
    <n v="120"/>
    <n v="89"/>
    <s v="Hypertension Stage 1"/>
    <n v="138"/>
    <n v="21.58"/>
    <x v="1"/>
  </r>
  <r>
    <s v="F"/>
    <x v="13"/>
    <n v="111.3"/>
    <n v="1.63"/>
    <n v="41.9"/>
    <n v="94.9"/>
    <s v="124/73"/>
    <n v="224"/>
    <n v="41"/>
    <n v="78"/>
    <s v="Y"/>
    <s v="Y"/>
    <s v="Moderate"/>
    <s v="N"/>
    <m/>
    <n v="0.58199999999999996"/>
    <n v="124"/>
    <n v="73"/>
    <s v="Elevated"/>
    <n v="153"/>
    <n v="21.06"/>
    <x v="1"/>
  </r>
  <r>
    <s v="F"/>
    <x v="9"/>
    <n v="91.8"/>
    <n v="1.76"/>
    <n v="29.6"/>
    <n v="71"/>
    <s v="148/67"/>
    <n v="256"/>
    <n v="73"/>
    <n v="134"/>
    <s v="Y"/>
    <s v="Y"/>
    <s v="Low"/>
    <s v="N"/>
    <n v="176"/>
    <n v="0.40300000000000002"/>
    <n v="148"/>
    <n v="67"/>
    <s v="Hypertension Stage 2"/>
    <n v="153"/>
    <n v="20.440000000000001"/>
    <x v="1"/>
  </r>
  <r>
    <s v="M"/>
    <x v="17"/>
    <n v="117"/>
    <m/>
    <n v="40.5"/>
    <n v="81.3"/>
    <s v="122/74"/>
    <n v="238"/>
    <n v="67"/>
    <n v="96"/>
    <s v="Y"/>
    <s v="N"/>
    <s v="High"/>
    <s v="Y"/>
    <n v="170"/>
    <n v="0.47799999999999998"/>
    <n v="122"/>
    <n v="74"/>
    <s v="Elevated"/>
    <n v="141"/>
    <n v="18.96"/>
    <x v="1"/>
  </r>
  <r>
    <s v="M"/>
    <x v="0"/>
    <n v="110.5"/>
    <n v="1.76"/>
    <n v="35.700000000000003"/>
    <n v="87.5"/>
    <s v="119/74"/>
    <n v="150"/>
    <n v="44"/>
    <n v="136"/>
    <s v="Y"/>
    <s v="N"/>
    <s v="Moderate"/>
    <s v="Y"/>
    <n v="176"/>
    <n v="0.497"/>
    <n v="119"/>
    <n v="74"/>
    <s v="Normal"/>
    <n v="76"/>
    <n v="16.09"/>
    <x v="0"/>
  </r>
  <r>
    <s v="M"/>
    <x v="11"/>
    <m/>
    <n v="1.63"/>
    <n v="41.6"/>
    <n v="108.7"/>
    <s v="122/73"/>
    <n v="273"/>
    <m/>
    <n v="71"/>
    <s v="Y"/>
    <s v="Y"/>
    <s v="Moderate"/>
    <s v="Y"/>
    <n v="163"/>
    <n v="0.66700000000000004"/>
    <n v="122"/>
    <n v="73"/>
    <s v="Elevated"/>
    <n v="172"/>
    <n v="21.88"/>
    <x v="1"/>
  </r>
  <r>
    <s v="F"/>
    <x v="24"/>
    <n v="115.5"/>
    <n v="1.88"/>
    <n v="32.700000000000003"/>
    <n v="74.5"/>
    <s v="131/68"/>
    <n v="232"/>
    <n v="62"/>
    <n v="142"/>
    <s v="Y"/>
    <s v="Y"/>
    <s v="High"/>
    <s v="N"/>
    <n v="188"/>
    <n v="0.39600000000000002"/>
    <n v="131"/>
    <n v="68"/>
    <s v="Hypertension Stage 1"/>
    <n v="140"/>
    <n v="19.73"/>
    <x v="1"/>
  </r>
  <r>
    <s v="M"/>
    <x v="30"/>
    <n v="68.2"/>
    <n v="1.87"/>
    <n v="19.5"/>
    <n v="79.3"/>
    <s v="107/100"/>
    <n v="175"/>
    <n v="56"/>
    <n v="139"/>
    <s v="N"/>
    <s v="N"/>
    <s v="Moderate"/>
    <s v="Y"/>
    <n v="187"/>
    <n v="0.42399999999999999"/>
    <n v="107"/>
    <n v="100"/>
    <s v="Hypertension Stage 2"/>
    <n v="89"/>
    <n v="12.75"/>
    <x v="0"/>
  </r>
  <r>
    <s v="M"/>
    <x v="29"/>
    <n v="113.3"/>
    <n v="1.81"/>
    <n v="34.6"/>
    <n v="83.7"/>
    <s v="95/82"/>
    <n v="177"/>
    <n v="44"/>
    <n v="74"/>
    <s v="N"/>
    <s v="Y"/>
    <s v="Moderate"/>
    <s v="N"/>
    <n v="181"/>
    <n v="0.46200000000000002"/>
    <m/>
    <n v="82"/>
    <s v="Hypertension Stage 1"/>
    <n v="103"/>
    <n v="17.21"/>
    <x v="0"/>
  </r>
  <r>
    <s v="F"/>
    <x v="13"/>
    <n v="67.2"/>
    <n v="1.82"/>
    <n v="20.3"/>
    <n v="109.5"/>
    <s v="96/60"/>
    <n v="290"/>
    <n v="66"/>
    <n v="96"/>
    <s v="Y"/>
    <s v="Y"/>
    <s v="Moderate"/>
    <s v="N"/>
    <n v="182"/>
    <n v="0.60199999999999998"/>
    <n v="96"/>
    <n v="60"/>
    <s v="Normal"/>
    <n v="194"/>
    <n v="16.66"/>
    <x v="0"/>
  </r>
  <r>
    <s v="M"/>
    <x v="18"/>
    <n v="78"/>
    <n v="1.71"/>
    <n v="26.7"/>
    <n v="102.1"/>
    <s v="122/73"/>
    <n v="275"/>
    <m/>
    <n v="108"/>
    <s v="N"/>
    <s v="N"/>
    <s v="High"/>
    <s v="N"/>
    <n v="171"/>
    <n v="0.59699999999999998"/>
    <n v="122"/>
    <n v="73"/>
    <s v="Elevated"/>
    <n v="168"/>
    <n v="16.940000000000001"/>
    <x v="0"/>
  </r>
  <r>
    <s v="M"/>
    <x v="21"/>
    <n v="115.8"/>
    <n v="1.74"/>
    <n v="38.200000000000003"/>
    <n v="88.8"/>
    <s v="143/82"/>
    <n v="249"/>
    <n v="66"/>
    <n v="92"/>
    <s v="Y"/>
    <s v="Y"/>
    <s v="Moderate"/>
    <s v="N"/>
    <n v="174"/>
    <n v="0.51"/>
    <n v="143"/>
    <n v="82"/>
    <s v="Hypertension Stage 1"/>
    <n v="153"/>
    <n v="21.77"/>
    <x v="1"/>
  </r>
  <r>
    <s v="M"/>
    <x v="6"/>
    <n v="112.7"/>
    <n v="1.64"/>
    <n v="41.9"/>
    <n v="76.099999999999994"/>
    <s v="98/92"/>
    <n v="189"/>
    <n v="68"/>
    <n v="111"/>
    <s v="Y"/>
    <s v="Y"/>
    <s v="High"/>
    <s v="Y"/>
    <n v="164"/>
    <n v="0.46400000000000002"/>
    <n v="98"/>
    <n v="92"/>
    <s v="Hypertension Stage 2"/>
    <n v="91"/>
    <n v="19.059999999999999"/>
    <x v="1"/>
  </r>
  <r>
    <s v="M"/>
    <x v="8"/>
    <n v="117.8"/>
    <n v="1.85"/>
    <n v="34.4"/>
    <n v="93.3"/>
    <s v="110/76"/>
    <n v="141"/>
    <n v="42"/>
    <n v="106"/>
    <s v="N"/>
    <s v="N"/>
    <s v="Low"/>
    <s v="N"/>
    <n v="185"/>
    <n v="0.504"/>
    <m/>
    <n v="76"/>
    <s v="Normal"/>
    <m/>
    <n v="15.2"/>
    <x v="0"/>
  </r>
  <r>
    <s v="F"/>
    <x v="29"/>
    <n v="116.2"/>
    <m/>
    <n v="36.700000000000003"/>
    <n v="97.8"/>
    <s v="112/80"/>
    <n v="188"/>
    <n v="52"/>
    <n v="97"/>
    <s v="Y"/>
    <s v="N"/>
    <s v="Moderate"/>
    <s v="N"/>
    <m/>
    <n v="0.54900000000000004"/>
    <n v="112"/>
    <n v="80"/>
    <s v="Hypertension Stage 1"/>
    <n v="106"/>
    <n v="16.7"/>
    <x v="0"/>
  </r>
  <r>
    <s v="M"/>
    <x v="3"/>
    <n v="97.8"/>
    <n v="1.89"/>
    <n v="27.4"/>
    <n v="91.9"/>
    <s v="129/61"/>
    <n v="166"/>
    <n v="61"/>
    <n v="143"/>
    <s v="Y"/>
    <s v="Y"/>
    <s v="Moderate"/>
    <s v="Y"/>
    <n v="189"/>
    <n v="0.48599999999999999"/>
    <n v="129"/>
    <n v="61"/>
    <s v="Elevated"/>
    <n v="75"/>
    <n v="17.25"/>
    <x v="1"/>
  </r>
  <r>
    <s v="F"/>
    <x v="4"/>
    <n v="115"/>
    <n v="1.81"/>
    <n v="35.1"/>
    <n v="107.1"/>
    <s v="139/76"/>
    <n v="293"/>
    <n v="68"/>
    <n v="124"/>
    <s v="Y"/>
    <s v="Y"/>
    <s v="Low"/>
    <s v="N"/>
    <n v="181"/>
    <n v="0.59199999999999997"/>
    <n v="139"/>
    <m/>
    <s v="Hypertension Stage 1"/>
    <n v="195"/>
    <n v="21.83"/>
    <x v="1"/>
  </r>
  <r>
    <s v="M"/>
    <x v="29"/>
    <n v="78.599999999999994"/>
    <n v="1.8"/>
    <n v="24.3"/>
    <n v="105.7"/>
    <s v="130/71"/>
    <n v="141"/>
    <n v="37"/>
    <n v="80"/>
    <s v="Y"/>
    <s v="N"/>
    <s v="Low"/>
    <s v="N"/>
    <m/>
    <n v="0.58699999999999997"/>
    <n v="130"/>
    <n v="71"/>
    <s v="Hypertension Stage 1"/>
    <n v="74"/>
    <n v="14.18"/>
    <x v="1"/>
  </r>
  <r>
    <s v="F"/>
    <x v="22"/>
    <n v="74.5"/>
    <n v="1.81"/>
    <n v="22.7"/>
    <n v="79"/>
    <s v="129/80"/>
    <n v="231"/>
    <m/>
    <n v="97"/>
    <s v="N"/>
    <s v="N"/>
    <s v="Moderate"/>
    <s v="Y"/>
    <n v="181"/>
    <n v="0.436"/>
    <n v="129"/>
    <n v="80"/>
    <s v="Hypertension Stage 1"/>
    <n v="132"/>
    <n v="15.61"/>
    <x v="0"/>
  </r>
  <r>
    <s v="F"/>
    <x v="3"/>
    <n v="81.7"/>
    <n v="1.61"/>
    <n v="31.5"/>
    <n v="70.8"/>
    <s v="148/65"/>
    <n v="140"/>
    <n v="70"/>
    <n v="108"/>
    <s v="N"/>
    <s v="Y"/>
    <s v="Low"/>
    <s v="Y"/>
    <n v="161"/>
    <n v="0.44"/>
    <n v="148"/>
    <n v="65"/>
    <s v="Hypertension Stage 2"/>
    <n v="40"/>
    <n v="18.5"/>
    <x v="1"/>
  </r>
  <r>
    <s v="F"/>
    <x v="4"/>
    <n v="88.6"/>
    <n v="1.67"/>
    <n v="31.8"/>
    <n v="95.3"/>
    <s v="90/74"/>
    <n v="133"/>
    <n v="80"/>
    <n v="73"/>
    <s v="Y"/>
    <s v="Y"/>
    <s v="High"/>
    <s v="Y"/>
    <n v="167"/>
    <n v="0.57099999999999995"/>
    <n v="90"/>
    <n v="74"/>
    <s v="Normal"/>
    <n v="23"/>
    <n v="15.52"/>
    <x v="1"/>
  </r>
  <r>
    <s v="M"/>
    <x v="9"/>
    <n v="92.4"/>
    <n v="1.8"/>
    <n v="28.5"/>
    <n v="78.8"/>
    <s v="101/77"/>
    <n v="135"/>
    <n v="67"/>
    <n v="123"/>
    <s v="Y"/>
    <s v="Y"/>
    <s v="Low"/>
    <s v="N"/>
    <n v="180"/>
    <n v="0.438"/>
    <n v="101"/>
    <n v="77"/>
    <s v="Normal"/>
    <n v="38"/>
    <n v="15.45"/>
    <x v="1"/>
  </r>
  <r>
    <s v="M"/>
    <x v="19"/>
    <n v="119.7"/>
    <n v="1.61"/>
    <n v="46.2"/>
    <m/>
    <s v="127/70"/>
    <n v="280"/>
    <n v="80"/>
    <n v="136"/>
    <s v="Y"/>
    <s v="N"/>
    <s v="Moderate"/>
    <s v="Y"/>
    <n v="161"/>
    <n v="0.55300000000000005"/>
    <n v="127"/>
    <n v="70"/>
    <s v="Elevated"/>
    <n v="170"/>
    <n v="21.19"/>
    <x v="1"/>
  </r>
  <r>
    <s v="M"/>
    <x v="16"/>
    <n v="112.7"/>
    <m/>
    <n v="37.200000000000003"/>
    <n v="104.1"/>
    <s v="132/83"/>
    <n v="126"/>
    <n v="30"/>
    <n v="74"/>
    <s v="Y"/>
    <s v="N"/>
    <s v="Low"/>
    <s v="N"/>
    <n v="174"/>
    <n v="0.59799999999999998"/>
    <n v="132"/>
    <n v="83"/>
    <s v="Hypertension Stage 1"/>
    <n v="66"/>
    <n v="16.559999999999999"/>
    <x v="1"/>
  </r>
  <r>
    <s v="M"/>
    <x v="20"/>
    <n v="105.6"/>
    <n v="1.81"/>
    <n v="32.200000000000003"/>
    <n v="100.6"/>
    <s v="111/97"/>
    <n v="201"/>
    <n v="36"/>
    <n v="77"/>
    <s v="Y"/>
    <s v="Y"/>
    <s v="Low"/>
    <s v="N"/>
    <n v="181"/>
    <n v="0.55600000000000005"/>
    <n v="111"/>
    <n v="97"/>
    <s v="Hypertension Stage 2"/>
    <n v="135"/>
    <n v="18.010000000000002"/>
    <x v="1"/>
  </r>
  <r>
    <s v="F"/>
    <x v="27"/>
    <n v="99.4"/>
    <n v="1.67"/>
    <n v="35.6"/>
    <n v="96.3"/>
    <s v="144/81"/>
    <n v="256"/>
    <n v="30"/>
    <n v="107"/>
    <s v="Y"/>
    <s v="N"/>
    <s v="Moderate"/>
    <s v="N"/>
    <n v="167"/>
    <n v="0.57699999999999996"/>
    <n v="144"/>
    <n v="81"/>
    <s v="Hypertension Stage 1"/>
    <n v="196"/>
    <n v="19.440000000000001"/>
    <x v="1"/>
  </r>
  <r>
    <s v="M"/>
    <x v="30"/>
    <n v="118.3"/>
    <n v="1.89"/>
    <n v="33.1"/>
    <n v="96.2"/>
    <s v="130/68"/>
    <n v="240"/>
    <n v="61"/>
    <n v="86"/>
    <s v="N"/>
    <s v="N"/>
    <s v="Moderate"/>
    <s v="N"/>
    <n v="189"/>
    <n v="0.50900000000000001"/>
    <n v="130"/>
    <n v="68"/>
    <s v="Hypertension Stage 1"/>
    <n v="149"/>
    <m/>
    <x v="0"/>
  </r>
  <r>
    <s v="F"/>
    <x v="31"/>
    <n v="74.599999999999994"/>
    <n v="1.86"/>
    <n v="21.6"/>
    <n v="103.6"/>
    <s v="102/73"/>
    <n v="279"/>
    <n v="38"/>
    <n v="146"/>
    <s v="N"/>
    <s v="N"/>
    <s v="Low"/>
    <s v="Y"/>
    <n v="186"/>
    <n v="0.55700000000000005"/>
    <n v="102"/>
    <n v="73"/>
    <s v="Normal"/>
    <m/>
    <n v="15"/>
    <x v="1"/>
  </r>
  <r>
    <s v="M"/>
    <x v="14"/>
    <n v="86.5"/>
    <n v="1.8"/>
    <n v="26.7"/>
    <n v="96.6"/>
    <s v="118/78"/>
    <n v="284"/>
    <n v="39"/>
    <n v="77"/>
    <s v="Y"/>
    <s v="N"/>
    <s v="High"/>
    <s v="N"/>
    <n v="180"/>
    <n v="0.53700000000000003"/>
    <n v="118"/>
    <n v="78"/>
    <s v="Normal"/>
    <n v="215"/>
    <n v="16.920000000000002"/>
    <x v="1"/>
  </r>
  <r>
    <s v="F"/>
    <x v="6"/>
    <n v="54.9"/>
    <n v="1.63"/>
    <n v="20.7"/>
    <n v="75.2"/>
    <s v="118/81"/>
    <n v="114"/>
    <n v="38"/>
    <n v="110"/>
    <s v="Y"/>
    <s v="Y"/>
    <s v="Low"/>
    <s v="N"/>
    <n v="163"/>
    <n v="0.46100000000000002"/>
    <m/>
    <n v="81"/>
    <s v="Hypertension Stage 1"/>
    <n v="46"/>
    <m/>
    <x v="1"/>
  </r>
  <r>
    <s v="F"/>
    <x v="13"/>
    <n v="61.1"/>
    <n v="1.75"/>
    <n v="20"/>
    <n v="71.599999999999994"/>
    <s v="108/100"/>
    <n v="277"/>
    <n v="40"/>
    <n v="97"/>
    <s v="Y"/>
    <s v="N"/>
    <s v="Moderate"/>
    <s v="N"/>
    <n v="175"/>
    <n v="0.40899999999999997"/>
    <n v="108"/>
    <n v="100"/>
    <s v="Hypertension Stage 2"/>
    <n v="207"/>
    <n v="14.94"/>
    <x v="0"/>
  </r>
  <r>
    <s v="F"/>
    <x v="13"/>
    <n v="67.7"/>
    <n v="1.81"/>
    <m/>
    <n v="79.8"/>
    <s v="135/91"/>
    <n v="235"/>
    <n v="31"/>
    <n v="147"/>
    <s v="Y"/>
    <s v="N"/>
    <s v="Low"/>
    <s v="N"/>
    <n v="181"/>
    <n v="0.441"/>
    <m/>
    <n v="91"/>
    <s v="Hypertension Stage 1"/>
    <n v="174"/>
    <n v="15.59"/>
    <x v="1"/>
  </r>
  <r>
    <s v="F"/>
    <x v="15"/>
    <n v="60.2"/>
    <n v="1.68"/>
    <n v="21.3"/>
    <n v="104.7"/>
    <s v="111/87"/>
    <n v="289"/>
    <n v="68"/>
    <n v="116"/>
    <s v="Y"/>
    <s v="N"/>
    <s v="Moderate"/>
    <s v="N"/>
    <n v="168"/>
    <n v="0.623"/>
    <n v="111"/>
    <n v="87"/>
    <s v="Hypertension Stage 1"/>
    <n v="191"/>
    <n v="15.59"/>
    <x v="0"/>
  </r>
  <r>
    <s v="F"/>
    <x v="24"/>
    <n v="72"/>
    <n v="1.67"/>
    <n v="25.8"/>
    <n v="84.9"/>
    <s v="92/69"/>
    <n v="190"/>
    <n v="67"/>
    <n v="144"/>
    <s v="Y"/>
    <s v="N"/>
    <s v="Moderate"/>
    <s v="N"/>
    <n v="167"/>
    <n v="0.50800000000000001"/>
    <n v="92"/>
    <n v="69"/>
    <s v="Normal"/>
    <n v="93"/>
    <n v="13.56"/>
    <x v="0"/>
  </r>
  <r>
    <s v="M"/>
    <x v="1"/>
    <n v="85"/>
    <n v="1.75"/>
    <n v="27.8"/>
    <n v="79.400000000000006"/>
    <s v="94/71"/>
    <n v="240"/>
    <n v="32"/>
    <m/>
    <s v="N"/>
    <s v="Y"/>
    <s v="Low"/>
    <s v="Y"/>
    <n v="175"/>
    <n v="0.45400000000000001"/>
    <n v="94"/>
    <n v="71"/>
    <s v="Normal"/>
    <n v="178"/>
    <n v="17.059999999999999"/>
    <x v="1"/>
  </r>
  <r>
    <s v="F"/>
    <x v="9"/>
    <n v="80"/>
    <n v="1.63"/>
    <n v="30.1"/>
    <n v="84.5"/>
    <s v="119/73"/>
    <n v="250"/>
    <n v="34"/>
    <n v="122"/>
    <s v="N"/>
    <s v="N"/>
    <s v="Moderate"/>
    <s v="N"/>
    <n v="163"/>
    <n v="0.51800000000000002"/>
    <n v="119"/>
    <n v="73"/>
    <s v="Normal"/>
    <n v="186"/>
    <n v="16.97"/>
    <x v="0"/>
  </r>
  <r>
    <s v="M"/>
    <x v="12"/>
    <n v="70.900000000000006"/>
    <n v="1.85"/>
    <n v="20.7"/>
    <n v="73.2"/>
    <s v="127/86"/>
    <n v="172"/>
    <n v="34"/>
    <n v="133"/>
    <s v="Y"/>
    <s v="Y"/>
    <s v="High"/>
    <s v="Y"/>
    <n v="185"/>
    <n v="0.39600000000000002"/>
    <n v="127"/>
    <n v="86"/>
    <s v="Hypertension Stage 1"/>
    <n v="108"/>
    <n v="15.93"/>
    <x v="1"/>
  </r>
  <r>
    <s v="F"/>
    <x v="2"/>
    <n v="79.599999999999994"/>
    <n v="1.88"/>
    <n v="22.5"/>
    <n v="97"/>
    <s v="114/85"/>
    <n v="194"/>
    <n v="76"/>
    <n v="90"/>
    <s v="Y"/>
    <s v="N"/>
    <s v="Moderate"/>
    <s v="N"/>
    <n v="188"/>
    <n v="0.51600000000000001"/>
    <n v="114"/>
    <n v="85"/>
    <s v="Hypertension Stage 1"/>
    <m/>
    <n v="14.08"/>
    <x v="0"/>
  </r>
  <r>
    <s v="M"/>
    <x v="4"/>
    <n v="117.8"/>
    <n v="1.66"/>
    <n v="42.7"/>
    <n v="103.3"/>
    <s v="113/73"/>
    <n v="249"/>
    <n v="71"/>
    <n v="122"/>
    <s v="Y"/>
    <s v="N"/>
    <s v="Low"/>
    <s v="N"/>
    <n v="166"/>
    <n v="0.622"/>
    <n v="113"/>
    <n v="73"/>
    <s v="Normal"/>
    <n v="148"/>
    <n v="19.170000000000002"/>
    <x v="1"/>
  </r>
  <r>
    <s v="F"/>
    <x v="14"/>
    <n v="116.2"/>
    <n v="1.83"/>
    <n v="34.700000000000003"/>
    <n v="108.4"/>
    <s v="119/66"/>
    <n v="220"/>
    <n v="62"/>
    <n v="135"/>
    <s v="N"/>
    <s v="Y"/>
    <s v="Moderate"/>
    <s v="N"/>
    <n v="183"/>
    <n v="0.59199999999999997"/>
    <n v="119"/>
    <n v="66"/>
    <s v="Normal"/>
    <n v="128"/>
    <n v="19.29"/>
    <x v="0"/>
  </r>
  <r>
    <s v="F"/>
    <x v="9"/>
    <n v="103.9"/>
    <n v="1.9"/>
    <n v="28.8"/>
    <n v="82.4"/>
    <s v="142/93"/>
    <n v="110"/>
    <m/>
    <n v="127"/>
    <s v="Y"/>
    <s v="Y"/>
    <s v="Moderate"/>
    <s v="Y"/>
    <n v="190"/>
    <n v="0.434"/>
    <n v="142"/>
    <n v="93"/>
    <s v="Hypertension Stage 2"/>
    <n v="18"/>
    <n v="17.059999999999999"/>
    <x v="1"/>
  </r>
  <r>
    <s v="M"/>
    <x v="23"/>
    <n v="50.5"/>
    <n v="1.66"/>
    <n v="18.3"/>
    <n v="108"/>
    <s v="148/73"/>
    <n v="208"/>
    <n v="40"/>
    <n v="80"/>
    <s v="Y"/>
    <s v="Y"/>
    <s v="Moderate"/>
    <s v="Y"/>
    <n v="166"/>
    <n v="0.65100000000000002"/>
    <n v="148"/>
    <n v="73"/>
    <s v="Hypertension Stage 2"/>
    <n v="138"/>
    <n v="17.22"/>
    <x v="1"/>
  </r>
  <r>
    <s v="M"/>
    <x v="2"/>
    <n v="55.6"/>
    <n v="1.83"/>
    <n v="16.600000000000001"/>
    <n v="104.8"/>
    <s v="126/95"/>
    <n v="289"/>
    <n v="58"/>
    <n v="135"/>
    <s v="Y"/>
    <s v="N"/>
    <s v="High"/>
    <s v="N"/>
    <n v="183"/>
    <n v="0.57299999999999995"/>
    <n v="126"/>
    <n v="95"/>
    <s v="Hypertension Stage 2"/>
    <n v="201"/>
    <n v="15.4"/>
    <x v="0"/>
  </r>
  <r>
    <s v="F"/>
    <x v="28"/>
    <n v="98.9"/>
    <n v="1.78"/>
    <n v="31.2"/>
    <n v="86.4"/>
    <s v="138/84"/>
    <n v="277"/>
    <n v="36"/>
    <n v="88"/>
    <s v="Y"/>
    <s v="Y"/>
    <s v="Moderate"/>
    <s v="Y"/>
    <n v="178"/>
    <n v="0.48499999999999999"/>
    <n v="138"/>
    <n v="84"/>
    <s v="Hypertension Stage 1"/>
    <n v="211"/>
    <n v="20.68"/>
    <x v="1"/>
  </r>
  <r>
    <s v="M"/>
    <x v="23"/>
    <n v="72.8"/>
    <n v="1.81"/>
    <n v="22.2"/>
    <m/>
    <s v="126/82"/>
    <n v="101"/>
    <n v="78"/>
    <n v="76"/>
    <s v="N"/>
    <s v="N"/>
    <s v="Moderate"/>
    <s v="Y"/>
    <n v="181"/>
    <n v="0.50800000000000001"/>
    <n v="126"/>
    <n v="82"/>
    <s v="Hypertension Stage 1"/>
    <n v="-7"/>
    <n v="12.76"/>
    <x v="0"/>
  </r>
  <r>
    <s v="F"/>
    <x v="30"/>
    <n v="85.8"/>
    <n v="1.78"/>
    <n v="27.1"/>
    <n v="76.900000000000006"/>
    <s v="121/67"/>
    <n v="136"/>
    <n v="31"/>
    <n v="125"/>
    <s v="N"/>
    <s v="Y"/>
    <s v="Moderate"/>
    <s v="N"/>
    <n v="178"/>
    <n v="0.432"/>
    <n v="121"/>
    <n v="67"/>
    <s v="Elevated"/>
    <n v="75"/>
    <n v="16.190000000000001"/>
    <x v="1"/>
  </r>
  <r>
    <s v="F"/>
    <x v="6"/>
    <m/>
    <n v="1.87"/>
    <n v="25.9"/>
    <n v="87.6"/>
    <s v="113/75"/>
    <n v="252"/>
    <n v="79"/>
    <n v="133"/>
    <s v="Y"/>
    <s v="Y"/>
    <s v="High"/>
    <s v="Y"/>
    <n v="187"/>
    <n v="0.46800000000000003"/>
    <n v="113"/>
    <n v="75"/>
    <s v="Normal"/>
    <n v="143"/>
    <n v="17.87"/>
    <x v="1"/>
  </r>
  <r>
    <s v="F"/>
    <x v="29"/>
    <n v="71.3"/>
    <n v="1.68"/>
    <n v="25.3"/>
    <n v="95.3"/>
    <s v="92/70"/>
    <n v="271"/>
    <n v="59"/>
    <n v="93"/>
    <s v="Y"/>
    <s v="Y"/>
    <s v="High"/>
    <s v="Y"/>
    <n v="168"/>
    <m/>
    <n v="92"/>
    <n v="70"/>
    <s v="Normal"/>
    <n v="182"/>
    <n v="17.079999999999998"/>
    <x v="1"/>
  </r>
  <r>
    <s v="F"/>
    <x v="19"/>
    <n v="94.5"/>
    <n v="1.82"/>
    <n v="28.5"/>
    <n v="74.599999999999994"/>
    <s v="90/79"/>
    <n v="115"/>
    <m/>
    <n v="144"/>
    <s v="Y"/>
    <s v="Y"/>
    <s v="Moderate"/>
    <s v="N"/>
    <n v="182"/>
    <n v="0.41"/>
    <n v="90"/>
    <n v="79"/>
    <s v="Normal"/>
    <n v="13"/>
    <n v="14.5"/>
    <x v="0"/>
  </r>
  <r>
    <s v="F"/>
    <x v="15"/>
    <n v="62.1"/>
    <n v="1.76"/>
    <n v="20"/>
    <n v="70.599999999999994"/>
    <s v="126/89"/>
    <n v="226"/>
    <n v="63"/>
    <n v="107"/>
    <s v="Y"/>
    <s v="N"/>
    <s v="High"/>
    <s v="N"/>
    <n v="176"/>
    <n v="0.40100000000000002"/>
    <n v="126"/>
    <n v="89"/>
    <s v="Hypertension Stage 1"/>
    <n v="133"/>
    <m/>
    <x v="0"/>
  </r>
  <r>
    <s v="M"/>
    <x v="4"/>
    <n v="56"/>
    <n v="1.82"/>
    <n v="16.899999999999999"/>
    <n v="104.2"/>
    <s v="132/78"/>
    <n v="144"/>
    <n v="43"/>
    <n v="98"/>
    <s v="Y"/>
    <s v="N"/>
    <s v="Low"/>
    <s v="Y"/>
    <n v="182"/>
    <m/>
    <n v="132"/>
    <n v="78"/>
    <s v="Hypertension Stage 1"/>
    <n v="71"/>
    <n v="12.86"/>
    <x v="1"/>
  </r>
  <r>
    <s v="F"/>
    <x v="16"/>
    <n v="68.599999999999994"/>
    <n v="1.89"/>
    <n v="19.2"/>
    <n v="88.2"/>
    <s v="121/67"/>
    <n v="199"/>
    <n v="73"/>
    <n v="129"/>
    <s v="N"/>
    <s v="Y"/>
    <s v="High"/>
    <s v="N"/>
    <n v="189"/>
    <n v="0.46700000000000003"/>
    <n v="121"/>
    <n v="67"/>
    <s v="Elevated"/>
    <n v="96"/>
    <n v="15.87"/>
    <x v="0"/>
  </r>
  <r>
    <s v="F"/>
    <x v="30"/>
    <n v="51.7"/>
    <n v="1.63"/>
    <n v="19.5"/>
    <n v="105.1"/>
    <s v="137/64"/>
    <n v="135"/>
    <n v="77"/>
    <n v="125"/>
    <s v="N"/>
    <s v="Y"/>
    <s v="Moderate"/>
    <s v="Y"/>
    <n v="163"/>
    <n v="0.64500000000000002"/>
    <n v="137"/>
    <n v="64"/>
    <s v="Hypertension Stage 1"/>
    <n v="28"/>
    <n v="15.45"/>
    <x v="0"/>
  </r>
  <r>
    <s v="M"/>
    <x v="27"/>
    <n v="95.4"/>
    <n v="1.87"/>
    <n v="27.3"/>
    <n v="94.4"/>
    <s v="130/66"/>
    <m/>
    <n v="56"/>
    <n v="128"/>
    <s v="Y"/>
    <s v="N"/>
    <s v="High"/>
    <s v="Y"/>
    <n v="187"/>
    <n v="0.505"/>
    <n v="130"/>
    <n v="66"/>
    <s v="Hypertension Stage 1"/>
    <n v="24"/>
    <n v="14.16"/>
    <x v="1"/>
  </r>
  <r>
    <s v="F"/>
    <x v="14"/>
    <m/>
    <n v="1.71"/>
    <n v="29"/>
    <n v="92.8"/>
    <s v="149/69"/>
    <n v="151"/>
    <n v="42"/>
    <n v="99"/>
    <s v="N"/>
    <s v="N"/>
    <s v="High"/>
    <s v="Y"/>
    <n v="171"/>
    <n v="0.54300000000000004"/>
    <n v="149"/>
    <n v="69"/>
    <s v="Hypertension Stage 2"/>
    <n v="79"/>
    <n v="16.27"/>
    <x v="0"/>
  </r>
  <r>
    <s v="F"/>
    <x v="25"/>
    <n v="111.3"/>
    <n v="1.82"/>
    <n v="33.6"/>
    <n v="79.5"/>
    <s v="110/86"/>
    <n v="296"/>
    <n v="62"/>
    <n v="137"/>
    <s v="N"/>
    <s v="Y"/>
    <s v="Moderate"/>
    <s v="N"/>
    <n v="182"/>
    <n v="0.437"/>
    <n v="110"/>
    <n v="86"/>
    <s v="Hypertension Stage 1"/>
    <n v="204"/>
    <n v="20.14"/>
    <x v="1"/>
  </r>
  <r>
    <s v="F"/>
    <x v="14"/>
    <n v="100.7"/>
    <n v="1.83"/>
    <n v="30.1"/>
    <n v="108.8"/>
    <s v="143/64"/>
    <n v="162"/>
    <n v="57"/>
    <n v="90"/>
    <s v="Y"/>
    <s v="N"/>
    <s v="Moderate"/>
    <s v="N"/>
    <n v="183"/>
    <n v="0.59499999999999997"/>
    <n v="143"/>
    <n v="64"/>
    <s v="Hypertension Stage 2"/>
    <n v="75"/>
    <m/>
    <x v="0"/>
  </r>
  <r>
    <s v="M"/>
    <x v="1"/>
    <n v="110.5"/>
    <n v="1.73"/>
    <n v="36.9"/>
    <m/>
    <s v="118/72"/>
    <n v="196"/>
    <n v="39"/>
    <n v="98"/>
    <s v="Y"/>
    <s v="N"/>
    <s v="High"/>
    <s v="Y"/>
    <n v="173"/>
    <n v="0.441"/>
    <n v="118"/>
    <n v="72"/>
    <s v="Normal"/>
    <n v="127"/>
    <m/>
    <x v="1"/>
  </r>
  <r>
    <s v="F"/>
    <x v="11"/>
    <n v="101.7"/>
    <n v="1.82"/>
    <n v="30.7"/>
    <n v="77.099999999999994"/>
    <s v="125/80"/>
    <n v="172"/>
    <n v="42"/>
    <n v="135"/>
    <s v="N"/>
    <s v="N"/>
    <s v="Low"/>
    <s v="N"/>
    <n v="182"/>
    <n v="0.42399999999999999"/>
    <n v="125"/>
    <n v="80"/>
    <s v="Hypertension Stage 1"/>
    <n v="100"/>
    <n v="15.83"/>
    <x v="0"/>
  </r>
  <r>
    <s v="F"/>
    <x v="6"/>
    <n v="95.7"/>
    <n v="1.76"/>
    <n v="30.9"/>
    <n v="102.8"/>
    <s v="93/71"/>
    <n v="256"/>
    <n v="47"/>
    <n v="102"/>
    <s v="N"/>
    <s v="Y"/>
    <s v="Low"/>
    <s v="N"/>
    <m/>
    <n v="0.58399999999999996"/>
    <n v="93"/>
    <m/>
    <s v="Normal"/>
    <n v="179"/>
    <n v="17.95"/>
    <x v="1"/>
  </r>
  <r>
    <s v="F"/>
    <x v="29"/>
    <n v="104.2"/>
    <n v="1.7"/>
    <n v="36.1"/>
    <n v="73.7"/>
    <s v="150/67"/>
    <n v="155"/>
    <n v="59"/>
    <n v="115"/>
    <s v="Y"/>
    <s v="Y"/>
    <s v="Low"/>
    <s v="N"/>
    <n v="170"/>
    <n v="0.434"/>
    <n v="150"/>
    <n v="67"/>
    <s v="Hypertension Stage 2"/>
    <n v="66"/>
    <n v="19.82"/>
    <x v="1"/>
  </r>
  <r>
    <s v="M"/>
    <x v="20"/>
    <n v="62.1"/>
    <n v="1.8"/>
    <n v="19.2"/>
    <n v="84.1"/>
    <s v="117/60"/>
    <n v="141"/>
    <n v="45"/>
    <n v="117"/>
    <s v="Y"/>
    <s v="Y"/>
    <s v="High"/>
    <s v="N"/>
    <n v="180"/>
    <n v="0.46700000000000003"/>
    <n v="117"/>
    <n v="60"/>
    <s v="Normal"/>
    <n v="66"/>
    <n v="14.51"/>
    <x v="0"/>
  </r>
  <r>
    <s v="M"/>
    <x v="3"/>
    <n v="97.8"/>
    <n v="1.63"/>
    <n v="36.799999999999997"/>
    <n v="104"/>
    <s v="141/68"/>
    <n v="155"/>
    <n v="55"/>
    <n v="142"/>
    <s v="Y"/>
    <s v="Y"/>
    <s v="Moderate"/>
    <s v="N"/>
    <n v="163"/>
    <m/>
    <n v="141"/>
    <n v="68"/>
    <s v="Hypertension Stage 2"/>
    <n v="70"/>
    <n v="19.510000000000002"/>
    <x v="0"/>
  </r>
  <r>
    <s v="F"/>
    <x v="2"/>
    <n v="54.7"/>
    <n v="1.82"/>
    <n v="16.5"/>
    <n v="83.2"/>
    <s v="150/81"/>
    <n v="193"/>
    <n v="61"/>
    <n v="133"/>
    <s v="Y"/>
    <s v="Y"/>
    <s v="High"/>
    <s v="N"/>
    <m/>
    <n v="0.45700000000000002"/>
    <n v="150"/>
    <n v="81"/>
    <s v="Hypertension Stage 1"/>
    <n v="102"/>
    <n v="16.66"/>
    <x v="0"/>
  </r>
  <r>
    <s v="M"/>
    <x v="16"/>
    <n v="62.7"/>
    <n v="1.6"/>
    <n v="24.5"/>
    <n v="73.7"/>
    <s v="131/73"/>
    <n v="172"/>
    <n v="73"/>
    <n v="142"/>
    <s v="Y"/>
    <s v="Y"/>
    <s v="High"/>
    <s v="Y"/>
    <n v="160"/>
    <n v="0.46100000000000002"/>
    <m/>
    <n v="73"/>
    <s v="Hypertension Stage 1"/>
    <n v="69"/>
    <n v="16.89"/>
    <x v="1"/>
  </r>
  <r>
    <s v="F"/>
    <x v="18"/>
    <n v="68.599999999999994"/>
    <n v="1.73"/>
    <n v="22.9"/>
    <n v="86.7"/>
    <s v="142/66"/>
    <n v="142"/>
    <n v="59"/>
    <n v="94"/>
    <s v="N"/>
    <s v="Y"/>
    <s v="High"/>
    <s v="N"/>
    <n v="173"/>
    <n v="0.501"/>
    <n v="142"/>
    <n v="66"/>
    <s v="Hypertension Stage 2"/>
    <n v="53"/>
    <n v="16.52"/>
    <x v="2"/>
  </r>
  <r>
    <s v="M"/>
    <x v="27"/>
    <n v="95.3"/>
    <n v="1.9"/>
    <n v="26.4"/>
    <n v="90"/>
    <s v="125/90"/>
    <n v="205"/>
    <n v="38"/>
    <n v="82"/>
    <s v="N"/>
    <s v="Y"/>
    <s v="Moderate"/>
    <s v="N"/>
    <n v="190"/>
    <n v="0.47399999999999998"/>
    <n v="125"/>
    <n v="90"/>
    <s v="Hypertension Stage 2"/>
    <n v="137"/>
    <n v="17.63"/>
    <x v="1"/>
  </r>
  <r>
    <s v="M"/>
    <x v="19"/>
    <n v="65.5"/>
    <n v="1.8"/>
    <n v="20.2"/>
    <n v="79.2"/>
    <s v="124/61"/>
    <n v="266"/>
    <n v="60"/>
    <n v="111"/>
    <s v="Y"/>
    <s v="Y"/>
    <s v="Low"/>
    <s v="N"/>
    <n v="180"/>
    <n v="0.44"/>
    <n v="124"/>
    <n v="61"/>
    <s v="Elevated"/>
    <n v="176"/>
    <n v="17.559999999999999"/>
    <x v="1"/>
  </r>
  <r>
    <s v="M"/>
    <x v="24"/>
    <n v="110.9"/>
    <n v="1.83"/>
    <n v="33.1"/>
    <n v="90.5"/>
    <s v="129/61"/>
    <n v="160"/>
    <m/>
    <n v="144"/>
    <s v="N"/>
    <s v="Y"/>
    <s v="Moderate"/>
    <s v="N"/>
    <n v="183"/>
    <m/>
    <n v="129"/>
    <n v="61"/>
    <s v="Elevated"/>
    <n v="62"/>
    <n v="18.27"/>
    <x v="0"/>
  </r>
  <r>
    <s v="M"/>
    <x v="1"/>
    <n v="75.3"/>
    <n v="1.66"/>
    <n v="27.3"/>
    <n v="76.3"/>
    <s v="134/90"/>
    <n v="122"/>
    <n v="51"/>
    <n v="81"/>
    <s v="Y"/>
    <s v="Y"/>
    <s v="Moderate"/>
    <s v="Y"/>
    <n v="166"/>
    <n v="0.46"/>
    <n v="134"/>
    <n v="90"/>
    <s v="Hypertension Stage 1"/>
    <n v="41"/>
    <m/>
    <x v="1"/>
  </r>
  <r>
    <s v="F"/>
    <x v="19"/>
    <n v="92.3"/>
    <n v="1.72"/>
    <n v="31.2"/>
    <n v="94"/>
    <s v="108/71"/>
    <n v="182"/>
    <n v="60"/>
    <n v="73"/>
    <s v="N"/>
    <s v="N"/>
    <s v="Moderate"/>
    <s v="N"/>
    <n v="172"/>
    <n v="0.54700000000000004"/>
    <n v="108"/>
    <n v="71"/>
    <s v="Normal"/>
    <n v="92"/>
    <n v="15.28"/>
    <x v="2"/>
  </r>
  <r>
    <s v="F"/>
    <x v="21"/>
    <n v="69.099999999999994"/>
    <m/>
    <n v="19.600000000000001"/>
    <m/>
    <s v="92/95"/>
    <n v="263"/>
    <n v="74"/>
    <n v="94"/>
    <s v="N"/>
    <s v="N"/>
    <s v="Low"/>
    <s v="N"/>
    <n v="188"/>
    <n v="0.54500000000000004"/>
    <n v="92"/>
    <n v="95"/>
    <s v="Hypertension Stage 2"/>
    <m/>
    <n v="13.78"/>
    <x v="0"/>
  </r>
  <r>
    <s v="M"/>
    <x v="27"/>
    <n v="119"/>
    <n v="1.64"/>
    <n v="44.2"/>
    <n v="70.900000000000006"/>
    <s v="126/77"/>
    <n v="188"/>
    <n v="68"/>
    <n v="113"/>
    <s v="Y"/>
    <s v="Y"/>
    <s v="Moderate"/>
    <s v="Y"/>
    <n v="164"/>
    <n v="0.432"/>
    <n v="126"/>
    <n v="77"/>
    <s v="Elevated"/>
    <n v="90"/>
    <m/>
    <x v="1"/>
  </r>
  <r>
    <s v="F"/>
    <x v="21"/>
    <n v="114.2"/>
    <n v="1.89"/>
    <n v="32"/>
    <n v="84.4"/>
    <s v="109/91"/>
    <n v="153"/>
    <n v="68"/>
    <n v="137"/>
    <s v="N"/>
    <s v="Y"/>
    <s v="High"/>
    <s v="Y"/>
    <n v="189"/>
    <n v="0.44700000000000001"/>
    <n v="109"/>
    <n v="91"/>
    <s v="Hypertension Stage 2"/>
    <n v="55"/>
    <n v="16.91"/>
    <x v="0"/>
  </r>
  <r>
    <s v="M"/>
    <x v="25"/>
    <m/>
    <n v="1.79"/>
    <n v="22.7"/>
    <n v="104.8"/>
    <s v="150/97"/>
    <n v="295"/>
    <n v="57"/>
    <n v="93"/>
    <s v="N"/>
    <s v="Y"/>
    <s v="Moderate"/>
    <s v="N"/>
    <n v="179"/>
    <n v="0.58499999999999996"/>
    <n v="150"/>
    <n v="97"/>
    <s v="Hypertension Stage 2"/>
    <n v="208"/>
    <n v="19.940000000000001"/>
    <x v="0"/>
  </r>
  <r>
    <s v="M"/>
    <x v="31"/>
    <n v="53.1"/>
    <n v="1.73"/>
    <n v="17.7"/>
    <n v="103.3"/>
    <s v="137/65"/>
    <m/>
    <n v="71"/>
    <n v="106"/>
    <s v="Y"/>
    <s v="N"/>
    <s v="Moderate"/>
    <s v="N"/>
    <n v="173"/>
    <n v="0.59699999999999998"/>
    <n v="137"/>
    <n v="65"/>
    <s v="Hypertension Stage 1"/>
    <n v="56"/>
    <n v="13.53"/>
    <x v="0"/>
  </r>
  <r>
    <s v="M"/>
    <x v="2"/>
    <n v="94.9"/>
    <n v="1.67"/>
    <n v="34"/>
    <n v="98.6"/>
    <s v="150/86"/>
    <n v="234"/>
    <m/>
    <n v="148"/>
    <s v="Y"/>
    <s v="N"/>
    <s v="Moderate"/>
    <s v="Y"/>
    <n v="167"/>
    <n v="0.59"/>
    <n v="150"/>
    <n v="86"/>
    <s v="Hypertension Stage 1"/>
    <n v="136"/>
    <n v="18.98"/>
    <x v="1"/>
  </r>
  <r>
    <s v="F"/>
    <x v="8"/>
    <n v="88.9"/>
    <n v="1.88"/>
    <n v="25.2"/>
    <n v="97.9"/>
    <s v="110/72"/>
    <n v="234"/>
    <n v="63"/>
    <n v="96"/>
    <s v="Y"/>
    <s v="Y"/>
    <s v="Moderate"/>
    <s v="N"/>
    <n v="188"/>
    <n v="0.52100000000000002"/>
    <n v="110"/>
    <n v="72"/>
    <s v="Normal"/>
    <n v="141"/>
    <n v="17.22"/>
    <x v="1"/>
  </r>
  <r>
    <s v="M"/>
    <x v="3"/>
    <n v="86.5"/>
    <n v="1.67"/>
    <n v="31"/>
    <n v="81.400000000000006"/>
    <s v="101/73"/>
    <n v="103"/>
    <n v="58"/>
    <n v="79"/>
    <s v="Y"/>
    <s v="Y"/>
    <s v="Moderate"/>
    <s v="Y"/>
    <n v="167"/>
    <n v="0.48699999999999999"/>
    <n v="101"/>
    <n v="73"/>
    <s v="Normal"/>
    <n v="15"/>
    <n v="15.31"/>
    <x v="1"/>
  </r>
  <r>
    <s v="M"/>
    <x v="21"/>
    <n v="104.5"/>
    <n v="1.66"/>
    <n v="37.9"/>
    <n v="90.2"/>
    <s v="123/62"/>
    <n v="125"/>
    <n v="32"/>
    <n v="134"/>
    <s v="Y"/>
    <s v="Y"/>
    <s v="High"/>
    <s v="Y"/>
    <n v="166"/>
    <n v="0.54300000000000004"/>
    <n v="123"/>
    <n v="62"/>
    <s v="Elevated"/>
    <n v="63"/>
    <n v="18.23"/>
    <x v="1"/>
  </r>
  <r>
    <s v="F"/>
    <x v="30"/>
    <n v="58.5"/>
    <n v="1.72"/>
    <n v="19.8"/>
    <n v="90.1"/>
    <s v="150/79"/>
    <n v="131"/>
    <n v="62"/>
    <n v="150"/>
    <s v="Y"/>
    <s v="N"/>
    <s v="Moderate"/>
    <s v="N"/>
    <n v="172"/>
    <n v="0.52400000000000002"/>
    <n v="150"/>
    <n v="79"/>
    <s v="Hypertension Stage 2"/>
    <n v="39"/>
    <n v="14.08"/>
    <x v="0"/>
  </r>
  <r>
    <s v="F"/>
    <x v="31"/>
    <n v="119.8"/>
    <n v="1.62"/>
    <n v="45.6"/>
    <n v="103.9"/>
    <s v="129/98"/>
    <n v="185"/>
    <n v="38"/>
    <n v="85"/>
    <s v="Y"/>
    <s v="N"/>
    <s v="Low"/>
    <s v="Y"/>
    <n v="162"/>
    <n v="0.64100000000000001"/>
    <n v="129"/>
    <n v="98"/>
    <s v="Hypertension Stage 2"/>
    <n v="117"/>
    <n v="19.27"/>
    <x v="1"/>
  </r>
  <r>
    <s v="M"/>
    <x v="30"/>
    <m/>
    <n v="1.63"/>
    <n v="23.1"/>
    <n v="93.8"/>
    <s v="144/91"/>
    <n v="191"/>
    <n v="79"/>
    <n v="117"/>
    <s v="Y"/>
    <s v="Y"/>
    <s v="Moderate"/>
    <s v="Y"/>
    <n v="163"/>
    <n v="0.57499999999999996"/>
    <n v="144"/>
    <m/>
    <s v="Hypertension Stage 2"/>
    <n v="82"/>
    <n v="17.64"/>
    <x v="1"/>
  </r>
  <r>
    <s v="F"/>
    <x v="28"/>
    <n v="50.2"/>
    <n v="1.65"/>
    <n v="18.399999999999999"/>
    <n v="80.099999999999994"/>
    <s v="108/73"/>
    <n v="257"/>
    <n v="78"/>
    <n v="104"/>
    <s v="N"/>
    <s v="N"/>
    <s v="Low"/>
    <s v="Y"/>
    <n v="165"/>
    <n v="0.48499999999999999"/>
    <n v="108"/>
    <n v="73"/>
    <s v="Normal"/>
    <n v="149"/>
    <n v="14.22"/>
    <x v="1"/>
  </r>
  <r>
    <s v="M"/>
    <x v="31"/>
    <n v="114.1"/>
    <n v="1.61"/>
    <n v="44"/>
    <n v="107.2"/>
    <s v="134/88"/>
    <n v="279"/>
    <n v="49"/>
    <n v="75"/>
    <s v="Y"/>
    <s v="N"/>
    <s v="Low"/>
    <s v="N"/>
    <n v="161"/>
    <n v="0.66600000000000004"/>
    <n v="134"/>
    <n v="88"/>
    <s v="Hypertension Stage 1"/>
    <n v="200"/>
    <n v="21.08"/>
    <x v="1"/>
  </r>
  <r>
    <s v="F"/>
    <x v="23"/>
    <m/>
    <n v="1.64"/>
    <n v="27.4"/>
    <n v="75"/>
    <s v="149/92"/>
    <n v="235"/>
    <m/>
    <n v="146"/>
    <s v="Y"/>
    <s v="N"/>
    <s v="Low"/>
    <s v="Y"/>
    <n v="164"/>
    <n v="0.45700000000000002"/>
    <n v="149"/>
    <n v="92"/>
    <s v="Hypertension Stage 2"/>
    <n v="128"/>
    <n v="17.63"/>
    <x v="1"/>
  </r>
  <r>
    <s v="F"/>
    <x v="20"/>
    <n v="107.4"/>
    <n v="1.63"/>
    <n v="40.4"/>
    <n v="102.3"/>
    <s v="140/77"/>
    <n v="247"/>
    <n v="52"/>
    <n v="82"/>
    <s v="Y"/>
    <s v="N"/>
    <s v="High"/>
    <s v="Y"/>
    <n v="163"/>
    <n v="0.628"/>
    <n v="140"/>
    <n v="77"/>
    <s v="Hypertension Stage 2"/>
    <n v="165"/>
    <n v="20.02"/>
    <x v="1"/>
  </r>
  <r>
    <s v="M"/>
    <x v="24"/>
    <n v="111.9"/>
    <n v="1.81"/>
    <n v="34.200000000000003"/>
    <n v="75.900000000000006"/>
    <s v="142/88"/>
    <n v="136"/>
    <n v="66"/>
    <m/>
    <s v="Y"/>
    <s v="N"/>
    <s v="Moderate"/>
    <s v="N"/>
    <n v="181"/>
    <n v="0.41899999999999998"/>
    <n v="142"/>
    <n v="88"/>
    <s v="Hypertension Stage 1"/>
    <n v="40"/>
    <n v="16.66"/>
    <x v="0"/>
  </r>
  <r>
    <s v="F"/>
    <x v="6"/>
    <n v="75.2"/>
    <n v="1.8"/>
    <n v="23.2"/>
    <m/>
    <s v="108/67"/>
    <n v="187"/>
    <n v="49"/>
    <n v="113"/>
    <s v="Y"/>
    <s v="N"/>
    <s v="Moderate"/>
    <s v="Y"/>
    <n v="180"/>
    <n v="0.59799999999999998"/>
    <n v="108"/>
    <n v="67"/>
    <s v="Normal"/>
    <n v="108"/>
    <m/>
    <x v="0"/>
  </r>
  <r>
    <s v="M"/>
    <x v="27"/>
    <n v="65.5"/>
    <n v="1.63"/>
    <n v="24.7"/>
    <n v="74.599999999999994"/>
    <s v="123/99"/>
    <n v="166"/>
    <n v="41"/>
    <n v="107"/>
    <s v="Y"/>
    <s v="Y"/>
    <s v="Moderate"/>
    <s v="N"/>
    <n v="163"/>
    <n v="0.45800000000000002"/>
    <n v="123"/>
    <n v="99"/>
    <s v="Hypertension Stage 2"/>
    <n v="95"/>
    <n v="16.41"/>
    <x v="0"/>
  </r>
  <r>
    <s v="F"/>
    <x v="1"/>
    <n v="115.3"/>
    <m/>
    <n v="32.299999999999997"/>
    <n v="85.6"/>
    <s v="113/98"/>
    <n v="192"/>
    <n v="55"/>
    <n v="83"/>
    <s v="N"/>
    <s v="Y"/>
    <s v="Low"/>
    <s v="Y"/>
    <m/>
    <n v="0.45300000000000001"/>
    <n v="113"/>
    <n v="98"/>
    <s v="Hypertension Stage 2"/>
    <n v="107"/>
    <n v="17.95"/>
    <x v="1"/>
  </r>
  <r>
    <s v="F"/>
    <x v="8"/>
    <n v="106.8"/>
    <n v="1.79"/>
    <n v="33.299999999999997"/>
    <n v="93.2"/>
    <s v="110/64"/>
    <n v="150"/>
    <n v="61"/>
    <n v="91"/>
    <s v="N"/>
    <s v="Y"/>
    <s v="Moderate"/>
    <s v="N"/>
    <n v="179"/>
    <n v="0.52100000000000002"/>
    <n v="110"/>
    <n v="64"/>
    <s v="Normal"/>
    <n v="59"/>
    <n v="17.16"/>
    <x v="0"/>
  </r>
  <r>
    <s v="M"/>
    <x v="8"/>
    <n v="71.099999999999994"/>
    <n v="1.74"/>
    <n v="23.5"/>
    <n v="71.7"/>
    <s v="99/62"/>
    <n v="226"/>
    <n v="66"/>
    <n v="114"/>
    <s v="N"/>
    <s v="N"/>
    <s v="Low"/>
    <s v="Y"/>
    <n v="174"/>
    <n v="0.41199999999999998"/>
    <n v="99"/>
    <n v="62"/>
    <s v="Normal"/>
    <n v="130"/>
    <n v="14.17"/>
    <x v="1"/>
  </r>
  <r>
    <s v="M"/>
    <x v="24"/>
    <n v="73.5"/>
    <n v="1.62"/>
    <n v="28"/>
    <n v="86.7"/>
    <s v="111/87"/>
    <n v="200"/>
    <n v="62"/>
    <n v="100"/>
    <s v="N"/>
    <s v="N"/>
    <s v="High"/>
    <s v="N"/>
    <n v="162"/>
    <n v="0.53500000000000003"/>
    <n v="111"/>
    <n v="87"/>
    <s v="Hypertension Stage 1"/>
    <n v="108"/>
    <n v="15.15"/>
    <x v="2"/>
  </r>
  <r>
    <s v="M"/>
    <x v="30"/>
    <n v="51.6"/>
    <n v="1.77"/>
    <n v="16.5"/>
    <n v="91.7"/>
    <s v="98/65"/>
    <n v="289"/>
    <n v="62"/>
    <n v="83"/>
    <s v="N"/>
    <s v="Y"/>
    <s v="Moderate"/>
    <s v="Y"/>
    <n v="177"/>
    <n v="0.51800000000000002"/>
    <n v="98"/>
    <n v="65"/>
    <s v="Normal"/>
    <n v="197"/>
    <n v="15.98"/>
    <x v="1"/>
  </r>
  <r>
    <s v="F"/>
    <x v="2"/>
    <n v="73.400000000000006"/>
    <n v="1.65"/>
    <n v="27"/>
    <n v="78.099999999999994"/>
    <s v="90/74"/>
    <n v="135"/>
    <n v="60"/>
    <n v="150"/>
    <s v="N"/>
    <s v="N"/>
    <s v="High"/>
    <s v="N"/>
    <n v="165"/>
    <n v="0.47299999999999998"/>
    <n v="90"/>
    <n v="74"/>
    <s v="Normal"/>
    <n v="45"/>
    <n v="12.6"/>
    <x v="2"/>
  </r>
  <r>
    <s v="F"/>
    <x v="11"/>
    <n v="107.5"/>
    <n v="1.63"/>
    <n v="40.5"/>
    <n v="87.3"/>
    <s v="104/70"/>
    <n v="289"/>
    <n v="41"/>
    <n v="80"/>
    <s v="N"/>
    <s v="Y"/>
    <s v="High"/>
    <s v="N"/>
    <n v="163"/>
    <n v="0.53600000000000003"/>
    <n v="104"/>
    <n v="70"/>
    <s v="Normal"/>
    <m/>
    <n v="21.08"/>
    <x v="0"/>
  </r>
  <r>
    <s v="M"/>
    <x v="6"/>
    <n v="67.900000000000006"/>
    <n v="1.61"/>
    <n v="26.2"/>
    <n v="79.3"/>
    <s v="147/71"/>
    <n v="122"/>
    <n v="74"/>
    <n v="95"/>
    <s v="Y"/>
    <s v="Y"/>
    <s v="Low"/>
    <s v="Y"/>
    <n v="161"/>
    <n v="0.49299999999999999"/>
    <n v="147"/>
    <n v="71"/>
    <s v="Hypertension Stage 2"/>
    <m/>
    <n v="17.03"/>
    <x v="1"/>
  </r>
  <r>
    <s v="F"/>
    <x v="11"/>
    <n v="63.2"/>
    <n v="1.89"/>
    <n v="17.7"/>
    <n v="73.099999999999994"/>
    <s v="95/90"/>
    <n v="252"/>
    <n v="63"/>
    <n v="130"/>
    <s v="N"/>
    <s v="Y"/>
    <s v="Moderate"/>
    <s v="N"/>
    <n v="189"/>
    <n v="0.38700000000000001"/>
    <n v="95"/>
    <n v="90"/>
    <s v="Hypertension Stage 2"/>
    <n v="159"/>
    <n v="15.33"/>
    <x v="0"/>
  </r>
  <r>
    <s v="M"/>
    <x v="16"/>
    <n v="108"/>
    <n v="1.89"/>
    <n v="30.2"/>
    <n v="86"/>
    <s v="141/62"/>
    <n v="261"/>
    <n v="68"/>
    <n v="109"/>
    <s v="N"/>
    <s v="N"/>
    <s v="Low"/>
    <s v="Y"/>
    <n v="189"/>
    <n v="0.45500000000000002"/>
    <n v="141"/>
    <n v="62"/>
    <s v="Hypertension Stage 2"/>
    <n v="163"/>
    <n v="18.309999999999999"/>
    <x v="1"/>
  </r>
  <r>
    <s v="F"/>
    <x v="0"/>
    <n v="54"/>
    <n v="1.63"/>
    <n v="20.3"/>
    <n v="108.3"/>
    <s v="103/63"/>
    <n v="288"/>
    <n v="62"/>
    <n v="76"/>
    <s v="N"/>
    <s v="N"/>
    <s v="Low"/>
    <s v="N"/>
    <n v="163"/>
    <n v="0.66400000000000003"/>
    <n v="103"/>
    <n v="63"/>
    <s v="Normal"/>
    <n v="196"/>
    <n v="14.97"/>
    <x v="0"/>
  </r>
  <r>
    <s v="M"/>
    <x v="17"/>
    <n v="61.2"/>
    <n v="1.7"/>
    <n v="21.2"/>
    <n v="92.6"/>
    <s v="98/89"/>
    <n v="209"/>
    <n v="65"/>
    <n v="121"/>
    <s v="Y"/>
    <s v="Y"/>
    <s v="Moderate"/>
    <s v="N"/>
    <n v="170"/>
    <n v="0.54500000000000004"/>
    <n v="98"/>
    <n v="89"/>
    <s v="Hypertension Stage 1"/>
    <n v="114"/>
    <m/>
    <x v="1"/>
  </r>
  <r>
    <s v="F"/>
    <x v="22"/>
    <n v="67.3"/>
    <n v="1.86"/>
    <n v="19.5"/>
    <n v="82.6"/>
    <s v="130/93"/>
    <n v="279"/>
    <n v="73"/>
    <n v="82"/>
    <s v="Y"/>
    <s v="Y"/>
    <s v="Moderate"/>
    <s v="N"/>
    <n v="186"/>
    <n v="0.44400000000000001"/>
    <n v="130"/>
    <n v="93"/>
    <s v="Hypertension Stage 1"/>
    <n v="176"/>
    <n v="17.98"/>
    <x v="1"/>
  </r>
  <r>
    <s v="M"/>
    <x v="21"/>
    <n v="116.5"/>
    <n v="1.62"/>
    <n v="44.4"/>
    <n v="103.3"/>
    <s v="139/62"/>
    <n v="113"/>
    <n v="62"/>
    <n v="110"/>
    <s v="N"/>
    <s v="Y"/>
    <s v="Low"/>
    <s v="N"/>
    <n v="162"/>
    <n v="0.63800000000000001"/>
    <n v="139"/>
    <n v="62"/>
    <s v="Hypertension Stage 1"/>
    <n v="21"/>
    <n v="20.09"/>
    <x v="0"/>
  </r>
  <r>
    <s v="F"/>
    <x v="2"/>
    <n v="118.5"/>
    <n v="1.77"/>
    <n v="37.799999999999997"/>
    <n v="91.7"/>
    <s v="121/84"/>
    <n v="185"/>
    <n v="30"/>
    <n v="123"/>
    <s v="N"/>
    <s v="Y"/>
    <s v="Low"/>
    <s v="N"/>
    <n v="177"/>
    <n v="0.51800000000000002"/>
    <n v="121"/>
    <n v="84"/>
    <s v="Hypertension Stage 1"/>
    <n v="125"/>
    <n v="19.309999999999999"/>
    <x v="1"/>
  </r>
  <r>
    <s v="M"/>
    <x v="9"/>
    <n v="66.8"/>
    <n v="1.68"/>
    <n v="23.7"/>
    <n v="76.2"/>
    <s v="136/78"/>
    <n v="204"/>
    <n v="55"/>
    <n v="75"/>
    <s v="N"/>
    <s v="Y"/>
    <s v="Low"/>
    <s v="N"/>
    <n v="168"/>
    <n v="0.45400000000000001"/>
    <m/>
    <n v="78"/>
    <s v="Hypertension Stage 1"/>
    <n v="119"/>
    <n v="17.62"/>
    <x v="0"/>
  </r>
  <r>
    <s v="M"/>
    <x v="12"/>
    <n v="102.5"/>
    <n v="1.84"/>
    <n v="30.3"/>
    <n v="84"/>
    <s v="134/60"/>
    <n v="292"/>
    <n v="38"/>
    <m/>
    <s v="N"/>
    <s v="N"/>
    <s v="Moderate"/>
    <s v="N"/>
    <n v="184"/>
    <n v="0.45700000000000002"/>
    <n v="134"/>
    <n v="60"/>
    <s v="Hypertension Stage 1"/>
    <n v="224"/>
    <n v="18.600000000000001"/>
    <x v="0"/>
  </r>
  <r>
    <s v="M"/>
    <x v="25"/>
    <n v="111.6"/>
    <n v="1.81"/>
    <n v="34.1"/>
    <n v="86"/>
    <s v="102/100"/>
    <n v="161"/>
    <n v="69"/>
    <n v="145"/>
    <s v="Y"/>
    <s v="Y"/>
    <s v="Moderate"/>
    <s v="N"/>
    <n v="181"/>
    <n v="0.47499999999999998"/>
    <n v="102"/>
    <n v="100"/>
    <s v="Hypertension Stage 2"/>
    <n v="62"/>
    <n v="17.14"/>
    <x v="1"/>
  </r>
  <r>
    <s v="F"/>
    <x v="7"/>
    <n v="95.6"/>
    <n v="1.9"/>
    <n v="26.5"/>
    <n v="102.6"/>
    <s v="124/98"/>
    <n v="192"/>
    <n v="37"/>
    <n v="70"/>
    <s v="Y"/>
    <s v="Y"/>
    <s v="Moderate"/>
    <s v="Y"/>
    <n v="190"/>
    <m/>
    <n v="124"/>
    <n v="98"/>
    <s v="Hypertension Stage 2"/>
    <n v="125"/>
    <n v="17.34"/>
    <x v="1"/>
  </r>
  <r>
    <s v="M"/>
    <x v="0"/>
    <n v="58.9"/>
    <n v="1.74"/>
    <n v="19.5"/>
    <n v="107.1"/>
    <s v="123/83"/>
    <m/>
    <n v="37"/>
    <n v="123"/>
    <s v="Y"/>
    <s v="N"/>
    <s v="Low"/>
    <s v="N"/>
    <n v="174"/>
    <n v="0.61599999999999999"/>
    <n v="123"/>
    <n v="83"/>
    <s v="Hypertension Stage 1"/>
    <n v="202"/>
    <n v="15.43"/>
    <x v="1"/>
  </r>
  <r>
    <s v="M"/>
    <x v="0"/>
    <n v="68.900000000000006"/>
    <n v="1.85"/>
    <n v="20.100000000000001"/>
    <n v="85.8"/>
    <s v="111/73"/>
    <n v="151"/>
    <n v="35"/>
    <n v="136"/>
    <s v="Y"/>
    <s v="Y"/>
    <s v="Moderate"/>
    <s v="N"/>
    <n v="185"/>
    <m/>
    <n v="111"/>
    <n v="73"/>
    <s v="Normal"/>
    <m/>
    <n v="14.59"/>
    <x v="0"/>
  </r>
  <r>
    <s v="F"/>
    <x v="9"/>
    <n v="94.3"/>
    <n v="1.72"/>
    <n v="31.9"/>
    <n v="76.599999999999994"/>
    <s v="144/92"/>
    <n v="166"/>
    <n v="44"/>
    <n v="139"/>
    <s v="N"/>
    <s v="N"/>
    <s v="High"/>
    <s v="N"/>
    <n v="172"/>
    <n v="0.44500000000000001"/>
    <m/>
    <n v="92"/>
    <s v="Hypertension Stage 2"/>
    <n v="92"/>
    <n v="16.899999999999999"/>
    <x v="2"/>
  </r>
  <r>
    <s v="M"/>
    <x v="31"/>
    <n v="119.2"/>
    <n v="1.68"/>
    <n v="42.2"/>
    <n v="79.2"/>
    <s v="114/88"/>
    <n v="265"/>
    <n v="70"/>
    <n v="109"/>
    <s v="N"/>
    <s v="Y"/>
    <s v="Moderate"/>
    <s v="Y"/>
    <n v="168"/>
    <m/>
    <n v="114"/>
    <n v="88"/>
    <s v="Hypertension Stage 1"/>
    <n v="165"/>
    <n v="21.44"/>
    <x v="1"/>
  </r>
  <r>
    <s v="M"/>
    <x v="28"/>
    <n v="57.9"/>
    <n v="1.67"/>
    <n v="20.8"/>
    <n v="101.4"/>
    <s v="140/98"/>
    <n v="265"/>
    <n v="46"/>
    <n v="86"/>
    <s v="N"/>
    <s v="N"/>
    <s v="High"/>
    <s v="Y"/>
    <n v="167"/>
    <n v="0.60699999999999998"/>
    <n v="140"/>
    <n v="98"/>
    <s v="Hypertension Stage 2"/>
    <n v="189"/>
    <n v="16.46"/>
    <x v="0"/>
  </r>
  <r>
    <s v="F"/>
    <x v="6"/>
    <n v="119"/>
    <n v="1.73"/>
    <n v="39.799999999999997"/>
    <n v="86.2"/>
    <s v="127/87"/>
    <n v="215"/>
    <n v="30"/>
    <n v="94"/>
    <s v="N"/>
    <s v="Y"/>
    <s v="High"/>
    <s v="N"/>
    <n v="173"/>
    <n v="0.498"/>
    <m/>
    <n v="87"/>
    <s v="Hypertension Stage 1"/>
    <n v="155"/>
    <n v="20.61"/>
    <x v="1"/>
  </r>
  <r>
    <s v="F"/>
    <x v="10"/>
    <n v="54.2"/>
    <n v="1.85"/>
    <n v="15.8"/>
    <n v="88.6"/>
    <s v="137/88"/>
    <n v="251"/>
    <n v="69"/>
    <n v="76"/>
    <s v="N"/>
    <s v="N"/>
    <s v="High"/>
    <s v="N"/>
    <n v="185"/>
    <n v="0.47899999999999998"/>
    <n v="137"/>
    <n v="88"/>
    <s v="Hypertension Stage 1"/>
    <n v="152"/>
    <n v="15.03"/>
    <x v="0"/>
  </r>
  <r>
    <s v="F"/>
    <x v="1"/>
    <n v="69.2"/>
    <m/>
    <n v="19.600000000000001"/>
    <n v="77.5"/>
    <s v="90/63"/>
    <n v="279"/>
    <n v="68"/>
    <n v="90"/>
    <s v="Y"/>
    <s v="N"/>
    <s v="Moderate"/>
    <s v="Y"/>
    <n v="188"/>
    <n v="0.41199999999999998"/>
    <m/>
    <n v="63"/>
    <s v="Normal"/>
    <n v="181"/>
    <n v="14"/>
    <x v="1"/>
  </r>
  <r>
    <s v="F"/>
    <x v="21"/>
    <n v="116.2"/>
    <n v="1.65"/>
    <n v="42.7"/>
    <n v="89.4"/>
    <s v="139/96"/>
    <n v="205"/>
    <n v="68"/>
    <n v="80"/>
    <s v="Y"/>
    <s v="Y"/>
    <s v="High"/>
    <s v="Y"/>
    <n v="165"/>
    <n v="0.54200000000000004"/>
    <n v="139"/>
    <n v="96"/>
    <s v="Hypertension Stage 1"/>
    <n v="107"/>
    <n v="21.59"/>
    <x v="1"/>
  </r>
  <r>
    <s v="F"/>
    <x v="17"/>
    <n v="90.7"/>
    <n v="1.7"/>
    <n v="31.4"/>
    <n v="77.599999999999994"/>
    <s v="103/63"/>
    <n v="141"/>
    <n v="68"/>
    <n v="79"/>
    <s v="N"/>
    <s v="Y"/>
    <s v="Low"/>
    <s v="N"/>
    <n v="170"/>
    <n v="0.45600000000000002"/>
    <n v="103"/>
    <m/>
    <s v="Normal"/>
    <n v="43"/>
    <n v="16.25"/>
    <x v="1"/>
  </r>
  <r>
    <s v="F"/>
    <x v="6"/>
    <n v="86.7"/>
    <n v="1.62"/>
    <n v="33"/>
    <n v="88.5"/>
    <s v="113/77"/>
    <n v="250"/>
    <n v="36"/>
    <n v="104"/>
    <s v="N"/>
    <s v="Y"/>
    <s v="High"/>
    <s v="Y"/>
    <n v="162"/>
    <n v="0.54600000000000004"/>
    <n v="113"/>
    <n v="77"/>
    <s v="Normal"/>
    <n v="184"/>
    <n v="19.25"/>
    <x v="1"/>
  </r>
  <r>
    <s v="M"/>
    <x v="21"/>
    <n v="75.099999999999994"/>
    <n v="1.89"/>
    <n v="21"/>
    <n v="104.3"/>
    <s v="112/93"/>
    <n v="111"/>
    <n v="42"/>
    <n v="95"/>
    <s v="N"/>
    <s v="Y"/>
    <s v="Low"/>
    <s v="N"/>
    <n v="189"/>
    <n v="0.55200000000000005"/>
    <n v="112"/>
    <n v="93"/>
    <s v="Hypertension Stage 2"/>
    <n v="39"/>
    <n v="14.02"/>
    <x v="0"/>
  </r>
  <r>
    <s v="M"/>
    <x v="2"/>
    <n v="64.900000000000006"/>
    <n v="1.83"/>
    <n v="19.399999999999999"/>
    <n v="99.8"/>
    <s v="96/93"/>
    <n v="173"/>
    <n v="65"/>
    <n v="101"/>
    <s v="N"/>
    <s v="N"/>
    <s v="High"/>
    <s v="N"/>
    <n v="183"/>
    <n v="0.54500000000000004"/>
    <n v="96"/>
    <n v="93"/>
    <s v="Hypertension Stage 2"/>
    <n v="78"/>
    <n v="12.14"/>
    <x v="2"/>
  </r>
  <r>
    <s v="F"/>
    <x v="17"/>
    <n v="79.099999999999994"/>
    <n v="1.81"/>
    <n v="24.1"/>
    <n v="76.400000000000006"/>
    <s v="118/97"/>
    <n v="147"/>
    <n v="70"/>
    <n v="83"/>
    <s v="Y"/>
    <s v="Y"/>
    <s v="Low"/>
    <s v="Y"/>
    <n v="181"/>
    <n v="0.42199999999999999"/>
    <n v="118"/>
    <n v="97"/>
    <s v="Hypertension Stage 2"/>
    <n v="47"/>
    <n v="15.66"/>
    <x v="1"/>
  </r>
  <r>
    <s v="M"/>
    <x v="7"/>
    <n v="103.6"/>
    <n v="1.83"/>
    <n v="30.9"/>
    <n v="78.599999999999994"/>
    <s v="94/78"/>
    <m/>
    <n v="79"/>
    <n v="75"/>
    <s v="N"/>
    <s v="N"/>
    <s v="Moderate"/>
    <s v="N"/>
    <n v="183"/>
    <n v="0.43"/>
    <n v="94"/>
    <n v="78"/>
    <s v="Normal"/>
    <n v="55"/>
    <n v="14.16"/>
    <x v="2"/>
  </r>
  <r>
    <s v="F"/>
    <x v="22"/>
    <n v="88.1"/>
    <n v="1.63"/>
    <n v="33.200000000000003"/>
    <n v="98.7"/>
    <s v="95/81"/>
    <n v="166"/>
    <n v="78"/>
    <n v="103"/>
    <s v="Y"/>
    <s v="Y"/>
    <s v="Low"/>
    <s v="Y"/>
    <m/>
    <n v="0.60599999999999998"/>
    <n v="95"/>
    <n v="81"/>
    <s v="Hypertension Stage 1"/>
    <n v="58"/>
    <n v="16.71"/>
    <x v="1"/>
  </r>
  <r>
    <s v="F"/>
    <x v="18"/>
    <n v="80"/>
    <n v="1.86"/>
    <n v="23.1"/>
    <n v="93.5"/>
    <s v="110/98"/>
    <n v="143"/>
    <n v="60"/>
    <n v="139"/>
    <s v="Y"/>
    <s v="N"/>
    <s v="High"/>
    <s v="Y"/>
    <n v="186"/>
    <n v="0.503"/>
    <n v="110"/>
    <n v="98"/>
    <s v="Hypertension Stage 2"/>
    <n v="53"/>
    <n v="12.98"/>
    <x v="0"/>
  </r>
  <r>
    <s v="M"/>
    <x v="28"/>
    <n v="55"/>
    <m/>
    <n v="18.8"/>
    <n v="108.6"/>
    <s v="132/76"/>
    <n v="183"/>
    <n v="53"/>
    <n v="115"/>
    <s v="N"/>
    <s v="Y"/>
    <s v="Moderate"/>
    <s v="Y"/>
    <n v="171"/>
    <n v="0.63500000000000001"/>
    <n v="132"/>
    <n v="76"/>
    <s v="Hypertension Stage 1"/>
    <n v="100"/>
    <n v="16.02"/>
    <x v="0"/>
  </r>
  <r>
    <s v="F"/>
    <x v="18"/>
    <n v="110.4"/>
    <n v="1.71"/>
    <n v="37.799999999999997"/>
    <n v="99"/>
    <s v="116/95"/>
    <n v="265"/>
    <n v="65"/>
    <n v="124"/>
    <s v="Y"/>
    <s v="Y"/>
    <s v="Moderate"/>
    <s v="Y"/>
    <n v="171"/>
    <n v="0.57899999999999996"/>
    <n v="116"/>
    <m/>
    <s v="Hypertension Stage 2"/>
    <n v="170"/>
    <n v="20.66"/>
    <x v="1"/>
  </r>
  <r>
    <s v="M"/>
    <x v="28"/>
    <n v="59.5"/>
    <n v="1.74"/>
    <n v="19.7"/>
    <m/>
    <s v="107/80"/>
    <n v="183"/>
    <n v="63"/>
    <n v="85"/>
    <s v="N"/>
    <s v="N"/>
    <s v="Moderate"/>
    <s v="Y"/>
    <n v="174"/>
    <n v="0.499"/>
    <n v="107"/>
    <n v="80"/>
    <s v="Hypertension Stage 1"/>
    <n v="90"/>
    <n v="12.95"/>
    <x v="0"/>
  </r>
  <r>
    <s v="M"/>
    <x v="19"/>
    <n v="82.5"/>
    <n v="1.74"/>
    <n v="27.2"/>
    <n v="81.7"/>
    <s v="136/92"/>
    <n v="200"/>
    <n v="52"/>
    <n v="108"/>
    <s v="Y"/>
    <s v="Y"/>
    <s v="Low"/>
    <s v="N"/>
    <n v="174"/>
    <n v="0.47"/>
    <n v="136"/>
    <n v="92"/>
    <s v="Hypertension Stage 1"/>
    <n v="118"/>
    <n v="18.239999999999998"/>
    <x v="1"/>
  </r>
  <r>
    <s v="M"/>
    <x v="20"/>
    <n v="91.3"/>
    <n v="1.87"/>
    <n v="26.1"/>
    <n v="80"/>
    <s v="102/61"/>
    <n v="271"/>
    <n v="31"/>
    <n v="126"/>
    <s v="Y"/>
    <s v="Y"/>
    <s v="High"/>
    <s v="N"/>
    <n v="187"/>
    <n v="0.42799999999999999"/>
    <n v="102"/>
    <n v="61"/>
    <s v="Normal"/>
    <n v="210"/>
    <n v="17.739999999999998"/>
    <x v="1"/>
  </r>
  <r>
    <s v="F"/>
    <x v="22"/>
    <n v="93.4"/>
    <n v="1.63"/>
    <n v="35.200000000000003"/>
    <n v="77.599999999999994"/>
    <s v="116/65"/>
    <n v="297"/>
    <n v="48"/>
    <n v="147"/>
    <s v="Y"/>
    <s v="N"/>
    <s v="High"/>
    <s v="Y"/>
    <n v="163"/>
    <n v="0.47599999999999998"/>
    <n v="116"/>
    <n v="65"/>
    <s v="Normal"/>
    <n v="219"/>
    <n v="18.78"/>
    <x v="1"/>
  </r>
  <r>
    <s v="F"/>
    <x v="22"/>
    <n v="63.7"/>
    <n v="1.84"/>
    <m/>
    <n v="89.7"/>
    <s v="92/62"/>
    <n v="155"/>
    <n v="41"/>
    <n v="105"/>
    <s v="N"/>
    <s v="Y"/>
    <s v="Low"/>
    <s v="Y"/>
    <n v="184"/>
    <n v="0.48699999999999999"/>
    <n v="92"/>
    <n v="62"/>
    <s v="Normal"/>
    <n v="84"/>
    <m/>
    <x v="1"/>
  </r>
  <r>
    <s v="F"/>
    <x v="25"/>
    <m/>
    <n v="1.73"/>
    <n v="33.4"/>
    <n v="93.8"/>
    <s v="145/79"/>
    <n v="208"/>
    <n v="61"/>
    <n v="79"/>
    <s v="N"/>
    <s v="N"/>
    <s v="Moderate"/>
    <s v="N"/>
    <n v="173"/>
    <n v="0.54200000000000004"/>
    <n v="145"/>
    <n v="79"/>
    <s v="Hypertension Stage 2"/>
    <n v="117"/>
    <n v="18.09"/>
    <x v="0"/>
  </r>
  <r>
    <s v="M"/>
    <x v="2"/>
    <n v="99.4"/>
    <n v="1.61"/>
    <n v="38.299999999999997"/>
    <n v="99.4"/>
    <s v="95/93"/>
    <n v="191"/>
    <n v="71"/>
    <n v="125"/>
    <s v="N"/>
    <s v="Y"/>
    <s v="Low"/>
    <s v="N"/>
    <n v="161"/>
    <n v="0.61699999999999999"/>
    <m/>
    <n v="93"/>
    <s v="Hypertension Stage 2"/>
    <n v="90"/>
    <n v="18.23"/>
    <x v="0"/>
  </r>
  <r>
    <s v="F"/>
    <x v="14"/>
    <n v="67.5"/>
    <n v="1.73"/>
    <n v="22.6"/>
    <n v="91.9"/>
    <s v="144/63"/>
    <n v="286"/>
    <n v="54"/>
    <n v="112"/>
    <s v="Y"/>
    <s v="N"/>
    <s v="Low"/>
    <s v="N"/>
    <n v="173"/>
    <n v="0.53100000000000003"/>
    <n v="144"/>
    <n v="63"/>
    <s v="Hypertension Stage 2"/>
    <n v="202"/>
    <n v="17.440000000000001"/>
    <x v="0"/>
  </r>
  <r>
    <s v="M"/>
    <x v="22"/>
    <n v="99.5"/>
    <n v="1.89"/>
    <n v="27.9"/>
    <n v="83.7"/>
    <s v="116/91"/>
    <n v="105"/>
    <n v="33"/>
    <n v="134"/>
    <s v="N"/>
    <s v="N"/>
    <s v="Low"/>
    <s v="N"/>
    <n v="189"/>
    <n v="0.443"/>
    <n v="116"/>
    <n v="91"/>
    <s v="Hypertension Stage 2"/>
    <n v="42"/>
    <n v="13.48"/>
    <x v="1"/>
  </r>
  <r>
    <s v="F"/>
    <x v="13"/>
    <n v="70.599999999999994"/>
    <n v="1.66"/>
    <n v="25.6"/>
    <n v="86.1"/>
    <s v="116/85"/>
    <n v="187"/>
    <n v="65"/>
    <n v="75"/>
    <s v="Y"/>
    <s v="Y"/>
    <s v="Low"/>
    <s v="Y"/>
    <n v="166"/>
    <n v="0.51900000000000002"/>
    <n v="116"/>
    <n v="85"/>
    <s v="Hypertension Stage 1"/>
    <n v="92"/>
    <n v="16.66"/>
    <x v="1"/>
  </r>
  <r>
    <s v="M"/>
    <x v="0"/>
    <n v="119.2"/>
    <n v="1.65"/>
    <n v="43.8"/>
    <n v="85"/>
    <s v="144/96"/>
    <n v="205"/>
    <n v="80"/>
    <n v="121"/>
    <s v="Y"/>
    <s v="N"/>
    <s v="Moderate"/>
    <s v="N"/>
    <n v="165"/>
    <n v="0.51500000000000001"/>
    <n v="144"/>
    <n v="96"/>
    <s v="Hypertension Stage 2"/>
    <n v="95"/>
    <n v="20.059999999999999"/>
    <x v="0"/>
  </r>
  <r>
    <s v="M"/>
    <x v="11"/>
    <n v="82.7"/>
    <n v="1.9"/>
    <n v="22.9"/>
    <n v="95.7"/>
    <s v="107/88"/>
    <n v="119"/>
    <n v="37"/>
    <n v="146"/>
    <s v="Y"/>
    <s v="N"/>
    <s v="Moderate"/>
    <s v="N"/>
    <n v="190"/>
    <n v="0.504"/>
    <n v="107"/>
    <n v="88"/>
    <s v="Hypertension Stage 1"/>
    <n v="52"/>
    <n v="12.31"/>
    <x v="0"/>
  </r>
  <r>
    <s v="F"/>
    <x v="13"/>
    <n v="87.5"/>
    <n v="1.73"/>
    <n v="29.2"/>
    <n v="99.9"/>
    <s v="118/96"/>
    <n v="135"/>
    <n v="72"/>
    <n v="110"/>
    <s v="N"/>
    <s v="N"/>
    <s v="Low"/>
    <s v="Y"/>
    <n v="173"/>
    <n v="0.57699999999999996"/>
    <n v="118"/>
    <n v="96"/>
    <s v="Hypertension Stage 2"/>
    <n v="33"/>
    <n v="14.44"/>
    <x v="0"/>
  </r>
  <r>
    <s v="F"/>
    <x v="25"/>
    <n v="56.3"/>
    <n v="1.62"/>
    <n v="21.5"/>
    <n v="84.5"/>
    <s v="136/75"/>
    <n v="131"/>
    <n v="61"/>
    <n v="73"/>
    <s v="N"/>
    <s v="N"/>
    <s v="Low"/>
    <s v="Y"/>
    <n v="162"/>
    <n v="0.52200000000000002"/>
    <n v="136"/>
    <n v="75"/>
    <s v="Hypertension Stage 1"/>
    <n v="40"/>
    <n v="13.72"/>
    <x v="0"/>
  </r>
  <r>
    <s v="F"/>
    <x v="22"/>
    <n v="81.599999999999994"/>
    <n v="1.88"/>
    <n v="23.1"/>
    <n v="80.2"/>
    <s v="117/83"/>
    <n v="130"/>
    <n v="69"/>
    <n v="83"/>
    <s v="Y"/>
    <s v="Y"/>
    <s v="High"/>
    <s v="N"/>
    <n v="188"/>
    <m/>
    <n v="117"/>
    <n v="83"/>
    <s v="Hypertension Stage 1"/>
    <n v="31"/>
    <m/>
    <x v="0"/>
  </r>
  <r>
    <s v="M"/>
    <x v="24"/>
    <n v="117.9"/>
    <n v="1.9"/>
    <n v="32.700000000000003"/>
    <n v="93.1"/>
    <s v="127/99"/>
    <n v="293"/>
    <n v="69"/>
    <n v="125"/>
    <s v="N"/>
    <s v="N"/>
    <s v="Moderate"/>
    <s v="Y"/>
    <m/>
    <n v="0.49"/>
    <n v="127"/>
    <n v="99"/>
    <s v="Hypertension Stage 2"/>
    <n v="194"/>
    <n v="18.75"/>
    <x v="0"/>
  </r>
  <r>
    <s v="F"/>
    <x v="24"/>
    <n v="114.2"/>
    <m/>
    <n v="40.9"/>
    <n v="91.1"/>
    <s v="146/60"/>
    <n v="263"/>
    <n v="70"/>
    <n v="78"/>
    <s v="Y"/>
    <s v="Y"/>
    <s v="Low"/>
    <s v="N"/>
    <n v="167"/>
    <n v="0.54600000000000004"/>
    <n v="146"/>
    <n v="60"/>
    <s v="Hypertension Stage 2"/>
    <n v="163"/>
    <n v="22.74"/>
    <x v="1"/>
  </r>
  <r>
    <s v="M"/>
    <x v="0"/>
    <n v="111.1"/>
    <n v="1.72"/>
    <n v="37.6"/>
    <n v="86.9"/>
    <s v="138/68"/>
    <n v="246"/>
    <n v="61"/>
    <n v="98"/>
    <s v="Y"/>
    <s v="N"/>
    <s v="Low"/>
    <s v="N"/>
    <n v="172"/>
    <n v="0.505"/>
    <n v="138"/>
    <n v="68"/>
    <s v="Hypertension Stage 1"/>
    <n v="155"/>
    <n v="19.34"/>
    <x v="1"/>
  </r>
  <r>
    <s v="F"/>
    <x v="8"/>
    <n v="102.2"/>
    <n v="1.83"/>
    <n v="30.5"/>
    <n v="109.1"/>
    <s v="118/67"/>
    <n v="191"/>
    <n v="37"/>
    <n v="99"/>
    <s v="Y"/>
    <s v="Y"/>
    <s v="Low"/>
    <s v="Y"/>
    <n v="183"/>
    <n v="0.59599999999999997"/>
    <n v="118"/>
    <n v="67"/>
    <s v="Normal"/>
    <n v="124"/>
    <n v="17.82"/>
    <x v="1"/>
  </r>
  <r>
    <s v="M"/>
    <x v="21"/>
    <n v="60.3"/>
    <n v="1.78"/>
    <n v="19"/>
    <n v="108.4"/>
    <s v="128/60"/>
    <n v="123"/>
    <n v="35"/>
    <n v="101"/>
    <s v="Y"/>
    <s v="N"/>
    <s v="High"/>
    <s v="N"/>
    <n v="178"/>
    <n v="0.60899999999999999"/>
    <n v="128"/>
    <n v="60"/>
    <s v="Elevated"/>
    <n v="58"/>
    <n v="12.66"/>
    <x v="0"/>
  </r>
  <r>
    <s v="M"/>
    <x v="15"/>
    <n v="68.099999999999994"/>
    <n v="1.76"/>
    <n v="22"/>
    <n v="80.099999999999994"/>
    <s v="111/77"/>
    <n v="202"/>
    <n v="59"/>
    <n v="91"/>
    <s v="Y"/>
    <s v="N"/>
    <s v="Low"/>
    <s v="N"/>
    <n v="176"/>
    <n v="0.45500000000000002"/>
    <n v="111"/>
    <n v="77"/>
    <s v="Normal"/>
    <n v="113"/>
    <n v="13.99"/>
    <x v="0"/>
  </r>
  <r>
    <s v="F"/>
    <x v="24"/>
    <n v="58"/>
    <n v="1.85"/>
    <n v="16.899999999999999"/>
    <n v="74.599999999999994"/>
    <s v="102/92"/>
    <n v="218"/>
    <n v="78"/>
    <n v="88"/>
    <s v="N"/>
    <s v="N"/>
    <s v="Moderate"/>
    <s v="N"/>
    <n v="185"/>
    <n v="0.40300000000000002"/>
    <n v="102"/>
    <n v="92"/>
    <s v="Hypertension Stage 2"/>
    <n v="110"/>
    <m/>
    <x v="2"/>
  </r>
  <r>
    <s v="F"/>
    <x v="27"/>
    <n v="90.8"/>
    <n v="1.86"/>
    <n v="26.2"/>
    <n v="71.099999999999994"/>
    <s v="141/70"/>
    <n v="100"/>
    <m/>
    <n v="121"/>
    <s v="N"/>
    <s v="N"/>
    <s v="Low"/>
    <s v="N"/>
    <n v="186"/>
    <n v="0.38200000000000001"/>
    <n v="141"/>
    <n v="70"/>
    <s v="Hypertension Stage 2"/>
    <n v="28"/>
    <n v="14.29"/>
    <x v="0"/>
  </r>
  <r>
    <s v="M"/>
    <x v="26"/>
    <n v="70.5"/>
    <n v="1.61"/>
    <n v="27.2"/>
    <n v="107.3"/>
    <s v="122/94"/>
    <n v="219"/>
    <n v="71"/>
    <n v="140"/>
    <s v="Y"/>
    <s v="N"/>
    <s v="Low"/>
    <s v="Y"/>
    <n v="161"/>
    <n v="0.66600000000000004"/>
    <n v="122"/>
    <n v="94"/>
    <s v="Hypertension Stage 2"/>
    <n v="118"/>
    <n v="15.92"/>
    <x v="1"/>
  </r>
  <r>
    <s v="M"/>
    <x v="13"/>
    <n v="110.9"/>
    <n v="1.71"/>
    <n v="37.9"/>
    <n v="70.5"/>
    <s v="127/77"/>
    <n v="298"/>
    <n v="63"/>
    <n v="120"/>
    <s v="N"/>
    <s v="Y"/>
    <s v="Low"/>
    <s v="N"/>
    <n v="171"/>
    <n v="0.41199999999999998"/>
    <n v="127"/>
    <n v="77"/>
    <s v="Elevated"/>
    <n v="205"/>
    <n v="21.89"/>
    <x v="1"/>
  </r>
  <r>
    <s v="M"/>
    <x v="28"/>
    <m/>
    <n v="1.83"/>
    <n v="17.100000000000001"/>
    <n v="79.400000000000006"/>
    <s v="132/77"/>
    <n v="245"/>
    <n v="55"/>
    <n v="148"/>
    <s v="N"/>
    <s v="N"/>
    <s v="Low"/>
    <s v="Y"/>
    <n v="183"/>
    <n v="0.434"/>
    <n v="132"/>
    <n v="77"/>
    <s v="Hypertension Stage 1"/>
    <n v="160"/>
    <n v="14.92"/>
    <x v="1"/>
  </r>
  <r>
    <s v="M"/>
    <x v="15"/>
    <n v="62.1"/>
    <n v="1.73"/>
    <n v="20.7"/>
    <n v="82"/>
    <s v="91/91"/>
    <n v="150"/>
    <n v="34"/>
    <m/>
    <s v="N"/>
    <s v="N"/>
    <s v="Moderate"/>
    <s v="N"/>
    <n v="173"/>
    <n v="0.47399999999999998"/>
    <n v="91"/>
    <n v="91"/>
    <s v="Hypertension Stage 2"/>
    <n v="86"/>
    <n v="11.69"/>
    <x v="2"/>
  </r>
  <r>
    <s v="M"/>
    <x v="5"/>
    <n v="108.7"/>
    <n v="1.86"/>
    <m/>
    <n v="96.9"/>
    <s v="130/95"/>
    <n v="250"/>
    <n v="47"/>
    <n v="106"/>
    <s v="N"/>
    <s v="N"/>
    <s v="Low"/>
    <s v="Y"/>
    <m/>
    <n v="0.52100000000000002"/>
    <n v="130"/>
    <m/>
    <s v="Hypertension Stage 1"/>
    <n v="173"/>
    <n v="17.78"/>
    <x v="1"/>
  </r>
  <r>
    <s v="F"/>
    <x v="26"/>
    <n v="91.2"/>
    <n v="1.89"/>
    <n v="25.5"/>
    <n v="106.5"/>
    <s v="95/89"/>
    <n v="286"/>
    <n v="30"/>
    <m/>
    <s v="Y"/>
    <s v="N"/>
    <s v="High"/>
    <s v="Y"/>
    <n v="189"/>
    <n v="0.56299999999999994"/>
    <n v="95"/>
    <n v="89"/>
    <s v="Hypertension Stage 1"/>
    <n v="226"/>
    <m/>
    <x v="1"/>
  </r>
  <r>
    <s v="M"/>
    <x v="28"/>
    <n v="83.2"/>
    <n v="1.86"/>
    <n v="24"/>
    <n v="108.2"/>
    <s v="143/81"/>
    <n v="129"/>
    <n v="42"/>
    <n v="83"/>
    <s v="N"/>
    <s v="N"/>
    <s v="Moderate"/>
    <s v="N"/>
    <n v="186"/>
    <n v="0.58199999999999996"/>
    <n v="143"/>
    <n v="81"/>
    <s v="Hypertension Stage 1"/>
    <n v="57"/>
    <n v="14.53"/>
    <x v="2"/>
  </r>
  <r>
    <s v="M"/>
    <x v="27"/>
    <n v="87.4"/>
    <n v="1.77"/>
    <n v="27.9"/>
    <n v="79.2"/>
    <s v="94/69"/>
    <n v="287"/>
    <n v="35"/>
    <n v="117"/>
    <s v="N"/>
    <s v="Y"/>
    <s v="Moderate"/>
    <s v="N"/>
    <n v="177"/>
    <n v="0.44700000000000001"/>
    <n v="94"/>
    <n v="69"/>
    <s v="Normal"/>
    <n v="222"/>
    <m/>
    <x v="1"/>
  </r>
  <r>
    <s v="M"/>
    <x v="9"/>
    <n v="52.1"/>
    <n v="1.65"/>
    <n v="19.100000000000001"/>
    <n v="81.2"/>
    <s v="102/62"/>
    <n v="119"/>
    <n v="54"/>
    <n v="97"/>
    <s v="Y"/>
    <s v="N"/>
    <s v="High"/>
    <s v="Y"/>
    <n v="165"/>
    <n v="0.49199999999999999"/>
    <n v="102"/>
    <n v="62"/>
    <s v="Normal"/>
    <n v="35"/>
    <n v="11.3"/>
    <x v="0"/>
  </r>
  <r>
    <s v="M"/>
    <x v="17"/>
    <n v="109.3"/>
    <n v="1.67"/>
    <n v="39.200000000000003"/>
    <n v="96.2"/>
    <s v="141/63"/>
    <n v="109"/>
    <n v="30"/>
    <n v="130"/>
    <s v="N"/>
    <s v="N"/>
    <s v="Low"/>
    <s v="N"/>
    <n v="167"/>
    <n v="0.57599999999999996"/>
    <n v="141"/>
    <n v="63"/>
    <s v="Hypertension Stage 2"/>
    <n v="49"/>
    <n v="17.07"/>
    <x v="1"/>
  </r>
  <r>
    <s v="F"/>
    <x v="25"/>
    <n v="67.099999999999994"/>
    <n v="1.85"/>
    <n v="19.600000000000001"/>
    <n v="96.8"/>
    <s v="111/72"/>
    <n v="184"/>
    <n v="40"/>
    <n v="82"/>
    <s v="N"/>
    <s v="N"/>
    <s v="High"/>
    <s v="Y"/>
    <n v="185"/>
    <n v="0.52300000000000002"/>
    <n v="111"/>
    <n v="72"/>
    <s v="Normal"/>
    <n v="114"/>
    <n v="13.15"/>
    <x v="0"/>
  </r>
  <r>
    <s v="F"/>
    <x v="20"/>
    <n v="64.3"/>
    <n v="1.89"/>
    <n v="18"/>
    <n v="108.6"/>
    <s v="100/91"/>
    <n v="261"/>
    <n v="55"/>
    <n v="82"/>
    <s v="N"/>
    <s v="N"/>
    <s v="High"/>
    <s v="Y"/>
    <n v="189"/>
    <n v="0.57499999999999996"/>
    <m/>
    <n v="91"/>
    <s v="Hypertension Stage 2"/>
    <n v="176"/>
    <n v="13.82"/>
    <x v="0"/>
  </r>
  <r>
    <s v="M"/>
    <x v="28"/>
    <n v="72.599999999999994"/>
    <n v="1.83"/>
    <n v="21.7"/>
    <n v="96.7"/>
    <s v="121/65"/>
    <n v="126"/>
    <n v="57"/>
    <n v="97"/>
    <s v="N"/>
    <s v="Y"/>
    <s v="Moderate"/>
    <s v="N"/>
    <n v="183"/>
    <n v="0.52800000000000002"/>
    <n v="121"/>
    <n v="65"/>
    <s v="Elevated"/>
    <n v="39"/>
    <n v="14.91"/>
    <x v="0"/>
  </r>
  <r>
    <s v="M"/>
    <x v="3"/>
    <n v="54.6"/>
    <n v="1.84"/>
    <n v="16.100000000000001"/>
    <n v="110"/>
    <s v="147/79"/>
    <n v="277"/>
    <n v="67"/>
    <n v="87"/>
    <s v="Y"/>
    <s v="N"/>
    <s v="Low"/>
    <s v="Y"/>
    <n v="184"/>
    <n v="0.59799999999999998"/>
    <n v="147"/>
    <n v="79"/>
    <s v="Hypertension Stage 2"/>
    <n v="180"/>
    <n v="16.11"/>
    <x v="1"/>
  </r>
  <r>
    <s v="F"/>
    <x v="19"/>
    <n v="87"/>
    <n v="1.66"/>
    <n v="31.6"/>
    <n v="91.5"/>
    <s v="139/81"/>
    <n v="207"/>
    <n v="56"/>
    <n v="82"/>
    <s v="N"/>
    <s v="N"/>
    <s v="Low"/>
    <s v="Y"/>
    <n v="166"/>
    <n v="0.55100000000000005"/>
    <n v="139"/>
    <n v="81"/>
    <s v="Hypertension Stage 1"/>
    <n v="121"/>
    <n v="17.41"/>
    <x v="1"/>
  </r>
  <r>
    <s v="M"/>
    <x v="5"/>
    <n v="94.7"/>
    <n v="1.79"/>
    <m/>
    <n v="89.8"/>
    <s v="119/60"/>
    <n v="248"/>
    <n v="50"/>
    <n v="130"/>
    <s v="Y"/>
    <s v="Y"/>
    <s v="Moderate"/>
    <s v="N"/>
    <n v="179"/>
    <n v="0.502"/>
    <n v="119"/>
    <n v="60"/>
    <s v="Normal"/>
    <n v="168"/>
    <m/>
    <x v="1"/>
  </r>
  <r>
    <s v="M"/>
    <x v="16"/>
    <n v="101.3"/>
    <n v="1.73"/>
    <n v="33.799999999999997"/>
    <n v="86.5"/>
    <s v="114/86"/>
    <n v="132"/>
    <n v="80"/>
    <n v="128"/>
    <s v="N"/>
    <s v="N"/>
    <s v="High"/>
    <s v="Y"/>
    <n v="173"/>
    <n v="0.5"/>
    <n v="114"/>
    <n v="86"/>
    <s v="Hypertension Stage 1"/>
    <n v="22"/>
    <n v="15.1"/>
    <x v="0"/>
  </r>
  <r>
    <s v="F"/>
    <x v="10"/>
    <n v="60"/>
    <n v="1.7"/>
    <n v="20.8"/>
    <n v="88.8"/>
    <s v="114/73"/>
    <n v="237"/>
    <n v="78"/>
    <n v="90"/>
    <s v="N"/>
    <s v="N"/>
    <s v="Low"/>
    <s v="N"/>
    <n v="170"/>
    <n v="0.52200000000000002"/>
    <n v="114"/>
    <n v="73"/>
    <s v="Normal"/>
    <n v="129"/>
    <n v="14.6"/>
    <x v="0"/>
  </r>
  <r>
    <s v="M"/>
    <x v="24"/>
    <n v="70"/>
    <n v="1.74"/>
    <n v="23.1"/>
    <n v="95.9"/>
    <s v="99/70"/>
    <n v="184"/>
    <n v="44"/>
    <n v="80"/>
    <s v="Y"/>
    <s v="Y"/>
    <s v="Low"/>
    <s v="Y"/>
    <n v="174"/>
    <n v="0.55100000000000005"/>
    <n v="99"/>
    <n v="70"/>
    <s v="Normal"/>
    <m/>
    <n v="15.25"/>
    <x v="1"/>
  </r>
  <r>
    <s v="F"/>
    <x v="4"/>
    <n v="103.5"/>
    <n v="1.79"/>
    <n v="32.299999999999997"/>
    <n v="101"/>
    <s v="123/76"/>
    <n v="270"/>
    <n v="39"/>
    <n v="84"/>
    <s v="Y"/>
    <s v="Y"/>
    <s v="High"/>
    <s v="Y"/>
    <n v="179"/>
    <n v="0.56399999999999995"/>
    <n v="123"/>
    <n v="76"/>
    <s v="Elevated"/>
    <n v="201"/>
    <n v="20.010000000000002"/>
    <x v="1"/>
  </r>
  <r>
    <s v="M"/>
    <x v="25"/>
    <n v="55.4"/>
    <n v="1.87"/>
    <n v="15.8"/>
    <n v="99.1"/>
    <s v="124/78"/>
    <n v="209"/>
    <n v="38"/>
    <n v="81"/>
    <s v="N"/>
    <s v="N"/>
    <s v="High"/>
    <s v="N"/>
    <n v="187"/>
    <n v="0.53"/>
    <n v="124"/>
    <n v="78"/>
    <s v="Elevated"/>
    <n v="141"/>
    <n v="13.54"/>
    <x v="0"/>
  </r>
  <r>
    <s v="F"/>
    <x v="13"/>
    <n v="89.8"/>
    <n v="1.69"/>
    <m/>
    <n v="88.3"/>
    <s v="109/61"/>
    <n v="174"/>
    <m/>
    <n v="140"/>
    <s v="N"/>
    <s v="N"/>
    <s v="Moderate"/>
    <s v="N"/>
    <n v="169"/>
    <n v="0.52200000000000002"/>
    <n v="109"/>
    <n v="61"/>
    <s v="Normal"/>
    <n v="108"/>
    <n v="15.21"/>
    <x v="0"/>
  </r>
  <r>
    <s v="M"/>
    <x v="13"/>
    <n v="66.400000000000006"/>
    <n v="1.88"/>
    <n v="18.8"/>
    <n v="106.3"/>
    <s v="104/64"/>
    <n v="283"/>
    <n v="65"/>
    <n v="97"/>
    <s v="N"/>
    <s v="Y"/>
    <s v="High"/>
    <s v="N"/>
    <n v="188"/>
    <n v="0.56499999999999995"/>
    <n v="104"/>
    <n v="64"/>
    <s v="Normal"/>
    <n v="188"/>
    <n v="16.62"/>
    <x v="0"/>
  </r>
  <r>
    <s v="F"/>
    <x v="16"/>
    <n v="50.7"/>
    <n v="1.73"/>
    <n v="16.899999999999999"/>
    <n v="94"/>
    <s v="127/84"/>
    <n v="160"/>
    <n v="57"/>
    <n v="77"/>
    <s v="Y"/>
    <s v="Y"/>
    <s v="High"/>
    <s v="N"/>
    <n v="173"/>
    <n v="0.54300000000000004"/>
    <n v="127"/>
    <n v="84"/>
    <s v="Hypertension Stage 1"/>
    <n v="73"/>
    <n v="14.93"/>
    <x v="0"/>
  </r>
  <r>
    <s v="M"/>
    <x v="26"/>
    <n v="98.9"/>
    <n v="1.67"/>
    <n v="35.5"/>
    <n v="108.7"/>
    <s v="104/95"/>
    <n v="216"/>
    <n v="45"/>
    <n v="87"/>
    <s v="N"/>
    <s v="Y"/>
    <s v="Low"/>
    <s v="N"/>
    <n v="167"/>
    <n v="0.65100000000000002"/>
    <n v="104"/>
    <n v="95"/>
    <s v="Hypertension Stage 2"/>
    <n v="141"/>
    <n v="18.62"/>
    <x v="1"/>
  </r>
  <r>
    <s v="F"/>
    <x v="7"/>
    <n v="76.400000000000006"/>
    <n v="1.63"/>
    <n v="28.8"/>
    <n v="91.6"/>
    <s v="98/86"/>
    <n v="119"/>
    <n v="48"/>
    <n v="71"/>
    <s v="Y"/>
    <s v="Y"/>
    <s v="High"/>
    <s v="N"/>
    <n v="163"/>
    <m/>
    <n v="98"/>
    <n v="86"/>
    <s v="Hypertension Stage 1"/>
    <n v="41"/>
    <n v="15.04"/>
    <x v="0"/>
  </r>
  <r>
    <s v="M"/>
    <x v="21"/>
    <n v="55.9"/>
    <n v="1.71"/>
    <n v="19.100000000000001"/>
    <n v="105.8"/>
    <s v="131/66"/>
    <n v="296"/>
    <n v="43"/>
    <n v="111"/>
    <s v="Y"/>
    <s v="Y"/>
    <s v="High"/>
    <s v="Y"/>
    <n v="171"/>
    <n v="0.61899999999999999"/>
    <n v="131"/>
    <n v="66"/>
    <s v="Hypertension Stage 1"/>
    <n v="223"/>
    <n v="18.29"/>
    <x v="1"/>
  </r>
  <r>
    <s v="M"/>
    <x v="1"/>
    <n v="55.8"/>
    <n v="1.79"/>
    <n v="17.399999999999999"/>
    <n v="73"/>
    <s v="146/65"/>
    <n v="258"/>
    <n v="54"/>
    <n v="85"/>
    <s v="Y"/>
    <s v="N"/>
    <s v="Low"/>
    <s v="N"/>
    <n v="179"/>
    <n v="0.40799999999999997"/>
    <n v="146"/>
    <n v="65"/>
    <s v="Hypertension Stage 2"/>
    <n v="174"/>
    <n v="15.94"/>
    <x v="1"/>
  </r>
  <r>
    <s v="M"/>
    <x v="10"/>
    <n v="105.1"/>
    <n v="1.81"/>
    <n v="32.1"/>
    <n v="81"/>
    <s v="113/95"/>
    <n v="234"/>
    <n v="58"/>
    <n v="74"/>
    <s v="N"/>
    <s v="Y"/>
    <s v="Low"/>
    <s v="N"/>
    <n v="181"/>
    <n v="0.44800000000000001"/>
    <n v="113"/>
    <n v="95"/>
    <s v="Hypertension Stage 2"/>
    <n v="146"/>
    <n v="18.75"/>
    <x v="1"/>
  </r>
  <r>
    <s v="M"/>
    <x v="23"/>
    <n v="56.9"/>
    <n v="1.7"/>
    <n v="19.7"/>
    <n v="75.3"/>
    <s v="141/71"/>
    <n v="109"/>
    <n v="32"/>
    <n v="122"/>
    <s v="N"/>
    <s v="Y"/>
    <s v="High"/>
    <s v="N"/>
    <n v="170"/>
    <n v="0.443"/>
    <m/>
    <n v="71"/>
    <s v="Hypertension Stage 2"/>
    <n v="47"/>
    <n v="15.17"/>
    <x v="0"/>
  </r>
  <r>
    <s v="F"/>
    <x v="10"/>
    <n v="77.2"/>
    <n v="1.82"/>
    <n v="23.3"/>
    <n v="99.2"/>
    <s v="130/61"/>
    <n v="118"/>
    <n v="43"/>
    <n v="120"/>
    <s v="Y"/>
    <s v="N"/>
    <s v="Moderate"/>
    <s v="N"/>
    <n v="182"/>
    <n v="0.54500000000000004"/>
    <n v="130"/>
    <n v="61"/>
    <s v="Hypertension Stage 1"/>
    <n v="45"/>
    <n v="13.52"/>
    <x v="0"/>
  </r>
  <r>
    <s v="F"/>
    <x v="13"/>
    <n v="118.8"/>
    <n v="1.61"/>
    <n v="45.8"/>
    <n v="102"/>
    <s v="118/67"/>
    <n v="236"/>
    <n v="59"/>
    <m/>
    <s v="Y"/>
    <s v="Y"/>
    <s v="Low"/>
    <s v="Y"/>
    <n v="161"/>
    <m/>
    <n v="118"/>
    <n v="67"/>
    <s v="Normal"/>
    <n v="147"/>
    <n v="21.78"/>
    <x v="1"/>
  </r>
  <r>
    <s v="M"/>
    <x v="15"/>
    <n v="61.2"/>
    <n v="1.62"/>
    <n v="23.3"/>
    <n v="97.2"/>
    <s v="140/67"/>
    <n v="219"/>
    <n v="78"/>
    <m/>
    <s v="N"/>
    <s v="N"/>
    <s v="Moderate"/>
    <s v="Y"/>
    <n v="162"/>
    <n v="0.6"/>
    <n v="140"/>
    <n v="67"/>
    <s v="Hypertension Stage 2"/>
    <m/>
    <n v="16.04"/>
    <x v="0"/>
  </r>
  <r>
    <s v="F"/>
    <x v="21"/>
    <n v="84.6"/>
    <m/>
    <n v="30.3"/>
    <n v="77.900000000000006"/>
    <s v="104/62"/>
    <n v="236"/>
    <n v="70"/>
    <n v="126"/>
    <s v="N"/>
    <s v="Y"/>
    <s v="High"/>
    <s v="Y"/>
    <n v="167"/>
    <n v="0.46600000000000003"/>
    <n v="104"/>
    <n v="62"/>
    <s v="Normal"/>
    <n v="136"/>
    <n v="17.98"/>
    <x v="1"/>
  </r>
  <r>
    <s v="F"/>
    <x v="14"/>
    <n v="109.1"/>
    <n v="1.81"/>
    <n v="33.299999999999997"/>
    <n v="91.9"/>
    <s v="127/71"/>
    <n v="120"/>
    <n v="56"/>
    <n v="149"/>
    <s v="N"/>
    <s v="N"/>
    <s v="High"/>
    <s v="N"/>
    <n v="181"/>
    <n v="0.50800000000000001"/>
    <n v="127"/>
    <n v="71"/>
    <s v="Elevated"/>
    <n v="34"/>
    <n v="15.41"/>
    <x v="2"/>
  </r>
  <r>
    <s v="F"/>
    <x v="2"/>
    <n v="110.2"/>
    <n v="1.77"/>
    <n v="35.200000000000003"/>
    <n v="102"/>
    <s v="92/100"/>
    <n v="247"/>
    <n v="67"/>
    <n v="106"/>
    <s v="Y"/>
    <s v="N"/>
    <s v="High"/>
    <s v="Y"/>
    <n v="177"/>
    <n v="0.57599999999999996"/>
    <n v="92"/>
    <n v="100"/>
    <s v="Hypertension Stage 2"/>
    <n v="150"/>
    <n v="16.579999999999998"/>
    <x v="1"/>
  </r>
  <r>
    <s v="M"/>
    <x v="8"/>
    <n v="67.099999999999994"/>
    <n v="1.77"/>
    <n v="21.4"/>
    <n v="98"/>
    <s v="126/100"/>
    <n v="268"/>
    <n v="47"/>
    <n v="79"/>
    <s v="N"/>
    <s v="N"/>
    <s v="Low"/>
    <s v="Y"/>
    <m/>
    <n v="0.55400000000000005"/>
    <m/>
    <n v="100"/>
    <s v="Hypertension Stage 2"/>
    <n v="191"/>
    <n v="15.94"/>
    <x v="1"/>
  </r>
  <r>
    <s v="F"/>
    <x v="2"/>
    <n v="111.6"/>
    <n v="1.75"/>
    <n v="36.4"/>
    <n v="85.1"/>
    <s v="131/62"/>
    <n v="265"/>
    <n v="66"/>
    <n v="127"/>
    <s v="N"/>
    <s v="N"/>
    <s v="High"/>
    <s v="N"/>
    <n v="175"/>
    <n v="0.48599999999999999"/>
    <n v="131"/>
    <n v="62"/>
    <s v="Hypertension Stage 1"/>
    <n v="169"/>
    <n v="19.13"/>
    <x v="0"/>
  </r>
  <r>
    <s v="M"/>
    <x v="16"/>
    <n v="90.2"/>
    <n v="1.61"/>
    <n v="34.799999999999997"/>
    <n v="85.3"/>
    <s v="136/76"/>
    <n v="300"/>
    <n v="33"/>
    <n v="84"/>
    <s v="N"/>
    <s v="Y"/>
    <s v="Moderate"/>
    <s v="Y"/>
    <m/>
    <n v="0.53"/>
    <n v="136"/>
    <m/>
    <s v="Hypertension Stage 1"/>
    <n v="237"/>
    <n v="21.76"/>
    <x v="1"/>
  </r>
  <r>
    <s v="F"/>
    <x v="28"/>
    <n v="67"/>
    <n v="1.88"/>
    <n v="19"/>
    <n v="108.1"/>
    <s v="122/97"/>
    <n v="300"/>
    <n v="49"/>
    <n v="148"/>
    <s v="N"/>
    <s v="N"/>
    <s v="Low"/>
    <s v="N"/>
    <n v="188"/>
    <n v="0.57499999999999996"/>
    <n v="122"/>
    <n v="97"/>
    <s v="Hypertension Stage 2"/>
    <n v="221"/>
    <n v="15.9"/>
    <x v="0"/>
  </r>
  <r>
    <s v="M"/>
    <x v="20"/>
    <n v="96.8"/>
    <n v="1.86"/>
    <n v="28"/>
    <n v="71.400000000000006"/>
    <s v="112/75"/>
    <n v="230"/>
    <n v="57"/>
    <n v="91"/>
    <s v="Y"/>
    <s v="Y"/>
    <s v="High"/>
    <s v="N"/>
    <m/>
    <n v="0.38400000000000001"/>
    <n v="112"/>
    <n v="75"/>
    <s v="Normal"/>
    <n v="143"/>
    <n v="17.8"/>
    <x v="1"/>
  </r>
  <r>
    <s v="M"/>
    <x v="21"/>
    <n v="59.4"/>
    <n v="1.89"/>
    <n v="16.600000000000001"/>
    <n v="94.4"/>
    <s v="125/61"/>
    <n v="228"/>
    <n v="71"/>
    <n v="147"/>
    <s v="N"/>
    <s v="Y"/>
    <s v="High"/>
    <s v="N"/>
    <n v="189"/>
    <n v="0.499"/>
    <n v="125"/>
    <m/>
    <s v="Elevated"/>
    <n v="127"/>
    <n v="16.13"/>
    <x v="0"/>
  </r>
  <r>
    <s v="F"/>
    <x v="21"/>
    <n v="93.5"/>
    <n v="1.76"/>
    <n v="30.2"/>
    <n v="92.1"/>
    <s v="102/64"/>
    <n v="290"/>
    <n v="39"/>
    <n v="78"/>
    <s v="Y"/>
    <s v="Y"/>
    <s v="Low"/>
    <s v="N"/>
    <n v="176"/>
    <n v="0.52300000000000002"/>
    <n v="102"/>
    <n v="64"/>
    <s v="Normal"/>
    <n v="221"/>
    <n v="18.940000000000001"/>
    <x v="1"/>
  </r>
  <r>
    <s v="F"/>
    <x v="4"/>
    <n v="72.3"/>
    <n v="1.74"/>
    <n v="23.9"/>
    <n v="91.6"/>
    <s v="99/90"/>
    <n v="208"/>
    <n v="63"/>
    <n v="114"/>
    <s v="N"/>
    <s v="N"/>
    <s v="High"/>
    <s v="N"/>
    <n v="174"/>
    <n v="0.52600000000000002"/>
    <n v="99"/>
    <n v="90"/>
    <s v="Hypertension Stage 2"/>
    <n v="115"/>
    <n v="13.89"/>
    <x v="0"/>
  </r>
  <r>
    <s v="F"/>
    <x v="8"/>
    <n v="60.8"/>
    <n v="1.68"/>
    <n v="21.5"/>
    <n v="82.5"/>
    <s v="133/76"/>
    <n v="173"/>
    <n v="56"/>
    <n v="122"/>
    <s v="N"/>
    <s v="N"/>
    <s v="Moderate"/>
    <s v="Y"/>
    <n v="168"/>
    <n v="0.49099999999999999"/>
    <n v="133"/>
    <n v="76"/>
    <s v="Hypertension Stage 1"/>
    <n v="87"/>
    <n v="14.41"/>
    <x v="0"/>
  </r>
  <r>
    <s v="M"/>
    <x v="31"/>
    <n v="111"/>
    <n v="1.78"/>
    <n v="35"/>
    <n v="100"/>
    <s v="117/74"/>
    <n v="247"/>
    <n v="41"/>
    <n v="136"/>
    <s v="N"/>
    <s v="Y"/>
    <s v="Moderate"/>
    <s v="N"/>
    <n v="178"/>
    <n v="0.56200000000000006"/>
    <n v="117"/>
    <n v="74"/>
    <s v="Normal"/>
    <n v="176"/>
    <n v="19.79"/>
    <x v="1"/>
  </r>
  <r>
    <s v="F"/>
    <x v="26"/>
    <n v="103"/>
    <n v="1.8"/>
    <n v="31.8"/>
    <n v="94.4"/>
    <s v="139/68"/>
    <n v="107"/>
    <n v="42"/>
    <n v="124"/>
    <s v="N"/>
    <s v="N"/>
    <s v="Low"/>
    <s v="Y"/>
    <n v="180"/>
    <n v="0.52400000000000002"/>
    <n v="139"/>
    <n v="68"/>
    <s v="Hypertension Stage 1"/>
    <n v="35"/>
    <n v="15.45"/>
    <x v="1"/>
  </r>
  <r>
    <s v="M"/>
    <x v="5"/>
    <n v="95.7"/>
    <m/>
    <n v="35.200000000000003"/>
    <n v="72.099999999999994"/>
    <s v="140/62"/>
    <n v="118"/>
    <n v="45"/>
    <n v="91"/>
    <s v="Y"/>
    <s v="Y"/>
    <s v="Moderate"/>
    <s v="Y"/>
    <n v="165"/>
    <m/>
    <n v="140"/>
    <n v="62"/>
    <s v="Hypertension Stage 2"/>
    <n v="43"/>
    <n v="18.399999999999999"/>
    <x v="1"/>
  </r>
  <r>
    <s v="F"/>
    <x v="13"/>
    <n v="64.599999999999994"/>
    <n v="1.62"/>
    <n v="24.6"/>
    <n v="92.8"/>
    <s v="90/70"/>
    <n v="106"/>
    <n v="43"/>
    <n v="114"/>
    <s v="Y"/>
    <s v="Y"/>
    <s v="Moderate"/>
    <s v="N"/>
    <n v="162"/>
    <n v="0.57299999999999995"/>
    <n v="90"/>
    <n v="70"/>
    <s v="Normal"/>
    <n v="33"/>
    <n v="13.54"/>
    <x v="0"/>
  </r>
  <r>
    <s v="M"/>
    <x v="2"/>
    <n v="56.2"/>
    <n v="1.89"/>
    <n v="15.7"/>
    <n v="74.599999999999994"/>
    <s v="146/65"/>
    <n v="131"/>
    <n v="45"/>
    <n v="93"/>
    <s v="N"/>
    <s v="Y"/>
    <s v="Low"/>
    <s v="Y"/>
    <n v="189"/>
    <n v="0.39500000000000002"/>
    <n v="146"/>
    <n v="65"/>
    <s v="Hypertension Stage 2"/>
    <n v="56"/>
    <n v="15.06"/>
    <x v="0"/>
  </r>
  <r>
    <s v="F"/>
    <x v="18"/>
    <n v="65.2"/>
    <n v="1.71"/>
    <n v="22.3"/>
    <n v="86"/>
    <s v="97/67"/>
    <n v="229"/>
    <n v="68"/>
    <m/>
    <s v="N"/>
    <s v="Y"/>
    <s v="Low"/>
    <s v="Y"/>
    <n v="171"/>
    <n v="0.503"/>
    <n v="97"/>
    <n v="67"/>
    <s v="Normal"/>
    <n v="131"/>
    <n v="15.89"/>
    <x v="1"/>
  </r>
  <r>
    <s v="F"/>
    <x v="6"/>
    <m/>
    <n v="1.69"/>
    <n v="35.5"/>
    <n v="77.8"/>
    <s v="126/99"/>
    <n v="126"/>
    <n v="57"/>
    <n v="88"/>
    <s v="Y"/>
    <s v="Y"/>
    <s v="Moderate"/>
    <s v="Y"/>
    <n v="169"/>
    <m/>
    <n v="126"/>
    <n v="99"/>
    <s v="Hypertension Stage 2"/>
    <n v="39"/>
    <n v="17.920000000000002"/>
    <x v="1"/>
  </r>
  <r>
    <s v="M"/>
    <x v="12"/>
    <n v="77.900000000000006"/>
    <n v="1.72"/>
    <n v="26.3"/>
    <n v="95.9"/>
    <s v="120/91"/>
    <n v="208"/>
    <n v="66"/>
    <n v="103"/>
    <s v="N"/>
    <s v="Y"/>
    <s v="Moderate"/>
    <s v="N"/>
    <n v="172"/>
    <n v="0.55800000000000005"/>
    <n v="120"/>
    <n v="91"/>
    <s v="Hypertension Stage 2"/>
    <n v="112"/>
    <n v="17.420000000000002"/>
    <x v="0"/>
  </r>
  <r>
    <s v="M"/>
    <x v="8"/>
    <n v="107.2"/>
    <n v="1.61"/>
    <n v="41.4"/>
    <n v="80.8"/>
    <s v="113/77"/>
    <n v="152"/>
    <n v="80"/>
    <n v="134"/>
    <s v="Y"/>
    <s v="N"/>
    <s v="Moderate"/>
    <s v="N"/>
    <n v="161"/>
    <n v="0.502"/>
    <n v="113"/>
    <m/>
    <s v="Normal"/>
    <n v="42"/>
    <n v="16.97"/>
    <x v="0"/>
  </r>
  <r>
    <s v="M"/>
    <x v="29"/>
    <n v="86.5"/>
    <n v="1.6"/>
    <n v="33.799999999999997"/>
    <n v="70.7"/>
    <s v="119/65"/>
    <n v="181"/>
    <n v="47"/>
    <n v="129"/>
    <s v="N"/>
    <s v="N"/>
    <s v="High"/>
    <s v="N"/>
    <n v="160"/>
    <n v="0.442"/>
    <n v="119"/>
    <n v="65"/>
    <s v="Normal"/>
    <n v="104"/>
    <n v="16.329999999999998"/>
    <x v="0"/>
  </r>
  <r>
    <s v="M"/>
    <x v="2"/>
    <n v="73.2"/>
    <n v="1.62"/>
    <n v="27.9"/>
    <n v="70.2"/>
    <s v="115/100"/>
    <m/>
    <n v="34"/>
    <n v="104"/>
    <s v="Y"/>
    <s v="Y"/>
    <s v="High"/>
    <s v="N"/>
    <n v="162"/>
    <n v="0.433"/>
    <n v="115"/>
    <n v="100"/>
    <s v="Hypertension Stage 2"/>
    <n v="160"/>
    <n v="17.809999999999999"/>
    <x v="1"/>
  </r>
  <r>
    <s v="M"/>
    <x v="3"/>
    <n v="113"/>
    <n v="1.7"/>
    <n v="39.1"/>
    <n v="82.6"/>
    <s v="113/70"/>
    <n v="270"/>
    <n v="44"/>
    <n v="103"/>
    <s v="Y"/>
    <s v="Y"/>
    <s v="High"/>
    <s v="N"/>
    <n v="170"/>
    <n v="0.48599999999999999"/>
    <n v="113"/>
    <n v="70"/>
    <s v="Normal"/>
    <n v="196"/>
    <n v="20.87"/>
    <x v="1"/>
  </r>
  <r>
    <s v="M"/>
    <x v="11"/>
    <n v="120"/>
    <m/>
    <n v="35.4"/>
    <n v="100.9"/>
    <s v="94/68"/>
    <n v="223"/>
    <n v="62"/>
    <n v="84"/>
    <s v="Y"/>
    <s v="Y"/>
    <s v="Moderate"/>
    <s v="Y"/>
    <n v="184"/>
    <n v="0.54800000000000004"/>
    <n v="94"/>
    <n v="68"/>
    <s v="Normal"/>
    <n v="131"/>
    <n v="18.239999999999998"/>
    <x v="1"/>
  </r>
  <r>
    <s v="F"/>
    <x v="25"/>
    <n v="114"/>
    <n v="1.66"/>
    <n v="41.4"/>
    <n v="73.900000000000006"/>
    <s v="111/97"/>
    <n v="120"/>
    <n v="34"/>
    <n v="93"/>
    <s v="Y"/>
    <s v="N"/>
    <s v="High"/>
    <s v="N"/>
    <n v="166"/>
    <n v="0.44500000000000001"/>
    <n v="111"/>
    <n v="97"/>
    <s v="Hypertension Stage 2"/>
    <n v="56"/>
    <n v="16.23"/>
    <x v="1"/>
  </r>
  <r>
    <s v="M"/>
    <x v="26"/>
    <n v="82.7"/>
    <n v="1.84"/>
    <n v="24.4"/>
    <n v="100.2"/>
    <s v="145/65"/>
    <n v="158"/>
    <n v="75"/>
    <n v="107"/>
    <s v="Y"/>
    <s v="N"/>
    <s v="Moderate"/>
    <s v="N"/>
    <n v="184"/>
    <n v="0.54500000000000004"/>
    <n v="145"/>
    <n v="65"/>
    <s v="Hypertension Stage 2"/>
    <n v="53"/>
    <n v="15.29"/>
    <x v="0"/>
  </r>
  <r>
    <s v="F"/>
    <x v="2"/>
    <n v="110.5"/>
    <m/>
    <n v="42.6"/>
    <n v="76.900000000000006"/>
    <s v="133/95"/>
    <n v="173"/>
    <n v="55"/>
    <n v="99"/>
    <s v="N"/>
    <s v="N"/>
    <s v="Moderate"/>
    <s v="Y"/>
    <n v="161"/>
    <n v="0.47799999999999998"/>
    <n v="133"/>
    <n v="95"/>
    <s v="Hypertension Stage 1"/>
    <n v="88"/>
    <n v="18.63"/>
    <x v="0"/>
  </r>
  <r>
    <s v="M"/>
    <x v="3"/>
    <n v="60.1"/>
    <n v="1.87"/>
    <n v="17.2"/>
    <n v="106.6"/>
    <s v="149/60"/>
    <n v="182"/>
    <n v="54"/>
    <n v="70"/>
    <s v="N"/>
    <s v="Y"/>
    <s v="High"/>
    <s v="Y"/>
    <n v="187"/>
    <n v="0.56999999999999995"/>
    <n v="149"/>
    <n v="60"/>
    <s v="Hypertension Stage 2"/>
    <n v="98"/>
    <n v="16.53"/>
    <x v="0"/>
  </r>
  <r>
    <s v="M"/>
    <x v="1"/>
    <n v="109.8"/>
    <n v="1.81"/>
    <n v="33.5"/>
    <n v="101.1"/>
    <s v="102/95"/>
    <n v="265"/>
    <n v="76"/>
    <n v="121"/>
    <s v="N"/>
    <s v="Y"/>
    <s v="High"/>
    <s v="N"/>
    <n v="181"/>
    <n v="0.55900000000000005"/>
    <n v="102"/>
    <n v="95"/>
    <s v="Hypertension Stage 2"/>
    <n v="159"/>
    <n v="19.100000000000001"/>
    <x v="1"/>
  </r>
  <r>
    <s v="F"/>
    <x v="20"/>
    <n v="111.4"/>
    <n v="1.89"/>
    <n v="31.2"/>
    <n v="101.8"/>
    <s v="132/84"/>
    <n v="266"/>
    <n v="44"/>
    <n v="113"/>
    <s v="Y"/>
    <s v="N"/>
    <s v="Low"/>
    <s v="Y"/>
    <n v="189"/>
    <n v="0.53900000000000003"/>
    <n v="132"/>
    <n v="84"/>
    <s v="Hypertension Stage 1"/>
    <n v="192"/>
    <n v="18.16"/>
    <x v="1"/>
  </r>
  <r>
    <s v="F"/>
    <x v="19"/>
    <n v="54.3"/>
    <n v="1.69"/>
    <n v="19"/>
    <n v="78"/>
    <s v="135/83"/>
    <n v="124"/>
    <n v="61"/>
    <n v="124"/>
    <s v="Y"/>
    <s v="Y"/>
    <s v="Low"/>
    <s v="N"/>
    <n v="169"/>
    <n v="0.46200000000000002"/>
    <n v="135"/>
    <n v="83"/>
    <s v="Hypertension Stage 1"/>
    <n v="33"/>
    <n v="15.03"/>
    <x v="0"/>
  </r>
  <r>
    <s v="M"/>
    <x v="5"/>
    <n v="88.4"/>
    <n v="1.86"/>
    <n v="25.6"/>
    <n v="90.1"/>
    <s v="116/69"/>
    <n v="268"/>
    <n v="68"/>
    <n v="88"/>
    <s v="Y"/>
    <s v="N"/>
    <s v="Low"/>
    <s v="N"/>
    <n v="186"/>
    <n v="0.48399999999999999"/>
    <n v="116"/>
    <n v="69"/>
    <s v="Normal"/>
    <n v="170"/>
    <n v="16.28"/>
    <x v="1"/>
  </r>
  <r>
    <s v="F"/>
    <x v="28"/>
    <n v="94"/>
    <n v="1.71"/>
    <n v="32.1"/>
    <n v="90.6"/>
    <s v="90/82"/>
    <n v="108"/>
    <m/>
    <n v="89"/>
    <s v="N"/>
    <s v="N"/>
    <s v="High"/>
    <s v="N"/>
    <n v="171"/>
    <n v="0.53"/>
    <n v="90"/>
    <n v="82"/>
    <s v="Hypertension Stage 1"/>
    <n v="24"/>
    <n v="13.08"/>
    <x v="0"/>
  </r>
  <r>
    <s v="F"/>
    <x v="27"/>
    <n v="83.8"/>
    <n v="1.76"/>
    <n v="27.1"/>
    <n v="106.5"/>
    <s v="131/75"/>
    <n v="280"/>
    <n v="52"/>
    <n v="135"/>
    <s v="Y"/>
    <s v="Y"/>
    <s v="High"/>
    <s v="N"/>
    <n v="176"/>
    <n v="0.60499999999999998"/>
    <n v="131"/>
    <n v="75"/>
    <s v="Hypertension Stage 1"/>
    <n v="198"/>
    <n v="19.57"/>
    <x v="1"/>
  </r>
  <r>
    <s v="F"/>
    <x v="13"/>
    <n v="104.2"/>
    <n v="1.88"/>
    <n v="29.5"/>
    <n v="83.7"/>
    <s v="138/76"/>
    <n v="140"/>
    <n v="63"/>
    <n v="92"/>
    <s v="Y"/>
    <s v="Y"/>
    <s v="Moderate"/>
    <s v="Y"/>
    <n v="188"/>
    <m/>
    <n v="138"/>
    <n v="76"/>
    <s v="Hypertension Stage 1"/>
    <n v="47"/>
    <n v="17.600000000000001"/>
    <x v="1"/>
  </r>
  <r>
    <s v="F"/>
    <x v="25"/>
    <m/>
    <n v="1.85"/>
    <n v="22.7"/>
    <n v="99.6"/>
    <s v="130/77"/>
    <n v="203"/>
    <n v="35"/>
    <n v="122"/>
    <s v="Y"/>
    <s v="Y"/>
    <s v="Low"/>
    <s v="Y"/>
    <n v="185"/>
    <n v="0.53800000000000003"/>
    <n v="130"/>
    <n v="77"/>
    <s v="Hypertension Stage 1"/>
    <n v="138"/>
    <n v="17.100000000000001"/>
    <x v="1"/>
  </r>
  <r>
    <s v="F"/>
    <x v="12"/>
    <n v="118.4"/>
    <n v="1.74"/>
    <n v="39.1"/>
    <n v="74.3"/>
    <s v="101/92"/>
    <n v="213"/>
    <n v="49"/>
    <n v="140"/>
    <s v="N"/>
    <s v="Y"/>
    <s v="Moderate"/>
    <s v="Y"/>
    <n v="174"/>
    <n v="0.42699999999999999"/>
    <n v="101"/>
    <n v="92"/>
    <s v="Hypertension Stage 2"/>
    <n v="134"/>
    <n v="19.13"/>
    <x v="1"/>
  </r>
  <r>
    <s v="M"/>
    <x v="8"/>
    <n v="114.5"/>
    <n v="1.9"/>
    <n v="31.7"/>
    <n v="80"/>
    <s v="144/99"/>
    <n v="201"/>
    <n v="46"/>
    <n v="135"/>
    <s v="Y"/>
    <s v="Y"/>
    <s v="Low"/>
    <s v="Y"/>
    <n v="190"/>
    <n v="0.42099999999999999"/>
    <n v="144"/>
    <n v="99"/>
    <s v="Hypertension Stage 2"/>
    <n v="125"/>
    <n v="19.559999999999999"/>
    <x v="1"/>
  </r>
  <r>
    <s v="F"/>
    <x v="28"/>
    <n v="85.2"/>
    <n v="1.66"/>
    <n v="30.9"/>
    <n v="89.7"/>
    <s v="106/77"/>
    <n v="250"/>
    <m/>
    <n v="135"/>
    <s v="Y"/>
    <s v="Y"/>
    <s v="High"/>
    <s v="N"/>
    <n v="166"/>
    <n v="0.54"/>
    <n v="106"/>
    <n v="77"/>
    <s v="Normal"/>
    <n v="156"/>
    <n v="18.48"/>
    <x v="1"/>
  </r>
  <r>
    <s v="F"/>
    <x v="9"/>
    <m/>
    <n v="1.7"/>
    <n v="22.5"/>
    <n v="75.2"/>
    <s v="139/60"/>
    <n v="190"/>
    <n v="33"/>
    <n v="90"/>
    <s v="Y"/>
    <s v="Y"/>
    <s v="Low"/>
    <s v="Y"/>
    <n v="170"/>
    <n v="0.442"/>
    <n v="139"/>
    <n v="60"/>
    <s v="Hypertension Stage 1"/>
    <n v="127"/>
    <n v="17.25"/>
    <x v="1"/>
  </r>
  <r>
    <s v="F"/>
    <x v="4"/>
    <n v="117"/>
    <n v="1.89"/>
    <n v="32.799999999999997"/>
    <n v="80.599999999999994"/>
    <s v="112/93"/>
    <n v="135"/>
    <n v="43"/>
    <n v="128"/>
    <s v="Y"/>
    <s v="Y"/>
    <s v="Moderate"/>
    <s v="N"/>
    <n v="189"/>
    <n v="0.42599999999999999"/>
    <m/>
    <n v="93"/>
    <s v="Hypertension Stage 2"/>
    <n v="62"/>
    <n v="16.86"/>
    <x v="1"/>
  </r>
  <r>
    <s v="M"/>
    <x v="3"/>
    <n v="105.4"/>
    <n v="1.83"/>
    <n v="31.5"/>
    <n v="109.7"/>
    <s v="142/84"/>
    <n v="230"/>
    <n v="73"/>
    <n v="128"/>
    <s v="N"/>
    <s v="Y"/>
    <s v="Low"/>
    <s v="N"/>
    <n v="183"/>
    <n v="0.59899999999999998"/>
    <n v="142"/>
    <n v="84"/>
    <s v="Hypertension Stage 1"/>
    <n v="127"/>
    <n v="20"/>
    <x v="1"/>
  </r>
  <r>
    <s v="M"/>
    <x v="15"/>
    <n v="55.4"/>
    <n v="1.86"/>
    <n v="16"/>
    <n v="86.2"/>
    <s v="93/63"/>
    <n v="109"/>
    <n v="50"/>
    <n v="143"/>
    <s v="Y"/>
    <s v="Y"/>
    <s v="Moderate"/>
    <s v="N"/>
    <n v="186"/>
    <n v="0.46300000000000002"/>
    <n v="93"/>
    <n v="63"/>
    <s v="Normal"/>
    <n v="29"/>
    <n v="12.03"/>
    <x v="0"/>
  </r>
  <r>
    <s v="F"/>
    <x v="16"/>
    <n v="105.5"/>
    <n v="1.71"/>
    <n v="36.1"/>
    <n v="83.1"/>
    <s v="104/70"/>
    <n v="280"/>
    <n v="63"/>
    <m/>
    <s v="Y"/>
    <s v="Y"/>
    <s v="Moderate"/>
    <s v="Y"/>
    <n v="171"/>
    <n v="0.48599999999999999"/>
    <n v="104"/>
    <n v="70"/>
    <s v="Normal"/>
    <n v="187"/>
    <n v="20.02"/>
    <x v="1"/>
  </r>
  <r>
    <s v="F"/>
    <x v="22"/>
    <n v="73.2"/>
    <n v="1.8"/>
    <n v="22.6"/>
    <n v="79.3"/>
    <s v="126/81"/>
    <n v="135"/>
    <n v="71"/>
    <n v="117"/>
    <s v="Y"/>
    <s v="Y"/>
    <s v="Low"/>
    <s v="N"/>
    <n v="180"/>
    <n v="0.441"/>
    <n v="126"/>
    <n v="81"/>
    <s v="Hypertension Stage 1"/>
    <m/>
    <n v="15.52"/>
    <x v="1"/>
  </r>
  <r>
    <s v="M"/>
    <x v="25"/>
    <n v="66"/>
    <n v="1.82"/>
    <n v="19.899999999999999"/>
    <n v="80.5"/>
    <s v="148/94"/>
    <n v="159"/>
    <n v="73"/>
    <n v="71"/>
    <s v="Y"/>
    <s v="Y"/>
    <s v="Low"/>
    <s v="N"/>
    <n v="182"/>
    <n v="0.442"/>
    <n v="148"/>
    <n v="94"/>
    <s v="Hypertension Stage 2"/>
    <n v="56"/>
    <n v="16.559999999999999"/>
    <x v="1"/>
  </r>
  <r>
    <s v="M"/>
    <x v="17"/>
    <n v="51.6"/>
    <n v="1.68"/>
    <n v="18.3"/>
    <n v="71.8"/>
    <s v="106/92"/>
    <n v="137"/>
    <n v="37"/>
    <n v="105"/>
    <s v="N"/>
    <s v="N"/>
    <s v="Moderate"/>
    <s v="Y"/>
    <n v="168"/>
    <n v="0.42699999999999999"/>
    <n v="106"/>
    <n v="92"/>
    <s v="Hypertension Stage 2"/>
    <n v="70"/>
    <n v="11.7"/>
    <x v="0"/>
  </r>
  <r>
    <s v="F"/>
    <x v="1"/>
    <m/>
    <n v="1.65"/>
    <n v="21.4"/>
    <n v="92.6"/>
    <s v="107/89"/>
    <n v="179"/>
    <n v="75"/>
    <n v="139"/>
    <s v="Y"/>
    <s v="N"/>
    <s v="Moderate"/>
    <s v="N"/>
    <n v="165"/>
    <n v="0.56100000000000005"/>
    <n v="107"/>
    <n v="89"/>
    <s v="Hypertension Stage 1"/>
    <n v="74"/>
    <n v="13.21"/>
    <x v="0"/>
  </r>
  <r>
    <s v="F"/>
    <x v="29"/>
    <n v="54.3"/>
    <n v="1.81"/>
    <n v="16.600000000000001"/>
    <n v="99.1"/>
    <s v="133/65"/>
    <n v="187"/>
    <n v="78"/>
    <n v="80"/>
    <s v="N"/>
    <s v="Y"/>
    <s v="High"/>
    <s v="N"/>
    <n v="181"/>
    <n v="0.54800000000000004"/>
    <n v="133"/>
    <n v="65"/>
    <s v="Hypertension Stage 1"/>
    <n v="79"/>
    <n v="15.71"/>
    <x v="0"/>
  </r>
  <r>
    <s v="F"/>
    <x v="6"/>
    <n v="79"/>
    <n v="1.74"/>
    <m/>
    <n v="92.4"/>
    <s v="147/85"/>
    <n v="212"/>
    <n v="73"/>
    <n v="90"/>
    <s v="Y"/>
    <s v="N"/>
    <s v="Moderate"/>
    <s v="N"/>
    <n v="174"/>
    <n v="0.53100000000000003"/>
    <n v="147"/>
    <n v="85"/>
    <s v="Hypertension Stage 1"/>
    <m/>
    <n v="16.809999999999999"/>
    <x v="0"/>
  </r>
  <r>
    <s v="M"/>
    <x v="23"/>
    <n v="85.9"/>
    <n v="1.78"/>
    <n v="27.1"/>
    <n v="87.2"/>
    <s v="144/70"/>
    <n v="189"/>
    <n v="44"/>
    <n v="100"/>
    <s v="N"/>
    <s v="N"/>
    <s v="Low"/>
    <s v="N"/>
    <n v="178"/>
    <n v="0.49"/>
    <n v="144"/>
    <n v="70"/>
    <s v="Hypertension Stage 2"/>
    <m/>
    <n v="16.399999999999999"/>
    <x v="0"/>
  </r>
  <r>
    <s v="M"/>
    <x v="19"/>
    <n v="60.3"/>
    <n v="1.7"/>
    <n v="20.9"/>
    <n v="70.099999999999994"/>
    <s v="141/96"/>
    <n v="253"/>
    <n v="38"/>
    <n v="119"/>
    <s v="Y"/>
    <s v="N"/>
    <s v="Moderate"/>
    <s v="Y"/>
    <n v="170"/>
    <n v="0.41199999999999998"/>
    <n v="141"/>
    <n v="96"/>
    <s v="Hypertension Stage 2"/>
    <n v="185"/>
    <n v="16.29"/>
    <x v="1"/>
  </r>
  <r>
    <s v="F"/>
    <x v="30"/>
    <n v="60.5"/>
    <n v="1.64"/>
    <n v="22.5"/>
    <n v="76.400000000000006"/>
    <s v="104/80"/>
    <n v="178"/>
    <n v="78"/>
    <n v="124"/>
    <s v="N"/>
    <s v="N"/>
    <s v="Moderate"/>
    <s v="Y"/>
    <n v="164"/>
    <n v="0.46600000000000003"/>
    <n v="104"/>
    <n v="80"/>
    <s v="Hypertension Stage 1"/>
    <n v="70"/>
    <n v="13.26"/>
    <x v="0"/>
  </r>
  <r>
    <s v="F"/>
    <x v="8"/>
    <n v="82.9"/>
    <n v="1.89"/>
    <n v="23.2"/>
    <n v="84.4"/>
    <s v="129/60"/>
    <n v="109"/>
    <n v="70"/>
    <n v="108"/>
    <s v="N"/>
    <s v="Y"/>
    <s v="High"/>
    <s v="Y"/>
    <n v="189"/>
    <n v="0.44700000000000001"/>
    <n v="129"/>
    <n v="60"/>
    <s v="Elevated"/>
    <n v="9"/>
    <n v="15.27"/>
    <x v="0"/>
  </r>
  <r>
    <s v="F"/>
    <x v="8"/>
    <n v="103.2"/>
    <n v="1.75"/>
    <n v="33.700000000000003"/>
    <n v="75.5"/>
    <s v="146/99"/>
    <n v="256"/>
    <n v="38"/>
    <n v="104"/>
    <s v="N"/>
    <s v="N"/>
    <s v="Low"/>
    <s v="Y"/>
    <m/>
    <n v="0.43099999999999999"/>
    <n v="146"/>
    <n v="99"/>
    <s v="Hypertension Stage 2"/>
    <n v="188"/>
    <n v="19.16"/>
    <x v="1"/>
  </r>
  <r>
    <s v="F"/>
    <x v="11"/>
    <n v="74.400000000000006"/>
    <n v="1.88"/>
    <n v="21.1"/>
    <n v="91.1"/>
    <s v="90/97"/>
    <n v="176"/>
    <n v="73"/>
    <n v="98"/>
    <s v="Y"/>
    <s v="N"/>
    <s v="Low"/>
    <s v="N"/>
    <n v="188"/>
    <n v="0.48499999999999999"/>
    <n v="90"/>
    <n v="97"/>
    <s v="Hypertension Stage 2"/>
    <n v="73"/>
    <n v="12.24"/>
    <x v="0"/>
  </r>
  <r>
    <s v="F"/>
    <x v="19"/>
    <n v="93.2"/>
    <n v="1.63"/>
    <n v="35.1"/>
    <n v="95.5"/>
    <s v="139/91"/>
    <m/>
    <n v="57"/>
    <n v="123"/>
    <s v="Y"/>
    <s v="N"/>
    <s v="Moderate"/>
    <s v="Y"/>
    <n v="163"/>
    <n v="0.58599999999999997"/>
    <m/>
    <n v="91"/>
    <s v="Hypertension Stage 1"/>
    <n v="180"/>
    <n v="19.309999999999999"/>
    <x v="1"/>
  </r>
  <r>
    <s v="M"/>
    <x v="10"/>
    <n v="74.900000000000006"/>
    <n v="1.81"/>
    <n v="22.9"/>
    <n v="72.099999999999994"/>
    <s v="121/93"/>
    <n v="258"/>
    <n v="53"/>
    <n v="109"/>
    <s v="Y"/>
    <s v="N"/>
    <s v="High"/>
    <s v="Y"/>
    <n v="181"/>
    <n v="0.39800000000000002"/>
    <n v="121"/>
    <n v="93"/>
    <s v="Hypertension Stage 2"/>
    <n v="175"/>
    <n v="15.79"/>
    <x v="1"/>
  </r>
  <r>
    <s v="F"/>
    <x v="5"/>
    <n v="57.9"/>
    <n v="1.73"/>
    <n v="19.3"/>
    <n v="84.7"/>
    <s v="126/86"/>
    <n v="111"/>
    <n v="57"/>
    <n v="124"/>
    <s v="Y"/>
    <s v="N"/>
    <s v="Low"/>
    <s v="N"/>
    <m/>
    <m/>
    <n v="126"/>
    <n v="86"/>
    <s v="Hypertension Stage 1"/>
    <n v="24"/>
    <n v="12.38"/>
    <x v="0"/>
  </r>
  <r>
    <s v="F"/>
    <x v="17"/>
    <n v="82.7"/>
    <n v="1.63"/>
    <n v="31.1"/>
    <n v="82.1"/>
    <s v="132/65"/>
    <n v="158"/>
    <n v="78"/>
    <n v="91"/>
    <s v="N"/>
    <s v="Y"/>
    <s v="High"/>
    <s v="Y"/>
    <n v="163"/>
    <n v="0.504"/>
    <m/>
    <n v="65"/>
    <s v="Hypertension Stage 1"/>
    <n v="50"/>
    <n v="17.98"/>
    <x v="1"/>
  </r>
  <r>
    <s v="M"/>
    <x v="29"/>
    <n v="91.2"/>
    <n v="1.68"/>
    <n v="32.299999999999997"/>
    <n v="73.2"/>
    <s v="124/80"/>
    <n v="249"/>
    <n v="60"/>
    <n v="147"/>
    <s v="N"/>
    <s v="N"/>
    <s v="Moderate"/>
    <s v="N"/>
    <n v="168"/>
    <n v="0.436"/>
    <n v="124"/>
    <m/>
    <s v="Hypertension Stage 1"/>
    <n v="159"/>
    <n v="17.64"/>
    <x v="0"/>
  </r>
  <r>
    <s v="F"/>
    <x v="16"/>
    <n v="115.2"/>
    <n v="1.74"/>
    <n v="38"/>
    <n v="88.1"/>
    <s v="146/80"/>
    <n v="100"/>
    <n v="32"/>
    <n v="72"/>
    <s v="N"/>
    <s v="Y"/>
    <s v="Low"/>
    <s v="Y"/>
    <n v="174"/>
    <n v="0.50600000000000001"/>
    <n v="146"/>
    <n v="80"/>
    <s v="Hypertension Stage 1"/>
    <n v="38"/>
    <n v="18.899999999999999"/>
    <x v="1"/>
  </r>
  <r>
    <s v="F"/>
    <x v="3"/>
    <n v="96.3"/>
    <n v="1.74"/>
    <n v="31.8"/>
    <n v="91.3"/>
    <s v="93/95"/>
    <n v="109"/>
    <n v="53"/>
    <n v="129"/>
    <s v="N"/>
    <s v="Y"/>
    <s v="High"/>
    <s v="Y"/>
    <n v="174"/>
    <n v="0.52500000000000002"/>
    <n v="93"/>
    <n v="95"/>
    <s v="Hypertension Stage 2"/>
    <n v="26"/>
    <n v="15.19"/>
    <x v="0"/>
  </r>
  <r>
    <s v="M"/>
    <x v="6"/>
    <n v="102.6"/>
    <n v="1.74"/>
    <n v="33.9"/>
    <n v="103.5"/>
    <s v="134/68"/>
    <n v="127"/>
    <n v="60"/>
    <n v="138"/>
    <s v="N"/>
    <s v="Y"/>
    <s v="High"/>
    <s v="N"/>
    <n v="174"/>
    <m/>
    <n v="134"/>
    <n v="68"/>
    <s v="Hypertension Stage 1"/>
    <n v="37"/>
    <n v="18.02"/>
    <x v="0"/>
  </r>
  <r>
    <s v="F"/>
    <x v="29"/>
    <m/>
    <n v="1.79"/>
    <n v="26.1"/>
    <n v="99.2"/>
    <s v="121/100"/>
    <n v="245"/>
    <n v="37"/>
    <n v="72"/>
    <s v="Y"/>
    <s v="N"/>
    <s v="Moderate"/>
    <s v="N"/>
    <n v="179"/>
    <n v="0.55400000000000005"/>
    <n v="121"/>
    <n v="100"/>
    <s v="Hypertension Stage 2"/>
    <m/>
    <n v="16.170000000000002"/>
    <x v="1"/>
  </r>
  <r>
    <s v="M"/>
    <x v="19"/>
    <n v="51"/>
    <n v="1.63"/>
    <n v="19.2"/>
    <n v="95.4"/>
    <s v="92/60"/>
    <n v="121"/>
    <n v="46"/>
    <n v="143"/>
    <s v="Y"/>
    <s v="N"/>
    <s v="High"/>
    <s v="N"/>
    <n v="163"/>
    <n v="0.58499999999999996"/>
    <n v="92"/>
    <n v="60"/>
    <s v="Normal"/>
    <n v="45"/>
    <n v="10.86"/>
    <x v="2"/>
  </r>
  <r>
    <s v="F"/>
    <x v="5"/>
    <n v="116.9"/>
    <n v="1.89"/>
    <n v="32.700000000000003"/>
    <n v="93.6"/>
    <s v="131/62"/>
    <n v="110"/>
    <n v="74"/>
    <n v="108"/>
    <s v="Y"/>
    <s v="Y"/>
    <s v="High"/>
    <s v="N"/>
    <n v="189"/>
    <n v="0.495"/>
    <n v="131"/>
    <n v="62"/>
    <s v="Hypertension Stage 1"/>
    <m/>
    <n v="17.29"/>
    <x v="0"/>
  </r>
  <r>
    <s v="M"/>
    <x v="7"/>
    <m/>
    <n v="1.89"/>
    <n v="15.3"/>
    <n v="99.9"/>
    <s v="134/88"/>
    <n v="206"/>
    <n v="79"/>
    <n v="105"/>
    <s v="N"/>
    <s v="N"/>
    <s v="High"/>
    <s v="Y"/>
    <n v="189"/>
    <n v="0.52900000000000003"/>
    <n v="134"/>
    <n v="88"/>
    <s v="Hypertension Stage 1"/>
    <n v="97"/>
    <n v="13.88"/>
    <x v="0"/>
  </r>
  <r>
    <s v="F"/>
    <x v="12"/>
    <n v="106.7"/>
    <n v="1.65"/>
    <n v="39.200000000000003"/>
    <n v="106.5"/>
    <s v="106/69"/>
    <n v="201"/>
    <n v="76"/>
    <n v="127"/>
    <s v="N"/>
    <s v="N"/>
    <s v="High"/>
    <s v="N"/>
    <n v="165"/>
    <n v="0.64500000000000002"/>
    <n v="106"/>
    <n v="69"/>
    <s v="Normal"/>
    <n v="95"/>
    <n v="17.16"/>
    <x v="0"/>
  </r>
  <r>
    <s v="F"/>
    <x v="30"/>
    <n v="62.7"/>
    <n v="1.63"/>
    <n v="23.6"/>
    <n v="93.9"/>
    <s v="110/86"/>
    <n v="252"/>
    <n v="42"/>
    <n v="114"/>
    <s v="Y"/>
    <s v="Y"/>
    <s v="Low"/>
    <s v="Y"/>
    <n v="163"/>
    <n v="0.57599999999999996"/>
    <n v="110"/>
    <n v="86"/>
    <s v="Hypertension Stage 1"/>
    <n v="180"/>
    <n v="17.260000000000002"/>
    <x v="1"/>
  </r>
  <r>
    <s v="F"/>
    <x v="11"/>
    <n v="98.1"/>
    <n v="1.84"/>
    <m/>
    <n v="73.3"/>
    <s v="143/95"/>
    <n v="235"/>
    <n v="75"/>
    <n v="100"/>
    <s v="N"/>
    <s v="Y"/>
    <s v="Low"/>
    <s v="Y"/>
    <n v="184"/>
    <n v="0.39800000000000002"/>
    <n v="143"/>
    <n v="95"/>
    <s v="Hypertension Stage 2"/>
    <n v="130"/>
    <n v="19.649999999999999"/>
    <x v="1"/>
  </r>
  <r>
    <s v="F"/>
    <x v="15"/>
    <m/>
    <n v="1.76"/>
    <n v="19.7"/>
    <n v="88"/>
    <s v="98/88"/>
    <m/>
    <n v="44"/>
    <m/>
    <s v="Y"/>
    <s v="Y"/>
    <s v="Moderate"/>
    <s v="Y"/>
    <n v="176"/>
    <n v="0.5"/>
    <n v="98"/>
    <n v="88"/>
    <s v="Hypertension Stage 1"/>
    <n v="177"/>
    <n v="15.86"/>
    <x v="1"/>
  </r>
  <r>
    <s v="M"/>
    <x v="0"/>
    <n v="94.9"/>
    <n v="1.84"/>
    <n v="28"/>
    <n v="79.3"/>
    <s v="143/66"/>
    <n v="206"/>
    <n v="46"/>
    <n v="122"/>
    <s v="Y"/>
    <s v="N"/>
    <s v="Low"/>
    <s v="N"/>
    <n v="184"/>
    <n v="0.43099999999999999"/>
    <n v="143"/>
    <n v="66"/>
    <s v="Hypertension Stage 2"/>
    <n v="130"/>
    <n v="16.87"/>
    <x v="1"/>
  </r>
  <r>
    <s v="M"/>
    <x v="11"/>
    <n v="76.900000000000006"/>
    <n v="1.64"/>
    <n v="28.6"/>
    <n v="101.5"/>
    <s v="101/79"/>
    <n v="181"/>
    <n v="63"/>
    <n v="144"/>
    <s v="Y"/>
    <s v="N"/>
    <s v="Low"/>
    <s v="N"/>
    <n v="164"/>
    <n v="0.61899999999999999"/>
    <n v="101"/>
    <n v="79"/>
    <s v="Normal"/>
    <n v="88"/>
    <n v="14.39"/>
    <x v="0"/>
  </r>
  <r>
    <s v="M"/>
    <x v="1"/>
    <n v="83"/>
    <n v="1.61"/>
    <n v="32"/>
    <n v="77.7"/>
    <s v="116/66"/>
    <n v="210"/>
    <n v="32"/>
    <n v="100"/>
    <s v="Y"/>
    <s v="N"/>
    <s v="High"/>
    <s v="Y"/>
    <n v="161"/>
    <n v="0.48299999999999998"/>
    <n v="116"/>
    <n v="66"/>
    <s v="Normal"/>
    <m/>
    <n v="16.399999999999999"/>
    <x v="1"/>
  </r>
  <r>
    <s v="F"/>
    <x v="15"/>
    <n v="83.1"/>
    <n v="1.81"/>
    <n v="25.4"/>
    <n v="99.9"/>
    <s v="106/92"/>
    <n v="167"/>
    <n v="42"/>
    <n v="87"/>
    <s v="Y"/>
    <s v="Y"/>
    <s v="Moderate"/>
    <s v="N"/>
    <n v="181"/>
    <n v="0.55200000000000005"/>
    <n v="106"/>
    <n v="92"/>
    <s v="Hypertension Stage 2"/>
    <n v="95"/>
    <n v="15.72"/>
    <x v="0"/>
  </r>
  <r>
    <s v="F"/>
    <x v="9"/>
    <n v="102.7"/>
    <n v="1.61"/>
    <n v="39.6"/>
    <n v="107.3"/>
    <s v="95/88"/>
    <n v="188"/>
    <n v="56"/>
    <n v="86"/>
    <s v="Y"/>
    <s v="Y"/>
    <s v="High"/>
    <s v="Y"/>
    <n v="161"/>
    <n v="0.66600000000000004"/>
    <n v="95"/>
    <n v="88"/>
    <s v="Hypertension Stage 1"/>
    <n v="102"/>
    <n v="18.43"/>
    <x v="1"/>
  </r>
  <r>
    <s v="M"/>
    <x v="2"/>
    <n v="81.2"/>
    <n v="1.84"/>
    <n v="24"/>
    <n v="86.1"/>
    <s v="131/84"/>
    <n v="223"/>
    <n v="38"/>
    <n v="81"/>
    <s v="N"/>
    <s v="Y"/>
    <s v="Low"/>
    <s v="Y"/>
    <n v="184"/>
    <n v="0.46800000000000003"/>
    <n v="131"/>
    <n v="84"/>
    <s v="Hypertension Stage 1"/>
    <n v="155"/>
    <n v="17.809999999999999"/>
    <x v="1"/>
  </r>
  <r>
    <s v="F"/>
    <x v="26"/>
    <n v="54.1"/>
    <m/>
    <n v="16"/>
    <n v="102.1"/>
    <s v="101/86"/>
    <n v="150"/>
    <n v="57"/>
    <n v="100"/>
    <s v="Y"/>
    <s v="N"/>
    <s v="Moderate"/>
    <s v="Y"/>
    <n v="184"/>
    <n v="0.55500000000000005"/>
    <n v="101"/>
    <n v="86"/>
    <s v="Hypertension Stage 1"/>
    <n v="63"/>
    <n v="11.25"/>
    <x v="0"/>
  </r>
  <r>
    <s v="F"/>
    <x v="2"/>
    <n v="93.7"/>
    <n v="1.75"/>
    <n v="30.6"/>
    <n v="78.8"/>
    <s v="134/81"/>
    <n v="119"/>
    <n v="41"/>
    <n v="96"/>
    <s v="Y"/>
    <s v="N"/>
    <s v="High"/>
    <s v="N"/>
    <n v="175"/>
    <n v="0.45"/>
    <n v="134"/>
    <n v="81"/>
    <s v="Hypertension Stage 1"/>
    <m/>
    <n v="15.2"/>
    <x v="0"/>
  </r>
  <r>
    <s v="M"/>
    <x v="25"/>
    <n v="84.1"/>
    <n v="1.76"/>
    <n v="27.2"/>
    <n v="83.4"/>
    <s v="130/65"/>
    <n v="111"/>
    <n v="61"/>
    <n v="113"/>
    <s v="N"/>
    <s v="N"/>
    <s v="Low"/>
    <s v="N"/>
    <n v="176"/>
    <n v="0.47399999999999998"/>
    <n v="130"/>
    <n v="65"/>
    <s v="Hypertension Stage 1"/>
    <n v="20"/>
    <n v="14.16"/>
    <x v="0"/>
  </r>
  <r>
    <s v="F"/>
    <x v="17"/>
    <n v="112.2"/>
    <n v="1.69"/>
    <n v="39.299999999999997"/>
    <n v="75.3"/>
    <s v="138/61"/>
    <n v="285"/>
    <n v="60"/>
    <n v="99"/>
    <s v="Y"/>
    <s v="N"/>
    <s v="Low"/>
    <s v="Y"/>
    <n v="169"/>
    <n v="0.44600000000000001"/>
    <n v="138"/>
    <n v="61"/>
    <s v="Hypertension Stage 1"/>
    <n v="195"/>
    <n v="20.46"/>
    <x v="1"/>
  </r>
  <r>
    <s v="M"/>
    <x v="6"/>
    <n v="109.6"/>
    <n v="1.83"/>
    <m/>
    <n v="90.1"/>
    <s v="146/90"/>
    <m/>
    <m/>
    <n v="86"/>
    <s v="N"/>
    <s v="Y"/>
    <s v="Low"/>
    <s v="Y"/>
    <n v="183"/>
    <n v="0.49199999999999999"/>
    <m/>
    <n v="90"/>
    <s v="Hypertension Stage 2"/>
    <n v="128"/>
    <n v="20.14"/>
    <x v="1"/>
  </r>
  <r>
    <s v="F"/>
    <x v="10"/>
    <n v="54.2"/>
    <n v="1.87"/>
    <n v="15.5"/>
    <n v="89.8"/>
    <s v="92/94"/>
    <n v="245"/>
    <n v="36"/>
    <n v="99"/>
    <s v="N"/>
    <s v="Y"/>
    <s v="Low"/>
    <s v="Y"/>
    <n v="187"/>
    <n v="0.48"/>
    <n v="92"/>
    <n v="94"/>
    <s v="Hypertension Stage 2"/>
    <n v="179"/>
    <m/>
    <x v="1"/>
  </r>
  <r>
    <s v="M"/>
    <x v="32"/>
    <n v="56.283000000000001"/>
    <n v="1.9410000000000001"/>
    <n v="32.701999999999998"/>
    <n v="107.777"/>
    <s v="135/69"/>
    <n v="276"/>
    <n v="83"/>
    <n v="177"/>
    <s v="Y"/>
    <s v="Y"/>
    <s v="Moderate"/>
    <s v="N"/>
    <n v="194.06200000000001"/>
    <n v="0.55500000000000005"/>
    <n v="135"/>
    <n v="69"/>
    <s v="Hypertension Stage 1"/>
    <n v="163"/>
    <n v="20.81"/>
    <x v="2"/>
  </r>
  <r>
    <s v="F"/>
    <x v="33"/>
    <n v="87.543999999999997"/>
    <m/>
    <n v="38.527000000000001"/>
    <n v="86.486999999999995"/>
    <s v="154/60"/>
    <n v="125"/>
    <n v="48"/>
    <n v="167"/>
    <s v="Y"/>
    <s v="Y"/>
    <s v="Moderate"/>
    <s v="Y"/>
    <n v="178.33699999999999"/>
    <n v="0.48499999999999999"/>
    <n v="154"/>
    <n v="60"/>
    <s v="Hypertension Stage 2"/>
    <n v="47"/>
    <n v="19.905000000000001"/>
    <x v="1"/>
  </r>
  <r>
    <s v="M"/>
    <x v="29"/>
    <n v="97.400999999999996"/>
    <n v="1.7709999999999999"/>
    <n v="32.968000000000004"/>
    <n v="79.328000000000003"/>
    <s v="147/78"/>
    <n v="177"/>
    <n v="40"/>
    <n v="176"/>
    <s v="Y"/>
    <s v="Y"/>
    <s v="High"/>
    <s v="Y"/>
    <n v="177.14599999999999"/>
    <n v="0.44800000000000001"/>
    <m/>
    <n v="78"/>
    <s v="Hypertension Stage 2"/>
    <n v="107"/>
    <n v="19.484000000000002"/>
    <x v="0"/>
  </r>
  <r>
    <s v="F"/>
    <x v="3"/>
    <n v="82.164000000000001"/>
    <n v="1.986"/>
    <n v="34.701000000000001"/>
    <n v="117.72"/>
    <s v="154/69"/>
    <n v="285"/>
    <n v="83"/>
    <n v="73"/>
    <s v="N"/>
    <s v="Y"/>
    <s v="Moderate"/>
    <s v="Y"/>
    <n v="198.596"/>
    <m/>
    <n v="154"/>
    <n v="69"/>
    <s v="Hypertension Stage 2"/>
    <n v="172"/>
    <n v="22.34"/>
    <x v="2"/>
  </r>
  <r>
    <s v="M"/>
    <x v="34"/>
    <n v="93.938999999999993"/>
    <n v="1.988"/>
    <n v="28.5"/>
    <n v="112.81399999999999"/>
    <s v="105/110"/>
    <n v="174"/>
    <n v="45"/>
    <n v="83"/>
    <s v="N"/>
    <s v="Y"/>
    <s v="Moderate"/>
    <s v="N"/>
    <n v="198.84200000000001"/>
    <n v="0.56699999999999995"/>
    <n v="105"/>
    <n v="110"/>
    <s v="Hypertension Stage 2"/>
    <m/>
    <n v="16.43"/>
    <x v="1"/>
  </r>
  <r>
    <s v="M"/>
    <x v="27"/>
    <n v="77.491"/>
    <n v="1.73"/>
    <n v="19.614999999999998"/>
    <n v="94.611999999999995"/>
    <s v="125/118"/>
    <n v="156"/>
    <n v="36"/>
    <n v="174"/>
    <s v="Y"/>
    <s v="N"/>
    <s v="High"/>
    <s v="N"/>
    <n v="172.97399999999999"/>
    <n v="0.54700000000000004"/>
    <n v="125"/>
    <n v="118"/>
    <s v="Hypertension Stage 2"/>
    <n v="90"/>
    <n v="13.292999999999999"/>
    <x v="2"/>
  </r>
  <r>
    <s v="F"/>
    <x v="7"/>
    <n v="68.516000000000005"/>
    <n v="1.929"/>
    <n v="39.966999999999999"/>
    <n v="96.956999999999994"/>
    <s v="105/84"/>
    <n v="241"/>
    <n v="52"/>
    <n v="103"/>
    <s v="Y"/>
    <s v="N"/>
    <s v="Moderate"/>
    <s v="Y"/>
    <n v="192.93600000000001"/>
    <n v="0.503"/>
    <n v="105"/>
    <n v="84"/>
    <s v="Hypertension Stage 1"/>
    <n v="159"/>
    <n v="18.062999999999999"/>
    <x v="1"/>
  </r>
  <r>
    <s v="M"/>
    <x v="35"/>
    <n v="86.405000000000001"/>
    <n v="1.972"/>
    <n v="35.85"/>
    <n v="99.563999999999993"/>
    <s v="129/93"/>
    <n v="222"/>
    <n v="40"/>
    <m/>
    <s v="N"/>
    <s v="N"/>
    <s v="Moderate"/>
    <s v="N"/>
    <n v="197.21600000000001"/>
    <n v="0.505"/>
    <n v="129"/>
    <n v="93"/>
    <s v="Hypertension Stage 2"/>
    <n v="152"/>
    <n v="18.059999999999999"/>
    <x v="1"/>
  </r>
  <r>
    <s v="M"/>
    <x v="23"/>
    <n v="105"/>
    <m/>
    <n v="25.309000000000001"/>
    <n v="110.277"/>
    <s v="144/93"/>
    <n v="126"/>
    <n v="50"/>
    <n v="91"/>
    <s v="N"/>
    <s v="N"/>
    <s v="Moderate"/>
    <s v="N"/>
    <n v="176.828"/>
    <n v="0.624"/>
    <n v="144"/>
    <n v="93"/>
    <s v="Hypertension Stage 2"/>
    <n v="46"/>
    <m/>
    <x v="0"/>
  </r>
  <r>
    <s v="M"/>
    <x v="21"/>
    <n v="51.094999999999999"/>
    <n v="1.5209999999999999"/>
    <n v="20.190000000000001"/>
    <n v="72.274000000000001"/>
    <s v="159/91"/>
    <n v="296"/>
    <m/>
    <n v="123"/>
    <s v="N"/>
    <s v="N"/>
    <s v="Moderate"/>
    <s v="N"/>
    <n v="152.08000000000001"/>
    <m/>
    <n v="159"/>
    <n v="91"/>
    <s v="Hypertension Stage 2"/>
    <n v="211"/>
    <n v="17.908000000000001"/>
    <x v="2"/>
  </r>
  <r>
    <s v="F"/>
    <x v="28"/>
    <n v="69.367000000000004"/>
    <n v="1.8320000000000001"/>
    <n v="30.099"/>
    <n v="112.452"/>
    <s v="149/107"/>
    <m/>
    <n v="47"/>
    <n v="90"/>
    <s v="Y"/>
    <s v="N"/>
    <s v="Low"/>
    <s v="N"/>
    <n v="183.17400000000001"/>
    <n v="0.61399999999999999"/>
    <n v="149"/>
    <n v="107"/>
    <s v="Hypertension Stage 2"/>
    <n v="210"/>
    <n v="19.21"/>
    <x v="2"/>
  </r>
  <r>
    <s v="F"/>
    <x v="29"/>
    <n v="90.05"/>
    <m/>
    <n v="33.582000000000001"/>
    <n v="85.075999999999993"/>
    <s v="120/102"/>
    <n v="238"/>
    <n v="51"/>
    <n v="161"/>
    <s v="N"/>
    <s v="Y"/>
    <s v="Low"/>
    <s v="Y"/>
    <m/>
    <n v="0.5"/>
    <n v="120"/>
    <n v="102"/>
    <s v="Hypertension Stage 2"/>
    <n v="157"/>
    <n v="19.475999999999999"/>
    <x v="2"/>
  </r>
  <r>
    <s v="F"/>
    <x v="24"/>
    <n v="91.147999999999996"/>
    <n v="1.998"/>
    <n v="38.405000000000001"/>
    <n v="108.75"/>
    <s v="108/95"/>
    <n v="272"/>
    <n v="40"/>
    <n v="157"/>
    <s v="N"/>
    <s v="Y"/>
    <s v="Low"/>
    <s v="Y"/>
    <n v="199.80199999999999"/>
    <n v="0.54400000000000004"/>
    <n v="108"/>
    <n v="95"/>
    <s v="Hypertension Stage 2"/>
    <n v="202"/>
    <n v="20.521000000000001"/>
    <x v="2"/>
  </r>
  <r>
    <s v="M"/>
    <x v="36"/>
    <n v="80.069000000000003"/>
    <m/>
    <n v="29.166"/>
    <n v="80.971000000000004"/>
    <s v="120/87"/>
    <n v="151"/>
    <n v="35"/>
    <n v="70"/>
    <s v="N"/>
    <s v="Y"/>
    <s v="High"/>
    <s v="N"/>
    <n v="155.93100000000001"/>
    <n v="0.51900000000000002"/>
    <n v="120"/>
    <n v="87"/>
    <s v="Hypertension Stage 1"/>
    <n v="86"/>
    <n v="16.853000000000002"/>
    <x v="0"/>
  </r>
  <r>
    <s v="F"/>
    <x v="34"/>
    <n v="58.323999999999998"/>
    <n v="1.6339999999999999"/>
    <n v="36.951999999999998"/>
    <n v="86.34"/>
    <s v="168/60"/>
    <n v="233"/>
    <n v="86"/>
    <n v="114"/>
    <s v="Y"/>
    <s v="Y"/>
    <s v="Low"/>
    <s v="N"/>
    <n v="163.422"/>
    <n v="0.52800000000000002"/>
    <n v="168"/>
    <n v="60"/>
    <s v="Hypertension Stage 2"/>
    <n v="117"/>
    <n v="22.45"/>
    <x v="2"/>
  </r>
  <r>
    <s v="M"/>
    <x v="28"/>
    <n v="55.683999999999997"/>
    <n v="1.552"/>
    <m/>
    <n v="103.846"/>
    <s v="147/87"/>
    <n v="298"/>
    <n v="53"/>
    <n v="149"/>
    <s v="Y"/>
    <s v="Y"/>
    <s v="Low"/>
    <s v="Y"/>
    <n v="155.167"/>
    <n v="0.66900000000000004"/>
    <n v="147"/>
    <n v="87"/>
    <s v="Hypertension Stage 1"/>
    <n v="215"/>
    <n v="21.032"/>
    <x v="1"/>
  </r>
  <r>
    <s v="F"/>
    <x v="37"/>
    <n v="88.094999999999999"/>
    <n v="1.738"/>
    <n v="24.181999999999999"/>
    <n v="70.090999999999994"/>
    <s v="99/80"/>
    <n v="141"/>
    <n v="35"/>
    <n v="74"/>
    <s v="Y"/>
    <s v="Y"/>
    <s v="Low"/>
    <s v="N"/>
    <n v="173.78"/>
    <n v="0.40300000000000002"/>
    <n v="99"/>
    <n v="80"/>
    <s v="Hypertension Stage 1"/>
    <n v="76"/>
    <n v="14.606"/>
    <x v="0"/>
  </r>
  <r>
    <s v="M"/>
    <x v="38"/>
    <n v="102.027"/>
    <n v="1.786"/>
    <n v="18.585000000000001"/>
    <n v="83.74"/>
    <s v="152/109"/>
    <n v="182"/>
    <n v="87"/>
    <n v="102"/>
    <s v="Y"/>
    <s v="N"/>
    <s v="Low"/>
    <s v="N"/>
    <n v="178.63300000000001"/>
    <n v="0.46899999999999997"/>
    <n v="152"/>
    <n v="109"/>
    <s v="Hypertension Stage 2"/>
    <n v="65"/>
    <n v="14.957000000000001"/>
    <x v="0"/>
  </r>
  <r>
    <s v="F"/>
    <x v="31"/>
    <n v="98.343000000000004"/>
    <n v="1.887"/>
    <n v="35.972999999999999"/>
    <n v="103.28400000000001"/>
    <s v="104/99"/>
    <n v="295"/>
    <n v="64"/>
    <n v="75"/>
    <s v="Y"/>
    <s v="Y"/>
    <s v="Moderate"/>
    <s v="N"/>
    <n v="188.71100000000001"/>
    <n v="0.54700000000000004"/>
    <n v="104"/>
    <n v="99"/>
    <s v="Hypertension Stage 2"/>
    <n v="201"/>
    <n v="20.295000000000002"/>
    <x v="2"/>
  </r>
  <r>
    <s v="M"/>
    <x v="38"/>
    <n v="75.956999999999994"/>
    <n v="1.6539999999999999"/>
    <n v="21.277999999999999"/>
    <n v="117.142"/>
    <s v="155/119"/>
    <n v="112"/>
    <n v="61"/>
    <n v="89"/>
    <s v="N"/>
    <s v="N"/>
    <s v="High"/>
    <s v="N"/>
    <n v="165.435"/>
    <n v="0.70799999999999996"/>
    <n v="155"/>
    <n v="119"/>
    <s v="Hypertension Stage 2"/>
    <n v="21"/>
    <n v="14.246"/>
    <x v="0"/>
  </r>
  <r>
    <s v="M"/>
    <x v="39"/>
    <n v="114.312"/>
    <n v="1.6879999999999999"/>
    <n v="25.163"/>
    <m/>
    <s v="140/106"/>
    <n v="210"/>
    <n v="41"/>
    <n v="80"/>
    <s v="Y"/>
    <s v="N"/>
    <s v="Low"/>
    <s v="N"/>
    <n v="168.81200000000001"/>
    <n v="0.58399999999999996"/>
    <n v="140"/>
    <n v="106"/>
    <s v="Hypertension Stage 2"/>
    <n v="139"/>
    <n v="16.233000000000001"/>
    <x v="0"/>
  </r>
  <r>
    <s v="F"/>
    <x v="40"/>
    <m/>
    <n v="1.754"/>
    <n v="37.484000000000002"/>
    <n v="95.49"/>
    <s v="113/119"/>
    <n v="172"/>
    <n v="65"/>
    <n v="141"/>
    <s v="N"/>
    <s v="N"/>
    <s v="Low"/>
    <s v="N"/>
    <n v="175.352"/>
    <n v="0.54500000000000004"/>
    <n v="113"/>
    <n v="119"/>
    <s v="Hypertension Stage 2"/>
    <n v="77"/>
    <n v="16.587"/>
    <x v="2"/>
  </r>
  <r>
    <s v="F"/>
    <x v="6"/>
    <n v="82.742999999999995"/>
    <n v="1.9770000000000001"/>
    <n v="24.571999999999999"/>
    <n v="95.001999999999995"/>
    <s v="136/114"/>
    <n v="282"/>
    <n v="57"/>
    <n v="164"/>
    <s v="N"/>
    <s v="Y"/>
    <s v="Low"/>
    <s v="Y"/>
    <n v="197.67"/>
    <n v="0.48099999999999998"/>
    <n v="136"/>
    <n v="114"/>
    <s v="Hypertension Stage 1"/>
    <n v="195"/>
    <n v="19.353999999999999"/>
    <x v="1"/>
  </r>
  <r>
    <s v="M"/>
    <x v="24"/>
    <n v="98.221999999999994"/>
    <n v="1.9830000000000001"/>
    <n v="24.088999999999999"/>
    <n v="116.852"/>
    <s v="103/68"/>
    <n v="152"/>
    <n v="47"/>
    <m/>
    <s v="Y"/>
    <s v="N"/>
    <s v="High"/>
    <s v="Y"/>
    <n v="198.255"/>
    <n v="0.58899999999999997"/>
    <n v="103"/>
    <n v="68"/>
    <s v="Normal"/>
    <n v="75"/>
    <n v="13.007999999999999"/>
    <x v="1"/>
  </r>
  <r>
    <s v="M"/>
    <x v="19"/>
    <n v="104.34399999999999"/>
    <n v="1.9550000000000001"/>
    <n v="27.114999999999998"/>
    <n v="74.353999999999999"/>
    <s v="174/119"/>
    <n v="160"/>
    <n v="39"/>
    <n v="89"/>
    <s v="N"/>
    <s v="N"/>
    <s v="Low"/>
    <s v="N"/>
    <n v="195.47499999999999"/>
    <n v="0.38"/>
    <n v="174"/>
    <m/>
    <s v="Hypertension Stage 2"/>
    <n v="91"/>
    <n v="17.323"/>
    <x v="0"/>
  </r>
  <r>
    <s v="M"/>
    <x v="18"/>
    <n v="72.361999999999995"/>
    <n v="1.5920000000000001"/>
    <n v="27.881"/>
    <n v="117.02200000000001"/>
    <s v="121/92"/>
    <n v="107"/>
    <n v="40"/>
    <n v="97"/>
    <s v="N"/>
    <s v="Y"/>
    <s v="Low"/>
    <s v="N"/>
    <n v="159.161"/>
    <n v="0.73499999999999999"/>
    <n v="121"/>
    <n v="92"/>
    <s v="Hypertension Stage 2"/>
    <n v="37"/>
    <n v="15.766"/>
    <x v="1"/>
  </r>
  <r>
    <s v="F"/>
    <x v="41"/>
    <n v="68.852999999999994"/>
    <n v="1.9510000000000001"/>
    <n v="24.155999999999999"/>
    <n v="82.284999999999997"/>
    <s v="116/86"/>
    <n v="192"/>
    <m/>
    <n v="183"/>
    <s v="Y"/>
    <s v="N"/>
    <s v="High"/>
    <s v="N"/>
    <n v="195.06"/>
    <n v="0.42199999999999999"/>
    <n v="116"/>
    <n v="86"/>
    <s v="Hypertension Stage 1"/>
    <n v="107"/>
    <n v="14.471"/>
    <x v="0"/>
  </r>
  <r>
    <s v="M"/>
    <x v="6"/>
    <n v="117.678"/>
    <n v="1.7929999999999999"/>
    <n v="23.637"/>
    <n v="105.11"/>
    <s v="121/72"/>
    <n v="269"/>
    <n v="41"/>
    <n v="103"/>
    <s v="N"/>
    <s v="Y"/>
    <s v="High"/>
    <s v="N"/>
    <n v="179.27"/>
    <n v="0.58599999999999997"/>
    <n v="121"/>
    <n v="72"/>
    <s v="Elevated"/>
    <n v="198"/>
    <n v="18.157"/>
    <x v="1"/>
  </r>
  <r>
    <s v="M"/>
    <x v="22"/>
    <n v="58.262999999999998"/>
    <n v="1.6160000000000001"/>
    <n v="30.568999999999999"/>
    <n v="83.263999999999996"/>
    <s v="109/78"/>
    <n v="244"/>
    <n v="49"/>
    <n v="115"/>
    <s v="Y"/>
    <s v="Y"/>
    <s v="Low"/>
    <s v="Y"/>
    <n v="161.637"/>
    <n v="0.51500000000000001"/>
    <n v="109"/>
    <n v="78"/>
    <s v="Normal"/>
    <n v="165"/>
    <n v="18.443999999999999"/>
    <x v="2"/>
  </r>
  <r>
    <s v="M"/>
    <x v="40"/>
    <n v="114.137"/>
    <n v="1.9770000000000001"/>
    <n v="19.395"/>
    <n v="85.766000000000005"/>
    <s v="162/118"/>
    <n v="104"/>
    <n v="64"/>
    <n v="94"/>
    <s v="N"/>
    <s v="Y"/>
    <s v="High"/>
    <s v="N"/>
    <n v="197.697"/>
    <n v="0.434"/>
    <n v="162"/>
    <n v="118"/>
    <s v="Hypertension Stage 2"/>
    <n v="10"/>
    <n v="16.059000000000001"/>
    <x v="0"/>
  </r>
  <r>
    <s v="M"/>
    <x v="31"/>
    <n v="103.97"/>
    <n v="1.5589999999999999"/>
    <n v="37.058"/>
    <n v="112.72199999999999"/>
    <s v="155/70"/>
    <n v="169"/>
    <n v="72"/>
    <n v="74"/>
    <s v="N"/>
    <s v="Y"/>
    <s v="High"/>
    <s v="Y"/>
    <n v="155.87200000000001"/>
    <n v="0.72299999999999998"/>
    <n v="155"/>
    <n v="70"/>
    <s v="Hypertension Stage 2"/>
    <n v="67"/>
    <n v="20.542000000000002"/>
    <x v="2"/>
  </r>
  <r>
    <s v="M"/>
    <x v="42"/>
    <n v="86.75"/>
    <n v="1.7569999999999999"/>
    <n v="24.963000000000001"/>
    <n v="110.819"/>
    <s v="169/89"/>
    <n v="207"/>
    <m/>
    <n v="115"/>
    <s v="Y"/>
    <s v="N"/>
    <s v="Low"/>
    <s v="N"/>
    <n v="175.69399999999999"/>
    <n v="0.63100000000000001"/>
    <n v="169"/>
    <n v="89"/>
    <s v="Hypertension Stage 1"/>
    <n v="124"/>
    <n v="17.582999999999998"/>
    <x v="2"/>
  </r>
  <r>
    <s v="M"/>
    <x v="32"/>
    <n v="58.598999999999997"/>
    <n v="1.5740000000000001"/>
    <n v="28.085999999999999"/>
    <n v="93.554000000000002"/>
    <s v="154/62"/>
    <n v="197"/>
    <n v="65"/>
    <n v="125"/>
    <s v="N"/>
    <s v="Y"/>
    <s v="Moderate"/>
    <s v="N"/>
    <n v="157.43899999999999"/>
    <n v="0.59399999999999997"/>
    <n v="154"/>
    <n v="62"/>
    <s v="Hypertension Stage 2"/>
    <n v="102"/>
    <n v="19.257000000000001"/>
    <x v="0"/>
  </r>
  <r>
    <s v="M"/>
    <x v="43"/>
    <n v="61.902000000000001"/>
    <n v="1.5229999999999999"/>
    <n v="27.202999999999999"/>
    <n v="108.373"/>
    <s v="163/73"/>
    <n v="200"/>
    <n v="44"/>
    <n v="104"/>
    <s v="Y"/>
    <s v="Y"/>
    <s v="High"/>
    <s v="N"/>
    <n v="152.291"/>
    <n v="0.71199999999999997"/>
    <n v="163"/>
    <n v="73"/>
    <s v="Hypertension Stage 2"/>
    <n v="126"/>
    <n v="19.591000000000001"/>
    <x v="2"/>
  </r>
  <r>
    <s v="F"/>
    <x v="12"/>
    <n v="90.147000000000006"/>
    <n v="1.7829999999999999"/>
    <n v="28.042999999999999"/>
    <n v="111.875"/>
    <s v="161/114"/>
    <n v="249"/>
    <n v="34"/>
    <n v="176"/>
    <s v="N"/>
    <s v="Y"/>
    <s v="Low"/>
    <s v="N"/>
    <n v="178.274"/>
    <n v="0.628"/>
    <n v="161"/>
    <n v="114"/>
    <s v="Hypertension Stage 2"/>
    <n v="185"/>
    <n v="20.638999999999999"/>
    <x v="1"/>
  </r>
  <r>
    <s v="F"/>
    <x v="24"/>
    <n v="56.029000000000003"/>
    <n v="1.962"/>
    <n v="25.34"/>
    <n v="78.28"/>
    <s v="163/91"/>
    <n v="138"/>
    <n v="66"/>
    <n v="154"/>
    <s v="N"/>
    <s v="Y"/>
    <s v="High"/>
    <s v="Y"/>
    <n v="196.18899999999999"/>
    <n v="0.39900000000000002"/>
    <n v="163"/>
    <n v="91"/>
    <s v="Hypertension Stage 2"/>
    <n v="42"/>
    <n v="17.978000000000002"/>
    <x v="1"/>
  </r>
  <r>
    <s v="F"/>
    <x v="13"/>
    <n v="102.547"/>
    <n v="1.9790000000000001"/>
    <n v="20.358000000000001"/>
    <n v="115.742"/>
    <s v="148/98"/>
    <n v="266"/>
    <n v="44"/>
    <n v="159"/>
    <s v="Y"/>
    <s v="N"/>
    <s v="Low"/>
    <s v="Y"/>
    <n v="197.85900000000001"/>
    <n v="0.58499999999999996"/>
    <n v="148"/>
    <n v="98"/>
    <s v="Hypertension Stage 2"/>
    <n v="192"/>
    <n v="16.792000000000002"/>
    <x v="1"/>
  </r>
  <r>
    <s v="F"/>
    <x v="44"/>
    <n v="56.982999999999997"/>
    <n v="1.9450000000000001"/>
    <n v="25.004999999999999"/>
    <n v="93.257000000000005"/>
    <s v="149/101"/>
    <n v="217"/>
    <n v="48"/>
    <m/>
    <s v="N"/>
    <s v="Y"/>
    <s v="High"/>
    <s v="Y"/>
    <n v="194.524"/>
    <n v="0.47899999999999998"/>
    <n v="149"/>
    <m/>
    <s v="Hypertension Stage 2"/>
    <n v="139"/>
    <n v="18.791"/>
    <x v="2"/>
  </r>
  <r>
    <s v="F"/>
    <x v="30"/>
    <n v="116.55800000000001"/>
    <n v="1.665"/>
    <n v="25.079000000000001"/>
    <n v="103.991"/>
    <s v="121/115"/>
    <n v="130"/>
    <n v="39"/>
    <n v="189"/>
    <s v="N"/>
    <s v="Y"/>
    <s v="High"/>
    <s v="Y"/>
    <n v="166.524"/>
    <n v="0.624"/>
    <n v="121"/>
    <n v="115"/>
    <s v="Hypertension Stage 2"/>
    <n v="61"/>
    <n v="15.666"/>
    <x v="0"/>
  </r>
  <r>
    <s v="F"/>
    <x v="23"/>
    <n v="75.849999999999994"/>
    <n v="1.831"/>
    <n v="38.493000000000002"/>
    <n v="89.087999999999994"/>
    <s v="131/92"/>
    <m/>
    <n v="69"/>
    <n v="175"/>
    <s v="N"/>
    <s v="N"/>
    <s v="Moderate"/>
    <s v="N"/>
    <n v="183.089"/>
    <n v="0.48699999999999999"/>
    <n v="131"/>
    <n v="92"/>
    <s v="Hypertension Stage 1"/>
    <n v="50"/>
    <n v="17.228999999999999"/>
    <x v="0"/>
  </r>
  <r>
    <s v="F"/>
    <x v="3"/>
    <n v="80.807000000000002"/>
    <n v="1.6990000000000001"/>
    <n v="35.97"/>
    <n v="102.551"/>
    <s v="108/115"/>
    <n v="228"/>
    <n v="86"/>
    <n v="149"/>
    <s v="N"/>
    <s v="N"/>
    <s v="High"/>
    <s v="Y"/>
    <n v="169.90199999999999"/>
    <n v="0.60399999999999998"/>
    <n v="108"/>
    <m/>
    <s v="Hypertension Stage 2"/>
    <n v="112"/>
    <n v="17.154"/>
    <x v="0"/>
  </r>
  <r>
    <s v="M"/>
    <x v="45"/>
    <m/>
    <n v="1.9239999999999999"/>
    <n v="35.881"/>
    <n v="97.462000000000003"/>
    <s v="102/102"/>
    <n v="198"/>
    <n v="55"/>
    <n v="149"/>
    <s v="Y"/>
    <s v="N"/>
    <s v="Low"/>
    <s v="N"/>
    <n v="192.375"/>
    <n v="0.50700000000000001"/>
    <n v="102"/>
    <n v="102"/>
    <s v="Hypertension Stage 2"/>
    <n v="113"/>
    <n v="16.236000000000001"/>
    <x v="1"/>
  </r>
  <r>
    <s v="F"/>
    <x v="41"/>
    <n v="57.835999999999999"/>
    <n v="1.554"/>
    <n v="24.007999999999999"/>
    <n v="115.565"/>
    <s v="157/75"/>
    <n v="211"/>
    <n v="81"/>
    <n v="85"/>
    <s v="N"/>
    <s v="N"/>
    <s v="Moderate"/>
    <s v="N"/>
    <n v="155.404"/>
    <n v="0.74399999999999999"/>
    <n v="157"/>
    <n v="75"/>
    <s v="Hypertension Stage 2"/>
    <n v="100"/>
    <n v="16.872"/>
    <x v="0"/>
  </r>
  <r>
    <s v="M"/>
    <x v="13"/>
    <n v="87.111000000000004"/>
    <n v="1.552"/>
    <n v="37.164999999999999"/>
    <n v="96.013000000000005"/>
    <s v="171/99"/>
    <n v="218"/>
    <n v="63"/>
    <n v="157"/>
    <s v="Y"/>
    <s v="N"/>
    <s v="Moderate"/>
    <s v="N"/>
    <m/>
    <n v="0.61899999999999999"/>
    <n v="171"/>
    <n v="99"/>
    <s v="Hypertension Stage 2"/>
    <n v="125"/>
    <n v="20.343"/>
    <x v="1"/>
  </r>
  <r>
    <s v="F"/>
    <x v="29"/>
    <n v="60.755000000000003"/>
    <n v="1.675"/>
    <n v="25.623999999999999"/>
    <n v="82.403000000000006"/>
    <s v="143/96"/>
    <n v="185"/>
    <n v="42"/>
    <n v="184"/>
    <s v="Y"/>
    <s v="Y"/>
    <s v="Low"/>
    <s v="Y"/>
    <n v="167.46199999999999"/>
    <n v="0.49199999999999999"/>
    <n v="143"/>
    <n v="96"/>
    <s v="Hypertension Stage 2"/>
    <n v="113"/>
    <n v="17.975000000000001"/>
    <x v="0"/>
  </r>
  <r>
    <s v="F"/>
    <x v="26"/>
    <n v="55.807000000000002"/>
    <n v="1.881"/>
    <n v="35.554000000000002"/>
    <n v="87.524000000000001"/>
    <s v="118/67"/>
    <n v="134"/>
    <n v="78"/>
    <n v="176"/>
    <s v="N"/>
    <s v="Y"/>
    <s v="Low"/>
    <s v="N"/>
    <n v="188.107"/>
    <n v="0.46500000000000002"/>
    <n v="118"/>
    <n v="67"/>
    <s v="Normal"/>
    <n v="26"/>
    <n v="17.690999999999999"/>
    <x v="2"/>
  </r>
  <r>
    <s v="M"/>
    <x v="29"/>
    <n v="78.113"/>
    <n v="1.915"/>
    <n v="30.027999999999999"/>
    <n v="102.369"/>
    <s v="124/110"/>
    <n v="277"/>
    <n v="85"/>
    <n v="116"/>
    <s v="N"/>
    <s v="Y"/>
    <s v="Moderate"/>
    <s v="Y"/>
    <n v="191.535"/>
    <n v="0.53400000000000003"/>
    <n v="124"/>
    <n v="110"/>
    <s v="Hypertension Stage 2"/>
    <n v="162"/>
    <n v="19.745999999999999"/>
    <x v="1"/>
  </r>
  <r>
    <s v="F"/>
    <x v="0"/>
    <n v="53.08"/>
    <n v="1.5960000000000001"/>
    <n v="38.350999999999999"/>
    <n v="78.852000000000004"/>
    <s v="167/83"/>
    <n v="184"/>
    <n v="85"/>
    <n v="95"/>
    <s v="Y"/>
    <s v="Y"/>
    <s v="High"/>
    <s v="Y"/>
    <n v="159.614"/>
    <n v="0.49399999999999999"/>
    <n v="167"/>
    <n v="83"/>
    <s v="Hypertension Stage 1"/>
    <n v="69"/>
    <m/>
    <x v="2"/>
  </r>
  <r>
    <s v="M"/>
    <x v="40"/>
    <n v="116.129"/>
    <n v="1.859"/>
    <n v="28.103000000000002"/>
    <n v="114.06100000000001"/>
    <s v="125/93"/>
    <n v="285"/>
    <n v="67"/>
    <n v="92"/>
    <s v="Y"/>
    <s v="N"/>
    <s v="Low"/>
    <s v="N"/>
    <n v="185.94300000000001"/>
    <n v="0.61299999999999999"/>
    <n v="125"/>
    <n v="93"/>
    <s v="Hypertension Stage 2"/>
    <n v="188"/>
    <n v="17.571000000000002"/>
    <x v="1"/>
  </r>
  <r>
    <s v="M"/>
    <x v="9"/>
    <n v="112.71599999999999"/>
    <n v="1.77"/>
    <n v="38.307000000000002"/>
    <n v="74.33"/>
    <s v="153/95"/>
    <n v="259"/>
    <m/>
    <n v="70"/>
    <s v="Y"/>
    <s v="N"/>
    <s v="Moderate"/>
    <s v="Y"/>
    <n v="177.02699999999999"/>
    <n v="0.42"/>
    <n v="153"/>
    <n v="95"/>
    <s v="Hypertension Stage 2"/>
    <n v="175"/>
    <n v="20.491"/>
    <x v="2"/>
  </r>
  <r>
    <s v="F"/>
    <x v="38"/>
    <n v="103.35899999999999"/>
    <n v="1.9430000000000001"/>
    <n v="28.356999999999999"/>
    <n v="95.531000000000006"/>
    <s v="162/114"/>
    <n v="190"/>
    <n v="35"/>
    <n v="84"/>
    <s v="Y"/>
    <s v="N"/>
    <s v="Moderate"/>
    <s v="Y"/>
    <n v="194.298"/>
    <n v="0.49199999999999999"/>
    <n v="162"/>
    <n v="114"/>
    <s v="Hypertension Stage 2"/>
    <n v="125"/>
    <n v="17.571000000000002"/>
    <x v="0"/>
  </r>
  <r>
    <s v="F"/>
    <x v="45"/>
    <n v="90.216999999999999"/>
    <n v="1.754"/>
    <n v="19.222000000000001"/>
    <n v="78.796000000000006"/>
    <s v="141/83"/>
    <n v="266"/>
    <n v="89"/>
    <n v="168"/>
    <s v="N"/>
    <s v="Y"/>
    <s v="Moderate"/>
    <s v="N"/>
    <n v="175.37100000000001"/>
    <n v="0.44900000000000001"/>
    <n v="141"/>
    <n v="83"/>
    <s v="Hypertension Stage 1"/>
    <n v="147"/>
    <n v="18.213999999999999"/>
    <x v="0"/>
  </r>
  <r>
    <s v="F"/>
    <x v="2"/>
    <n v="67.730999999999995"/>
    <n v="1.798"/>
    <n v="20.350000000000001"/>
    <n v="101.315"/>
    <s v="168/86"/>
    <n v="143"/>
    <n v="31"/>
    <n v="151"/>
    <s v="N"/>
    <s v="N"/>
    <s v="High"/>
    <s v="Y"/>
    <n v="179.839"/>
    <n v="0.56299999999999994"/>
    <n v="168"/>
    <n v="86"/>
    <s v="Hypertension Stage 1"/>
    <n v="82"/>
    <n v="15.33"/>
    <x v="2"/>
  </r>
  <r>
    <s v="F"/>
    <x v="6"/>
    <n v="55.311"/>
    <n v="1.8160000000000001"/>
    <n v="30.302"/>
    <n v="107.283"/>
    <s v="92/61"/>
    <n v="203"/>
    <n v="59"/>
    <n v="82"/>
    <s v="N"/>
    <s v="Y"/>
    <s v="High"/>
    <s v="Y"/>
    <n v="181.62700000000001"/>
    <n v="0.59099999999999997"/>
    <n v="92"/>
    <n v="61"/>
    <s v="Normal"/>
    <n v="114"/>
    <n v="16.72"/>
    <x v="1"/>
  </r>
  <r>
    <s v="M"/>
    <x v="4"/>
    <n v="50.307000000000002"/>
    <n v="1.633"/>
    <n v="28.206"/>
    <n v="75.421000000000006"/>
    <s v="122/119"/>
    <n v="260"/>
    <n v="62"/>
    <n v="124"/>
    <s v="Y"/>
    <s v="Y"/>
    <s v="High"/>
    <s v="N"/>
    <n v="163.321"/>
    <n v="0.46200000000000002"/>
    <n v="122"/>
    <n v="119"/>
    <s v="Hypertension Stage 2"/>
    <n v="168"/>
    <n v="18.940999999999999"/>
    <x v="2"/>
  </r>
  <r>
    <s v="F"/>
    <x v="46"/>
    <n v="104.107"/>
    <n v="1.782"/>
    <n v="21.760999999999999"/>
    <n v="115.72799999999999"/>
    <s v="133/101"/>
    <n v="292"/>
    <n v="63"/>
    <n v="90"/>
    <s v="N"/>
    <s v="N"/>
    <s v="Moderate"/>
    <s v="N"/>
    <n v="178.221"/>
    <n v="0.64900000000000002"/>
    <n v="133"/>
    <n v="101"/>
    <s v="Hypertension Stage 1"/>
    <n v="199"/>
    <n v="16.841999999999999"/>
    <x v="0"/>
  </r>
  <r>
    <s v="F"/>
    <x v="33"/>
    <n v="102.495"/>
    <n v="1.97"/>
    <n v="24.384"/>
    <n v="80.456000000000003"/>
    <s v="120/110"/>
    <n v="112"/>
    <n v="55"/>
    <n v="77"/>
    <s v="Y"/>
    <s v="N"/>
    <s v="Low"/>
    <s v="Y"/>
    <n v="197.029"/>
    <n v="0.40799999999999997"/>
    <n v="120"/>
    <n v="110"/>
    <s v="Hypertension Stage 2"/>
    <n v="27"/>
    <n v="13.117000000000001"/>
    <x v="2"/>
  </r>
  <r>
    <s v="F"/>
    <x v="15"/>
    <n v="108.182"/>
    <n v="1.927"/>
    <n v="18.600999999999999"/>
    <n v="115.85899999999999"/>
    <s v="103/64"/>
    <n v="101"/>
    <n v="59"/>
    <n v="146"/>
    <s v="N"/>
    <s v="N"/>
    <s v="High"/>
    <s v="Y"/>
    <n v="192.71199999999999"/>
    <n v="0.60099999999999998"/>
    <n v="103"/>
    <n v="64"/>
    <s v="Normal"/>
    <n v="12"/>
    <n v="10.89"/>
    <x v="1"/>
  </r>
  <r>
    <s v="F"/>
    <x v="4"/>
    <n v="97.126000000000005"/>
    <n v="1.72"/>
    <m/>
    <n v="81.804000000000002"/>
    <s v="94/63"/>
    <n v="159"/>
    <n v="89"/>
    <n v="74"/>
    <s v="N"/>
    <s v="N"/>
    <s v="High"/>
    <s v="Y"/>
    <n v="172.01900000000001"/>
    <n v="0.47599999999999998"/>
    <n v="94"/>
    <n v="63"/>
    <s v="Normal"/>
    <n v="40"/>
    <n v="13.047000000000001"/>
    <x v="0"/>
  </r>
  <r>
    <s v="F"/>
    <x v="33"/>
    <n v="85.781000000000006"/>
    <m/>
    <n v="19.832999999999998"/>
    <n v="108.559"/>
    <s v="154/114"/>
    <n v="210"/>
    <n v="81"/>
    <n v="107"/>
    <s v="Y"/>
    <s v="N"/>
    <s v="Moderate"/>
    <s v="Y"/>
    <n v="182.97399999999999"/>
    <n v="0.59299999999999997"/>
    <n v="154"/>
    <n v="114"/>
    <s v="Hypertension Stage 2"/>
    <n v="99"/>
    <n v="15.867000000000001"/>
    <x v="0"/>
  </r>
  <r>
    <s v="M"/>
    <x v="3"/>
    <n v="51.936"/>
    <n v="1.9359999999999999"/>
    <n v="36.442"/>
    <n v="115.755"/>
    <s v="105/108"/>
    <n v="107"/>
    <n v="52"/>
    <n v="125"/>
    <s v="Y"/>
    <s v="Y"/>
    <s v="Low"/>
    <s v="N"/>
    <n v="193.61"/>
    <n v="0.59799999999999998"/>
    <n v="105"/>
    <n v="108"/>
    <s v="Hypertension Stage 2"/>
    <n v="25"/>
    <n v="16.678000000000001"/>
    <x v="1"/>
  </r>
  <r>
    <s v="M"/>
    <x v="28"/>
    <n v="98.406000000000006"/>
    <n v="1.956"/>
    <n v="24.042999999999999"/>
    <n v="96.171999999999997"/>
    <s v="139/83"/>
    <n v="194"/>
    <n v="62"/>
    <n v="191"/>
    <s v="N"/>
    <s v="Y"/>
    <s v="High"/>
    <s v="Y"/>
    <n v="195.56299999999999"/>
    <n v="0.49199999999999999"/>
    <n v="139"/>
    <n v="83"/>
    <s v="Hypertension Stage 1"/>
    <n v="102"/>
    <n v="17.638999999999999"/>
    <x v="1"/>
  </r>
  <r>
    <s v="F"/>
    <x v="4"/>
    <n v="67.057000000000002"/>
    <m/>
    <n v="31.312000000000001"/>
    <n v="101.93"/>
    <s v="96/85"/>
    <n v="185"/>
    <n v="70"/>
    <n v="172"/>
    <s v="N"/>
    <s v="N"/>
    <s v="Moderate"/>
    <s v="N"/>
    <n v="159.965"/>
    <n v="0.63700000000000001"/>
    <n v="96"/>
    <n v="85"/>
    <s v="Hypertension Stage 1"/>
    <n v="85"/>
    <n v="14.762"/>
    <x v="2"/>
  </r>
  <r>
    <s v="M"/>
    <x v="47"/>
    <n v="100.845"/>
    <n v="1.591"/>
    <n v="22.896999999999998"/>
    <n v="88.019000000000005"/>
    <s v="145/91"/>
    <n v="196"/>
    <n v="76"/>
    <n v="135"/>
    <s v="Y"/>
    <s v="N"/>
    <s v="High"/>
    <s v="Y"/>
    <n v="159.065"/>
    <n v="0.55300000000000005"/>
    <n v="145"/>
    <n v="91"/>
    <s v="Hypertension Stage 2"/>
    <n v="90"/>
    <n v="15.749000000000001"/>
    <x v="0"/>
  </r>
  <r>
    <s v="M"/>
    <x v="8"/>
    <n v="107.611"/>
    <n v="1.718"/>
    <n v="26.407"/>
    <n v="80.588999999999999"/>
    <s v="117/60"/>
    <n v="162"/>
    <n v="69"/>
    <n v="94"/>
    <s v="Y"/>
    <s v="N"/>
    <s v="Low"/>
    <s v="N"/>
    <n v="171.8"/>
    <n v="0.46899999999999997"/>
    <n v="117"/>
    <n v="60"/>
    <s v="Normal"/>
    <n v="63"/>
    <n v="14.371"/>
    <x v="1"/>
  </r>
  <r>
    <s v="F"/>
    <x v="3"/>
    <n v="90.260999999999996"/>
    <n v="1.6359999999999999"/>
    <n v="26.895"/>
    <n v="77.206999999999994"/>
    <s v="164/87"/>
    <n v="287"/>
    <n v="57"/>
    <n v="158"/>
    <s v="Y"/>
    <s v="Y"/>
    <s v="Moderate"/>
    <s v="N"/>
    <m/>
    <n v="0.47199999999999998"/>
    <n v="164"/>
    <m/>
    <s v="Hypertension Stage 1"/>
    <n v="200"/>
    <n v="21.318999999999999"/>
    <x v="1"/>
  </r>
  <r>
    <s v="F"/>
    <x v="8"/>
    <n v="81.247"/>
    <n v="1.9490000000000001"/>
    <n v="39.118000000000002"/>
    <n v="77.647000000000006"/>
    <s v="158/74"/>
    <n v="274"/>
    <m/>
    <n v="170"/>
    <s v="N"/>
    <s v="Y"/>
    <s v="High"/>
    <s v="N"/>
    <n v="194.93199999999999"/>
    <n v="0.39800000000000002"/>
    <n v="158"/>
    <n v="74"/>
    <s v="Hypertension Stage 2"/>
    <n v="193"/>
    <n v="23.204000000000001"/>
    <x v="0"/>
  </r>
  <r>
    <s v="F"/>
    <x v="48"/>
    <n v="76.602999999999994"/>
    <n v="1.85"/>
    <n v="39.712000000000003"/>
    <n v="106.93"/>
    <s v="90/87"/>
    <n v="179"/>
    <n v="30"/>
    <n v="189"/>
    <s v="N"/>
    <s v="Y"/>
    <s v="Low"/>
    <s v="Y"/>
    <n v="185.041"/>
    <n v="0.57799999999999996"/>
    <n v="90"/>
    <n v="87"/>
    <s v="Hypertension Stage 1"/>
    <n v="119"/>
    <m/>
    <x v="1"/>
  </r>
  <r>
    <s v="F"/>
    <x v="9"/>
    <n v="82.337000000000003"/>
    <n v="1.7270000000000001"/>
    <n v="18.827999999999999"/>
    <n v="72.052999999999997"/>
    <s v="154/70"/>
    <n v="207"/>
    <n v="53"/>
    <n v="92"/>
    <s v="Y"/>
    <s v="Y"/>
    <s v="Moderate"/>
    <s v="Y"/>
    <n v="172.71700000000001"/>
    <n v="0.41699999999999998"/>
    <n v="154"/>
    <n v="70"/>
    <s v="Hypertension Stage 2"/>
    <n v="124"/>
    <n v="17.606000000000002"/>
    <x v="1"/>
  </r>
  <r>
    <s v="M"/>
    <x v="37"/>
    <n v="99.08"/>
    <n v="1.77"/>
    <n v="24.835000000000001"/>
    <n v="96.245000000000005"/>
    <s v="103/107"/>
    <n v="147"/>
    <n v="38"/>
    <n v="165"/>
    <s v="Y"/>
    <s v="Y"/>
    <s v="High"/>
    <s v="Y"/>
    <n v="177.012"/>
    <n v="0.54400000000000004"/>
    <n v="103"/>
    <n v="107"/>
    <s v="Hypertension Stage 2"/>
    <n v="79"/>
    <n v="15.057"/>
    <x v="1"/>
  </r>
  <r>
    <s v="F"/>
    <x v="48"/>
    <n v="115.384"/>
    <n v="1.744"/>
    <n v="34.636000000000003"/>
    <n v="102.26"/>
    <s v="128/97"/>
    <n v="164"/>
    <n v="31"/>
    <n v="122"/>
    <s v="Y"/>
    <s v="N"/>
    <s v="Moderate"/>
    <s v="Y"/>
    <n v="174.38499999999999"/>
    <n v="0.58599999999999997"/>
    <n v="128"/>
    <n v="97"/>
    <s v="Hypertension Stage 2"/>
    <n v="103"/>
    <n v="16.606999999999999"/>
    <x v="0"/>
  </r>
  <r>
    <s v="M"/>
    <x v="0"/>
    <m/>
    <n v="1.657"/>
    <n v="21.387"/>
    <n v="75.28"/>
    <s v="147/81"/>
    <n v="281"/>
    <n v="63"/>
    <n v="153"/>
    <s v="Y"/>
    <s v="Y"/>
    <s v="Low"/>
    <s v="N"/>
    <n v="165.71199999999999"/>
    <n v="0.45400000000000001"/>
    <n v="147"/>
    <n v="81"/>
    <s v="Hypertension Stage 1"/>
    <n v="188"/>
    <n v="19.247"/>
    <x v="1"/>
  </r>
  <r>
    <s v="M"/>
    <x v="24"/>
    <n v="80.563000000000002"/>
    <n v="1.7150000000000001"/>
    <n v="30.696000000000002"/>
    <n v="111.462"/>
    <s v="177/98"/>
    <n v="262"/>
    <n v="77"/>
    <n v="140"/>
    <s v="Y"/>
    <s v="N"/>
    <s v="High"/>
    <s v="Y"/>
    <n v="171.53800000000001"/>
    <n v="0.65"/>
    <n v="177"/>
    <n v="98"/>
    <s v="Hypertension Stage 2"/>
    <n v="155"/>
    <n v="20.228999999999999"/>
    <x v="2"/>
  </r>
  <r>
    <s v="F"/>
    <x v="49"/>
    <n v="105.63"/>
    <n v="1.6819999999999999"/>
    <n v="33.093000000000004"/>
    <n v="105.92700000000001"/>
    <s v="172/77"/>
    <n v="212"/>
    <n v="59"/>
    <n v="98"/>
    <s v="N"/>
    <s v="N"/>
    <s v="Low"/>
    <s v="Y"/>
    <n v="168.16499999999999"/>
    <n v="0.63"/>
    <n v="172"/>
    <n v="77"/>
    <s v="Hypertension Stage 2"/>
    <n v="123"/>
    <n v="19.459"/>
    <x v="1"/>
  </r>
  <r>
    <s v="M"/>
    <x v="20"/>
    <n v="110.392"/>
    <n v="1.7050000000000001"/>
    <n v="34.826000000000001"/>
    <n v="95.951999999999998"/>
    <s v="165/85"/>
    <n v="276"/>
    <n v="56"/>
    <n v="70"/>
    <s v="N"/>
    <s v="N"/>
    <s v="Low"/>
    <s v="Y"/>
    <n v="170.547"/>
    <n v="0.56299999999999994"/>
    <n v="165"/>
    <n v="85"/>
    <s v="Hypertension Stage 1"/>
    <n v="190"/>
    <n v="20.734999999999999"/>
    <x v="0"/>
  </r>
  <r>
    <s v="M"/>
    <x v="5"/>
    <n v="73.070999999999998"/>
    <n v="1.6459999999999999"/>
    <n v="27.373000000000001"/>
    <n v="82.346000000000004"/>
    <s v="129/113"/>
    <m/>
    <m/>
    <n v="92"/>
    <s v="Y"/>
    <s v="Y"/>
    <s v="High"/>
    <s v="N"/>
    <n v="164.61500000000001"/>
    <n v="0.5"/>
    <n v="129"/>
    <n v="113"/>
    <s v="Hypertension Stage 2"/>
    <n v="32"/>
    <n v="16.425000000000001"/>
    <x v="1"/>
  </r>
  <r>
    <s v="F"/>
    <x v="10"/>
    <n v="57.427999999999997"/>
    <n v="1.8109999999999999"/>
    <n v="36.299999999999997"/>
    <n v="92.387"/>
    <s v="126/61"/>
    <n v="203"/>
    <m/>
    <n v="161"/>
    <s v="Y"/>
    <s v="Y"/>
    <s v="High"/>
    <s v="N"/>
    <n v="181.13800000000001"/>
    <n v="0.51"/>
    <n v="126"/>
    <n v="61"/>
    <s v="Elevated"/>
    <m/>
    <n v="19.62"/>
    <x v="1"/>
  </r>
  <r>
    <s v="F"/>
    <x v="16"/>
    <n v="96.331999999999994"/>
    <n v="1.6739999999999999"/>
    <n v="38.898000000000003"/>
    <n v="103.991"/>
    <s v="179/90"/>
    <n v="212"/>
    <n v="35"/>
    <n v="96"/>
    <s v="Y"/>
    <s v="Y"/>
    <s v="High"/>
    <s v="Y"/>
    <n v="167.44499999999999"/>
    <n v="0.621"/>
    <m/>
    <n v="90"/>
    <s v="Hypertension Stage 2"/>
    <n v="147"/>
    <n v="22.97"/>
    <x v="0"/>
  </r>
  <r>
    <s v="F"/>
    <x v="17"/>
    <n v="83.534000000000006"/>
    <n v="1.89"/>
    <n v="38.703000000000003"/>
    <n v="113.907"/>
    <s v="171/113"/>
    <n v="255"/>
    <n v="47"/>
    <n v="173"/>
    <s v="Y"/>
    <s v="N"/>
    <s v="High"/>
    <s v="Y"/>
    <n v="188.965"/>
    <n v="0.60299999999999998"/>
    <n v="171"/>
    <n v="113"/>
    <s v="Hypertension Stage 2"/>
    <n v="178"/>
    <n v="21.390999999999998"/>
    <x v="0"/>
  </r>
  <r>
    <s v="F"/>
    <x v="34"/>
    <n v="79.489000000000004"/>
    <n v="1.879"/>
    <n v="28.065999999999999"/>
    <n v="81.173000000000002"/>
    <s v="162/117"/>
    <n v="229"/>
    <n v="70"/>
    <n v="136"/>
    <s v="N"/>
    <s v="N"/>
    <s v="Moderate"/>
    <s v="Y"/>
    <n v="187.85900000000001"/>
    <n v="0.432"/>
    <n v="162"/>
    <n v="117"/>
    <s v="Hypertension Stage 2"/>
    <n v="129"/>
    <n v="18.292999999999999"/>
    <x v="2"/>
  </r>
  <r>
    <s v="F"/>
    <x v="5"/>
    <n v="105.351"/>
    <n v="1.68"/>
    <n v="28.038"/>
    <n v="109.807"/>
    <s v="146/91"/>
    <n v="288"/>
    <n v="48"/>
    <n v="161"/>
    <s v="Y"/>
    <s v="Y"/>
    <s v="High"/>
    <s v="Y"/>
    <n v="167.977"/>
    <n v="0.65400000000000003"/>
    <n v="146"/>
    <n v="91"/>
    <s v="Hypertension Stage 2"/>
    <n v="210"/>
    <n v="20.667999999999999"/>
    <x v="2"/>
  </r>
  <r>
    <s v="F"/>
    <x v="45"/>
    <n v="67.144000000000005"/>
    <n v="1.532"/>
    <n v="22.811"/>
    <n v="99.79"/>
    <s v="127/99"/>
    <n v="260"/>
    <n v="59"/>
    <n v="106"/>
    <s v="N"/>
    <s v="N"/>
    <s v="High"/>
    <s v="N"/>
    <n v="153.17099999999999"/>
    <n v="0.65100000000000002"/>
    <n v="127"/>
    <n v="99"/>
    <s v="Hypertension Stage 2"/>
    <n v="171"/>
    <n v="16.111999999999998"/>
    <x v="1"/>
  </r>
  <r>
    <s v="F"/>
    <x v="32"/>
    <n v="99.191000000000003"/>
    <n v="1.738"/>
    <m/>
    <n v="80.861999999999995"/>
    <s v="102/70"/>
    <n v="212"/>
    <n v="66"/>
    <n v="178"/>
    <s v="N"/>
    <s v="Y"/>
    <s v="Low"/>
    <s v="N"/>
    <n v="173.786"/>
    <n v="0.46500000000000002"/>
    <n v="102"/>
    <n v="70"/>
    <s v="Normal"/>
    <n v="116"/>
    <n v="18.044"/>
    <x v="0"/>
  </r>
  <r>
    <s v="M"/>
    <x v="3"/>
    <n v="104.303"/>
    <n v="1.8959999999999999"/>
    <n v="33.274000000000001"/>
    <n v="90.572000000000003"/>
    <s v="108/84"/>
    <n v="117"/>
    <n v="43"/>
    <n v="170"/>
    <s v="Y"/>
    <s v="N"/>
    <s v="High"/>
    <s v="N"/>
    <n v="189.56899999999999"/>
    <n v="0.47799999999999998"/>
    <n v="108"/>
    <n v="84"/>
    <s v="Hypertension Stage 1"/>
    <n v="44"/>
    <n v="14.395"/>
    <x v="1"/>
  </r>
  <r>
    <s v="F"/>
    <x v="18"/>
    <n v="74.353999999999999"/>
    <m/>
    <n v="26.4"/>
    <n v="96.936000000000007"/>
    <s v="102/60"/>
    <n v="160"/>
    <n v="37"/>
    <m/>
    <s v="Y"/>
    <s v="Y"/>
    <s v="Moderate"/>
    <s v="Y"/>
    <n v="178.83199999999999"/>
    <n v="0.54200000000000004"/>
    <n v="102"/>
    <n v="60"/>
    <s v="Normal"/>
    <n v="93"/>
    <n v="15.58"/>
    <x v="2"/>
  </r>
  <r>
    <s v="F"/>
    <x v="23"/>
    <n v="70.213999999999999"/>
    <n v="1.599"/>
    <n v="21.675999999999998"/>
    <n v="77.685000000000002"/>
    <s v="127/106"/>
    <n v="137"/>
    <n v="75"/>
    <n v="79"/>
    <s v="Y"/>
    <s v="Y"/>
    <s v="Moderate"/>
    <s v="N"/>
    <n v="159.87799999999999"/>
    <m/>
    <n v="127"/>
    <n v="106"/>
    <s v="Hypertension Stage 2"/>
    <n v="32"/>
    <n v="15.425000000000001"/>
    <x v="0"/>
  </r>
  <r>
    <s v="M"/>
    <x v="41"/>
    <n v="60.783000000000001"/>
    <n v="1.556"/>
    <n v="21.14"/>
    <n v="112.63"/>
    <s v="117/108"/>
    <n v="124"/>
    <n v="37"/>
    <n v="82"/>
    <s v="N"/>
    <s v="N"/>
    <s v="Low"/>
    <s v="N"/>
    <n v="155.59899999999999"/>
    <n v="0.72399999999999998"/>
    <n v="117"/>
    <n v="108"/>
    <s v="Hypertension Stage 2"/>
    <n v="57"/>
    <n v="12.558"/>
    <x v="1"/>
  </r>
  <r>
    <s v="F"/>
    <x v="26"/>
    <n v="56.171999999999997"/>
    <n v="1.958"/>
    <n v="20.582000000000001"/>
    <n v="79.411000000000001"/>
    <s v="167/108"/>
    <n v="127"/>
    <n v="57"/>
    <n v="91"/>
    <s v="Y"/>
    <s v="N"/>
    <s v="Moderate"/>
    <s v="Y"/>
    <n v="195.76900000000001"/>
    <n v="0.40600000000000003"/>
    <n v="167"/>
    <m/>
    <s v="Hypertension Stage 2"/>
    <n v="40"/>
    <n v="15.006"/>
    <x v="2"/>
  </r>
  <r>
    <s v="M"/>
    <x v="13"/>
    <n v="108.047"/>
    <n v="1.51"/>
    <n v="22.56"/>
    <n v="88.790999999999997"/>
    <s v="109/86"/>
    <n v="194"/>
    <n v="44"/>
    <n v="84"/>
    <s v="Y"/>
    <s v="N"/>
    <s v="Moderate"/>
    <s v="Y"/>
    <n v="151.04300000000001"/>
    <n v="0.58799999999999997"/>
    <n v="109"/>
    <n v="86"/>
    <s v="Hypertension Stage 1"/>
    <n v="120"/>
    <n v="13.842000000000001"/>
    <x v="0"/>
  </r>
  <r>
    <s v="F"/>
    <x v="40"/>
    <n v="92.343999999999994"/>
    <n v="1.629"/>
    <n v="22.933"/>
    <n v="118.05800000000001"/>
    <s v="132/72"/>
    <n v="234"/>
    <n v="66"/>
    <n v="197"/>
    <s v="N"/>
    <s v="Y"/>
    <s v="High"/>
    <s v="N"/>
    <n v="162.928"/>
    <n v="0.72499999999999998"/>
    <n v="132"/>
    <n v="72"/>
    <s v="Hypertension Stage 1"/>
    <n v="138"/>
    <n v="17.867000000000001"/>
    <x v="1"/>
  </r>
  <r>
    <s v="M"/>
    <x v="18"/>
    <n v="118.169"/>
    <n v="1.6719999999999999"/>
    <n v="28.821999999999999"/>
    <m/>
    <s v="174/76"/>
    <n v="265"/>
    <n v="73"/>
    <n v="74"/>
    <s v="N"/>
    <s v="Y"/>
    <s v="Low"/>
    <s v="Y"/>
    <n v="167.19900000000001"/>
    <n v="0.59299999999999997"/>
    <n v="174"/>
    <n v="76"/>
    <s v="Hypertension Stage 2"/>
    <n v="162"/>
    <n v="21.763999999999999"/>
    <x v="0"/>
  </r>
  <r>
    <s v="M"/>
    <x v="5"/>
    <n v="66.855000000000004"/>
    <n v="1.93"/>
    <n v="29.587"/>
    <n v="71.373000000000005"/>
    <s v="144/76"/>
    <n v="215"/>
    <n v="82"/>
    <n v="196"/>
    <s v="N"/>
    <s v="N"/>
    <s v="Moderate"/>
    <s v="N"/>
    <n v="192.983"/>
    <n v="0.37"/>
    <n v="144"/>
    <n v="76"/>
    <s v="Hypertension Stage 2"/>
    <n v="103"/>
    <n v="17.417000000000002"/>
    <x v="2"/>
  </r>
  <r>
    <s v="F"/>
    <x v="36"/>
    <n v="83.355000000000004"/>
    <n v="1.847"/>
    <n v="27.68"/>
    <n v="81.436000000000007"/>
    <s v="102/96"/>
    <n v="281"/>
    <n v="83"/>
    <n v="162"/>
    <s v="Y"/>
    <s v="Y"/>
    <s v="High"/>
    <s v="Y"/>
    <n v="184.697"/>
    <n v="0.441"/>
    <n v="102"/>
    <n v="96"/>
    <s v="Hypertension Stage 2"/>
    <n v="168"/>
    <m/>
    <x v="1"/>
  </r>
  <r>
    <s v="F"/>
    <x v="13"/>
    <m/>
    <n v="1.976"/>
    <n v="36.826999999999998"/>
    <n v="109.577"/>
    <s v="100/84"/>
    <n v="216"/>
    <n v="55"/>
    <n v="192"/>
    <s v="Y"/>
    <s v="N"/>
    <s v="High"/>
    <s v="N"/>
    <n v="197.58099999999999"/>
    <n v="0.55500000000000005"/>
    <n v="100"/>
    <n v="84"/>
    <s v="Hypertension Stage 1"/>
    <n v="131"/>
    <n v="16.684999999999999"/>
    <x v="2"/>
  </r>
  <r>
    <s v="F"/>
    <x v="14"/>
    <m/>
    <n v="1.78"/>
    <m/>
    <n v="119.672"/>
    <s v="113/65"/>
    <n v="173"/>
    <n v="60"/>
    <n v="187"/>
    <s v="N"/>
    <s v="Y"/>
    <s v="High"/>
    <s v="Y"/>
    <n v="177.99600000000001"/>
    <n v="0.67200000000000004"/>
    <n v="113"/>
    <n v="65"/>
    <s v="Normal"/>
    <n v="83"/>
    <n v="18.323"/>
    <x v="1"/>
  </r>
  <r>
    <s v="M"/>
    <x v="50"/>
    <n v="88.77"/>
    <n v="1.5720000000000001"/>
    <n v="25.428000000000001"/>
    <n v="76.659000000000006"/>
    <s v="170/89"/>
    <n v="150"/>
    <n v="38"/>
    <n v="164"/>
    <s v="N"/>
    <s v="Y"/>
    <s v="High"/>
    <s v="Y"/>
    <n v="157.22"/>
    <n v="0.48799999999999999"/>
    <n v="170"/>
    <n v="89"/>
    <s v="Hypertension Stage 1"/>
    <n v="82"/>
    <n v="18.585999999999999"/>
    <x v="0"/>
  </r>
  <r>
    <s v="M"/>
    <x v="28"/>
    <n v="65.311000000000007"/>
    <n v="1.589"/>
    <n v="32.176000000000002"/>
    <n v="99.412000000000006"/>
    <s v="139/106"/>
    <n v="272"/>
    <n v="38"/>
    <n v="81"/>
    <s v="Y"/>
    <s v="N"/>
    <s v="High"/>
    <s v="N"/>
    <n v="158.88999999999999"/>
    <n v="0.626"/>
    <n v="139"/>
    <n v="106"/>
    <s v="Hypertension Stage 1"/>
    <n v="204"/>
    <n v="18.824999999999999"/>
    <x v="1"/>
  </r>
  <r>
    <s v="F"/>
    <x v="39"/>
    <n v="71.323999999999998"/>
    <n v="1.9450000000000001"/>
    <n v="37.817"/>
    <n v="80.259"/>
    <s v="92/88"/>
    <n v="203"/>
    <n v="46"/>
    <n v="85"/>
    <s v="Y"/>
    <s v="N"/>
    <s v="High"/>
    <s v="Y"/>
    <n v="194.48699999999999"/>
    <n v="0.41299999999999998"/>
    <n v="92"/>
    <n v="88"/>
    <s v="Hypertension Stage 1"/>
    <n v="127"/>
    <n v="16.222999999999999"/>
    <x v="1"/>
  </r>
  <r>
    <s v="M"/>
    <x v="20"/>
    <n v="64.42"/>
    <n v="1.921"/>
    <n v="28.513000000000002"/>
    <n v="81.260999999999996"/>
    <s v="131/115"/>
    <n v="219"/>
    <n v="74"/>
    <n v="157"/>
    <s v="N"/>
    <s v="Y"/>
    <s v="Low"/>
    <s v="Y"/>
    <n v="192.12200000000001"/>
    <n v="0.42299999999999999"/>
    <n v="131"/>
    <n v="115"/>
    <s v="Hypertension Stage 1"/>
    <n v="115"/>
    <n v="18.632999999999999"/>
    <x v="0"/>
  </r>
  <r>
    <s v="F"/>
    <x v="34"/>
    <n v="99.691000000000003"/>
    <n v="1.57"/>
    <n v="25.021000000000001"/>
    <n v="88.168999999999997"/>
    <s v="109/84"/>
    <n v="194"/>
    <n v="31"/>
    <n v="196"/>
    <s v="N"/>
    <s v="N"/>
    <s v="Moderate"/>
    <s v="N"/>
    <n v="157.04300000000001"/>
    <n v="0.56100000000000005"/>
    <n v="109"/>
    <n v="84"/>
    <s v="Hypertension Stage 1"/>
    <n v="133"/>
    <n v="14.334"/>
    <x v="1"/>
  </r>
  <r>
    <s v="M"/>
    <x v="4"/>
    <n v="53.317"/>
    <n v="1.913"/>
    <n v="28.419"/>
    <n v="110.331"/>
    <s v="172/108"/>
    <n v="100"/>
    <n v="88"/>
    <n v="106"/>
    <s v="Y"/>
    <s v="N"/>
    <s v="Moderate"/>
    <s v="N"/>
    <n v="191.25299999999999"/>
    <n v="0.57699999999999996"/>
    <n v="172"/>
    <n v="108"/>
    <s v="Hypertension Stage 2"/>
    <n v="-18"/>
    <n v="16.283999999999999"/>
    <x v="1"/>
  </r>
  <r>
    <s v="M"/>
    <x v="30"/>
    <n v="71.372"/>
    <n v="1.9239999999999999"/>
    <n v="34.363"/>
    <n v="84.581000000000003"/>
    <s v="108/115"/>
    <n v="178"/>
    <n v="60"/>
    <n v="164"/>
    <s v="Y"/>
    <s v="Y"/>
    <s v="High"/>
    <s v="Y"/>
    <m/>
    <n v="0.44"/>
    <n v="108"/>
    <n v="115"/>
    <s v="Hypertension Stage 2"/>
    <n v="88"/>
    <n v="17.832999999999998"/>
    <x v="1"/>
  </r>
  <r>
    <s v="M"/>
    <x v="51"/>
    <n v="85.786000000000001"/>
    <n v="1.9610000000000001"/>
    <n v="19.439"/>
    <m/>
    <s v="121/105"/>
    <n v="230"/>
    <n v="76"/>
    <n v="103"/>
    <s v="Y"/>
    <s v="Y"/>
    <s v="Low"/>
    <s v="Y"/>
    <n v="196.07"/>
    <n v="0.439"/>
    <n v="121"/>
    <n v="105"/>
    <s v="Hypertension Stage 2"/>
    <n v="124"/>
    <n v="16.538"/>
    <x v="2"/>
  </r>
  <r>
    <s v="M"/>
    <x v="52"/>
    <n v="54.923000000000002"/>
    <n v="1.8720000000000001"/>
    <n v="39.978999999999999"/>
    <n v="106.94799999999999"/>
    <s v="179/79"/>
    <n v="100"/>
    <n v="61"/>
    <n v="70"/>
    <s v="Y"/>
    <s v="Y"/>
    <s v="Low"/>
    <s v="Y"/>
    <n v="187.16499999999999"/>
    <n v="0.57099999999999995"/>
    <n v="179"/>
    <n v="79"/>
    <s v="Hypertension Stage 2"/>
    <n v="9"/>
    <n v="20.946000000000002"/>
    <x v="0"/>
  </r>
  <r>
    <s v="M"/>
    <x v="38"/>
    <n v="116.72199999999999"/>
    <n v="1.9690000000000001"/>
    <n v="33.073999999999998"/>
    <n v="105.557"/>
    <s v="94/117"/>
    <n v="118"/>
    <n v="87"/>
    <m/>
    <s v="N"/>
    <s v="Y"/>
    <s v="Low"/>
    <s v="N"/>
    <n v="196.899"/>
    <n v="0.53600000000000003"/>
    <n v="94"/>
    <n v="117"/>
    <s v="Hypertension Stage 2"/>
    <n v="1"/>
    <n v="15.675000000000001"/>
    <x v="2"/>
  </r>
  <r>
    <s v="F"/>
    <x v="32"/>
    <n v="106.884"/>
    <n v="1.728"/>
    <n v="20.629000000000001"/>
    <n v="101.182"/>
    <s v="155/79"/>
    <n v="102"/>
    <n v="54"/>
    <n v="192"/>
    <s v="Y"/>
    <s v="Y"/>
    <s v="High"/>
    <s v="N"/>
    <n v="172.80199999999999"/>
    <n v="0.58599999999999997"/>
    <n v="155"/>
    <n v="79"/>
    <s v="Hypertension Stage 2"/>
    <n v="18"/>
    <m/>
    <x v="0"/>
  </r>
  <r>
    <s v="M"/>
    <x v="22"/>
    <n v="90.77"/>
    <n v="1.6419999999999999"/>
    <n v="18.899000000000001"/>
    <n v="114.08499999999999"/>
    <s v="130/109"/>
    <n v="199"/>
    <n v="32"/>
    <n v="70"/>
    <s v="N"/>
    <s v="Y"/>
    <s v="High"/>
    <s v="N"/>
    <n v="164.18299999999999"/>
    <n v="0.69499999999999995"/>
    <n v="130"/>
    <n v="109"/>
    <s v="Hypertension Stage 1"/>
    <n v="137"/>
    <n v="16.260000000000002"/>
    <x v="0"/>
  </r>
  <r>
    <s v="F"/>
    <x v="28"/>
    <n v="53.542000000000002"/>
    <n v="1.69"/>
    <n v="28.713000000000001"/>
    <n v="73.144999999999996"/>
    <s v="103/90"/>
    <n v="176"/>
    <n v="79"/>
    <n v="111"/>
    <s v="Y"/>
    <s v="N"/>
    <s v="High"/>
    <s v="Y"/>
    <n v="168.958"/>
    <n v="0.433"/>
    <n v="103"/>
    <n v="90"/>
    <s v="Hypertension Stage 2"/>
    <n v="67"/>
    <n v="14.413"/>
    <x v="2"/>
  </r>
  <r>
    <s v="F"/>
    <x v="50"/>
    <n v="63.398000000000003"/>
    <n v="1.7849999999999999"/>
    <n v="31.238"/>
    <n v="83.495000000000005"/>
    <s v="137/113"/>
    <n v="218"/>
    <n v="63"/>
    <n v="72"/>
    <s v="Y"/>
    <s v="Y"/>
    <s v="High"/>
    <s v="N"/>
    <n v="178.49"/>
    <n v="0.46800000000000003"/>
    <n v="137"/>
    <n v="113"/>
    <s v="Hypertension Stage 1"/>
    <n v="125"/>
    <n v="19.457999999999998"/>
    <x v="1"/>
  </r>
  <r>
    <s v="F"/>
    <x v="29"/>
    <n v="94.003"/>
    <n v="1.5489999999999999"/>
    <n v="34.152999999999999"/>
    <n v="77.307000000000002"/>
    <s v="152/114"/>
    <n v="238"/>
    <n v="85"/>
    <n v="154"/>
    <s v="N"/>
    <s v="Y"/>
    <s v="Moderate"/>
    <s v="Y"/>
    <m/>
    <n v="0.499"/>
    <n v="152"/>
    <n v="114"/>
    <s v="Hypertension Stage 2"/>
    <n v="123"/>
    <n v="21.190999999999999"/>
    <x v="2"/>
  </r>
  <r>
    <s v="M"/>
    <x v="10"/>
    <n v="119.063"/>
    <n v="1.823"/>
    <n v="33.326000000000001"/>
    <n v="76.637"/>
    <s v="109/118"/>
    <n v="250"/>
    <n v="73"/>
    <n v="185"/>
    <s v="N"/>
    <s v="Y"/>
    <s v="High"/>
    <s v="N"/>
    <n v="182.29"/>
    <n v="0.42"/>
    <n v="109"/>
    <n v="118"/>
    <s v="Hypertension Stage 2"/>
    <n v="147"/>
    <n v="19.114999999999998"/>
    <x v="1"/>
  </r>
  <r>
    <s v="M"/>
    <x v="24"/>
    <n v="93.834000000000003"/>
    <n v="1.8069999999999999"/>
    <n v="24.548999999999999"/>
    <n v="97.454999999999998"/>
    <s v="155/110"/>
    <n v="295"/>
    <n v="69"/>
    <n v="197"/>
    <s v="N"/>
    <s v="Y"/>
    <s v="Low"/>
    <s v="N"/>
    <n v="180.66499999999999"/>
    <m/>
    <n v="155"/>
    <n v="110"/>
    <s v="Hypertension Stage 2"/>
    <n v="196"/>
    <n v="20.56"/>
    <x v="2"/>
  </r>
  <r>
    <s v="F"/>
    <x v="5"/>
    <n v="59.622999999999998"/>
    <n v="1.6259999999999999"/>
    <n v="25.751000000000001"/>
    <n v="75.781999999999996"/>
    <s v="170/76"/>
    <n v="259"/>
    <n v="80"/>
    <n v="82"/>
    <s v="N"/>
    <s v="N"/>
    <s v="Low"/>
    <s v="Y"/>
    <n v="162.59899999999999"/>
    <n v="0.46600000000000003"/>
    <n v="170"/>
    <n v="76"/>
    <s v="Hypertension Stage 2"/>
    <n v="149"/>
    <n v="18.829999999999998"/>
    <x v="0"/>
  </r>
  <r>
    <s v="F"/>
    <x v="41"/>
    <m/>
    <n v="1.589"/>
    <m/>
    <n v="89.795000000000002"/>
    <s v="134/85"/>
    <n v="183"/>
    <n v="39"/>
    <n v="159"/>
    <s v="N"/>
    <s v="Y"/>
    <s v="Low"/>
    <s v="N"/>
    <n v="158.923"/>
    <n v="0.56499999999999995"/>
    <n v="134"/>
    <n v="85"/>
    <s v="Hypertension Stage 1"/>
    <m/>
    <n v="20.323"/>
    <x v="0"/>
  </r>
  <r>
    <s v="M"/>
    <x v="7"/>
    <n v="100.84"/>
    <n v="1.7689999999999999"/>
    <n v="25.382999999999999"/>
    <n v="73.367999999999995"/>
    <s v="124/101"/>
    <n v="201"/>
    <n v="31"/>
    <n v="172"/>
    <s v="N"/>
    <s v="Y"/>
    <s v="High"/>
    <s v="Y"/>
    <n v="176.911"/>
    <n v="0.41499999999999998"/>
    <m/>
    <n v="101"/>
    <s v="Hypertension Stage 2"/>
    <m/>
    <n v="17.297000000000001"/>
    <x v="0"/>
  </r>
  <r>
    <s v="F"/>
    <x v="10"/>
    <n v="100.13"/>
    <n v="1.84"/>
    <n v="22.242000000000001"/>
    <n v="80.813999999999993"/>
    <s v="165/99"/>
    <n v="123"/>
    <n v="54"/>
    <n v="94"/>
    <s v="N"/>
    <s v="N"/>
    <s v="Low"/>
    <s v="N"/>
    <n v="183.988"/>
    <n v="0.439"/>
    <n v="165"/>
    <n v="99"/>
    <s v="Hypertension Stage 2"/>
    <n v="39"/>
    <n v="15.157999999999999"/>
    <x v="2"/>
  </r>
  <r>
    <s v="F"/>
    <x v="2"/>
    <n v="98.783000000000001"/>
    <n v="1.76"/>
    <n v="36.078000000000003"/>
    <n v="74.397000000000006"/>
    <s v="117/62"/>
    <n v="227"/>
    <n v="77"/>
    <n v="105"/>
    <s v="N"/>
    <s v="N"/>
    <s v="High"/>
    <s v="Y"/>
    <n v="175.99799999999999"/>
    <n v="0.42299999999999999"/>
    <n v="117"/>
    <n v="62"/>
    <s v="Normal"/>
    <n v="120"/>
    <n v="17.606000000000002"/>
    <x v="1"/>
  </r>
  <r>
    <s v="M"/>
    <x v="39"/>
    <n v="115.739"/>
    <n v="1.7989999999999999"/>
    <n v="22.463999999999999"/>
    <n v="77.691999999999993"/>
    <s v="173/96"/>
    <n v="151"/>
    <n v="50"/>
    <n v="188"/>
    <s v="Y"/>
    <s v="Y"/>
    <s v="High"/>
    <s v="N"/>
    <n v="179.90799999999999"/>
    <n v="0.432"/>
    <n v="173"/>
    <n v="96"/>
    <s v="Hypertension Stage 2"/>
    <n v="71"/>
    <n v="18.163"/>
    <x v="1"/>
  </r>
  <r>
    <s v="F"/>
    <x v="7"/>
    <n v="53.055999999999997"/>
    <n v="1.7829999999999999"/>
    <n v="25.81"/>
    <n v="73.491"/>
    <s v="111/97"/>
    <n v="274"/>
    <n v="61"/>
    <n v="160"/>
    <s v="Y"/>
    <s v="Y"/>
    <s v="High"/>
    <s v="Y"/>
    <n v="178.3"/>
    <n v="0.41199999999999998"/>
    <n v="111"/>
    <n v="97"/>
    <s v="Hypertension Stage 2"/>
    <n v="183"/>
    <n v="18.192"/>
    <x v="2"/>
  </r>
  <r>
    <s v="F"/>
    <x v="53"/>
    <n v="112.22499999999999"/>
    <n v="1.9339999999999999"/>
    <n v="23.06"/>
    <n v="110.373"/>
    <s v="178/90"/>
    <n v="247"/>
    <n v="66"/>
    <n v="151"/>
    <s v="N"/>
    <s v="N"/>
    <s v="Moderate"/>
    <s v="N"/>
    <n v="193.41"/>
    <n v="0.57099999999999995"/>
    <n v="178"/>
    <n v="90"/>
    <s v="Hypertension Stage 2"/>
    <n v="151"/>
    <n v="18.452000000000002"/>
    <x v="0"/>
  </r>
  <r>
    <s v="M"/>
    <x v="20"/>
    <n v="73.935000000000002"/>
    <n v="1.9279999999999999"/>
    <n v="38.51"/>
    <n v="112.14700000000001"/>
    <s v="159/78"/>
    <n v="167"/>
    <n v="71"/>
    <n v="115"/>
    <s v="N"/>
    <s v="Y"/>
    <s v="High"/>
    <s v="N"/>
    <n v="192.751"/>
    <n v="0.58199999999999996"/>
    <n v="159"/>
    <n v="78"/>
    <s v="Hypertension Stage 2"/>
    <n v="66"/>
    <n v="20.992000000000001"/>
    <x v="2"/>
  </r>
  <r>
    <s v="M"/>
    <x v="6"/>
    <n v="116.535"/>
    <n v="1.8120000000000001"/>
    <n v="28.501999999999999"/>
    <n v="76.302000000000007"/>
    <s v="118/78"/>
    <n v="143"/>
    <n v="61"/>
    <n v="145"/>
    <s v="N"/>
    <s v="Y"/>
    <s v="Moderate"/>
    <s v="Y"/>
    <n v="181.19900000000001"/>
    <n v="0.42099999999999999"/>
    <n v="118"/>
    <n v="78"/>
    <s v="Normal"/>
    <n v="52"/>
    <n v="16.46"/>
    <x v="0"/>
  </r>
  <r>
    <s v="F"/>
    <x v="13"/>
    <n v="76.59"/>
    <n v="1.7270000000000001"/>
    <n v="22.260999999999999"/>
    <n v="87.186999999999998"/>
    <s v="138/71"/>
    <n v="245"/>
    <n v="71"/>
    <n v="156"/>
    <s v="N"/>
    <s v="Y"/>
    <s v="Low"/>
    <s v="N"/>
    <n v="172.655"/>
    <n v="0.505"/>
    <n v="138"/>
    <n v="71"/>
    <s v="Hypertension Stage 1"/>
    <n v="144"/>
    <n v="18.251999999999999"/>
    <x v="0"/>
  </r>
  <r>
    <s v="F"/>
    <x v="41"/>
    <n v="96.578999999999994"/>
    <n v="1.8640000000000001"/>
    <n v="35.783000000000001"/>
    <n v="93.995999999999995"/>
    <s v="114/91"/>
    <n v="282"/>
    <n v="59"/>
    <n v="174"/>
    <s v="N"/>
    <s v="N"/>
    <s v="Moderate"/>
    <s v="Y"/>
    <n v="186.374"/>
    <n v="0.504"/>
    <n v="114"/>
    <n v="91"/>
    <s v="Hypertension Stage 2"/>
    <n v="193"/>
    <n v="18.497"/>
    <x v="2"/>
  </r>
  <r>
    <s v="M"/>
    <x v="48"/>
    <n v="61.744999999999997"/>
    <n v="1.8149999999999999"/>
    <n v="33.881"/>
    <n v="81.766000000000005"/>
    <s v="161/97"/>
    <n v="277"/>
    <n v="53"/>
    <n v="100"/>
    <s v="Y"/>
    <s v="Y"/>
    <s v="High"/>
    <s v="Y"/>
    <n v="181.476"/>
    <m/>
    <n v="161"/>
    <n v="97"/>
    <s v="Hypertension Stage 2"/>
    <n v="194"/>
    <n v="22.366"/>
    <x v="2"/>
  </r>
  <r>
    <s v="M"/>
    <x v="39"/>
    <n v="104.574"/>
    <n v="1.6519999999999999"/>
    <n v="36.427"/>
    <n v="102.483"/>
    <s v="179/97"/>
    <n v="179"/>
    <n v="62"/>
    <n v="154"/>
    <s v="Y"/>
    <s v="Y"/>
    <s v="Low"/>
    <s v="N"/>
    <n v="165.154"/>
    <n v="0.621"/>
    <n v="179"/>
    <n v="97"/>
    <s v="Hypertension Stage 2"/>
    <n v="87"/>
    <n v="21.815000000000001"/>
    <x v="0"/>
  </r>
  <r>
    <s v="M"/>
    <x v="29"/>
    <n v="113.801"/>
    <n v="2"/>
    <n v="26.901"/>
    <n v="96.6"/>
    <s v="125/116"/>
    <n v="273"/>
    <n v="70"/>
    <n v="125"/>
    <s v="Y"/>
    <s v="Y"/>
    <s v="Moderate"/>
    <s v="N"/>
    <n v="199.96"/>
    <n v="0.48299999999999998"/>
    <n v="125"/>
    <n v="116"/>
    <s v="Hypertension Stage 2"/>
    <n v="173"/>
    <n v="19.09"/>
    <x v="0"/>
  </r>
  <r>
    <s v="F"/>
    <x v="40"/>
    <n v="85.24"/>
    <n v="1.7969999999999999"/>
    <n v="23.600999999999999"/>
    <n v="82.224000000000004"/>
    <s v="125/72"/>
    <n v="224"/>
    <n v="67"/>
    <n v="171"/>
    <s v="Y"/>
    <s v="N"/>
    <s v="High"/>
    <s v="Y"/>
    <n v="179.73599999999999"/>
    <n v="0.45700000000000002"/>
    <n v="125"/>
    <n v="72"/>
    <s v="Elevated"/>
    <n v="127"/>
    <n v="15.45"/>
    <x v="2"/>
  </r>
  <r>
    <s v="M"/>
    <x v="1"/>
    <m/>
    <n v="1.847"/>
    <n v="35.527999999999999"/>
    <n v="114.91200000000001"/>
    <s v="112/113"/>
    <n v="296"/>
    <n v="36"/>
    <n v="73"/>
    <s v="N"/>
    <s v="Y"/>
    <s v="Low"/>
    <s v="Y"/>
    <n v="184.69399999999999"/>
    <n v="0.622"/>
    <n v="112"/>
    <n v="113"/>
    <s v="Hypertension Stage 2"/>
    <n v="230"/>
    <n v="20.626000000000001"/>
    <x v="1"/>
  </r>
  <r>
    <s v="F"/>
    <x v="38"/>
    <n v="106.143"/>
    <n v="1.8480000000000001"/>
    <n v="37.142000000000003"/>
    <n v="82.367999999999995"/>
    <s v="100/67"/>
    <m/>
    <m/>
    <n v="187"/>
    <s v="Y"/>
    <s v="Y"/>
    <s v="Moderate"/>
    <s v="Y"/>
    <n v="184.828"/>
    <n v="0.44600000000000001"/>
    <n v="100"/>
    <n v="67"/>
    <s v="Normal"/>
    <n v="127"/>
    <n v="18.908000000000001"/>
    <x v="0"/>
  </r>
  <r>
    <s v="M"/>
    <x v="23"/>
    <n v="59.35"/>
    <n v="1.87"/>
    <n v="37.003999999999998"/>
    <n v="97.067999999999998"/>
    <s v="113/67"/>
    <n v="250"/>
    <m/>
    <n v="76"/>
    <s v="N"/>
    <s v="N"/>
    <s v="Moderate"/>
    <s v="Y"/>
    <n v="187.03100000000001"/>
    <n v="0.51900000000000002"/>
    <n v="113"/>
    <n v="67"/>
    <s v="Normal"/>
    <n v="159"/>
    <n v="18.050999999999998"/>
    <x v="0"/>
  </r>
  <r>
    <s v="M"/>
    <x v="42"/>
    <n v="61.982999999999997"/>
    <n v="1.7869999999999999"/>
    <n v="19.673999999999999"/>
    <m/>
    <s v="92/93"/>
    <n v="104"/>
    <n v="76"/>
    <n v="137"/>
    <s v="Y"/>
    <s v="N"/>
    <s v="High"/>
    <s v="Y"/>
    <n v="178.65199999999999"/>
    <n v="0.53200000000000003"/>
    <n v="92"/>
    <n v="93"/>
    <s v="Hypertension Stage 2"/>
    <n v="-2"/>
    <m/>
    <x v="2"/>
  </r>
  <r>
    <s v="M"/>
    <x v="18"/>
    <n v="70.296999999999997"/>
    <m/>
    <n v="23.539000000000001"/>
    <n v="92.822999999999993"/>
    <s v="172/66"/>
    <n v="135"/>
    <n v="78"/>
    <n v="99"/>
    <s v="Y"/>
    <s v="Y"/>
    <s v="Moderate"/>
    <s v="Y"/>
    <n v="185.23400000000001"/>
    <n v="0.501"/>
    <n v="172"/>
    <n v="66"/>
    <s v="Hypertension Stage 2"/>
    <n v="27"/>
    <n v="18.007999999999999"/>
    <x v="2"/>
  </r>
  <r>
    <s v="F"/>
    <x v="34"/>
    <n v="115.768"/>
    <n v="1.64"/>
    <n v="28.486000000000001"/>
    <n v="107.307"/>
    <s v="162/95"/>
    <n v="260"/>
    <n v="46"/>
    <n v="131"/>
    <s v="Y"/>
    <s v="N"/>
    <s v="High"/>
    <s v="N"/>
    <n v="163.97800000000001"/>
    <n v="0.65400000000000003"/>
    <n v="162"/>
    <n v="95"/>
    <s v="Hypertension Stage 2"/>
    <n v="184"/>
    <n v="18.997"/>
    <x v="2"/>
  </r>
  <r>
    <s v="M"/>
    <x v="1"/>
    <n v="114.033"/>
    <n v="1.907"/>
    <n v="38.616999999999997"/>
    <n v="115.36199999999999"/>
    <s v="179/71"/>
    <n v="117"/>
    <n v="59"/>
    <n v="89"/>
    <s v="Y"/>
    <s v="N"/>
    <s v="Moderate"/>
    <s v="Y"/>
    <n v="190.72900000000001"/>
    <n v="0.60499999999999998"/>
    <n v="179"/>
    <m/>
    <s v="Hypertension Stage 2"/>
    <n v="28"/>
    <n v="19.013000000000002"/>
    <x v="2"/>
  </r>
  <r>
    <s v="M"/>
    <x v="17"/>
    <n v="79.057000000000002"/>
    <n v="1.6379999999999999"/>
    <n v="33.725999999999999"/>
    <n v="112.245"/>
    <s v="93/117"/>
    <n v="197"/>
    <n v="82"/>
    <n v="109"/>
    <s v="N"/>
    <s v="Y"/>
    <s v="Low"/>
    <s v="N"/>
    <n v="163.815"/>
    <n v="0.68500000000000005"/>
    <n v="93"/>
    <n v="117"/>
    <s v="Hypertension Stage 2"/>
    <n v="85"/>
    <n v="17.335000000000001"/>
    <x v="0"/>
  </r>
  <r>
    <s v="M"/>
    <x v="54"/>
    <n v="61.345999999999997"/>
    <n v="1.9690000000000001"/>
    <n v="27.276"/>
    <n v="114.44199999999999"/>
    <s v="126/91"/>
    <n v="223"/>
    <n v="82"/>
    <n v="108"/>
    <s v="Y"/>
    <s v="N"/>
    <s v="Moderate"/>
    <s v="Y"/>
    <n v="196.93700000000001"/>
    <n v="0.58099999999999996"/>
    <n v="126"/>
    <n v="91"/>
    <s v="Hypertension Stage 2"/>
    <m/>
    <n v="16.215"/>
    <x v="1"/>
  </r>
  <r>
    <s v="F"/>
    <x v="54"/>
    <n v="54.046999999999997"/>
    <n v="1.794"/>
    <n v="33.164000000000001"/>
    <n v="119.48399999999999"/>
    <s v="93/93"/>
    <n v="178"/>
    <n v="57"/>
    <n v="96"/>
    <s v="N"/>
    <s v="Y"/>
    <s v="Low"/>
    <s v="N"/>
    <n v="179.40899999999999"/>
    <n v="0.66600000000000004"/>
    <n v="93"/>
    <n v="93"/>
    <s v="Hypertension Stage 2"/>
    <n v="91"/>
    <n v="16.843"/>
    <x v="2"/>
  </r>
  <r>
    <s v="F"/>
    <x v="41"/>
    <n v="109.136"/>
    <n v="1.905"/>
    <n v="31.61"/>
    <n v="74.462000000000003"/>
    <s v="99/71"/>
    <n v="109"/>
    <n v="60"/>
    <n v="104"/>
    <s v="Y"/>
    <s v="N"/>
    <s v="Moderate"/>
    <s v="N"/>
    <n v="190.47300000000001"/>
    <n v="0.39100000000000001"/>
    <n v="99"/>
    <n v="71"/>
    <s v="Normal"/>
    <n v="19"/>
    <n v="13.452"/>
    <x v="1"/>
  </r>
  <r>
    <s v="M"/>
    <x v="25"/>
    <n v="94.117999999999995"/>
    <n v="1.7729999999999999"/>
    <n v="27.082999999999998"/>
    <n v="77.094999999999999"/>
    <s v="174/78"/>
    <n v="160"/>
    <n v="44"/>
    <n v="179"/>
    <s v="Y"/>
    <s v="N"/>
    <s v="Moderate"/>
    <s v="N"/>
    <n v="177.31899999999999"/>
    <n v="0.435"/>
    <n v="174"/>
    <n v="78"/>
    <s v="Hypertension Stage 2"/>
    <n v="86"/>
    <n v="17.317"/>
    <x v="0"/>
  </r>
  <r>
    <s v="F"/>
    <x v="29"/>
    <n v="51.871000000000002"/>
    <n v="1.8939999999999999"/>
    <n v="30.558"/>
    <n v="83.375"/>
    <s v="99/108"/>
    <n v="261"/>
    <n v="36"/>
    <m/>
    <s v="N"/>
    <s v="Y"/>
    <s v="High"/>
    <s v="N"/>
    <n v="189.36799999999999"/>
    <n v="0.44"/>
    <n v="99"/>
    <n v="108"/>
    <s v="Hypertension Stage 2"/>
    <n v="195"/>
    <n v="18.282"/>
    <x v="1"/>
  </r>
  <r>
    <s v="F"/>
    <x v="9"/>
    <n v="117.726"/>
    <m/>
    <n v="24.768000000000001"/>
    <n v="92.332999999999998"/>
    <s v="166/77"/>
    <n v="139"/>
    <m/>
    <n v="139"/>
    <s v="N"/>
    <s v="N"/>
    <s v="Moderate"/>
    <s v="N"/>
    <n v="185.18899999999999"/>
    <n v="0.499"/>
    <n v="166"/>
    <n v="77"/>
    <s v="Hypertension Stage 2"/>
    <n v="53"/>
    <n v="16.033999999999999"/>
    <x v="1"/>
  </r>
  <r>
    <s v="M"/>
    <x v="51"/>
    <n v="86.933000000000007"/>
    <n v="1.5169999999999999"/>
    <n v="39.320999999999998"/>
    <n v="79.563999999999993"/>
    <s v="105/68"/>
    <n v="257"/>
    <n v="36"/>
    <n v="105"/>
    <s v="N"/>
    <s v="N"/>
    <s v="Moderate"/>
    <s v="N"/>
    <n v="151.73699999999999"/>
    <n v="0.52400000000000002"/>
    <n v="105"/>
    <n v="68"/>
    <s v="Normal"/>
    <n v="191"/>
    <n v="18.254000000000001"/>
    <x v="2"/>
  </r>
  <r>
    <s v="M"/>
    <x v="8"/>
    <n v="101.761"/>
    <n v="1.51"/>
    <n v="27.321999999999999"/>
    <m/>
    <s v="136/101"/>
    <n v="278"/>
    <n v="83"/>
    <n v="168"/>
    <s v="Y"/>
    <s v="N"/>
    <s v="High"/>
    <s v="N"/>
    <n v="151.02199999999999"/>
    <n v="0.70799999999999996"/>
    <n v="136"/>
    <n v="101"/>
    <s v="Hypertension Stage 1"/>
    <n v="165"/>
    <n v="17.824000000000002"/>
    <x v="2"/>
  </r>
  <r>
    <s v="M"/>
    <x v="7"/>
    <n v="76.971000000000004"/>
    <n v="1.921"/>
    <n v="39.555"/>
    <n v="85.308000000000007"/>
    <s v="112/119"/>
    <n v="148"/>
    <n v="31"/>
    <n v="117"/>
    <s v="Y"/>
    <s v="Y"/>
    <s v="Moderate"/>
    <s v="Y"/>
    <n v="192.06299999999999"/>
    <n v="0.44400000000000001"/>
    <n v="112"/>
    <n v="119"/>
    <s v="Hypertension Stage 2"/>
    <n v="87"/>
    <n v="18.471"/>
    <x v="1"/>
  </r>
  <r>
    <s v="M"/>
    <x v="2"/>
    <n v="115.322"/>
    <n v="1.589"/>
    <n v="27.756"/>
    <n v="75.941000000000003"/>
    <s v="159/89"/>
    <n v="121"/>
    <n v="53"/>
    <n v="103"/>
    <s v="N"/>
    <s v="N"/>
    <s v="Moderate"/>
    <s v="Y"/>
    <n v="158.85599999999999"/>
    <n v="0.47799999999999998"/>
    <n v="159"/>
    <n v="89"/>
    <s v="Hypertension Stage 1"/>
    <n v="38"/>
    <n v="15.920999999999999"/>
    <x v="2"/>
  </r>
  <r>
    <s v="M"/>
    <x v="30"/>
    <n v="83.064999999999998"/>
    <n v="1.9710000000000001"/>
    <n v="28.154"/>
    <n v="92.423000000000002"/>
    <s v="103/81"/>
    <n v="104"/>
    <n v="89"/>
    <n v="71"/>
    <s v="N"/>
    <s v="N"/>
    <s v="Low"/>
    <s v="Y"/>
    <n v="197.12700000000001"/>
    <n v="0.46899999999999997"/>
    <n v="103"/>
    <n v="81"/>
    <s v="Hypertension Stage 1"/>
    <n v="-15"/>
    <n v="12.861000000000001"/>
    <x v="0"/>
  </r>
  <r>
    <s v="M"/>
    <x v="26"/>
    <n v="108.125"/>
    <n v="1.5680000000000001"/>
    <n v="25.887"/>
    <n v="103.05500000000001"/>
    <s v="157/61"/>
    <n v="255"/>
    <m/>
    <n v="137"/>
    <s v="Y"/>
    <s v="Y"/>
    <s v="High"/>
    <s v="N"/>
    <n v="156.839"/>
    <n v="0.65700000000000003"/>
    <n v="157"/>
    <n v="61"/>
    <s v="Hypertension Stage 2"/>
    <n v="180"/>
    <n v="20.126999999999999"/>
    <x v="2"/>
  </r>
  <r>
    <s v="M"/>
    <x v="2"/>
    <n v="95.772000000000006"/>
    <n v="1.6890000000000001"/>
    <n v="21.716999999999999"/>
    <n v="79.183999999999997"/>
    <s v="113/99"/>
    <n v="163"/>
    <n v="83"/>
    <n v="154"/>
    <s v="N"/>
    <s v="Y"/>
    <s v="High"/>
    <s v="Y"/>
    <n v="168.88399999999999"/>
    <n v="0.46899999999999997"/>
    <n v="113"/>
    <n v="99"/>
    <s v="Hypertension Stage 2"/>
    <n v="50"/>
    <n v="15.253"/>
    <x v="1"/>
  </r>
  <r>
    <s v="M"/>
    <x v="18"/>
    <n v="102.828"/>
    <n v="1.9770000000000001"/>
    <n v="38.314999999999998"/>
    <n v="100.4"/>
    <s v="151/77"/>
    <n v="294"/>
    <n v="30"/>
    <n v="88"/>
    <s v="Y"/>
    <s v="Y"/>
    <s v="High"/>
    <s v="Y"/>
    <n v="197.715"/>
    <n v="0.50800000000000001"/>
    <n v="151"/>
    <n v="77"/>
    <s v="Hypertension Stage 2"/>
    <n v="234"/>
    <n v="23.093"/>
    <x v="2"/>
  </r>
  <r>
    <s v="M"/>
    <x v="55"/>
    <n v="58.953000000000003"/>
    <n v="1.6879999999999999"/>
    <n v="25.286000000000001"/>
    <m/>
    <s v="110/114"/>
    <n v="258"/>
    <n v="58"/>
    <n v="146"/>
    <s v="N"/>
    <s v="N"/>
    <s v="High"/>
    <s v="Y"/>
    <n v="168.76300000000001"/>
    <n v="0.45500000000000002"/>
    <n v="110"/>
    <n v="114"/>
    <s v="Hypertension Stage 2"/>
    <n v="170"/>
    <n v="15.717000000000001"/>
    <x v="1"/>
  </r>
  <r>
    <s v="M"/>
    <x v="32"/>
    <n v="99.585999999999999"/>
    <n v="1.8979999999999999"/>
    <n v="39.517000000000003"/>
    <n v="107.48099999999999"/>
    <s v="171/80"/>
    <n v="125"/>
    <n v="45"/>
    <n v="101"/>
    <s v="Y"/>
    <s v="Y"/>
    <s v="High"/>
    <s v="N"/>
    <n v="189.82"/>
    <n v="0.56599999999999995"/>
    <n v="171"/>
    <n v="80"/>
    <s v="Hypertension Stage 1"/>
    <n v="50"/>
    <n v="20.952999999999999"/>
    <x v="2"/>
  </r>
  <r>
    <s v="M"/>
    <x v="48"/>
    <n v="96.063000000000002"/>
    <n v="1.986"/>
    <n v="27.821000000000002"/>
    <n v="72.712999999999994"/>
    <s v="158/74"/>
    <n v="211"/>
    <n v="74"/>
    <n v="75"/>
    <s v="Y"/>
    <s v="Y"/>
    <s v="Low"/>
    <s v="N"/>
    <n v="198.64699999999999"/>
    <n v="0.36599999999999999"/>
    <n v="158"/>
    <n v="74"/>
    <s v="Hypertension Stage 2"/>
    <n v="107"/>
    <n v="19.684000000000001"/>
    <x v="2"/>
  </r>
  <r>
    <s v="F"/>
    <x v="32"/>
    <n v="60.206000000000003"/>
    <n v="1.857"/>
    <n v="21.033000000000001"/>
    <n v="78.745000000000005"/>
    <s v="140/61"/>
    <n v="123"/>
    <n v="76"/>
    <n v="109"/>
    <s v="N"/>
    <s v="N"/>
    <s v="Low"/>
    <s v="N"/>
    <n v="185.68100000000001"/>
    <n v="0.42399999999999999"/>
    <n v="140"/>
    <n v="61"/>
    <s v="Hypertension Stage 2"/>
    <n v="17"/>
    <n v="13.667"/>
    <x v="2"/>
  </r>
  <r>
    <s v="F"/>
    <x v="2"/>
    <n v="59.238"/>
    <n v="1.623"/>
    <n v="26.465"/>
    <n v="98.698999999999998"/>
    <s v="113/66"/>
    <n v="247"/>
    <n v="41"/>
    <n v="71"/>
    <s v="N"/>
    <s v="Y"/>
    <s v="Moderate"/>
    <s v="Y"/>
    <n v="162.27799999999999"/>
    <n v="0.60799999999999998"/>
    <n v="113"/>
    <n v="66"/>
    <s v="Normal"/>
    <n v="176"/>
    <n v="17.882999999999999"/>
    <x v="0"/>
  </r>
  <r>
    <s v="M"/>
    <x v="5"/>
    <n v="116.375"/>
    <n v="1.91"/>
    <n v="33.597000000000001"/>
    <m/>
    <s v="98/91"/>
    <n v="240"/>
    <n v="60"/>
    <n v="180"/>
    <s v="N"/>
    <s v="Y"/>
    <s v="High"/>
    <s v="Y"/>
    <n v="191.024"/>
    <n v="0.42599999999999999"/>
    <n v="98"/>
    <n v="91"/>
    <s v="Hypertension Stage 2"/>
    <n v="150"/>
    <n v="18.419"/>
    <x v="0"/>
  </r>
  <r>
    <s v="M"/>
    <x v="45"/>
    <n v="92.384"/>
    <n v="1.5640000000000001"/>
    <n v="33.505000000000003"/>
    <n v="82.86"/>
    <s v="146/72"/>
    <n v="146"/>
    <n v="84"/>
    <n v="117"/>
    <s v="Y"/>
    <s v="N"/>
    <s v="Low"/>
    <s v="N"/>
    <m/>
    <n v="0.53"/>
    <n v="146"/>
    <n v="72"/>
    <s v="Hypertension Stage 2"/>
    <n v="32"/>
    <n v="16.920999999999999"/>
    <x v="2"/>
  </r>
  <r>
    <s v="M"/>
    <x v="19"/>
    <n v="112.709"/>
    <n v="1.8420000000000001"/>
    <n v="26.524000000000001"/>
    <n v="107.197"/>
    <s v="112/77"/>
    <n v="155"/>
    <n v="64"/>
    <n v="160"/>
    <s v="Y"/>
    <s v="N"/>
    <s v="Moderate"/>
    <s v="Y"/>
    <n v="184.20699999999999"/>
    <n v="0.58199999999999996"/>
    <n v="112"/>
    <n v="77"/>
    <s v="Normal"/>
    <n v="61"/>
    <n v="14.005000000000001"/>
    <x v="1"/>
  </r>
  <r>
    <s v="M"/>
    <x v="38"/>
    <n v="71.227999999999994"/>
    <n v="1.7969999999999999"/>
    <n v="19.484999999999999"/>
    <n v="109.94199999999999"/>
    <s v="132/60"/>
    <n v="150"/>
    <n v="75"/>
    <n v="97"/>
    <s v="N"/>
    <s v="Y"/>
    <s v="High"/>
    <s v="N"/>
    <n v="179.69900000000001"/>
    <n v="0.61199999999999999"/>
    <n v="132"/>
    <n v="60"/>
    <s v="Hypertension Stage 1"/>
    <n v="45"/>
    <n v="15.497"/>
    <x v="2"/>
  </r>
  <r>
    <s v="F"/>
    <x v="4"/>
    <n v="69.87"/>
    <n v="1.944"/>
    <n v="20.785"/>
    <n v="86.259"/>
    <s v="162/106"/>
    <n v="151"/>
    <m/>
    <n v="139"/>
    <s v="Y"/>
    <s v="N"/>
    <s v="Moderate"/>
    <s v="N"/>
    <n v="194.45"/>
    <n v="0.44400000000000001"/>
    <n v="162"/>
    <n v="106"/>
    <s v="Hypertension Stage 2"/>
    <n v="44"/>
    <n v="15.276999999999999"/>
    <x v="1"/>
  </r>
  <r>
    <s v="F"/>
    <x v="2"/>
    <n v="68.159000000000006"/>
    <n v="1.655"/>
    <n v="31.213999999999999"/>
    <n v="92.111000000000004"/>
    <s v="113/70"/>
    <n v="123"/>
    <n v="34"/>
    <n v="118"/>
    <s v="Y"/>
    <s v="N"/>
    <s v="High"/>
    <s v="N"/>
    <n v="165.53800000000001"/>
    <n v="0.55600000000000005"/>
    <n v="113"/>
    <n v="70"/>
    <s v="Normal"/>
    <m/>
    <n v="14.353"/>
    <x v="2"/>
  </r>
  <r>
    <s v="F"/>
    <x v="2"/>
    <n v="104.46899999999999"/>
    <n v="1.9950000000000001"/>
    <n v="25.39"/>
    <n v="86.894000000000005"/>
    <s v="164/90"/>
    <m/>
    <n v="82"/>
    <n v="175"/>
    <s v="N"/>
    <s v="N"/>
    <s v="Low"/>
    <s v="Y"/>
    <n v="199.458"/>
    <n v="0.436"/>
    <n v="164"/>
    <n v="90"/>
    <s v="Hypertension Stage 2"/>
    <n v="147"/>
    <n v="18.457999999999998"/>
    <x v="1"/>
  </r>
  <r>
    <s v="F"/>
    <x v="15"/>
    <n v="113.298"/>
    <n v="1.5089999999999999"/>
    <n v="22.850999999999999"/>
    <n v="113.07"/>
    <s v="133/115"/>
    <n v="241"/>
    <n v="77"/>
    <n v="95"/>
    <s v="Y"/>
    <s v="N"/>
    <s v="Low"/>
    <s v="Y"/>
    <n v="150.86799999999999"/>
    <n v="0.749"/>
    <n v="133"/>
    <n v="115"/>
    <s v="Hypertension Stage 1"/>
    <n v="134"/>
    <n v="16.04"/>
    <x v="2"/>
  </r>
  <r>
    <s v="M"/>
    <x v="24"/>
    <n v="53.326999999999998"/>
    <n v="1.7050000000000001"/>
    <n v="34.231999999999999"/>
    <n v="111.739"/>
    <s v="117/116"/>
    <n v="287"/>
    <n v="82"/>
    <n v="140"/>
    <s v="Y"/>
    <s v="N"/>
    <s v="High"/>
    <s v="N"/>
    <n v="170.45699999999999"/>
    <n v="0.65600000000000003"/>
    <n v="117"/>
    <n v="116"/>
    <s v="Hypertension Stage 2"/>
    <n v="175"/>
    <n v="18.436"/>
    <x v="1"/>
  </r>
  <r>
    <s v="M"/>
    <x v="18"/>
    <n v="58.401000000000003"/>
    <n v="1.998"/>
    <n v="30.402999999999999"/>
    <n v="105.896"/>
    <s v="154/97"/>
    <n v="173"/>
    <n v="60"/>
    <n v="141"/>
    <s v="Y"/>
    <s v="Y"/>
    <s v="Low"/>
    <s v="Y"/>
    <n v="199.821"/>
    <n v="0.53"/>
    <n v="154"/>
    <n v="97"/>
    <s v="Hypertension Stage 2"/>
    <n v="83"/>
    <n v="19.241"/>
    <x v="0"/>
  </r>
  <r>
    <s v="M"/>
    <x v="4"/>
    <n v="50.863999999999997"/>
    <n v="1.782"/>
    <n v="25.684999999999999"/>
    <n v="119.736"/>
    <s v="117/108"/>
    <n v="273"/>
    <n v="37"/>
    <n v="108"/>
    <s v="N"/>
    <s v="Y"/>
    <s v="High"/>
    <s v="N"/>
    <n v="178.178"/>
    <n v="0.67200000000000004"/>
    <n v="117"/>
    <n v="108"/>
    <s v="Hypertension Stage 2"/>
    <n v="206"/>
    <n v="18.446999999999999"/>
    <x v="1"/>
  </r>
  <r>
    <s v="M"/>
    <x v="32"/>
    <n v="56.93"/>
    <n v="1.95"/>
    <n v="25.27"/>
    <n v="88.361000000000004"/>
    <s v="110/67"/>
    <m/>
    <n v="44"/>
    <n v="115"/>
    <s v="N"/>
    <s v="Y"/>
    <s v="Low"/>
    <s v="Y"/>
    <n v="195.01300000000001"/>
    <n v="0.45300000000000001"/>
    <n v="110"/>
    <n v="67"/>
    <s v="Normal"/>
    <n v="113"/>
    <n v="16.294"/>
    <x v="0"/>
  </r>
  <r>
    <s v="F"/>
    <x v="27"/>
    <n v="69.123000000000005"/>
    <n v="1.5820000000000001"/>
    <n v="35.716000000000001"/>
    <n v="82.75"/>
    <s v="175/98"/>
    <n v="251"/>
    <n v="75"/>
    <m/>
    <s v="Y"/>
    <s v="N"/>
    <s v="High"/>
    <s v="N"/>
    <n v="158.19"/>
    <n v="0.52300000000000002"/>
    <n v="175"/>
    <n v="98"/>
    <s v="Hypertension Stage 2"/>
    <n v="146"/>
    <n v="20.913"/>
    <x v="1"/>
  </r>
  <r>
    <s v="M"/>
    <x v="27"/>
    <n v="110.31699999999999"/>
    <n v="1.8520000000000001"/>
    <n v="33.401000000000003"/>
    <n v="100.033"/>
    <s v="110/90"/>
    <m/>
    <n v="87"/>
    <n v="180"/>
    <s v="N"/>
    <s v="Y"/>
    <s v="High"/>
    <s v="Y"/>
    <n v="185.16800000000001"/>
    <n v="0.54"/>
    <n v="110"/>
    <n v="90"/>
    <s v="Hypertension Stage 2"/>
    <n v="158"/>
    <n v="19.68"/>
    <x v="0"/>
  </r>
  <r>
    <s v="F"/>
    <x v="53"/>
    <n v="64.171999999999997"/>
    <n v="1.6779999999999999"/>
    <n v="20.372"/>
    <n v="100.568"/>
    <s v="146/96"/>
    <n v="225"/>
    <n v="78"/>
    <n v="140"/>
    <s v="Y"/>
    <s v="N"/>
    <s v="High"/>
    <s v="Y"/>
    <n v="167.80600000000001"/>
    <n v="0.59899999999999998"/>
    <n v="146"/>
    <n v="96"/>
    <s v="Hypertension Stage 2"/>
    <m/>
    <n v="15.874000000000001"/>
    <x v="2"/>
  </r>
  <r>
    <s v="M"/>
    <x v="22"/>
    <n v="113.143"/>
    <n v="1.518"/>
    <n v="25.745000000000001"/>
    <n v="97.483000000000004"/>
    <s v="133/95"/>
    <n v="150"/>
    <n v="54"/>
    <n v="133"/>
    <s v="Y"/>
    <s v="Y"/>
    <s v="Low"/>
    <s v="Y"/>
    <n v="151.80500000000001"/>
    <n v="0.64200000000000002"/>
    <n v="133"/>
    <n v="95"/>
    <s v="Hypertension Stage 1"/>
    <n v="66"/>
    <n v="16.798999999999999"/>
    <x v="1"/>
  </r>
  <r>
    <s v="M"/>
    <x v="16"/>
    <n v="68.763999999999996"/>
    <n v="1.742"/>
    <n v="34.994"/>
    <n v="94.353999999999999"/>
    <s v="156/64"/>
    <n v="261"/>
    <n v="43"/>
    <n v="78"/>
    <s v="N"/>
    <s v="N"/>
    <s v="Moderate"/>
    <s v="Y"/>
    <n v="174.197"/>
    <n v="0.54200000000000004"/>
    <n v="156"/>
    <n v="64"/>
    <s v="Hypertension Stage 2"/>
    <n v="188"/>
    <n v="20.018999999999998"/>
    <x v="2"/>
  </r>
  <r>
    <s v="M"/>
    <x v="50"/>
    <n v="51.857999999999997"/>
    <n v="1.6080000000000001"/>
    <n v="33.293999999999997"/>
    <n v="71.58"/>
    <s v="99/78"/>
    <n v="124"/>
    <n v="60"/>
    <n v="135"/>
    <s v="Y"/>
    <s v="Y"/>
    <s v="Moderate"/>
    <s v="Y"/>
    <n v="160.768"/>
    <n v="0.44500000000000001"/>
    <n v="99"/>
    <m/>
    <s v="Normal"/>
    <n v="34"/>
    <n v="16.088999999999999"/>
    <x v="2"/>
  </r>
  <r>
    <s v="M"/>
    <x v="52"/>
    <n v="72.349999999999994"/>
    <n v="1.738"/>
    <n v="37.643999999999998"/>
    <n v="73.531000000000006"/>
    <s v="145/103"/>
    <m/>
    <n v="41"/>
    <n v="76"/>
    <s v="Y"/>
    <s v="N"/>
    <s v="Moderate"/>
    <s v="Y"/>
    <n v="173.84200000000001"/>
    <n v="0.42299999999999999"/>
    <n v="145"/>
    <n v="103"/>
    <s v="Hypertension Stage 2"/>
    <n v="96"/>
    <n v="18.119"/>
    <x v="0"/>
  </r>
  <r>
    <s v="M"/>
    <x v="32"/>
    <n v="100.935"/>
    <n v="1.512"/>
    <n v="32.673000000000002"/>
    <n v="80.738"/>
    <s v="151/78"/>
    <n v="106"/>
    <n v="30"/>
    <n v="191"/>
    <s v="Y"/>
    <s v="Y"/>
    <s v="Moderate"/>
    <s v="N"/>
    <n v="151.18700000000001"/>
    <n v="0.53400000000000003"/>
    <n v="151"/>
    <n v="78"/>
    <s v="Hypertension Stage 2"/>
    <n v="46"/>
    <n v="18.204999999999998"/>
    <x v="2"/>
  </r>
  <r>
    <s v="M"/>
    <x v="19"/>
    <n v="60.392000000000003"/>
    <n v="1.589"/>
    <n v="35.881"/>
    <n v="106.985"/>
    <s v="155/81"/>
    <n v="154"/>
    <n v="87"/>
    <n v="124"/>
    <s v="N"/>
    <s v="Y"/>
    <s v="High"/>
    <s v="N"/>
    <m/>
    <n v="0.67300000000000004"/>
    <n v="155"/>
    <n v="81"/>
    <s v="Hypertension Stage 1"/>
    <n v="37"/>
    <n v="20.006"/>
    <x v="0"/>
  </r>
  <r>
    <s v="F"/>
    <x v="26"/>
    <n v="86.528999999999996"/>
    <n v="1.8140000000000001"/>
    <n v="27.254000000000001"/>
    <n v="110.922"/>
    <s v="151/90"/>
    <n v="287"/>
    <n v="37"/>
    <m/>
    <s v="Y"/>
    <s v="N"/>
    <s v="High"/>
    <s v="N"/>
    <n v="181.41900000000001"/>
    <n v="0.61099999999999999"/>
    <n v="151"/>
    <n v="90"/>
    <s v="Hypertension Stage 2"/>
    <n v="220"/>
    <n v="18.741"/>
    <x v="2"/>
  </r>
  <r>
    <s v="M"/>
    <x v="8"/>
    <n v="56.454000000000001"/>
    <n v="1.9319999999999999"/>
    <n v="18.731000000000002"/>
    <m/>
    <s v="173/109"/>
    <n v="278"/>
    <n v="39"/>
    <m/>
    <s v="Y"/>
    <s v="N"/>
    <s v="Moderate"/>
    <s v="Y"/>
    <n v="193.20500000000001"/>
    <n v="0.376"/>
    <n v="173"/>
    <n v="109"/>
    <s v="Hypertension Stage 2"/>
    <m/>
    <n v="17.956"/>
    <x v="0"/>
  </r>
  <r>
    <s v="M"/>
    <x v="43"/>
    <n v="114.988"/>
    <n v="1.978"/>
    <n v="25.492000000000001"/>
    <n v="119.996"/>
    <s v="136/72"/>
    <n v="132"/>
    <n v="67"/>
    <n v="148"/>
    <s v="Y"/>
    <s v="N"/>
    <s v="Low"/>
    <s v="Y"/>
    <n v="197.809"/>
    <m/>
    <n v="136"/>
    <n v="72"/>
    <s v="Hypertension Stage 1"/>
    <n v="35"/>
    <n v="14.538"/>
    <x v="1"/>
  </r>
  <r>
    <s v="M"/>
    <x v="34"/>
    <n v="103.637"/>
    <n v="1.7170000000000001"/>
    <n v="34.828000000000003"/>
    <n v="99.754999999999995"/>
    <s v="128/61"/>
    <m/>
    <n v="42"/>
    <n v="175"/>
    <s v="Y"/>
    <s v="Y"/>
    <s v="Moderate"/>
    <s v="Y"/>
    <n v="171.65899999999999"/>
    <n v="0.58099999999999996"/>
    <n v="128"/>
    <n v="61"/>
    <s v="Elevated"/>
    <n v="148"/>
    <n v="19.765999999999998"/>
    <x v="1"/>
  </r>
  <r>
    <s v="F"/>
    <x v="53"/>
    <n v="115.58199999999999"/>
    <n v="1.972"/>
    <n v="25.184999999999999"/>
    <n v="110.35899999999999"/>
    <s v="158/84"/>
    <n v="122"/>
    <n v="44"/>
    <n v="137"/>
    <s v="Y"/>
    <s v="Y"/>
    <s v="High"/>
    <s v="Y"/>
    <n v="197.233"/>
    <n v="0.56000000000000005"/>
    <m/>
    <n v="84"/>
    <s v="Hypertension Stage 1"/>
    <n v="48"/>
    <n v="17.376999999999999"/>
    <x v="0"/>
  </r>
  <r>
    <s v="F"/>
    <x v="2"/>
    <n v="102.002"/>
    <n v="1.9470000000000001"/>
    <n v="31.382999999999999"/>
    <n v="110.059"/>
    <s v="136/112"/>
    <n v="161"/>
    <n v="76"/>
    <n v="100"/>
    <s v="N"/>
    <s v="N"/>
    <s v="Low"/>
    <s v="Y"/>
    <n v="194.733"/>
    <n v="0.56499999999999995"/>
    <n v="136"/>
    <n v="112"/>
    <s v="Hypertension Stage 1"/>
    <n v="55"/>
    <n v="16.297000000000001"/>
    <x v="0"/>
  </r>
  <r>
    <s v="M"/>
    <x v="51"/>
    <n v="101.774"/>
    <n v="1.5760000000000001"/>
    <n v="24.568000000000001"/>
    <n v="88.424999999999997"/>
    <s v="95/105"/>
    <n v="254"/>
    <n v="58"/>
    <n v="150"/>
    <s v="N"/>
    <s v="Y"/>
    <s v="Moderate"/>
    <s v="Y"/>
    <n v="157.6"/>
    <n v="0.56100000000000005"/>
    <n v="95"/>
    <n v="105"/>
    <s v="Hypertension Stage 2"/>
    <n v="166"/>
    <n v="16.744"/>
    <x v="0"/>
  </r>
  <r>
    <s v="F"/>
    <x v="38"/>
    <n v="105.30200000000001"/>
    <n v="1.5429999999999999"/>
    <n v="34.625"/>
    <n v="113.675"/>
    <s v="141/87"/>
    <n v="272"/>
    <n v="55"/>
    <n v="117"/>
    <s v="N"/>
    <s v="N"/>
    <s v="Moderate"/>
    <s v="N"/>
    <n v="154.33099999999999"/>
    <n v="0.73699999999999999"/>
    <n v="141"/>
    <n v="87"/>
    <s v="Hypertension Stage 1"/>
    <m/>
    <n v="19.414999999999999"/>
    <x v="0"/>
  </r>
  <r>
    <s v="M"/>
    <x v="21"/>
    <n v="100.479"/>
    <n v="1.9690000000000001"/>
    <n v="33.57"/>
    <n v="85.733999999999995"/>
    <s v="103/119"/>
    <n v="293"/>
    <n v="89"/>
    <n v="95"/>
    <s v="Y"/>
    <s v="Y"/>
    <s v="High"/>
    <s v="Y"/>
    <n v="196.88"/>
    <n v="0.435"/>
    <n v="103"/>
    <n v="119"/>
    <s v="Hypertension Stage 2"/>
    <n v="174"/>
    <n v="19.724"/>
    <x v="0"/>
  </r>
  <r>
    <s v="M"/>
    <x v="24"/>
    <n v="57.829000000000001"/>
    <n v="1.526"/>
    <n v="19.004999999999999"/>
    <n v="90.872"/>
    <s v="177/72"/>
    <n v="163"/>
    <n v="59"/>
    <n v="95"/>
    <s v="N"/>
    <s v="Y"/>
    <s v="High"/>
    <s v="Y"/>
    <n v="152.624"/>
    <n v="0.59499999999999997"/>
    <n v="177"/>
    <n v="72"/>
    <s v="Hypertension Stage 2"/>
    <n v="74"/>
    <n v="17.911000000000001"/>
    <x v="2"/>
  </r>
  <r>
    <s v="M"/>
    <x v="38"/>
    <m/>
    <m/>
    <n v="38.81"/>
    <m/>
    <s v="166/115"/>
    <n v="183"/>
    <n v="78"/>
    <n v="94"/>
    <s v="N"/>
    <s v="Y"/>
    <s v="High"/>
    <s v="Y"/>
    <n v="150"/>
    <n v="0.46700000000000003"/>
    <n v="166"/>
    <n v="115"/>
    <s v="Hypertension Stage 2"/>
    <n v="75"/>
    <n v="21.722000000000001"/>
    <x v="1"/>
  </r>
  <r>
    <s v="F"/>
    <x v="45"/>
    <n v="93.953999999999994"/>
    <n v="1.587"/>
    <n v="31.268999999999998"/>
    <n v="109.312"/>
    <s v="138/89"/>
    <n v="127"/>
    <n v="76"/>
    <n v="97"/>
    <s v="N"/>
    <s v="Y"/>
    <s v="Low"/>
    <s v="N"/>
    <n v="158.666"/>
    <n v="0.68899999999999995"/>
    <n v="138"/>
    <n v="89"/>
    <s v="Hypertension Stage 1"/>
    <m/>
    <n v="17.693999999999999"/>
    <x v="2"/>
  </r>
  <r>
    <s v="M"/>
    <x v="5"/>
    <n v="69.347999999999999"/>
    <n v="1.621"/>
    <n v="23.952999999999999"/>
    <m/>
    <s v="147/119"/>
    <n v="293"/>
    <n v="66"/>
    <n v="135"/>
    <s v="N"/>
    <s v="N"/>
    <s v="Moderate"/>
    <s v="Y"/>
    <n v="162.14500000000001"/>
    <n v="0.58799999999999997"/>
    <n v="147"/>
    <n v="119"/>
    <s v="Hypertension Stage 2"/>
    <n v="197"/>
    <n v="18.001000000000001"/>
    <x v="1"/>
  </r>
  <r>
    <s v="F"/>
    <x v="23"/>
    <n v="82.313000000000002"/>
    <n v="1.518"/>
    <n v="35.055"/>
    <n v="95.308000000000007"/>
    <s v="144/90"/>
    <n v="156"/>
    <n v="35"/>
    <n v="139"/>
    <s v="N"/>
    <s v="Y"/>
    <s v="Low"/>
    <s v="Y"/>
    <n v="151.81100000000001"/>
    <n v="0.628"/>
    <n v="144"/>
    <n v="90"/>
    <s v="Hypertension Stage 2"/>
    <n v="91"/>
    <n v="19.331"/>
    <x v="1"/>
  </r>
  <r>
    <s v="F"/>
    <x v="24"/>
    <n v="89.83"/>
    <n v="1.857"/>
    <n v="28.135000000000002"/>
    <n v="117.79600000000001"/>
    <s v="110/64"/>
    <n v="250"/>
    <n v="33"/>
    <n v="92"/>
    <s v="Y"/>
    <s v="Y"/>
    <s v="Moderate"/>
    <s v="N"/>
    <m/>
    <n v="0.63400000000000001"/>
    <n v="110"/>
    <n v="64"/>
    <s v="Normal"/>
    <n v="187"/>
    <n v="18.126999999999999"/>
    <x v="0"/>
  </r>
  <r>
    <s v="F"/>
    <x v="31"/>
    <n v="83.558000000000007"/>
    <n v="1.784"/>
    <n v="26.809000000000001"/>
    <n v="103.006"/>
    <s v="168/110"/>
    <n v="137"/>
    <n v="72"/>
    <n v="147"/>
    <s v="Y"/>
    <s v="Y"/>
    <s v="High"/>
    <s v="Y"/>
    <n v="178.36500000000001"/>
    <n v="0.57799999999999996"/>
    <n v="168"/>
    <n v="110"/>
    <s v="Hypertension Stage 2"/>
    <n v="35"/>
    <n v="18.501999999999999"/>
    <x v="1"/>
  </r>
  <r>
    <s v="M"/>
    <x v="30"/>
    <n v="70.563000000000002"/>
    <n v="1.901"/>
    <n v="31.814"/>
    <n v="102.616"/>
    <s v="123/91"/>
    <n v="197"/>
    <n v="68"/>
    <m/>
    <s v="Y"/>
    <s v="N"/>
    <s v="High"/>
    <s v="N"/>
    <n v="190.14400000000001"/>
    <n v="0.54"/>
    <n v="123"/>
    <n v="91"/>
    <s v="Hypertension Stage 2"/>
    <n v="99"/>
    <n v="16.452999999999999"/>
    <x v="2"/>
  </r>
  <r>
    <s v="F"/>
    <x v="41"/>
    <n v="92.602000000000004"/>
    <n v="1.9359999999999999"/>
    <n v="31.960999999999999"/>
    <n v="108.304"/>
    <s v="91/105"/>
    <n v="298"/>
    <n v="69"/>
    <n v="107"/>
    <s v="N"/>
    <s v="N"/>
    <s v="Moderate"/>
    <s v="N"/>
    <n v="193.59100000000001"/>
    <n v="0.55900000000000005"/>
    <n v="91"/>
    <n v="105"/>
    <s v="Hypertension Stage 2"/>
    <n v="199"/>
    <n v="16.902000000000001"/>
    <x v="0"/>
  </r>
  <r>
    <s v="M"/>
    <x v="12"/>
    <n v="88.135000000000005"/>
    <n v="1.984"/>
    <n v="37.984000000000002"/>
    <n v="92.120999999999995"/>
    <s v="154/71"/>
    <m/>
    <n v="72"/>
    <n v="195"/>
    <s v="Y"/>
    <s v="N"/>
    <s v="Low"/>
    <s v="N"/>
    <n v="198.43"/>
    <n v="0.46400000000000002"/>
    <n v="154"/>
    <n v="71"/>
    <s v="Hypertension Stage 2"/>
    <n v="60"/>
    <n v="18.536999999999999"/>
    <x v="2"/>
  </r>
  <r>
    <s v="M"/>
    <x v="0"/>
    <n v="97.001999999999995"/>
    <n v="1.6419999999999999"/>
    <n v="25.102"/>
    <n v="109.869"/>
    <s v="105/72"/>
    <n v="160"/>
    <n v="44"/>
    <n v="86"/>
    <s v="N"/>
    <s v="Y"/>
    <s v="Moderate"/>
    <s v="N"/>
    <n v="164.15299999999999"/>
    <n v="0.66900000000000004"/>
    <n v="105"/>
    <n v="72"/>
    <s v="Normal"/>
    <n v="86"/>
    <n v="15.47"/>
    <x v="2"/>
  </r>
  <r>
    <s v="F"/>
    <x v="19"/>
    <n v="90.448999999999998"/>
    <n v="1.9810000000000001"/>
    <n v="26.614000000000001"/>
    <n v="87.471999999999994"/>
    <s v="164/63"/>
    <n v="208"/>
    <n v="43"/>
    <n v="73"/>
    <s v="Y"/>
    <s v="N"/>
    <s v="Low"/>
    <s v="Y"/>
    <n v="198.143"/>
    <n v="0.441"/>
    <n v="164"/>
    <n v="63"/>
    <s v="Hypertension Stage 2"/>
    <n v="135"/>
    <n v="17.683"/>
    <x v="0"/>
  </r>
  <r>
    <s v="M"/>
    <x v="19"/>
    <m/>
    <n v="1.58"/>
    <n v="20.565999999999999"/>
    <n v="86.876000000000005"/>
    <s v="142/74"/>
    <n v="213"/>
    <n v="76"/>
    <n v="182"/>
    <s v="Y"/>
    <s v="N"/>
    <s v="High"/>
    <s v="N"/>
    <n v="158.02500000000001"/>
    <n v="0.55000000000000004"/>
    <n v="142"/>
    <n v="74"/>
    <s v="Hypertension Stage 2"/>
    <n v="107"/>
    <n v="15.473000000000001"/>
    <x v="1"/>
  </r>
  <r>
    <s v="M"/>
    <x v="45"/>
    <n v="105.461"/>
    <n v="1.5620000000000001"/>
    <n v="26.538"/>
    <n v="109.05"/>
    <s v="147/73"/>
    <n v="295"/>
    <n v="73"/>
    <n v="157"/>
    <s v="Y"/>
    <s v="Y"/>
    <s v="High"/>
    <s v="N"/>
    <n v="156.185"/>
    <n v="0.69799999999999995"/>
    <n v="147"/>
    <n v="73"/>
    <s v="Hypertension Stage 2"/>
    <n v="192"/>
    <n v="20.558"/>
    <x v="0"/>
  </r>
  <r>
    <s v="F"/>
    <x v="5"/>
    <n v="112.497"/>
    <n v="1.657"/>
    <n v="34.683"/>
    <n v="77.507999999999996"/>
    <s v="121/73"/>
    <n v="130"/>
    <n v="87"/>
    <n v="81"/>
    <s v="Y"/>
    <s v="Y"/>
    <s v="Moderate"/>
    <s v="N"/>
    <n v="165.65"/>
    <n v="0.46800000000000003"/>
    <n v="121"/>
    <m/>
    <s v="Elevated"/>
    <n v="13"/>
    <n v="17.587"/>
    <x v="2"/>
  </r>
  <r>
    <s v="F"/>
    <x v="40"/>
    <n v="99.48"/>
    <n v="1.9750000000000001"/>
    <n v="38.491"/>
    <n v="71.545000000000002"/>
    <s v="129/65"/>
    <n v="161"/>
    <n v="76"/>
    <n v="130"/>
    <s v="N"/>
    <s v="N"/>
    <s v="Moderate"/>
    <s v="Y"/>
    <n v="197.48400000000001"/>
    <n v="0.36199999999999999"/>
    <n v="129"/>
    <n v="65"/>
    <s v="Elevated"/>
    <n v="55"/>
    <n v="17.367999999999999"/>
    <x v="1"/>
  </r>
  <r>
    <s v="F"/>
    <x v="48"/>
    <n v="59.262999999999998"/>
    <n v="1.583"/>
    <n v="31.780999999999999"/>
    <n v="104.872"/>
    <s v="92/86"/>
    <n v="219"/>
    <n v="70"/>
    <n v="105"/>
    <s v="N"/>
    <s v="Y"/>
    <s v="Low"/>
    <s v="N"/>
    <n v="158.25899999999999"/>
    <n v="0.66300000000000003"/>
    <m/>
    <n v="86"/>
    <s v="Hypertension Stage 1"/>
    <n v="119"/>
    <n v="17.335999999999999"/>
    <x v="1"/>
  </r>
  <r>
    <s v="M"/>
    <x v="45"/>
    <n v="73.349000000000004"/>
    <n v="1.966"/>
    <n v="31.843"/>
    <n v="104.876"/>
    <s v="116/82"/>
    <n v="299"/>
    <n v="86"/>
    <n v="139"/>
    <s v="Y"/>
    <s v="Y"/>
    <s v="High"/>
    <s v="N"/>
    <n v="196.565"/>
    <n v="0.53400000000000003"/>
    <n v="116"/>
    <n v="82"/>
    <s v="Hypertension Stage 1"/>
    <n v="183"/>
    <n v="20.149000000000001"/>
    <x v="1"/>
  </r>
  <r>
    <s v="M"/>
    <x v="15"/>
    <n v="89.56"/>
    <n v="1.5960000000000001"/>
    <n v="31.536999999999999"/>
    <n v="84.117999999999995"/>
    <s v="91/92"/>
    <n v="289"/>
    <n v="72"/>
    <n v="70"/>
    <s v="N"/>
    <s v="N"/>
    <s v="Moderate"/>
    <s v="Y"/>
    <n v="159.55500000000001"/>
    <n v="0.52700000000000002"/>
    <n v="91"/>
    <n v="92"/>
    <s v="Hypertension Stage 2"/>
    <n v="187"/>
    <n v="16.637"/>
    <x v="2"/>
  </r>
  <r>
    <s v="M"/>
    <x v="47"/>
    <n v="118.88800000000001"/>
    <m/>
    <n v="35.128999999999998"/>
    <n v="97.39"/>
    <s v="101/95"/>
    <n v="147"/>
    <n v="43"/>
    <n v="135"/>
    <s v="Y"/>
    <s v="Y"/>
    <s v="Moderate"/>
    <s v="N"/>
    <n v="179.435"/>
    <n v="0.54300000000000004"/>
    <n v="101"/>
    <n v="95"/>
    <s v="Hypertension Stage 2"/>
    <n v="74"/>
    <n v="17.015999999999998"/>
    <x v="2"/>
  </r>
  <r>
    <s v="F"/>
    <x v="26"/>
    <n v="117.124"/>
    <n v="1.8029999999999999"/>
    <n v="31.814"/>
    <n v="116.892"/>
    <s v="161/99"/>
    <n v="207"/>
    <n v="64"/>
    <n v="127"/>
    <s v="Y"/>
    <s v="Y"/>
    <s v="High"/>
    <s v="Y"/>
    <n v="180.31700000000001"/>
    <n v="0.64800000000000002"/>
    <n v="161"/>
    <n v="99"/>
    <s v="Hypertension Stage 2"/>
    <n v="113"/>
    <n v="20.553000000000001"/>
    <x v="2"/>
  </r>
  <r>
    <s v="M"/>
    <x v="48"/>
    <n v="54.893000000000001"/>
    <n v="1.9139999999999999"/>
    <n v="30.824999999999999"/>
    <n v="78.863"/>
    <s v="124/72"/>
    <n v="211"/>
    <n v="64"/>
    <m/>
    <s v="N"/>
    <s v="N"/>
    <s v="High"/>
    <s v="Y"/>
    <n v="191.42"/>
    <m/>
    <n v="124"/>
    <n v="72"/>
    <s v="Elevated"/>
    <n v="117"/>
    <n v="16.585000000000001"/>
    <x v="1"/>
  </r>
  <r>
    <s v="M"/>
    <x v="12"/>
    <n v="111.4"/>
    <n v="1.8620000000000001"/>
    <n v="24.745000000000001"/>
    <n v="93.126999999999995"/>
    <s v="157/109"/>
    <n v="181"/>
    <n v="61"/>
    <n v="123"/>
    <s v="N"/>
    <s v="Y"/>
    <s v="High"/>
    <s v="Y"/>
    <n v="186.22399999999999"/>
    <n v="0.5"/>
    <n v="157"/>
    <n v="109"/>
    <s v="Hypertension Stage 2"/>
    <n v="90"/>
    <n v="18.419"/>
    <x v="0"/>
  </r>
  <r>
    <s v="M"/>
    <x v="1"/>
    <n v="63.582999999999998"/>
    <n v="1.9810000000000001"/>
    <n v="30.974"/>
    <n v="82.141999999999996"/>
    <s v="172/79"/>
    <n v="194"/>
    <n v="75"/>
    <n v="150"/>
    <s v="Y"/>
    <s v="N"/>
    <s v="Moderate"/>
    <s v="N"/>
    <m/>
    <n v="0.41499999999999998"/>
    <n v="172"/>
    <n v="79"/>
    <s v="Hypertension Stage 2"/>
    <n v="89"/>
    <n v="18.675000000000001"/>
    <x v="2"/>
  </r>
  <r>
    <s v="F"/>
    <x v="18"/>
    <n v="71.600999999999999"/>
    <n v="1.782"/>
    <n v="19.030999999999999"/>
    <n v="72.418999999999997"/>
    <s v="126/106"/>
    <n v="264"/>
    <n v="44"/>
    <n v="189"/>
    <s v="Y"/>
    <s v="N"/>
    <s v="Low"/>
    <s v="N"/>
    <n v="178.21700000000001"/>
    <n v="0.40600000000000003"/>
    <n v="126"/>
    <n v="106"/>
    <s v="Hypertension Stage 2"/>
    <n v="190"/>
    <n v="15.385999999999999"/>
    <x v="2"/>
  </r>
  <r>
    <s v="F"/>
    <x v="6"/>
    <n v="113.34099999999999"/>
    <n v="1.7869999999999999"/>
    <n v="29.344999999999999"/>
    <n v="80.006"/>
    <s v="129/63"/>
    <n v="266"/>
    <n v="85"/>
    <n v="185"/>
    <s v="Y"/>
    <s v="Y"/>
    <s v="High"/>
    <s v="Y"/>
    <n v="178.697"/>
    <n v="0.44800000000000001"/>
    <n v="129"/>
    <n v="63"/>
    <s v="Elevated"/>
    <n v="151"/>
    <n v="19.638999999999999"/>
    <x v="1"/>
  </r>
  <r>
    <s v="F"/>
    <x v="46"/>
    <n v="78.561000000000007"/>
    <m/>
    <n v="32.466000000000001"/>
    <n v="77.183999999999997"/>
    <s v="141/76"/>
    <n v="178"/>
    <n v="73"/>
    <n v="143"/>
    <s v="Y"/>
    <s v="Y"/>
    <s v="High"/>
    <s v="Y"/>
    <n v="170.589"/>
    <n v="0.45200000000000001"/>
    <n v="141"/>
    <n v="76"/>
    <s v="Hypertension Stage 2"/>
    <n v="75"/>
    <n v="19.103000000000002"/>
    <x v="1"/>
  </r>
  <r>
    <s v="M"/>
    <x v="12"/>
    <n v="54.08"/>
    <n v="1.56"/>
    <n v="19.771999999999998"/>
    <n v="107.995"/>
    <s v="116/71"/>
    <n v="287"/>
    <n v="56"/>
    <n v="176"/>
    <s v="Y"/>
    <s v="Y"/>
    <s v="Moderate"/>
    <s v="N"/>
    <n v="155.96100000000001"/>
    <n v="0.69199999999999995"/>
    <m/>
    <n v="71"/>
    <s v="Normal"/>
    <n v="201"/>
    <n v="17.494"/>
    <x v="0"/>
  </r>
  <r>
    <s v="M"/>
    <x v="7"/>
    <n v="60.436"/>
    <n v="1.506"/>
    <n v="20.268999999999998"/>
    <n v="79.7"/>
    <s v="168/63"/>
    <n v="119"/>
    <n v="46"/>
    <n v="190"/>
    <s v="N"/>
    <s v="N"/>
    <s v="High"/>
    <s v="N"/>
    <n v="150.61600000000001"/>
    <n v="0.52900000000000003"/>
    <n v="168"/>
    <n v="63"/>
    <s v="Hypertension Stage 2"/>
    <n v="43"/>
    <n v="14.834"/>
    <x v="1"/>
  </r>
  <r>
    <s v="M"/>
    <x v="16"/>
    <n v="108.15900000000001"/>
    <n v="1.925"/>
    <n v="24.081"/>
    <m/>
    <s v="162/94"/>
    <n v="141"/>
    <m/>
    <n v="178"/>
    <s v="Y"/>
    <s v="Y"/>
    <s v="Moderate"/>
    <s v="N"/>
    <m/>
    <n v="0.41099999999999998"/>
    <n v="162"/>
    <n v="94"/>
    <s v="Hypertension Stage 2"/>
    <n v="63"/>
    <n v="17.736000000000001"/>
    <x v="1"/>
  </r>
  <r>
    <s v="M"/>
    <x v="2"/>
    <n v="119.806"/>
    <n v="1.6080000000000001"/>
    <n v="31.884"/>
    <n v="80.539000000000001"/>
    <s v="124/100"/>
    <n v="242"/>
    <n v="78"/>
    <n v="116"/>
    <s v="Y"/>
    <s v="N"/>
    <s v="Moderate"/>
    <s v="Y"/>
    <m/>
    <n v="0.501"/>
    <n v="124"/>
    <n v="100"/>
    <s v="Hypertension Stage 2"/>
    <n v="134"/>
    <m/>
    <x v="1"/>
  </r>
  <r>
    <s v="F"/>
    <x v="22"/>
    <n v="103.504"/>
    <n v="1.5389999999999999"/>
    <n v="27.606000000000002"/>
    <n v="93.716999999999999"/>
    <s v="156/103"/>
    <n v="238"/>
    <n v="87"/>
    <m/>
    <s v="N"/>
    <s v="N"/>
    <s v="High"/>
    <s v="Y"/>
    <n v="153.91800000000001"/>
    <n v="0.60899999999999999"/>
    <n v="156"/>
    <n v="103"/>
    <s v="Hypertension Stage 2"/>
    <n v="121"/>
    <n v="18.081"/>
    <x v="0"/>
  </r>
  <r>
    <s v="M"/>
    <x v="5"/>
    <n v="74.183999999999997"/>
    <n v="1.966"/>
    <n v="32.116"/>
    <n v="88.628"/>
    <s v="171/76"/>
    <n v="242"/>
    <n v="77"/>
    <n v="112"/>
    <s v="Y"/>
    <s v="Y"/>
    <s v="Low"/>
    <s v="N"/>
    <n v="196.58099999999999"/>
    <n v="0.45100000000000001"/>
    <n v="171"/>
    <n v="76"/>
    <s v="Hypertension Stage 2"/>
    <n v="135"/>
    <n v="21.812999999999999"/>
    <x v="1"/>
  </r>
  <r>
    <s v="F"/>
    <x v="1"/>
    <n v="63.18"/>
    <n v="1.954"/>
    <m/>
    <n v="74.63"/>
    <s v="152/61"/>
    <n v="246"/>
    <n v="73"/>
    <n v="122"/>
    <s v="N"/>
    <s v="Y"/>
    <s v="Low"/>
    <s v="N"/>
    <n v="195.43700000000001"/>
    <m/>
    <n v="152"/>
    <n v="61"/>
    <s v="Hypertension Stage 2"/>
    <n v="143"/>
    <n v="19.07"/>
    <x v="0"/>
  </r>
  <r>
    <s v="F"/>
    <x v="23"/>
    <n v="81.921999999999997"/>
    <n v="1.5660000000000001"/>
    <n v="29.849"/>
    <n v="89.554000000000002"/>
    <s v="95/115"/>
    <n v="195"/>
    <n v="87"/>
    <n v="112"/>
    <s v="N"/>
    <s v="Y"/>
    <s v="Moderate"/>
    <s v="N"/>
    <n v="156.60300000000001"/>
    <n v="0.57199999999999995"/>
    <n v="95"/>
    <n v="115"/>
    <s v="Hypertension Stage 2"/>
    <n v="78"/>
    <m/>
    <x v="2"/>
  </r>
  <r>
    <s v="M"/>
    <x v="2"/>
    <n v="59.493000000000002"/>
    <n v="1.8959999999999999"/>
    <n v="25.012"/>
    <n v="83.275999999999996"/>
    <s v="120/61"/>
    <n v="226"/>
    <n v="83"/>
    <n v="174"/>
    <s v="Y"/>
    <s v="N"/>
    <s v="Moderate"/>
    <s v="N"/>
    <n v="189.58699999999999"/>
    <n v="0.439"/>
    <n v="120"/>
    <n v="61"/>
    <s v="Elevated"/>
    <n v="113"/>
    <n v="15.522"/>
    <x v="2"/>
  </r>
  <r>
    <s v="M"/>
    <x v="47"/>
    <n v="117.136"/>
    <n v="1.637"/>
    <n v="30.518000000000001"/>
    <n v="105.836"/>
    <s v="168/61"/>
    <m/>
    <n v="83"/>
    <n v="106"/>
    <s v="N"/>
    <s v="Y"/>
    <s v="Low"/>
    <s v="N"/>
    <n v="163.70599999999999"/>
    <n v="0.64700000000000002"/>
    <n v="168"/>
    <n v="61"/>
    <s v="Hypertension Stage 2"/>
    <n v="99"/>
    <n v="20.744"/>
    <x v="1"/>
  </r>
  <r>
    <s v="F"/>
    <x v="37"/>
    <n v="116.072"/>
    <n v="1.508"/>
    <n v="19.613"/>
    <n v="94.575999999999993"/>
    <s v="97/101"/>
    <n v="143"/>
    <n v="50"/>
    <n v="120"/>
    <s v="N"/>
    <s v="N"/>
    <s v="Low"/>
    <s v="N"/>
    <n v="150.81"/>
    <n v="0.627"/>
    <n v="97"/>
    <n v="101"/>
    <s v="Hypertension Stage 2"/>
    <n v="63"/>
    <n v="11.632999999999999"/>
    <x v="2"/>
  </r>
  <r>
    <s v="F"/>
    <x v="51"/>
    <n v="99.887"/>
    <n v="1.738"/>
    <n v="29.832999999999998"/>
    <n v="83.744"/>
    <s v="144/105"/>
    <n v="283"/>
    <n v="82"/>
    <n v="122"/>
    <s v="Y"/>
    <s v="Y"/>
    <s v="Low"/>
    <s v="Y"/>
    <n v="173.839"/>
    <n v="0.48199999999999998"/>
    <n v="144"/>
    <n v="105"/>
    <s v="Hypertension Stage 2"/>
    <n v="171"/>
    <n v="20.827000000000002"/>
    <x v="0"/>
  </r>
  <r>
    <s v="F"/>
    <x v="50"/>
    <n v="68.647999999999996"/>
    <n v="1.665"/>
    <m/>
    <m/>
    <s v="152/108"/>
    <n v="111"/>
    <n v="64"/>
    <n v="198"/>
    <s v="N"/>
    <s v="Y"/>
    <s v="Low"/>
    <s v="N"/>
    <n v="166.536"/>
    <n v="0.66800000000000004"/>
    <m/>
    <n v="108"/>
    <s v="Hypertension Stage 2"/>
    <n v="17"/>
    <n v="17.794"/>
    <x v="2"/>
  </r>
  <r>
    <s v="M"/>
    <x v="3"/>
    <n v="106.965"/>
    <n v="1.8680000000000001"/>
    <n v="37.476999999999997"/>
    <n v="113.002"/>
    <s v="156/68"/>
    <n v="295"/>
    <n v="88"/>
    <n v="151"/>
    <s v="Y"/>
    <s v="Y"/>
    <s v="Low"/>
    <s v="N"/>
    <n v="186.762"/>
    <n v="0.60499999999999998"/>
    <n v="156"/>
    <n v="68"/>
    <s v="Hypertension Stage 2"/>
    <n v="177"/>
    <n v="23.195"/>
    <x v="1"/>
  </r>
  <r>
    <s v="F"/>
    <x v="42"/>
    <n v="57.841000000000001"/>
    <n v="1.7889999999999999"/>
    <n v="27.015000000000001"/>
    <n v="70.902000000000001"/>
    <s v="154/71"/>
    <n v="280"/>
    <n v="77"/>
    <n v="187"/>
    <s v="Y"/>
    <s v="N"/>
    <s v="Low"/>
    <s v="N"/>
    <n v="178.887"/>
    <m/>
    <n v="154"/>
    <n v="71"/>
    <s v="Hypertension Stage 2"/>
    <n v="173"/>
    <n v="18.702999999999999"/>
    <x v="1"/>
  </r>
  <r>
    <s v="M"/>
    <x v="0"/>
    <n v="51.237000000000002"/>
    <n v="1.544"/>
    <n v="21.132999999999999"/>
    <n v="72.805999999999997"/>
    <s v="146/118"/>
    <n v="122"/>
    <n v="47"/>
    <n v="176"/>
    <s v="N"/>
    <s v="Y"/>
    <s v="Low"/>
    <s v="N"/>
    <n v="154.43"/>
    <n v="0.47099999999999997"/>
    <n v="146"/>
    <n v="118"/>
    <s v="Hypertension Stage 2"/>
    <n v="45"/>
    <n v="15.967000000000001"/>
    <x v="2"/>
  </r>
  <r>
    <s v="M"/>
    <x v="38"/>
    <n v="84.51"/>
    <n v="1.6839999999999999"/>
    <n v="19.545999999999999"/>
    <n v="97.86"/>
    <s v="157/65"/>
    <n v="115"/>
    <n v="63"/>
    <n v="120"/>
    <s v="N"/>
    <s v="N"/>
    <s v="Moderate"/>
    <s v="N"/>
    <n v="168.44399999999999"/>
    <n v="0.58099999999999996"/>
    <n v="157"/>
    <n v="65"/>
    <s v="Hypertension Stage 2"/>
    <n v="22"/>
    <n v="14.058999999999999"/>
    <x v="0"/>
  </r>
  <r>
    <s v="F"/>
    <x v="53"/>
    <m/>
    <n v="1.6719999999999999"/>
    <n v="39.011000000000003"/>
    <n v="114.98099999999999"/>
    <s v="123/114"/>
    <n v="175"/>
    <n v="34"/>
    <n v="178"/>
    <s v="Y"/>
    <s v="N"/>
    <s v="High"/>
    <s v="N"/>
    <n v="167.22300000000001"/>
    <n v="0.68799999999999994"/>
    <n v="123"/>
    <n v="114"/>
    <s v="Hypertension Stage 2"/>
    <n v="111"/>
    <m/>
    <x v="2"/>
  </r>
  <r>
    <s v="F"/>
    <x v="48"/>
    <n v="119.42100000000001"/>
    <n v="1.6140000000000001"/>
    <n v="20.669"/>
    <n v="100.03"/>
    <s v="111/82"/>
    <n v="163"/>
    <n v="42"/>
    <m/>
    <s v="N"/>
    <s v="N"/>
    <s v="Low"/>
    <s v="Y"/>
    <n v="161.39099999999999"/>
    <n v="0.62"/>
    <n v="111"/>
    <n v="82"/>
    <s v="Hypertension Stage 1"/>
    <n v="91"/>
    <n v="12.944000000000001"/>
    <x v="2"/>
  </r>
  <r>
    <s v="M"/>
    <x v="12"/>
    <n v="89.867999999999995"/>
    <n v="1.8640000000000001"/>
    <n v="38.767000000000003"/>
    <n v="97.74"/>
    <s v="178/111"/>
    <n v="169"/>
    <n v="38"/>
    <n v="154"/>
    <s v="N"/>
    <s v="Y"/>
    <s v="Low"/>
    <s v="N"/>
    <n v="186.38399999999999"/>
    <n v="0.52400000000000002"/>
    <n v="178"/>
    <n v="111"/>
    <s v="Hypertension Stage 2"/>
    <n v="101"/>
    <n v="22.033000000000001"/>
    <x v="2"/>
  </r>
  <r>
    <s v="F"/>
    <x v="30"/>
    <n v="99.522000000000006"/>
    <n v="1.9690000000000001"/>
    <m/>
    <n v="85.954999999999998"/>
    <s v="127/98"/>
    <n v="135"/>
    <n v="55"/>
    <n v="120"/>
    <s v="N"/>
    <s v="Y"/>
    <s v="High"/>
    <s v="N"/>
    <n v="196.90799999999999"/>
    <n v="0.437"/>
    <n v="127"/>
    <n v="98"/>
    <s v="Hypertension Stage 2"/>
    <n v="50"/>
    <n v="15.167999999999999"/>
    <x v="0"/>
  </r>
  <r>
    <s v="F"/>
    <x v="17"/>
    <n v="72.641000000000005"/>
    <n v="1.9370000000000001"/>
    <n v="22.629000000000001"/>
    <n v="95.209000000000003"/>
    <s v="139/108"/>
    <n v="133"/>
    <n v="34"/>
    <n v="120"/>
    <s v="Y"/>
    <s v="N"/>
    <s v="Low"/>
    <s v="N"/>
    <n v="193.65899999999999"/>
    <n v="0.49199999999999999"/>
    <n v="139"/>
    <n v="108"/>
    <s v="Hypertension Stage 1"/>
    <n v="69"/>
    <n v="14.135999999999999"/>
    <x v="0"/>
  </r>
  <r>
    <s v="F"/>
    <x v="3"/>
    <n v="84.462999999999994"/>
    <n v="1.84"/>
    <m/>
    <n v="72.656999999999996"/>
    <s v="93/96"/>
    <n v="110"/>
    <n v="53"/>
    <m/>
    <s v="Y"/>
    <s v="Y"/>
    <s v="High"/>
    <s v="Y"/>
    <n v="183.994"/>
    <n v="0.39500000000000002"/>
    <n v="93"/>
    <n v="96"/>
    <s v="Hypertension Stage 2"/>
    <n v="27"/>
    <n v="16.047000000000001"/>
    <x v="0"/>
  </r>
  <r>
    <s v="M"/>
    <x v="20"/>
    <n v="94.435000000000002"/>
    <n v="1.528"/>
    <n v="39.621000000000002"/>
    <m/>
    <s v="167/90"/>
    <n v="284"/>
    <n v="86"/>
    <n v="144"/>
    <s v="Y"/>
    <s v="N"/>
    <s v="Low"/>
    <s v="N"/>
    <n v="152.84200000000001"/>
    <n v="0.59499999999999997"/>
    <n v="167"/>
    <n v="90"/>
    <s v="Hypertension Stage 2"/>
    <n v="168"/>
    <n v="21.954000000000001"/>
    <x v="2"/>
  </r>
  <r>
    <s v="F"/>
    <x v="18"/>
    <n v="51.725999999999999"/>
    <n v="1.619"/>
    <n v="28.905999999999999"/>
    <n v="98.12"/>
    <s v="173/102"/>
    <n v="113"/>
    <n v="43"/>
    <n v="91"/>
    <s v="Y"/>
    <s v="N"/>
    <s v="Moderate"/>
    <s v="N"/>
    <n v="161.90700000000001"/>
    <n v="0.60599999999999998"/>
    <n v="173"/>
    <n v="102"/>
    <s v="Hypertension Stage 2"/>
    <n v="40"/>
    <n v="16.690999999999999"/>
    <x v="1"/>
  </r>
  <r>
    <s v="M"/>
    <x v="12"/>
    <n v="51.042999999999999"/>
    <n v="1.625"/>
    <n v="19.056000000000001"/>
    <n v="90.965000000000003"/>
    <s v="119/100"/>
    <n v="179"/>
    <m/>
    <n v="131"/>
    <s v="N"/>
    <s v="Y"/>
    <s v="Moderate"/>
    <s v="Y"/>
    <n v="162.54900000000001"/>
    <n v="0.56000000000000005"/>
    <n v="119"/>
    <n v="100"/>
    <s v="Hypertension Stage 2"/>
    <n v="61"/>
    <n v="15.340999999999999"/>
    <x v="2"/>
  </r>
  <r>
    <s v="F"/>
    <x v="7"/>
    <n v="50.625999999999998"/>
    <n v="1.9279999999999999"/>
    <n v="28.959"/>
    <n v="113.04"/>
    <s v="179/94"/>
    <n v="117"/>
    <n v="59"/>
    <m/>
    <s v="N"/>
    <s v="N"/>
    <s v="Low"/>
    <s v="N"/>
    <n v="192.83099999999999"/>
    <n v="0.58599999999999997"/>
    <n v="179"/>
    <n v="94"/>
    <s v="Hypertension Stage 2"/>
    <n v="28"/>
    <n v="17.082000000000001"/>
    <x v="0"/>
  </r>
  <r>
    <s v="F"/>
    <x v="41"/>
    <n v="63.320999999999998"/>
    <n v="1.722"/>
    <n v="28.718"/>
    <n v="90.281999999999996"/>
    <s v="132/76"/>
    <n v="158"/>
    <n v="34"/>
    <n v="175"/>
    <s v="Y"/>
    <s v="N"/>
    <s v="Moderate"/>
    <s v="N"/>
    <n v="172.154"/>
    <n v="0.52400000000000002"/>
    <n v="132"/>
    <n v="76"/>
    <s v="Hypertension Stage 1"/>
    <n v="94"/>
    <n v="15.504"/>
    <x v="1"/>
  </r>
  <r>
    <s v="F"/>
    <x v="11"/>
    <n v="58.029000000000003"/>
    <n v="1.8440000000000001"/>
    <n v="29.207000000000001"/>
    <n v="92.4"/>
    <s v="140/105"/>
    <n v="273"/>
    <n v="42"/>
    <n v="103"/>
    <s v="Y"/>
    <s v="N"/>
    <s v="High"/>
    <s v="N"/>
    <n v="184.41300000000001"/>
    <n v="0.501"/>
    <n v="140"/>
    <n v="105"/>
    <s v="Hypertension Stage 2"/>
    <n v="201"/>
    <n v="18.300999999999998"/>
    <x v="2"/>
  </r>
  <r>
    <s v="M"/>
    <x v="7"/>
    <n v="85.623000000000005"/>
    <n v="1.6719999999999999"/>
    <n v="30.795000000000002"/>
    <n v="94.795000000000002"/>
    <s v="140/87"/>
    <n v="148"/>
    <n v="40"/>
    <n v="178"/>
    <s v="N"/>
    <s v="N"/>
    <s v="Moderate"/>
    <s v="Y"/>
    <n v="167.23400000000001"/>
    <n v="0.56699999999999995"/>
    <m/>
    <n v="87"/>
    <s v="Hypertension Stage 1"/>
    <n v="78"/>
    <n v="16.119"/>
    <x v="0"/>
  </r>
  <r>
    <s v="M"/>
    <x v="18"/>
    <n v="72.192999999999998"/>
    <n v="1.5960000000000001"/>
    <n v="31.677"/>
    <n v="105.31699999999999"/>
    <s v="116/85"/>
    <n v="246"/>
    <n v="79"/>
    <n v="72"/>
    <s v="Y"/>
    <s v="N"/>
    <s v="Low"/>
    <s v="Y"/>
    <n v="159.578"/>
    <n v="0.66"/>
    <n v="116"/>
    <n v="85"/>
    <s v="Hypertension Stage 1"/>
    <n v="137"/>
    <n v="17.055"/>
    <x v="1"/>
  </r>
  <r>
    <s v="M"/>
    <x v="0"/>
    <n v="73.239000000000004"/>
    <n v="1.988"/>
    <n v="30.581"/>
    <n v="118.324"/>
    <s v="142/88"/>
    <n v="188"/>
    <n v="30"/>
    <n v="137"/>
    <s v="N"/>
    <s v="N"/>
    <s v="Low"/>
    <s v="Y"/>
    <n v="198.833"/>
    <n v="0.59499999999999997"/>
    <n v="142"/>
    <n v="88"/>
    <s v="Hypertension Stage 1"/>
    <n v="128"/>
    <n v="16.975999999999999"/>
    <x v="0"/>
  </r>
  <r>
    <s v="M"/>
    <x v="44"/>
    <n v="87.713999999999999"/>
    <n v="1.7230000000000001"/>
    <n v="39.732999999999997"/>
    <n v="111.803"/>
    <s v="132/101"/>
    <n v="108"/>
    <n v="41"/>
    <n v="93"/>
    <s v="Y"/>
    <s v="N"/>
    <s v="Moderate"/>
    <s v="N"/>
    <n v="172.34299999999999"/>
    <n v="0.64900000000000002"/>
    <n v="132"/>
    <n v="101"/>
    <s v="Hypertension Stage 1"/>
    <n v="37"/>
    <n v="16.707000000000001"/>
    <x v="1"/>
  </r>
  <r>
    <s v="M"/>
    <x v="19"/>
    <n v="99.921000000000006"/>
    <n v="1.5880000000000001"/>
    <n v="21.277000000000001"/>
    <n v="105.875"/>
    <s v="121/115"/>
    <n v="287"/>
    <n v="75"/>
    <n v="92"/>
    <s v="Y"/>
    <s v="N"/>
    <s v="High"/>
    <s v="Y"/>
    <n v="158.75"/>
    <n v="0.66700000000000004"/>
    <n v="121"/>
    <n v="115"/>
    <s v="Hypertension Stage 2"/>
    <m/>
    <n v="16.045000000000002"/>
    <x v="0"/>
  </r>
  <r>
    <s v="M"/>
    <x v="43"/>
    <n v="94.281999999999996"/>
    <m/>
    <n v="39.57"/>
    <n v="88.016999999999996"/>
    <s v="102/60"/>
    <n v="245"/>
    <n v="49"/>
    <n v="145"/>
    <s v="N"/>
    <s v="N"/>
    <s v="Moderate"/>
    <s v="N"/>
    <n v="150.285"/>
    <n v="0.58599999999999997"/>
    <n v="102"/>
    <n v="60"/>
    <s v="Normal"/>
    <m/>
    <n v="17.914000000000001"/>
    <x v="1"/>
  </r>
  <r>
    <s v="M"/>
    <x v="7"/>
    <n v="80.879000000000005"/>
    <n v="1.6419999999999999"/>
    <n v="32.671999999999997"/>
    <n v="87.366"/>
    <s v="106/89"/>
    <n v="138"/>
    <n v="75"/>
    <n v="128"/>
    <s v="N"/>
    <s v="N"/>
    <s v="Low"/>
    <s v="N"/>
    <n v="164.22399999999999"/>
    <n v="0.53200000000000003"/>
    <n v="106"/>
    <m/>
    <s v="Hypertension Stage 1"/>
    <n v="33"/>
    <n v="14.593999999999999"/>
    <x v="0"/>
  </r>
  <r>
    <s v="F"/>
    <x v="24"/>
    <n v="56.215000000000003"/>
    <n v="1.9450000000000001"/>
    <n v="30.687000000000001"/>
    <n v="104.30800000000001"/>
    <s v="159/82"/>
    <n v="194"/>
    <n v="50"/>
    <n v="97"/>
    <s v="N"/>
    <s v="Y"/>
    <s v="Low"/>
    <s v="Y"/>
    <m/>
    <n v="0.53600000000000003"/>
    <n v="159"/>
    <n v="82"/>
    <s v="Hypertension Stage 1"/>
    <n v="114"/>
    <m/>
    <x v="1"/>
  </r>
  <r>
    <s v="M"/>
    <x v="1"/>
    <n v="77.948999999999998"/>
    <n v="1.7470000000000001"/>
    <n v="20.678999999999998"/>
    <n v="89.384"/>
    <s v="164/90"/>
    <n v="254"/>
    <n v="35"/>
    <n v="180"/>
    <s v="Y"/>
    <s v="Y"/>
    <s v="Low"/>
    <s v="Y"/>
    <n v="174.68"/>
    <n v="0.51200000000000001"/>
    <n v="164"/>
    <n v="90"/>
    <s v="Hypertension Stage 2"/>
    <n v="189"/>
    <n v="19.416"/>
    <x v="2"/>
  </r>
  <r>
    <s v="F"/>
    <x v="9"/>
    <n v="111.047"/>
    <n v="1.5069999999999999"/>
    <n v="24.111999999999998"/>
    <n v="85.741"/>
    <s v="125/78"/>
    <n v="172"/>
    <n v="45"/>
    <n v="129"/>
    <s v="N"/>
    <s v="Y"/>
    <s v="Low"/>
    <s v="N"/>
    <n v="150.709"/>
    <n v="0.56899999999999995"/>
    <n v="125"/>
    <n v="78"/>
    <s v="Elevated"/>
    <n v="97"/>
    <n v="16.512"/>
    <x v="0"/>
  </r>
  <r>
    <s v="F"/>
    <x v="33"/>
    <n v="103.39"/>
    <n v="1.917"/>
    <n v="21.050999999999998"/>
    <n v="88.534000000000006"/>
    <s v="125/85"/>
    <n v="134"/>
    <n v="74"/>
    <n v="152"/>
    <s v="N"/>
    <s v="N"/>
    <s v="High"/>
    <s v="Y"/>
    <n v="191.71799999999999"/>
    <n v="0.46200000000000002"/>
    <n v="125"/>
    <n v="85"/>
    <s v="Hypertension Stage 1"/>
    <n v="30"/>
    <n v="13.14"/>
    <x v="1"/>
  </r>
  <r>
    <s v="M"/>
    <x v="50"/>
    <n v="117.717"/>
    <n v="1.984"/>
    <n v="27.812999999999999"/>
    <n v="107.255"/>
    <s v="144/95"/>
    <n v="244"/>
    <n v="68"/>
    <n v="85"/>
    <s v="Y"/>
    <s v="N"/>
    <s v="Moderate"/>
    <s v="N"/>
    <n v="198.386"/>
    <n v="0.54100000000000004"/>
    <n v="144"/>
    <n v="95"/>
    <s v="Hypertension Stage 2"/>
    <n v="146"/>
    <n v="17.643000000000001"/>
    <x v="0"/>
  </r>
  <r>
    <s v="M"/>
    <x v="42"/>
    <n v="108.873"/>
    <n v="1.9690000000000001"/>
    <n v="18.678999999999998"/>
    <n v="94.512"/>
    <s v="109/82"/>
    <n v="295"/>
    <n v="83"/>
    <n v="119"/>
    <s v="Y"/>
    <s v="N"/>
    <s v="Low"/>
    <s v="N"/>
    <n v="196.85400000000001"/>
    <n v="0.48"/>
    <n v="109"/>
    <n v="82"/>
    <s v="Hypertension Stage 1"/>
    <n v="182"/>
    <n v="15.086"/>
    <x v="1"/>
  </r>
  <r>
    <s v="M"/>
    <x v="2"/>
    <n v="112.068"/>
    <n v="1.9450000000000001"/>
    <n v="32.357999999999997"/>
    <n v="106.46"/>
    <s v="102/88"/>
    <n v="280"/>
    <n v="34"/>
    <n v="158"/>
    <s v="Y"/>
    <s v="N"/>
    <s v="Moderate"/>
    <s v="N"/>
    <n v="194.52199999999999"/>
    <n v="0.54700000000000004"/>
    <n v="102"/>
    <m/>
    <s v="Hypertension Stage 1"/>
    <n v="216"/>
    <n v="17.172000000000001"/>
    <x v="2"/>
  </r>
  <r>
    <s v="F"/>
    <x v="27"/>
    <m/>
    <n v="1.7150000000000001"/>
    <n v="18.687000000000001"/>
    <n v="117.9"/>
    <s v="164/81"/>
    <n v="208"/>
    <n v="43"/>
    <n v="155"/>
    <s v="Y"/>
    <s v="Y"/>
    <s v="High"/>
    <s v="Y"/>
    <n v="171.47"/>
    <n v="0.68799999999999994"/>
    <n v="164"/>
    <n v="81"/>
    <s v="Hypertension Stage 1"/>
    <m/>
    <n v="18.097000000000001"/>
    <x v="2"/>
  </r>
  <r>
    <s v="F"/>
    <x v="3"/>
    <n v="106.675"/>
    <n v="1.7989999999999999"/>
    <n v="20.375"/>
    <n v="83.194000000000003"/>
    <s v="106/105"/>
    <n v="131"/>
    <n v="66"/>
    <n v="166"/>
    <s v="N"/>
    <s v="N"/>
    <s v="High"/>
    <s v="Y"/>
    <n v="179.90100000000001"/>
    <n v="0.46200000000000002"/>
    <n v="106"/>
    <n v="105"/>
    <s v="Hypertension Stage 2"/>
    <n v="35"/>
    <n v="11.994999999999999"/>
    <x v="1"/>
  </r>
  <r>
    <s v="F"/>
    <x v="28"/>
    <n v="78.588999999999999"/>
    <n v="1.9319999999999999"/>
    <n v="27.216999999999999"/>
    <n v="112.51"/>
    <s v="129/99"/>
    <n v="123"/>
    <m/>
    <n v="103"/>
    <s v="N"/>
    <s v="N"/>
    <s v="High"/>
    <s v="N"/>
    <n v="193.178"/>
    <n v="0.58199999999999996"/>
    <n v="129"/>
    <n v="99"/>
    <s v="Hypertension Stage 2"/>
    <n v="60"/>
    <n v="14.353"/>
    <x v="0"/>
  </r>
  <r>
    <s v="F"/>
    <x v="2"/>
    <n v="111.474"/>
    <n v="1.542"/>
    <n v="24.814"/>
    <n v="77.655000000000001"/>
    <s v="164/100"/>
    <n v="260"/>
    <n v="46"/>
    <n v="95"/>
    <s v="N"/>
    <s v="N"/>
    <s v="Low"/>
    <s v="Y"/>
    <n v="154.20400000000001"/>
    <n v="0.504"/>
    <n v="164"/>
    <n v="100"/>
    <s v="Hypertension Stage 2"/>
    <n v="184"/>
    <n v="18.363"/>
    <x v="0"/>
  </r>
  <r>
    <s v="F"/>
    <x v="2"/>
    <n v="89.647000000000006"/>
    <n v="1.8069999999999999"/>
    <n v="24.763000000000002"/>
    <n v="77.941999999999993"/>
    <s v="168/61"/>
    <n v="227"/>
    <n v="40"/>
    <n v="175"/>
    <s v="Y"/>
    <s v="N"/>
    <s v="High"/>
    <s v="Y"/>
    <n v="180.65199999999999"/>
    <n v="0.43099999999999999"/>
    <n v="168"/>
    <n v="61"/>
    <s v="Hypertension Stage 2"/>
    <n v="157"/>
    <n v="17.893000000000001"/>
    <x v="2"/>
  </r>
  <r>
    <s v="F"/>
    <x v="35"/>
    <n v="60.106999999999999"/>
    <n v="1.728"/>
    <n v="22.247"/>
    <n v="89.010999999999996"/>
    <s v="166/116"/>
    <n v="108"/>
    <n v="37"/>
    <n v="179"/>
    <s v="Y"/>
    <s v="N"/>
    <s v="Low"/>
    <s v="N"/>
    <n v="172.821"/>
    <m/>
    <n v="166"/>
    <n v="116"/>
    <s v="Hypertension Stage 2"/>
    <m/>
    <n v="14.909000000000001"/>
    <x v="1"/>
  </r>
  <r>
    <s v="F"/>
    <x v="21"/>
    <n v="52.707999999999998"/>
    <n v="1.587"/>
    <m/>
    <n v="110.821"/>
    <s v="117/113"/>
    <n v="137"/>
    <n v="45"/>
    <n v="120"/>
    <s v="N"/>
    <s v="N"/>
    <s v="Moderate"/>
    <s v="N"/>
    <n v="158.744"/>
    <n v="0.69799999999999995"/>
    <n v="117"/>
    <n v="113"/>
    <s v="Hypertension Stage 2"/>
    <n v="62"/>
    <n v="13.826000000000001"/>
    <x v="1"/>
  </r>
  <r>
    <s v="F"/>
    <x v="18"/>
    <n v="86.364000000000004"/>
    <n v="1.7050000000000001"/>
    <n v="35.158999999999999"/>
    <n v="72.730999999999995"/>
    <s v="95/87"/>
    <n v="198"/>
    <n v="71"/>
    <n v="130"/>
    <s v="Y"/>
    <s v="N"/>
    <s v="High"/>
    <s v="N"/>
    <n v="170.47300000000001"/>
    <n v="0.42699999999999999"/>
    <n v="95"/>
    <n v="87"/>
    <s v="Hypertension Stage 1"/>
    <n v="97"/>
    <m/>
    <x v="0"/>
  </r>
  <r>
    <s v="M"/>
    <x v="14"/>
    <n v="117.19"/>
    <n v="1.702"/>
    <n v="24.965"/>
    <n v="103.38200000000001"/>
    <s v="102/69"/>
    <n v="180"/>
    <n v="89"/>
    <n v="99"/>
    <s v="Y"/>
    <s v="Y"/>
    <s v="Low"/>
    <s v="N"/>
    <n v="170.22"/>
    <n v="0.60699999999999998"/>
    <n v="102"/>
    <m/>
    <s v="Normal"/>
    <n v="61"/>
    <n v="15.693"/>
    <x v="1"/>
  </r>
  <r>
    <s v="M"/>
    <x v="2"/>
    <n v="87.055000000000007"/>
    <n v="1.5269999999999999"/>
    <n v="23.245000000000001"/>
    <n v="96.492999999999995"/>
    <s v="103/72"/>
    <n v="132"/>
    <n v="80"/>
    <n v="188"/>
    <s v="Y"/>
    <s v="N"/>
    <s v="Low"/>
    <s v="N"/>
    <n v="152.679"/>
    <n v="0.63200000000000001"/>
    <n v="103"/>
    <n v="72"/>
    <s v="Normal"/>
    <n v="22"/>
    <n v="12.439"/>
    <x v="0"/>
  </r>
  <r>
    <s v="M"/>
    <x v="43"/>
    <n v="102.449"/>
    <n v="1.6890000000000001"/>
    <n v="21.762"/>
    <n v="91.188999999999993"/>
    <s v="112/117"/>
    <n v="257"/>
    <n v="79"/>
    <n v="164"/>
    <s v="N"/>
    <s v="N"/>
    <s v="Moderate"/>
    <s v="N"/>
    <n v="168.92400000000001"/>
    <m/>
    <n v="112"/>
    <n v="117"/>
    <s v="Hypertension Stage 2"/>
    <n v="148"/>
    <n v="15.092000000000001"/>
    <x v="1"/>
  </r>
  <r>
    <s v="F"/>
    <x v="0"/>
    <n v="57.814"/>
    <n v="1.5960000000000001"/>
    <n v="20.405000000000001"/>
    <n v="98.225999999999999"/>
    <s v="130/70"/>
    <n v="285"/>
    <n v="58"/>
    <n v="107"/>
    <s v="N"/>
    <s v="Y"/>
    <s v="Moderate"/>
    <s v="N"/>
    <n v="159.59200000000001"/>
    <n v="0.61499999999999999"/>
    <n v="130"/>
    <n v="70"/>
    <s v="Hypertension Stage 1"/>
    <n v="197"/>
    <n v="18.280999999999999"/>
    <x v="2"/>
  </r>
  <r>
    <s v="M"/>
    <x v="17"/>
    <n v="86.468000000000004"/>
    <n v="1.5509999999999999"/>
    <n v="24.102"/>
    <n v="90.585999999999999"/>
    <s v="90/66"/>
    <n v="149"/>
    <n v="38"/>
    <m/>
    <s v="N"/>
    <s v="N"/>
    <s v="Low"/>
    <s v="N"/>
    <n v="155.131"/>
    <n v="0.58399999999999996"/>
    <n v="90"/>
    <n v="66"/>
    <s v="Normal"/>
    <n v="81"/>
    <n v="12.3"/>
    <x v="0"/>
  </r>
  <r>
    <s v="F"/>
    <x v="53"/>
    <n v="97.284999999999997"/>
    <n v="1.863"/>
    <n v="31.457000000000001"/>
    <n v="108.324"/>
    <s v="111/108"/>
    <n v="295"/>
    <n v="72"/>
    <n v="143"/>
    <s v="Y"/>
    <s v="Y"/>
    <s v="Moderate"/>
    <s v="N"/>
    <n v="186.31100000000001"/>
    <n v="0.58099999999999996"/>
    <n v="111"/>
    <n v="108"/>
    <s v="Hypertension Stage 2"/>
    <n v="193"/>
    <n v="19.741"/>
    <x v="1"/>
  </r>
  <r>
    <s v="F"/>
    <x v="5"/>
    <n v="88.7"/>
    <n v="1.5860000000000001"/>
    <n v="21.158000000000001"/>
    <n v="75.322000000000003"/>
    <s v="145/110"/>
    <n v="233"/>
    <n v="51"/>
    <n v="135"/>
    <s v="Y"/>
    <s v="Y"/>
    <s v="Low"/>
    <s v="Y"/>
    <n v="158.61699999999999"/>
    <n v="0.47499999999999998"/>
    <n v="145"/>
    <n v="110"/>
    <s v="Hypertension Stage 2"/>
    <n v="152"/>
    <n v="18.141999999999999"/>
    <x v="2"/>
  </r>
  <r>
    <s v="M"/>
    <x v="7"/>
    <n v="53.383000000000003"/>
    <n v="1.736"/>
    <n v="30.614000000000001"/>
    <n v="78.617999999999995"/>
    <s v="102/97"/>
    <n v="162"/>
    <n v="46"/>
    <n v="105"/>
    <s v="N"/>
    <s v="Y"/>
    <s v="Moderate"/>
    <s v="N"/>
    <n v="173.59399999999999"/>
    <n v="0.45300000000000001"/>
    <n v="102"/>
    <n v="97"/>
    <s v="Hypertension Stage 2"/>
    <n v="86"/>
    <m/>
    <x v="0"/>
  </r>
  <r>
    <s v="F"/>
    <x v="38"/>
    <n v="110.631"/>
    <m/>
    <n v="19.288"/>
    <n v="102.27200000000001"/>
    <s v="176/89"/>
    <n v="261"/>
    <n v="56"/>
    <n v="75"/>
    <s v="Y"/>
    <s v="Y"/>
    <s v="High"/>
    <s v="Y"/>
    <n v="174.12299999999999"/>
    <n v="0.58699999999999997"/>
    <m/>
    <m/>
    <s v="Hypertension Stage 1"/>
    <n v="175"/>
    <n v="19.878"/>
    <x v="2"/>
  </r>
  <r>
    <s v="F"/>
    <x v="25"/>
    <m/>
    <n v="1.585"/>
    <n v="19.716000000000001"/>
    <n v="74.037999999999997"/>
    <s v="126/113"/>
    <n v="111"/>
    <n v="76"/>
    <m/>
    <s v="N"/>
    <s v="N"/>
    <s v="Moderate"/>
    <s v="Y"/>
    <n v="158.46299999999999"/>
    <m/>
    <n v="126"/>
    <n v="113"/>
    <s v="Hypertension Stage 2"/>
    <n v="5"/>
    <n v="12.462999999999999"/>
    <x v="1"/>
  </r>
  <r>
    <s v="F"/>
    <x v="27"/>
    <n v="107.755"/>
    <n v="1.5780000000000001"/>
    <n v="33.746000000000002"/>
    <n v="73.831000000000003"/>
    <s v="160/71"/>
    <n v="264"/>
    <n v="78"/>
    <n v="119"/>
    <s v="Y"/>
    <s v="Y"/>
    <s v="Low"/>
    <s v="Y"/>
    <n v="157.78399999999999"/>
    <n v="0.46800000000000003"/>
    <n v="160"/>
    <n v="71"/>
    <s v="Hypertension Stage 2"/>
    <n v="156"/>
    <n v="22.029"/>
    <x v="1"/>
  </r>
  <r>
    <s v="M"/>
    <x v="47"/>
    <n v="98.596000000000004"/>
    <n v="1.9890000000000001"/>
    <n v="30.504000000000001"/>
    <n v="93.863"/>
    <s v="100/75"/>
    <n v="221"/>
    <n v="32"/>
    <n v="120"/>
    <s v="Y"/>
    <s v="Y"/>
    <s v="Low"/>
    <s v="Y"/>
    <n v="198.886"/>
    <m/>
    <n v="100"/>
    <n v="75"/>
    <s v="Normal"/>
    <n v="159"/>
    <n v="17.521000000000001"/>
    <x v="1"/>
  </r>
  <r>
    <s v="F"/>
    <x v="46"/>
    <n v="63.100999999999999"/>
    <n v="1.66"/>
    <n v="35.878"/>
    <m/>
    <s v="146/69"/>
    <n v="186"/>
    <n v="47"/>
    <n v="158"/>
    <s v="N"/>
    <s v="Y"/>
    <s v="High"/>
    <s v="Y"/>
    <n v="166"/>
    <n v="0.71699999999999997"/>
    <n v="146"/>
    <n v="69"/>
    <s v="Hypertension Stage 2"/>
    <n v="109"/>
    <n v="20.196000000000002"/>
    <x v="0"/>
  </r>
  <r>
    <s v="M"/>
    <x v="23"/>
    <m/>
    <m/>
    <n v="21.454999999999998"/>
    <n v="93.064999999999998"/>
    <s v="144/115"/>
    <n v="296"/>
    <n v="45"/>
    <n v="75"/>
    <s v="N"/>
    <s v="N"/>
    <s v="High"/>
    <s v="Y"/>
    <n v="184.98599999999999"/>
    <m/>
    <n v="144"/>
    <n v="115"/>
    <s v="Hypertension Stage 2"/>
    <n v="221"/>
    <n v="17.411000000000001"/>
    <x v="0"/>
  </r>
  <r>
    <s v="F"/>
    <x v="22"/>
    <n v="117.717"/>
    <n v="1.633"/>
    <n v="24.689"/>
    <n v="119.49299999999999"/>
    <s v="93/105"/>
    <n v="140"/>
    <n v="46"/>
    <n v="156"/>
    <s v="N"/>
    <s v="Y"/>
    <s v="Low"/>
    <s v="Y"/>
    <n v="163.328"/>
    <n v="0.73199999999999998"/>
    <n v="93"/>
    <n v="105"/>
    <s v="Hypertension Stage 2"/>
    <n v="64"/>
    <n v="14.388"/>
    <x v="0"/>
  </r>
  <r>
    <s v="M"/>
    <x v="22"/>
    <n v="110.214"/>
    <n v="1.784"/>
    <n v="36.942999999999998"/>
    <n v="78.817999999999998"/>
    <s v="178/109"/>
    <n v="169"/>
    <n v="75"/>
    <n v="114"/>
    <s v="N"/>
    <s v="N"/>
    <s v="Low"/>
    <s v="N"/>
    <n v="178.41"/>
    <n v="0.442"/>
    <n v="178"/>
    <n v="109"/>
    <s v="Hypertension Stage 2"/>
    <n v="64"/>
    <n v="19.669"/>
    <x v="2"/>
  </r>
  <r>
    <s v="F"/>
    <x v="40"/>
    <n v="58.35"/>
    <n v="1.542"/>
    <n v="23.760999999999999"/>
    <n v="100.617"/>
    <s v="95/110"/>
    <m/>
    <n v="37"/>
    <n v="119"/>
    <s v="Y"/>
    <s v="N"/>
    <s v="Moderate"/>
    <s v="Y"/>
    <n v="154.185"/>
    <m/>
    <n v="95"/>
    <n v="110"/>
    <s v="Hypertension Stage 2"/>
    <n v="64"/>
    <n v="12.122"/>
    <x v="0"/>
  </r>
  <r>
    <s v="F"/>
    <x v="14"/>
    <n v="64.837000000000003"/>
    <n v="1.958"/>
    <n v="33.180999999999997"/>
    <n v="88.896000000000001"/>
    <s v="160/78"/>
    <n v="152"/>
    <n v="59"/>
    <n v="150"/>
    <s v="N"/>
    <s v="N"/>
    <s v="High"/>
    <s v="Y"/>
    <n v="195.79400000000001"/>
    <n v="0.45400000000000001"/>
    <n v="160"/>
    <n v="78"/>
    <s v="Hypertension Stage 2"/>
    <n v="63"/>
    <n v="17.675999999999998"/>
    <x v="1"/>
  </r>
  <r>
    <s v="F"/>
    <x v="46"/>
    <n v="102.432"/>
    <n v="1.849"/>
    <n v="34.941000000000003"/>
    <n v="90.284000000000006"/>
    <s v="155/68"/>
    <n v="202"/>
    <n v="52"/>
    <n v="135"/>
    <s v="Y"/>
    <s v="N"/>
    <s v="Low"/>
    <s v="Y"/>
    <n v="184.85300000000001"/>
    <n v="0.48799999999999999"/>
    <n v="155"/>
    <n v="68"/>
    <s v="Hypertension Stage 2"/>
    <n v="120"/>
    <n v="18.777999999999999"/>
    <x v="1"/>
  </r>
  <r>
    <s v="M"/>
    <x v="17"/>
    <n v="50.343000000000004"/>
    <m/>
    <n v="35.191000000000003"/>
    <n v="103.605"/>
    <s v="173/114"/>
    <n v="205"/>
    <n v="42"/>
    <n v="176"/>
    <s v="Y"/>
    <s v="N"/>
    <s v="Low"/>
    <s v="N"/>
    <n v="169.09700000000001"/>
    <n v="0.61299999999999999"/>
    <n v="173"/>
    <n v="114"/>
    <s v="Hypertension Stage 2"/>
    <n v="133"/>
    <n v="19.788"/>
    <x v="1"/>
  </r>
  <r>
    <s v="M"/>
    <x v="53"/>
    <n v="80.427999999999997"/>
    <n v="1.865"/>
    <n v="38.709000000000003"/>
    <n v="82.287000000000006"/>
    <s v="151/93"/>
    <n v="108"/>
    <n v="59"/>
    <n v="121"/>
    <s v="Y"/>
    <s v="N"/>
    <s v="Moderate"/>
    <s v="Y"/>
    <n v="186.46"/>
    <n v="0.441"/>
    <n v="151"/>
    <n v="93"/>
    <s v="Hypertension Stage 2"/>
    <n v="19"/>
    <n v="17.452000000000002"/>
    <x v="1"/>
  </r>
  <r>
    <s v="F"/>
    <x v="36"/>
    <n v="112.07599999999999"/>
    <n v="1.883"/>
    <n v="37.783999999999999"/>
    <n v="83.951999999999998"/>
    <s v="141/81"/>
    <n v="107"/>
    <n v="80"/>
    <n v="161"/>
    <s v="Y"/>
    <s v="N"/>
    <s v="High"/>
    <s v="Y"/>
    <n v="188.31100000000001"/>
    <n v="0.44600000000000001"/>
    <n v="141"/>
    <n v="81"/>
    <s v="Hypertension Stage 1"/>
    <n v="-3"/>
    <n v="16.747"/>
    <x v="1"/>
  </r>
  <r>
    <s v="M"/>
    <x v="42"/>
    <n v="108.642"/>
    <n v="1.7549999999999999"/>
    <n v="39.877000000000002"/>
    <n v="87.74"/>
    <s v="156/66"/>
    <n v="179"/>
    <n v="75"/>
    <n v="160"/>
    <s v="Y"/>
    <s v="N"/>
    <s v="High"/>
    <s v="Y"/>
    <n v="175.47499999999999"/>
    <n v="0.5"/>
    <n v="156"/>
    <n v="66"/>
    <s v="Hypertension Stage 2"/>
    <n v="74"/>
    <n v="19.355"/>
    <x v="1"/>
  </r>
  <r>
    <s v="M"/>
    <x v="12"/>
    <n v="86.426000000000002"/>
    <n v="1.8240000000000001"/>
    <n v="27.754999999999999"/>
    <n v="102.672"/>
    <s v="132/77"/>
    <n v="267"/>
    <m/>
    <m/>
    <s v="Y"/>
    <s v="Y"/>
    <s v="High"/>
    <s v="Y"/>
    <m/>
    <n v="0.56299999999999994"/>
    <n v="132"/>
    <n v="77"/>
    <s v="Hypertension Stage 1"/>
    <n v="172"/>
    <n v="19.491"/>
    <x v="1"/>
  </r>
  <r>
    <s v="F"/>
    <x v="9"/>
    <n v="98.17"/>
    <n v="1.964"/>
    <n v="34.151000000000003"/>
    <n v="86.302999999999997"/>
    <s v="172/68"/>
    <n v="227"/>
    <n v="89"/>
    <n v="88"/>
    <s v="Y"/>
    <s v="Y"/>
    <s v="High"/>
    <s v="N"/>
    <m/>
    <n v="0.439"/>
    <n v="172"/>
    <n v="68"/>
    <s v="Hypertension Stage 2"/>
    <n v="108"/>
    <n v="21.97"/>
    <x v="2"/>
  </r>
  <r>
    <s v="F"/>
    <x v="55"/>
    <n v="97.701999999999998"/>
    <n v="1.8009999999999999"/>
    <n v="32.79"/>
    <n v="108.242"/>
    <s v="108/117"/>
    <m/>
    <n v="79"/>
    <n v="185"/>
    <s v="N"/>
    <s v="N"/>
    <s v="High"/>
    <s v="Y"/>
    <n v="180.12200000000001"/>
    <n v="0.60099999999999998"/>
    <n v="108"/>
    <n v="117"/>
    <s v="Hypertension Stage 2"/>
    <n v="153"/>
    <n v="17.198"/>
    <x v="1"/>
  </r>
  <r>
    <s v="F"/>
    <x v="55"/>
    <n v="66.394000000000005"/>
    <n v="1.86"/>
    <n v="27.704000000000001"/>
    <n v="91.594999999999999"/>
    <s v="165/101"/>
    <n v="106"/>
    <n v="78"/>
    <n v="103"/>
    <s v="N"/>
    <s v="Y"/>
    <s v="High"/>
    <s v="Y"/>
    <n v="185.95699999999999"/>
    <n v="0.49299999999999999"/>
    <n v="165"/>
    <n v="101"/>
    <s v="Hypertension Stage 2"/>
    <n v="-2"/>
    <m/>
    <x v="2"/>
  </r>
  <r>
    <s v="F"/>
    <x v="46"/>
    <m/>
    <n v="1.9950000000000001"/>
    <n v="29.507000000000001"/>
    <n v="103.497"/>
    <s v="128/88"/>
    <n v="134"/>
    <n v="45"/>
    <n v="175"/>
    <s v="Y"/>
    <s v="N"/>
    <s v="Low"/>
    <s v="N"/>
    <n v="199.548"/>
    <n v="0.51900000000000002"/>
    <n v="128"/>
    <n v="88"/>
    <s v="Hypertension Stage 1"/>
    <n v="59"/>
    <n v="14.981"/>
    <x v="1"/>
  </r>
  <r>
    <s v="M"/>
    <x v="5"/>
    <n v="104.748"/>
    <n v="1.9830000000000001"/>
    <n v="18.852"/>
    <n v="104.754"/>
    <s v="178/65"/>
    <n v="176"/>
    <n v="81"/>
    <n v="161"/>
    <s v="N"/>
    <s v="N"/>
    <s v="Moderate"/>
    <s v="Y"/>
    <n v="198.31200000000001"/>
    <n v="0.52800000000000002"/>
    <n v="178"/>
    <n v="65"/>
    <s v="Hypertension Stage 2"/>
    <n v="65"/>
    <n v="16.190000000000001"/>
    <x v="1"/>
  </r>
  <r>
    <s v="F"/>
    <x v="48"/>
    <n v="113.605"/>
    <n v="1.8640000000000001"/>
    <n v="22.713999999999999"/>
    <n v="88.545000000000002"/>
    <s v="159/100"/>
    <n v="151"/>
    <n v="63"/>
    <n v="105"/>
    <s v="N"/>
    <s v="Y"/>
    <s v="Low"/>
    <s v="Y"/>
    <n v="186.351"/>
    <n v="0.47499999999999998"/>
    <n v="159"/>
    <n v="100"/>
    <s v="Hypertension Stage 2"/>
    <n v="58"/>
    <n v="17.513000000000002"/>
    <x v="2"/>
  </r>
  <r>
    <s v="M"/>
    <x v="48"/>
    <m/>
    <n v="1.9830000000000001"/>
    <n v="31.626999999999999"/>
    <m/>
    <s v="159/101"/>
    <n v="179"/>
    <n v="46"/>
    <n v="138"/>
    <s v="N"/>
    <s v="N"/>
    <s v="High"/>
    <s v="N"/>
    <n v="198.315"/>
    <n v="0.56299999999999994"/>
    <n v="159"/>
    <n v="101"/>
    <s v="Hypertension Stage 2"/>
    <n v="103"/>
    <n v="17.855"/>
    <x v="0"/>
  </r>
  <r>
    <s v="M"/>
    <x v="52"/>
    <n v="55.338999999999999"/>
    <m/>
    <n v="24.893000000000001"/>
    <n v="103.179"/>
    <s v="101/77"/>
    <n v="252"/>
    <n v="42"/>
    <n v="147"/>
    <s v="N"/>
    <s v="N"/>
    <s v="Low"/>
    <s v="Y"/>
    <n v="174.20400000000001"/>
    <n v="0.59199999999999997"/>
    <n v="101"/>
    <n v="77"/>
    <s v="Normal"/>
    <n v="180"/>
    <n v="15.069000000000001"/>
    <x v="0"/>
  </r>
  <r>
    <s v="F"/>
    <x v="7"/>
    <n v="107.316"/>
    <n v="1.9890000000000001"/>
    <n v="20.888000000000002"/>
    <n v="113.22"/>
    <s v="103/71"/>
    <n v="218"/>
    <n v="52"/>
    <n v="72"/>
    <s v="N"/>
    <s v="N"/>
    <s v="Low"/>
    <s v="Y"/>
    <n v="198.94900000000001"/>
    <n v="0.56899999999999995"/>
    <n v="103"/>
    <n v="71"/>
    <s v="Normal"/>
    <n v="136"/>
    <n v="13.688000000000001"/>
    <x v="1"/>
  </r>
  <r>
    <s v="F"/>
    <x v="32"/>
    <n v="119.517"/>
    <n v="1.895"/>
    <n v="22.664999999999999"/>
    <n v="104.21"/>
    <s v="157/67"/>
    <n v="230"/>
    <n v="41"/>
    <n v="198"/>
    <s v="N"/>
    <s v="Y"/>
    <s v="High"/>
    <s v="Y"/>
    <n v="189.47900000000001"/>
    <n v="0.55000000000000004"/>
    <n v="157"/>
    <n v="67"/>
    <s v="Hypertension Stage 2"/>
    <n v="159"/>
    <n v="18.983000000000001"/>
    <x v="1"/>
  </r>
  <r>
    <s v="F"/>
    <x v="12"/>
    <n v="86.203999999999994"/>
    <n v="1.909"/>
    <m/>
    <n v="112.36"/>
    <s v="141/118"/>
    <n v="127"/>
    <n v="38"/>
    <n v="85"/>
    <s v="N"/>
    <s v="N"/>
    <s v="Low"/>
    <s v="Y"/>
    <n v="190.85300000000001"/>
    <n v="0.58899999999999997"/>
    <n v="141"/>
    <n v="118"/>
    <s v="Hypertension Stage 2"/>
    <n v="59"/>
    <n v="16.785"/>
    <x v="1"/>
  </r>
  <r>
    <s v="F"/>
    <x v="21"/>
    <n v="101.874"/>
    <m/>
    <n v="18.507999999999999"/>
    <n v="93.102999999999994"/>
    <s v="94/67"/>
    <n v="138"/>
    <n v="51"/>
    <n v="180"/>
    <s v="Y"/>
    <s v="Y"/>
    <s v="High"/>
    <s v="Y"/>
    <m/>
    <n v="0.496"/>
    <m/>
    <n v="67"/>
    <s v="Normal"/>
    <n v="57"/>
    <n v="13.162000000000001"/>
    <x v="0"/>
  </r>
  <r>
    <s v="F"/>
    <x v="55"/>
    <n v="85.659000000000006"/>
    <n v="1.8029999999999999"/>
    <n v="32.454000000000001"/>
    <n v="107.746"/>
    <s v="156/118"/>
    <n v="213"/>
    <n v="66"/>
    <n v="133"/>
    <s v="N"/>
    <s v="Y"/>
    <s v="Low"/>
    <s v="Y"/>
    <n v="180.31200000000001"/>
    <n v="0.59799999999999998"/>
    <n v="156"/>
    <n v="118"/>
    <s v="Hypertension Stage 2"/>
    <n v="117"/>
    <n v="20.550999999999998"/>
    <x v="0"/>
  </r>
  <r>
    <s v="M"/>
    <x v="55"/>
    <n v="114.55500000000001"/>
    <n v="1.8759999999999999"/>
    <n v="35.426000000000002"/>
    <n v="97.783000000000001"/>
    <s v="101/60"/>
    <n v="224"/>
    <n v="54"/>
    <n v="125"/>
    <s v="N"/>
    <s v="Y"/>
    <s v="Moderate"/>
    <s v="N"/>
    <n v="187.64599999999999"/>
    <n v="0.52100000000000002"/>
    <n v="101"/>
    <n v="60"/>
    <s v="Normal"/>
    <m/>
    <n v="18.614999999999998"/>
    <x v="0"/>
  </r>
  <r>
    <s v="F"/>
    <x v="10"/>
    <n v="94.534000000000006"/>
    <n v="1.5129999999999999"/>
    <n v="25.206"/>
    <n v="93.727000000000004"/>
    <s v="138/65"/>
    <n v="127"/>
    <n v="88"/>
    <n v="112"/>
    <s v="N"/>
    <s v="N"/>
    <s v="Moderate"/>
    <s v="Y"/>
    <n v="151.303"/>
    <n v="0.61899999999999999"/>
    <n v="138"/>
    <n v="65"/>
    <s v="Hypertension Stage 1"/>
    <n v="9"/>
    <n v="14.481"/>
    <x v="0"/>
  </r>
  <r>
    <s v="F"/>
    <x v="28"/>
    <n v="88.475999999999999"/>
    <n v="1.9430000000000001"/>
    <n v="30.212"/>
    <n v="81.132000000000005"/>
    <s v="99/99"/>
    <n v="257"/>
    <n v="58"/>
    <n v="103"/>
    <s v="N"/>
    <s v="Y"/>
    <s v="Moderate"/>
    <s v="Y"/>
    <n v="194.26400000000001"/>
    <n v="0.41799999999999998"/>
    <n v="99"/>
    <n v="99"/>
    <s v="Hypertension Stage 2"/>
    <n v="169"/>
    <n v="18.132000000000001"/>
    <x v="2"/>
  </r>
  <r>
    <s v="M"/>
    <x v="36"/>
    <n v="73.667000000000002"/>
    <n v="1.946"/>
    <n v="29.553999999999998"/>
    <n v="100.702"/>
    <s v="136/74"/>
    <n v="132"/>
    <n v="38"/>
    <n v="148"/>
    <s v="Y"/>
    <s v="Y"/>
    <s v="High"/>
    <s v="Y"/>
    <n v="194.55600000000001"/>
    <n v="0.51800000000000002"/>
    <n v="136"/>
    <n v="74"/>
    <s v="Hypertension Stage 1"/>
    <n v="64"/>
    <n v="17.350999999999999"/>
    <x v="0"/>
  </r>
  <r>
    <s v="M"/>
    <x v="4"/>
    <n v="68.584000000000003"/>
    <n v="1.7849999999999999"/>
    <n v="23.355"/>
    <n v="88.625"/>
    <s v="143/65"/>
    <n v="127"/>
    <n v="57"/>
    <n v="113"/>
    <s v="Y"/>
    <s v="Y"/>
    <s v="Low"/>
    <s v="N"/>
    <n v="178.49100000000001"/>
    <n v="0.497"/>
    <n v="143"/>
    <n v="65"/>
    <s v="Hypertension Stage 2"/>
    <n v="40"/>
    <n v="16.361000000000001"/>
    <x v="0"/>
  </r>
  <r>
    <s v="M"/>
    <x v="2"/>
    <n v="112.30200000000001"/>
    <n v="1.8220000000000001"/>
    <n v="26.527999999999999"/>
    <n v="79.536000000000001"/>
    <s v="150/100"/>
    <m/>
    <n v="75"/>
    <n v="76"/>
    <s v="N"/>
    <s v="N"/>
    <s v="Moderate"/>
    <s v="Y"/>
    <n v="182.22200000000001"/>
    <n v="0.436"/>
    <n v="150"/>
    <n v="100"/>
    <s v="Hypertension Stage 2"/>
    <n v="187"/>
    <n v="18.646000000000001"/>
    <x v="2"/>
  </r>
  <r>
    <s v="F"/>
    <x v="2"/>
    <n v="54.496000000000002"/>
    <n v="1.8360000000000001"/>
    <n v="30.847000000000001"/>
    <n v="118.374"/>
    <s v="92/100"/>
    <n v="185"/>
    <n v="79"/>
    <m/>
    <s v="N"/>
    <s v="N"/>
    <s v="Moderate"/>
    <s v="N"/>
    <n v="183.59700000000001"/>
    <n v="0.64500000000000002"/>
    <n v="92"/>
    <n v="100"/>
    <s v="Hypertension Stage 2"/>
    <n v="76"/>
    <n v="14.468999999999999"/>
    <x v="0"/>
  </r>
  <r>
    <s v="M"/>
    <x v="11"/>
    <n v="63.656999999999996"/>
    <n v="1.9790000000000001"/>
    <n v="38.796999999999997"/>
    <n v="105.43300000000001"/>
    <s v="147/90"/>
    <n v="213"/>
    <n v="34"/>
    <n v="138"/>
    <s v="N"/>
    <s v="Y"/>
    <s v="Moderate"/>
    <s v="N"/>
    <n v="197.91499999999999"/>
    <n v="0.53300000000000003"/>
    <n v="147"/>
    <n v="90"/>
    <s v="Hypertension Stage 2"/>
    <n v="149"/>
    <m/>
    <x v="2"/>
  </r>
  <r>
    <s v="F"/>
    <x v="18"/>
    <n v="55.924999999999997"/>
    <n v="1.506"/>
    <n v="20.962"/>
    <n v="109.86199999999999"/>
    <s v="128/101"/>
    <n v="117"/>
    <n v="44"/>
    <n v="77"/>
    <s v="Y"/>
    <s v="Y"/>
    <s v="High"/>
    <s v="Y"/>
    <n v="150.608"/>
    <n v="0.72899999999999998"/>
    <m/>
    <n v="101"/>
    <s v="Hypertension Stage 2"/>
    <n v="43"/>
    <n v="14.932"/>
    <x v="0"/>
  </r>
  <r>
    <s v="F"/>
    <x v="43"/>
    <n v="65.882999999999996"/>
    <n v="1.7410000000000001"/>
    <n v="37.06"/>
    <n v="107.392"/>
    <s v="163/61"/>
    <n v="229"/>
    <n v="34"/>
    <n v="89"/>
    <s v="Y"/>
    <s v="Y"/>
    <s v="High"/>
    <s v="N"/>
    <n v="174.05199999999999"/>
    <n v="0.61699999999999999"/>
    <n v="163"/>
    <n v="61"/>
    <s v="Hypertension Stage 2"/>
    <n v="165"/>
    <n v="22.141999999999999"/>
    <x v="1"/>
  </r>
  <r>
    <s v="M"/>
    <x v="2"/>
    <n v="70.34"/>
    <n v="1.6990000000000001"/>
    <n v="35.125999999999998"/>
    <n v="78.756"/>
    <s v="150/108"/>
    <n v="264"/>
    <n v="87"/>
    <n v="159"/>
    <s v="N"/>
    <s v="Y"/>
    <s v="Low"/>
    <s v="Y"/>
    <n v="169.876"/>
    <n v="0.46400000000000002"/>
    <n v="150"/>
    <n v="108"/>
    <s v="Hypertension Stage 2"/>
    <n v="147"/>
    <n v="21.805"/>
    <x v="0"/>
  </r>
  <r>
    <s v="F"/>
    <x v="43"/>
    <n v="94.236999999999995"/>
    <n v="1.837"/>
    <n v="19.024000000000001"/>
    <n v="118.386"/>
    <s v="175/105"/>
    <n v="290"/>
    <n v="66"/>
    <n v="155"/>
    <s v="N"/>
    <s v="N"/>
    <s v="Moderate"/>
    <s v="Y"/>
    <n v="183.68299999999999"/>
    <n v="0.64500000000000002"/>
    <n v="175"/>
    <n v="105"/>
    <s v="Hypertension Stage 2"/>
    <n v="194"/>
    <n v="18.355"/>
    <x v="0"/>
  </r>
  <r>
    <s v="F"/>
    <x v="46"/>
    <n v="73.73"/>
    <n v="1.6910000000000001"/>
    <n v="22.972000000000001"/>
    <n v="116.24299999999999"/>
    <s v="114/63"/>
    <n v="285"/>
    <n v="76"/>
    <n v="131"/>
    <s v="N"/>
    <s v="N"/>
    <s v="Low"/>
    <s v="Y"/>
    <n v="169.065"/>
    <n v="0.68799999999999994"/>
    <n v="114"/>
    <n v="63"/>
    <s v="Normal"/>
    <n v="179"/>
    <n v="15.994"/>
    <x v="0"/>
  </r>
  <r>
    <s v="M"/>
    <x v="1"/>
    <m/>
    <m/>
    <n v="27.923999999999999"/>
    <n v="88.421000000000006"/>
    <s v="164/118"/>
    <m/>
    <n v="63"/>
    <n v="172"/>
    <s v="N"/>
    <s v="Y"/>
    <s v="High"/>
    <s v="Y"/>
    <n v="178.46100000000001"/>
    <n v="0.495"/>
    <n v="164"/>
    <m/>
    <s v="Hypertension Stage 2"/>
    <n v="157"/>
    <n v="20.785"/>
    <x v="1"/>
  </r>
  <r>
    <s v="M"/>
    <x v="32"/>
    <n v="58.82"/>
    <n v="1.92"/>
    <n v="21.324000000000002"/>
    <n v="86.471000000000004"/>
    <s v="94/77"/>
    <n v="193"/>
    <n v="83"/>
    <n v="172"/>
    <s v="N"/>
    <s v="Y"/>
    <s v="Low"/>
    <s v="N"/>
    <n v="192.04400000000001"/>
    <n v="0.45"/>
    <n v="94"/>
    <n v="77"/>
    <s v="Normal"/>
    <n v="80"/>
    <n v="14.824999999999999"/>
    <x v="0"/>
  </r>
  <r>
    <s v="F"/>
    <x v="37"/>
    <n v="88.953999999999994"/>
    <n v="1.877"/>
    <n v="32.024999999999999"/>
    <n v="74.763999999999996"/>
    <s v="139/98"/>
    <n v="268"/>
    <n v="54"/>
    <n v="96"/>
    <s v="N"/>
    <s v="N"/>
    <s v="High"/>
    <s v="Y"/>
    <n v="187.74799999999999"/>
    <m/>
    <n v="139"/>
    <m/>
    <s v="Hypertension Stage 1"/>
    <n v="184"/>
    <n v="18.715"/>
    <x v="1"/>
  </r>
  <r>
    <s v="F"/>
    <x v="45"/>
    <n v="87.152000000000001"/>
    <m/>
    <n v="26.512"/>
    <n v="80.593000000000004"/>
    <s v="99/77"/>
    <n v="247"/>
    <n v="62"/>
    <n v="96"/>
    <s v="Y"/>
    <s v="Y"/>
    <s v="High"/>
    <s v="N"/>
    <n v="178.14"/>
    <n v="0.45200000000000001"/>
    <n v="99"/>
    <n v="77"/>
    <s v="Normal"/>
    <n v="155"/>
    <n v="17.192"/>
    <x v="0"/>
  </r>
  <r>
    <s v="M"/>
    <x v="19"/>
    <m/>
    <n v="1.5629999999999999"/>
    <n v="19.096"/>
    <m/>
    <s v="126/84"/>
    <n v="265"/>
    <n v="39"/>
    <n v="171"/>
    <s v="Y"/>
    <s v="Y"/>
    <s v="High"/>
    <s v="Y"/>
    <n v="156.30099999999999"/>
    <n v="0.60299999999999998"/>
    <n v="126"/>
    <n v="84"/>
    <s v="Hypertension Stage 1"/>
    <n v="196"/>
    <n v="17.419"/>
    <x v="2"/>
  </r>
  <r>
    <s v="M"/>
    <x v="35"/>
    <n v="71.846999999999994"/>
    <n v="1.9359999999999999"/>
    <n v="19.053000000000001"/>
    <n v="117.693"/>
    <s v="178/63"/>
    <n v="201"/>
    <n v="65"/>
    <n v="142"/>
    <s v="Y"/>
    <s v="N"/>
    <s v="Low"/>
    <s v="Y"/>
    <n v="193.631"/>
    <m/>
    <n v="178"/>
    <n v="63"/>
    <s v="Hypertension Stage 2"/>
    <n v="106"/>
    <n v="16.731000000000002"/>
    <x v="2"/>
  </r>
  <r>
    <s v="F"/>
    <x v="31"/>
    <n v="98.480999999999995"/>
    <n v="1.798"/>
    <n v="25.846"/>
    <n v="77.537000000000006"/>
    <s v="125/88"/>
    <n v="126"/>
    <n v="81"/>
    <n v="86"/>
    <s v="Y"/>
    <s v="Y"/>
    <s v="Low"/>
    <s v="Y"/>
    <n v="179.846"/>
    <n v="0.43099999999999999"/>
    <n v="125"/>
    <n v="88"/>
    <s v="Hypertension Stage 1"/>
    <n v="15"/>
    <n v="15.939"/>
    <x v="2"/>
  </r>
  <r>
    <s v="F"/>
    <x v="15"/>
    <n v="106.83199999999999"/>
    <n v="1.583"/>
    <n v="31.925999999999998"/>
    <n v="111.33199999999999"/>
    <s v="170/116"/>
    <n v="247"/>
    <n v="53"/>
    <n v="129"/>
    <s v="Y"/>
    <s v="N"/>
    <s v="Low"/>
    <s v="Y"/>
    <n v="158.30799999999999"/>
    <n v="0.70299999999999996"/>
    <n v="170"/>
    <n v="116"/>
    <s v="Hypertension Stage 2"/>
    <n v="164"/>
    <m/>
    <x v="0"/>
  </r>
  <r>
    <s v="F"/>
    <x v="39"/>
    <n v="115.14400000000001"/>
    <n v="1.5269999999999999"/>
    <n v="24.876999999999999"/>
    <n v="119.495"/>
    <s v="147/90"/>
    <n v="249"/>
    <n v="82"/>
    <n v="177"/>
    <s v="N"/>
    <s v="Y"/>
    <s v="Low"/>
    <s v="N"/>
    <n v="152.71299999999999"/>
    <n v="0.78200000000000003"/>
    <n v="147"/>
    <n v="90"/>
    <s v="Hypertension Stage 2"/>
    <n v="137"/>
    <n v="19.305"/>
    <x v="0"/>
  </r>
  <r>
    <s v="F"/>
    <x v="38"/>
    <n v="89.738"/>
    <n v="1.8720000000000001"/>
    <n v="25.768999999999998"/>
    <n v="110.836"/>
    <s v="147/108"/>
    <n v="216"/>
    <n v="63"/>
    <n v="108"/>
    <s v="N"/>
    <s v="N"/>
    <s v="Moderate"/>
    <s v="Y"/>
    <n v="187.16399999999999"/>
    <n v="0.59199999999999997"/>
    <n v="147"/>
    <n v="108"/>
    <s v="Hypertension Stage 2"/>
    <n v="123"/>
    <n v="16.824000000000002"/>
    <x v="2"/>
  </r>
  <r>
    <s v="F"/>
    <x v="53"/>
    <n v="53.847000000000001"/>
    <n v="1.8"/>
    <n v="30.696000000000002"/>
    <n v="103.182"/>
    <s v="141/108"/>
    <n v="252"/>
    <m/>
    <n v="98"/>
    <s v="Y"/>
    <s v="Y"/>
    <s v="Moderate"/>
    <s v="N"/>
    <n v="180.03299999999999"/>
    <n v="0.57299999999999995"/>
    <n v="141"/>
    <n v="108"/>
    <s v="Hypertension Stage 2"/>
    <n v="167"/>
    <n v="20.228999999999999"/>
    <x v="1"/>
  </r>
  <r>
    <s v="F"/>
    <x v="49"/>
    <n v="81.444999999999993"/>
    <n v="1.958"/>
    <n v="25.209"/>
    <n v="87.242000000000004"/>
    <s v="149/78"/>
    <n v="295"/>
    <n v="34"/>
    <m/>
    <s v="N"/>
    <s v="N"/>
    <s v="Moderate"/>
    <s v="N"/>
    <n v="195.81899999999999"/>
    <n v="0.44600000000000001"/>
    <n v="149"/>
    <n v="78"/>
    <s v="Hypertension Stage 2"/>
    <m/>
    <n v="18.391999999999999"/>
    <x v="2"/>
  </r>
  <r>
    <s v="M"/>
    <x v="2"/>
    <n v="83.971000000000004"/>
    <n v="1.925"/>
    <n v="27.524999999999999"/>
    <n v="91.305000000000007"/>
    <s v="91/98"/>
    <n v="150"/>
    <n v="62"/>
    <n v="173"/>
    <s v="N"/>
    <s v="Y"/>
    <s v="High"/>
    <s v="Y"/>
    <n v="192.535"/>
    <n v="0.47399999999999998"/>
    <n v="91"/>
    <n v="98"/>
    <s v="Hypertension Stage 2"/>
    <n v="58"/>
    <n v="15.055"/>
    <x v="1"/>
  </r>
  <r>
    <s v="F"/>
    <x v="18"/>
    <n v="115.794"/>
    <n v="1.641"/>
    <n v="20.564"/>
    <m/>
    <s v="99/73"/>
    <n v="219"/>
    <m/>
    <n v="115"/>
    <s v="Y"/>
    <s v="N"/>
    <s v="Low"/>
    <s v="N"/>
    <n v="164.126"/>
    <n v="0.63800000000000001"/>
    <n v="99"/>
    <n v="73"/>
    <s v="Normal"/>
    <n v="152"/>
    <n v="13.443"/>
    <x v="0"/>
  </r>
  <r>
    <s v="M"/>
    <x v="9"/>
    <n v="116.024"/>
    <n v="1.5389999999999999"/>
    <n v="23.917000000000002"/>
    <n v="72.846999999999994"/>
    <s v="161/92"/>
    <n v="208"/>
    <n v="69"/>
    <n v="84"/>
    <s v="N"/>
    <s v="Y"/>
    <s v="Moderate"/>
    <s v="Y"/>
    <n v="153.916"/>
    <n v="0.47299999999999998"/>
    <n v="161"/>
    <n v="92"/>
    <s v="Hypertension Stage 2"/>
    <n v="109"/>
    <n v="18.992999999999999"/>
    <x v="0"/>
  </r>
  <r>
    <s v="M"/>
    <x v="34"/>
    <m/>
    <n v="1.722"/>
    <n v="27.672000000000001"/>
    <n v="85.176000000000002"/>
    <s v="162/79"/>
    <n v="232"/>
    <n v="34"/>
    <n v="192"/>
    <s v="N"/>
    <s v="N"/>
    <s v="Moderate"/>
    <s v="N"/>
    <n v="172.17500000000001"/>
    <n v="0.495"/>
    <n v="162"/>
    <n v="79"/>
    <s v="Hypertension Stage 2"/>
    <n v="168"/>
    <n v="18.274000000000001"/>
    <x v="1"/>
  </r>
  <r>
    <s v="F"/>
    <x v="29"/>
    <n v="107.84099999999999"/>
    <n v="1.7030000000000001"/>
    <n v="37.747"/>
    <n v="88.787000000000006"/>
    <s v="132/63"/>
    <n v="214"/>
    <n v="73"/>
    <n v="118"/>
    <s v="Y"/>
    <s v="N"/>
    <s v="Moderate"/>
    <s v="Y"/>
    <n v="170.3"/>
    <n v="0.52100000000000002"/>
    <n v="132"/>
    <m/>
    <s v="Hypertension Stage 1"/>
    <n v="111"/>
    <m/>
    <x v="2"/>
  </r>
  <r>
    <s v="M"/>
    <x v="52"/>
    <n v="96.870999999999995"/>
    <n v="1.673"/>
    <n v="31.201000000000001"/>
    <n v="103.46299999999999"/>
    <s v="107/65"/>
    <n v="289"/>
    <n v="62"/>
    <m/>
    <s v="N"/>
    <s v="N"/>
    <s v="Low"/>
    <s v="N"/>
    <n v="167.34700000000001"/>
    <n v="0.61799999999999999"/>
    <n v="107"/>
    <n v="65"/>
    <s v="Normal"/>
    <n v="197"/>
    <n v="17.37"/>
    <x v="0"/>
  </r>
  <r>
    <s v="M"/>
    <x v="45"/>
    <n v="109.962"/>
    <n v="1.865"/>
    <n v="31.501999999999999"/>
    <n v="83.17"/>
    <s v="163/78"/>
    <n v="160"/>
    <n v="75"/>
    <n v="134"/>
    <s v="Y"/>
    <s v="N"/>
    <s v="Moderate"/>
    <s v="Y"/>
    <n v="186.494"/>
    <n v="0.44600000000000001"/>
    <n v="163"/>
    <n v="78"/>
    <s v="Hypertension Stage 2"/>
    <n v="55"/>
    <n v="17.649999999999999"/>
    <x v="1"/>
  </r>
  <r>
    <s v="F"/>
    <x v="2"/>
    <n v="112.52"/>
    <n v="1.52"/>
    <n v="21.988"/>
    <n v="106.12"/>
    <s v="117/96"/>
    <n v="228"/>
    <n v="40"/>
    <n v="91"/>
    <s v="N"/>
    <s v="Y"/>
    <s v="Low"/>
    <s v="Y"/>
    <n v="152.02000000000001"/>
    <n v="0.69799999999999995"/>
    <n v="117"/>
    <n v="96"/>
    <s v="Hypertension Stage 2"/>
    <n v="158"/>
    <n v="16.808"/>
    <x v="2"/>
  </r>
  <r>
    <s v="M"/>
    <x v="30"/>
    <n v="66.072999999999993"/>
    <n v="1.94"/>
    <n v="32.301000000000002"/>
    <n v="90.433000000000007"/>
    <s v="122/97"/>
    <n v="240"/>
    <n v="37"/>
    <n v="157"/>
    <s v="N"/>
    <s v="Y"/>
    <s v="Moderate"/>
    <s v="Y"/>
    <n v="193.988"/>
    <n v="0.46600000000000003"/>
    <n v="122"/>
    <n v="97"/>
    <s v="Hypertension Stage 2"/>
    <n v="173"/>
    <n v="19.36"/>
    <x v="1"/>
  </r>
  <r>
    <s v="F"/>
    <x v="51"/>
    <n v="56.363"/>
    <n v="1.6659999999999999"/>
    <n v="27.126999999999999"/>
    <n v="75.180999999999997"/>
    <s v="101/91"/>
    <n v="179"/>
    <n v="34"/>
    <n v="148"/>
    <s v="N"/>
    <s v="N"/>
    <s v="Low"/>
    <s v="Y"/>
    <n v="166.58600000000001"/>
    <n v="0.45100000000000001"/>
    <n v="101"/>
    <n v="91"/>
    <s v="Hypertension Stage 2"/>
    <n v="115"/>
    <n v="14.055"/>
    <x v="0"/>
  </r>
  <r>
    <s v="F"/>
    <x v="19"/>
    <n v="61.393000000000001"/>
    <n v="1.63"/>
    <n v="22.696000000000002"/>
    <n v="111.024"/>
    <s v="154/112"/>
    <n v="164"/>
    <n v="85"/>
    <n v="195"/>
    <s v="Y"/>
    <s v="N"/>
    <s v="Moderate"/>
    <s v="N"/>
    <n v="163.023"/>
    <n v="0.68100000000000005"/>
    <n v="154"/>
    <n v="112"/>
    <s v="Hypertension Stage 2"/>
    <n v="49"/>
    <n v="15.519"/>
    <x v="1"/>
  </r>
  <r>
    <s v="F"/>
    <x v="45"/>
    <n v="62.584000000000003"/>
    <n v="1.627"/>
    <n v="38.851999999999997"/>
    <n v="92.159000000000006"/>
    <s v="143/84"/>
    <n v="241"/>
    <n v="58"/>
    <n v="166"/>
    <s v="Y"/>
    <s v="Y"/>
    <s v="High"/>
    <s v="Y"/>
    <n v="162.655"/>
    <n v="0.56699999999999995"/>
    <n v="143"/>
    <n v="84"/>
    <s v="Hypertension Stage 1"/>
    <n v="153"/>
    <n v="21.74"/>
    <x v="1"/>
  </r>
  <r>
    <s v="M"/>
    <x v="20"/>
    <n v="119.054"/>
    <n v="1.5309999999999999"/>
    <n v="25.117000000000001"/>
    <n v="98.700999999999993"/>
    <s v="134/91"/>
    <n v="225"/>
    <n v="53"/>
    <n v="126"/>
    <s v="Y"/>
    <s v="Y"/>
    <s v="Moderate"/>
    <s v="N"/>
    <n v="153.05699999999999"/>
    <n v="0.64500000000000002"/>
    <m/>
    <n v="91"/>
    <s v="Hypertension Stage 1"/>
    <n v="142"/>
    <n v="18.222999999999999"/>
    <x v="2"/>
  </r>
  <r>
    <s v="M"/>
    <x v="42"/>
    <n v="108.191"/>
    <n v="1.8129999999999999"/>
    <n v="37.866"/>
    <n v="112.492"/>
    <s v="173/68"/>
    <n v="182"/>
    <n v="71"/>
    <n v="72"/>
    <s v="Y"/>
    <s v="N"/>
    <s v="Moderate"/>
    <s v="N"/>
    <n v="181.28700000000001"/>
    <n v="0.621"/>
    <n v="173"/>
    <n v="68"/>
    <s v="Hypertension Stage 2"/>
    <n v="81"/>
    <n v="19.863"/>
    <x v="1"/>
  </r>
  <r>
    <s v="F"/>
    <x v="26"/>
    <n v="101.614"/>
    <n v="1.5760000000000001"/>
    <n v="34.651000000000003"/>
    <n v="95.959000000000003"/>
    <s v="178/108"/>
    <n v="164"/>
    <n v="54"/>
    <n v="165"/>
    <s v="N"/>
    <s v="Y"/>
    <s v="High"/>
    <s v="N"/>
    <n v="157.64500000000001"/>
    <n v="0.60899999999999999"/>
    <n v="178"/>
    <n v="108"/>
    <s v="Hypertension Stage 2"/>
    <n v="80"/>
    <n v="21.11"/>
    <x v="2"/>
  </r>
  <r>
    <s v="F"/>
    <x v="26"/>
    <n v="94.435000000000002"/>
    <m/>
    <m/>
    <n v="98.32"/>
    <s v="99/64"/>
    <n v="292"/>
    <n v="37"/>
    <m/>
    <s v="N"/>
    <s v="N"/>
    <s v="High"/>
    <s v="N"/>
    <n v="166.85400000000001"/>
    <n v="0.58899999999999997"/>
    <m/>
    <n v="64"/>
    <s v="Normal"/>
    <n v="225"/>
    <n v="16.779"/>
    <x v="1"/>
  </r>
  <r>
    <s v="F"/>
    <x v="47"/>
    <n v="56.05"/>
    <n v="1.704"/>
    <n v="35.158999999999999"/>
    <n v="97.144999999999996"/>
    <s v="134/76"/>
    <n v="206"/>
    <n v="31"/>
    <n v="80"/>
    <s v="Y"/>
    <s v="N"/>
    <s v="Low"/>
    <s v="N"/>
    <n v="170.41499999999999"/>
    <n v="0.56999999999999995"/>
    <n v="134"/>
    <n v="76"/>
    <s v="Hypertension Stage 1"/>
    <n v="145"/>
    <n v="17.852"/>
    <x v="0"/>
  </r>
  <r>
    <s v="F"/>
    <x v="2"/>
    <n v="72.75"/>
    <n v="1.861"/>
    <n v="18.565000000000001"/>
    <n v="75.935000000000002"/>
    <s v="130/78"/>
    <n v="106"/>
    <n v="74"/>
    <n v="121"/>
    <s v="Y"/>
    <s v="N"/>
    <s v="Low"/>
    <s v="Y"/>
    <n v="186.12700000000001"/>
    <n v="0.40799999999999997"/>
    <n v="130"/>
    <n v="78"/>
    <s v="Hypertension Stage 1"/>
    <n v="2"/>
    <n v="12.333"/>
    <x v="2"/>
  </r>
  <r>
    <s v="M"/>
    <x v="25"/>
    <n v="87.994"/>
    <n v="1.583"/>
    <n v="18.669"/>
    <n v="116.67100000000001"/>
    <s v="159/60"/>
    <n v="280"/>
    <n v="46"/>
    <m/>
    <s v="Y"/>
    <s v="Y"/>
    <s v="Moderate"/>
    <s v="N"/>
    <n v="158.34200000000001"/>
    <n v="0.73699999999999999"/>
    <n v="159"/>
    <n v="60"/>
    <s v="Hypertension Stage 2"/>
    <n v="204"/>
    <n v="19.283999999999999"/>
    <x v="2"/>
  </r>
  <r>
    <s v="F"/>
    <x v="14"/>
    <n v="92.004999999999995"/>
    <n v="1.726"/>
    <m/>
    <n v="98.691999999999993"/>
    <s v="95/111"/>
    <n v="156"/>
    <n v="80"/>
    <n v="80"/>
    <s v="N"/>
    <s v="Y"/>
    <s v="High"/>
    <s v="N"/>
    <n v="172.602"/>
    <n v="0.57199999999999995"/>
    <n v="95"/>
    <n v="111"/>
    <s v="Hypertension Stage 2"/>
    <n v="46"/>
    <n v="14.316000000000001"/>
    <x v="2"/>
  </r>
  <r>
    <s v="F"/>
    <x v="14"/>
    <n v="66.656999999999996"/>
    <n v="1.9359999999999999"/>
    <n v="31.658000000000001"/>
    <n v="77.477000000000004"/>
    <s v="148/93"/>
    <n v="251"/>
    <n v="48"/>
    <n v="144"/>
    <s v="N"/>
    <s v="N"/>
    <s v="Moderate"/>
    <s v="N"/>
    <n v="193.578"/>
    <n v="0.4"/>
    <n v="148"/>
    <n v="93"/>
    <s v="Hypertension Stage 2"/>
    <n v="173"/>
    <n v="18.751999999999999"/>
    <x v="1"/>
  </r>
  <r>
    <s v="F"/>
    <x v="41"/>
    <n v="113.375"/>
    <n v="1.8420000000000001"/>
    <n v="28.870999999999999"/>
    <n v="81.93"/>
    <s v="177/67"/>
    <n v="255"/>
    <n v="76"/>
    <n v="94"/>
    <s v="Y"/>
    <s v="N"/>
    <s v="Low"/>
    <s v="N"/>
    <m/>
    <n v="0.44500000000000001"/>
    <n v="177"/>
    <n v="67"/>
    <s v="Hypertension Stage 2"/>
    <n v="149"/>
    <n v="19.724"/>
    <x v="1"/>
  </r>
  <r>
    <s v="F"/>
    <x v="41"/>
    <n v="114.687"/>
    <n v="1.611"/>
    <n v="39.601999999999997"/>
    <n v="73.828999999999994"/>
    <s v="143/62"/>
    <n v="137"/>
    <n v="48"/>
    <n v="123"/>
    <s v="Y"/>
    <s v="N"/>
    <s v="Low"/>
    <s v="N"/>
    <n v="161.12299999999999"/>
    <n v="0.45800000000000002"/>
    <n v="143"/>
    <n v="62"/>
    <s v="Hypertension Stage 2"/>
    <n v="59"/>
    <n v="17.809999999999999"/>
    <x v="1"/>
  </r>
  <r>
    <s v="M"/>
    <x v="43"/>
    <n v="59.59"/>
    <n v="1.5780000000000001"/>
    <n v="25.876999999999999"/>
    <n v="90.146000000000001"/>
    <s v="93/79"/>
    <n v="239"/>
    <n v="78"/>
    <n v="70"/>
    <s v="N"/>
    <s v="N"/>
    <s v="Moderate"/>
    <s v="Y"/>
    <n v="157.827"/>
    <n v="0.57099999999999995"/>
    <n v="93"/>
    <n v="79"/>
    <s v="Normal"/>
    <n v="131"/>
    <n v="14.605"/>
    <x v="2"/>
  </r>
  <r>
    <s v="F"/>
    <x v="38"/>
    <n v="118.551"/>
    <n v="1.8740000000000001"/>
    <n v="34.009"/>
    <n v="95.67"/>
    <s v="133/110"/>
    <n v="116"/>
    <m/>
    <n v="138"/>
    <s v="Y"/>
    <s v="Y"/>
    <s v="Low"/>
    <s v="Y"/>
    <n v="187.40700000000001"/>
    <n v="0.51"/>
    <n v="133"/>
    <m/>
    <s v="Hypertension Stage 1"/>
    <n v="37"/>
    <n v="17.771999999999998"/>
    <x v="2"/>
  </r>
  <r>
    <s v="F"/>
    <x v="26"/>
    <n v="113.852"/>
    <n v="1.8979999999999999"/>
    <n v="27.341999999999999"/>
    <n v="98.588999999999999"/>
    <s v="139/72"/>
    <n v="228"/>
    <n v="83"/>
    <n v="189"/>
    <s v="Y"/>
    <s v="Y"/>
    <s v="High"/>
    <s v="N"/>
    <m/>
    <n v="0.51900000000000002"/>
    <n v="139"/>
    <n v="72"/>
    <s v="Hypertension Stage 1"/>
    <n v="115"/>
    <n v="18.978000000000002"/>
    <x v="2"/>
  </r>
  <r>
    <s v="F"/>
    <x v="12"/>
    <n v="80.778000000000006"/>
    <n v="1.514"/>
    <n v="39.4"/>
    <n v="83.332999999999998"/>
    <s v="147/107"/>
    <n v="202"/>
    <n v="48"/>
    <n v="119"/>
    <s v="Y"/>
    <s v="Y"/>
    <s v="Low"/>
    <s v="Y"/>
    <n v="151.35400000000001"/>
    <n v="0.55100000000000005"/>
    <n v="147"/>
    <n v="107"/>
    <s v="Hypertension Stage 2"/>
    <n v="124"/>
    <n v="21.27"/>
    <x v="1"/>
  </r>
  <r>
    <s v="F"/>
    <x v="40"/>
    <n v="80.209999999999994"/>
    <n v="1.5169999999999999"/>
    <n v="39.329000000000001"/>
    <n v="84.858999999999995"/>
    <s v="90/109"/>
    <n v="132"/>
    <m/>
    <n v="194"/>
    <s v="N"/>
    <s v="Y"/>
    <s v="High"/>
    <s v="N"/>
    <n v="151.70699999999999"/>
    <n v="0.55900000000000005"/>
    <n v="90"/>
    <n v="109"/>
    <s v="Hypertension Stage 2"/>
    <n v="62"/>
    <n v="17.006"/>
    <x v="1"/>
  </r>
  <r>
    <s v="F"/>
    <x v="53"/>
    <n v="99.355000000000004"/>
    <m/>
    <n v="38.600999999999999"/>
    <n v="106.727"/>
    <s v="169/119"/>
    <n v="261"/>
    <n v="43"/>
    <n v="169"/>
    <s v="Y"/>
    <s v="N"/>
    <s v="Moderate"/>
    <s v="Y"/>
    <n v="181.11199999999999"/>
    <n v="0.58899999999999997"/>
    <n v="169"/>
    <n v="119"/>
    <s v="Hypertension Stage 2"/>
    <n v="188"/>
    <n v="21.39"/>
    <x v="1"/>
  </r>
  <r>
    <s v="F"/>
    <x v="12"/>
    <n v="64.724000000000004"/>
    <n v="1.8440000000000001"/>
    <n v="25.879000000000001"/>
    <n v="87.762"/>
    <s v="149/82"/>
    <n v="108"/>
    <n v="50"/>
    <n v="92"/>
    <s v="Y"/>
    <s v="N"/>
    <s v="Moderate"/>
    <s v="N"/>
    <n v="184.44900000000001"/>
    <n v="0.47599999999999998"/>
    <n v="149"/>
    <n v="82"/>
    <s v="Hypertension Stage 1"/>
    <n v="28"/>
    <n v="14.786"/>
    <x v="1"/>
  </r>
  <r>
    <s v="M"/>
    <x v="55"/>
    <n v="61.716999999999999"/>
    <n v="1.7010000000000001"/>
    <n v="26.474"/>
    <n v="102.253"/>
    <s v="93/79"/>
    <n v="284"/>
    <n v="82"/>
    <n v="95"/>
    <s v="N"/>
    <s v="Y"/>
    <s v="Moderate"/>
    <s v="N"/>
    <n v="170.12"/>
    <n v="0.60099999999999998"/>
    <n v="93"/>
    <n v="79"/>
    <s v="Normal"/>
    <m/>
    <n v="17.625"/>
    <x v="2"/>
  </r>
  <r>
    <s v="F"/>
    <x v="9"/>
    <n v="110.67100000000001"/>
    <n v="1.853"/>
    <n v="33.140999999999998"/>
    <n v="113.437"/>
    <s v="102/71"/>
    <n v="136"/>
    <n v="62"/>
    <n v="181"/>
    <s v="N"/>
    <s v="N"/>
    <s v="Low"/>
    <s v="N"/>
    <n v="185.345"/>
    <n v="0.61199999999999999"/>
    <n v="102"/>
    <n v="71"/>
    <s v="Normal"/>
    <n v="44"/>
    <n v="14.448"/>
    <x v="0"/>
  </r>
  <r>
    <s v="F"/>
    <x v="52"/>
    <n v="102.85899999999999"/>
    <n v="1.593"/>
    <n v="38.125"/>
    <n v="73.057000000000002"/>
    <s v="125/94"/>
    <n v="126"/>
    <n v="33"/>
    <n v="102"/>
    <s v="Y"/>
    <s v="N"/>
    <s v="High"/>
    <s v="N"/>
    <n v="159.33099999999999"/>
    <n v="0.45900000000000002"/>
    <n v="125"/>
    <n v="94"/>
    <s v="Hypertension Stage 2"/>
    <n v="63"/>
    <n v="16.395"/>
    <x v="1"/>
  </r>
  <r>
    <s v="M"/>
    <x v="2"/>
    <n v="61.262"/>
    <n v="1.712"/>
    <n v="23.332999999999998"/>
    <n v="98.600999999999999"/>
    <s v="129/85"/>
    <n v="103"/>
    <n v="83"/>
    <n v="127"/>
    <s v="N"/>
    <s v="Y"/>
    <s v="Moderate"/>
    <s v="Y"/>
    <n v="171.21799999999999"/>
    <n v="0.57599999999999996"/>
    <n v="129"/>
    <n v="85"/>
    <s v="Hypertension Stage 1"/>
    <n v="-10"/>
    <n v="15.177"/>
    <x v="1"/>
  </r>
  <r>
    <s v="M"/>
    <x v="51"/>
    <n v="97.128"/>
    <n v="1.6619999999999999"/>
    <n v="20.533000000000001"/>
    <n v="99.930999999999997"/>
    <s v="143/91"/>
    <n v="260"/>
    <n v="60"/>
    <n v="105"/>
    <s v="N"/>
    <s v="N"/>
    <s v="Low"/>
    <s v="N"/>
    <n v="166.203"/>
    <n v="0.60099999999999998"/>
    <n v="143"/>
    <n v="91"/>
    <s v="Hypertension Stage 2"/>
    <n v="170"/>
    <n v="16.457000000000001"/>
    <x v="2"/>
  </r>
  <r>
    <s v="F"/>
    <x v="55"/>
    <n v="75.631"/>
    <n v="1.7749999999999999"/>
    <n v="31.672000000000001"/>
    <n v="113.36199999999999"/>
    <s v="104/113"/>
    <n v="278"/>
    <n v="89"/>
    <n v="191"/>
    <s v="Y"/>
    <s v="Y"/>
    <s v="High"/>
    <s v="N"/>
    <n v="177.47"/>
    <n v="0.63900000000000001"/>
    <n v="104"/>
    <n v="113"/>
    <s v="Hypertension Stage 2"/>
    <n v="159"/>
    <n v="19.094000000000001"/>
    <x v="2"/>
  </r>
  <r>
    <s v="F"/>
    <x v="4"/>
    <n v="76.506"/>
    <n v="1.5129999999999999"/>
    <n v="24.196999999999999"/>
    <n v="118.583"/>
    <s v="115/105"/>
    <m/>
    <n v="63"/>
    <n v="120"/>
    <s v="Y"/>
    <s v="N"/>
    <s v="Moderate"/>
    <s v="N"/>
    <n v="151.29599999999999"/>
    <n v="0.78400000000000003"/>
    <n v="115"/>
    <m/>
    <s v="Hypertension Stage 2"/>
    <n v="41"/>
    <n v="13.269"/>
    <x v="0"/>
  </r>
  <r>
    <s v="F"/>
    <x v="10"/>
    <n v="92.923000000000002"/>
    <n v="1.8420000000000001"/>
    <n v="33.116"/>
    <n v="106.315"/>
    <s v="101/91"/>
    <n v="158"/>
    <n v="71"/>
    <n v="76"/>
    <s v="N"/>
    <s v="Y"/>
    <s v="High"/>
    <s v="Y"/>
    <n v="184.172"/>
    <n v="0.57699999999999996"/>
    <n v="101"/>
    <n v="91"/>
    <s v="Hypertension Stage 2"/>
    <n v="57"/>
    <n v="16.832999999999998"/>
    <x v="0"/>
  </r>
  <r>
    <s v="F"/>
    <x v="41"/>
    <n v="97.58"/>
    <n v="1.5049999999999999"/>
    <n v="24.2"/>
    <n v="95.757999999999996"/>
    <s v="162/106"/>
    <n v="245"/>
    <n v="58"/>
    <n v="194"/>
    <s v="Y"/>
    <s v="N"/>
    <s v="High"/>
    <s v="Y"/>
    <m/>
    <n v="0.63600000000000001"/>
    <n v="162"/>
    <m/>
    <s v="Hypertension Stage 2"/>
    <n v="157"/>
    <n v="17.84"/>
    <x v="0"/>
  </r>
  <r>
    <s v="M"/>
    <x v="49"/>
    <n v="73.605999999999995"/>
    <n v="1.72"/>
    <n v="31.202999999999999"/>
    <n v="91.233999999999995"/>
    <s v="105/107"/>
    <n v="235"/>
    <n v="32"/>
    <n v="174"/>
    <s v="N"/>
    <s v="Y"/>
    <s v="Moderate"/>
    <s v="Y"/>
    <m/>
    <n v="0.53"/>
    <n v="105"/>
    <n v="107"/>
    <s v="Hypertension Stage 2"/>
    <n v="173"/>
    <n v="18.190999999999999"/>
    <x v="1"/>
  </r>
  <r>
    <s v="M"/>
    <x v="46"/>
    <m/>
    <n v="1.851"/>
    <n v="20.474"/>
    <n v="97.393000000000001"/>
    <s v="160/99"/>
    <n v="279"/>
    <n v="47"/>
    <n v="88"/>
    <s v="Y"/>
    <s v="N"/>
    <s v="High"/>
    <s v="Y"/>
    <n v="185.11699999999999"/>
    <n v="0.52600000000000002"/>
    <n v="160"/>
    <n v="99"/>
    <s v="Hypertension Stage 2"/>
    <m/>
    <n v="17.675000000000001"/>
    <x v="0"/>
  </r>
  <r>
    <s v="M"/>
    <x v="2"/>
    <n v="69.944999999999993"/>
    <n v="1.6479999999999999"/>
    <n v="38.807000000000002"/>
    <n v="79.69"/>
    <s v="139/79"/>
    <n v="123"/>
    <n v="42"/>
    <n v="92"/>
    <s v="Y"/>
    <s v="Y"/>
    <s v="Low"/>
    <s v="N"/>
    <n v="164.77"/>
    <n v="0.48399999999999999"/>
    <n v="139"/>
    <n v="79"/>
    <s v="Hypertension Stage 1"/>
    <n v="51"/>
    <n v="19.170999999999999"/>
    <x v="1"/>
  </r>
  <r>
    <s v="F"/>
    <x v="29"/>
    <n v="55.317999999999998"/>
    <n v="1.99"/>
    <n v="27.309000000000001"/>
    <n v="75.926000000000002"/>
    <s v="170/100"/>
    <n v="243"/>
    <n v="63"/>
    <n v="143"/>
    <s v="N"/>
    <s v="Y"/>
    <s v="Low"/>
    <s v="Y"/>
    <n v="198.96600000000001"/>
    <n v="0.38200000000000001"/>
    <n v="170"/>
    <n v="100"/>
    <s v="Hypertension Stage 2"/>
    <n v="150"/>
    <n v="20.821999999999999"/>
    <x v="1"/>
  </r>
  <r>
    <s v="F"/>
    <x v="55"/>
    <n v="100.47499999999999"/>
    <n v="1.881"/>
    <n v="23.193999999999999"/>
    <n v="113.065"/>
    <s v="112/92"/>
    <m/>
    <n v="68"/>
    <n v="92"/>
    <s v="N"/>
    <s v="Y"/>
    <s v="High"/>
    <s v="N"/>
    <n v="188.11799999999999"/>
    <n v="0.60099999999999998"/>
    <m/>
    <n v="92"/>
    <s v="Hypertension Stage 2"/>
    <n v="141"/>
    <n v="17.018999999999998"/>
    <x v="2"/>
  </r>
  <r>
    <s v="M"/>
    <x v="21"/>
    <n v="87.025000000000006"/>
    <n v="1.9550000000000001"/>
    <n v="27.308"/>
    <n v="86.331000000000003"/>
    <s v="104/95"/>
    <n v="251"/>
    <n v="61"/>
    <n v="177"/>
    <s v="N"/>
    <s v="N"/>
    <s v="High"/>
    <s v="N"/>
    <n v="195.54900000000001"/>
    <n v="0.441"/>
    <n v="104"/>
    <n v="95"/>
    <s v="Hypertension Stage 2"/>
    <n v="160"/>
    <n v="15.682"/>
    <x v="0"/>
  </r>
  <r>
    <s v="M"/>
    <x v="18"/>
    <n v="89.924000000000007"/>
    <n v="1.5029999999999999"/>
    <n v="35.781999999999996"/>
    <n v="77.900000000000006"/>
    <s v="92/66"/>
    <n v="193"/>
    <n v="64"/>
    <n v="129"/>
    <s v="Y"/>
    <s v="N"/>
    <s v="High"/>
    <s v="N"/>
    <n v="150.28299999999999"/>
    <n v="0.51800000000000002"/>
    <n v="92"/>
    <n v="66"/>
    <s v="Normal"/>
    <n v="99"/>
    <n v="15.616"/>
    <x v="2"/>
  </r>
  <r>
    <s v="M"/>
    <x v="31"/>
    <n v="55.92"/>
    <n v="1.7330000000000001"/>
    <n v="19.805"/>
    <n v="106.169"/>
    <s v="159/75"/>
    <n v="170"/>
    <n v="44"/>
    <n v="190"/>
    <s v="N"/>
    <s v="N"/>
    <s v="Moderate"/>
    <s v="N"/>
    <n v="173.267"/>
    <n v="0.61299999999999999"/>
    <n v="159"/>
    <n v="75"/>
    <s v="Hypertension Stage 2"/>
    <n v="96"/>
    <n v="15.311"/>
    <x v="1"/>
  </r>
  <r>
    <s v="M"/>
    <x v="52"/>
    <n v="56.610999999999997"/>
    <m/>
    <n v="19.66"/>
    <n v="113.152"/>
    <s v="115/70"/>
    <n v="202"/>
    <n v="46"/>
    <n v="175"/>
    <s v="N"/>
    <s v="N"/>
    <s v="High"/>
    <s v="N"/>
    <n v="161.63200000000001"/>
    <n v="0.7"/>
    <n v="115"/>
    <n v="70"/>
    <s v="Normal"/>
    <n v="126"/>
    <n v="13.722"/>
    <x v="2"/>
  </r>
  <r>
    <s v="M"/>
    <x v="29"/>
    <n v="81.135999999999996"/>
    <n v="1.67"/>
    <n v="34.347000000000001"/>
    <n v="104.875"/>
    <s v="166/80"/>
    <n v="246"/>
    <n v="49"/>
    <n v="144"/>
    <s v="Y"/>
    <s v="Y"/>
    <s v="Low"/>
    <s v="N"/>
    <n v="166.98400000000001"/>
    <n v="0.628"/>
    <n v="166"/>
    <n v="80"/>
    <s v="Hypertension Stage 1"/>
    <n v="167"/>
    <n v="22.088999999999999"/>
    <x v="1"/>
  </r>
  <r>
    <s v="F"/>
    <x v="22"/>
    <n v="63.779000000000003"/>
    <n v="1.502"/>
    <n v="34.183999999999997"/>
    <n v="113.836"/>
    <s v="173/73"/>
    <n v="241"/>
    <n v="33"/>
    <n v="71"/>
    <s v="Y"/>
    <s v="Y"/>
    <s v="Moderate"/>
    <s v="N"/>
    <n v="150.15799999999999"/>
    <n v="0.75800000000000001"/>
    <n v="173"/>
    <n v="73"/>
    <s v="Hypertension Stage 2"/>
    <m/>
    <n v="22.306999999999999"/>
    <x v="1"/>
  </r>
  <r>
    <s v="M"/>
    <x v="5"/>
    <n v="78.203999999999994"/>
    <n v="1.5940000000000001"/>
    <n v="37.316000000000003"/>
    <n v="85.284000000000006"/>
    <s v="101/83"/>
    <n v="273"/>
    <n v="35"/>
    <n v="114"/>
    <s v="Y"/>
    <s v="N"/>
    <s v="Moderate"/>
    <s v="Y"/>
    <n v="159.42699999999999"/>
    <n v="0.53500000000000003"/>
    <n v="101"/>
    <n v="83"/>
    <s v="Hypertension Stage 1"/>
    <n v="208"/>
    <n v="17.972999999999999"/>
    <x v="2"/>
  </r>
  <r>
    <s v="F"/>
    <x v="12"/>
    <n v="83.658000000000001"/>
    <m/>
    <n v="37.006999999999998"/>
    <n v="75.284999999999997"/>
    <s v="147/110"/>
    <n v="110"/>
    <n v="83"/>
    <n v="117"/>
    <s v="N"/>
    <s v="N"/>
    <s v="High"/>
    <s v="N"/>
    <n v="158.68299999999999"/>
    <n v="0.47399999999999998"/>
    <n v="147"/>
    <n v="110"/>
    <s v="Hypertension Stage 2"/>
    <n v="-3"/>
    <n v="16.951000000000001"/>
    <x v="0"/>
  </r>
  <r>
    <s v="M"/>
    <x v="2"/>
    <n v="107.13500000000001"/>
    <n v="1.7210000000000001"/>
    <n v="25.052"/>
    <n v="95.3"/>
    <s v="114/97"/>
    <n v="235"/>
    <n v="74"/>
    <n v="77"/>
    <s v="N"/>
    <s v="Y"/>
    <s v="Moderate"/>
    <s v="N"/>
    <n v="172.05500000000001"/>
    <n v="0.55400000000000005"/>
    <m/>
    <n v="97"/>
    <s v="Hypertension Stage 2"/>
    <n v="131"/>
    <n v="17.41"/>
    <x v="0"/>
  </r>
  <r>
    <s v="F"/>
    <x v="22"/>
    <n v="118.98"/>
    <n v="1.82"/>
    <n v="34.694000000000003"/>
    <n v="104.985"/>
    <s v="156/99"/>
    <n v="100"/>
    <n v="34"/>
    <n v="80"/>
    <s v="Y"/>
    <s v="N"/>
    <s v="Low"/>
    <s v="Y"/>
    <n v="181.95500000000001"/>
    <n v="0.57699999999999996"/>
    <n v="156"/>
    <n v="99"/>
    <s v="Hypertension Stage 2"/>
    <n v="36"/>
    <n v="16.739000000000001"/>
    <x v="2"/>
  </r>
  <r>
    <s v="F"/>
    <x v="31"/>
    <m/>
    <n v="1.58"/>
    <n v="21.617999999999999"/>
    <n v="104.07599999999999"/>
    <s v="122/115"/>
    <n v="117"/>
    <n v="51"/>
    <n v="97"/>
    <s v="Y"/>
    <s v="N"/>
    <s v="Moderate"/>
    <s v="Y"/>
    <n v="157.95500000000001"/>
    <n v="0.65900000000000003"/>
    <n v="122"/>
    <n v="115"/>
    <s v="Hypertension Stage 2"/>
    <n v="36"/>
    <n v="12.763999999999999"/>
    <x v="0"/>
  </r>
  <r>
    <s v="M"/>
    <x v="39"/>
    <n v="84.010999999999996"/>
    <n v="1.74"/>
    <n v="26.893999999999998"/>
    <n v="78.637"/>
    <s v="97/113"/>
    <n v="152"/>
    <n v="37"/>
    <n v="133"/>
    <s v="N"/>
    <s v="Y"/>
    <s v="Moderate"/>
    <s v="N"/>
    <n v="173.99299999999999"/>
    <n v="0.45200000000000001"/>
    <n v="97"/>
    <n v="113"/>
    <s v="Hypertension Stage 2"/>
    <n v="85"/>
    <n v="15.269"/>
    <x v="0"/>
  </r>
  <r>
    <s v="M"/>
    <x v="19"/>
    <m/>
    <n v="1.7769999999999999"/>
    <n v="38.959000000000003"/>
    <n v="98.105000000000004"/>
    <s v="91/107"/>
    <n v="134"/>
    <m/>
    <n v="177"/>
    <s v="N"/>
    <s v="N"/>
    <s v="High"/>
    <s v="N"/>
    <n v="177.654"/>
    <n v="0.55200000000000005"/>
    <n v="91"/>
    <n v="107"/>
    <s v="Hypertension Stage 2"/>
    <n v="23"/>
    <n v="15.022"/>
    <x v="0"/>
  </r>
  <r>
    <s v="F"/>
    <x v="22"/>
    <n v="61.011000000000003"/>
    <n v="1.613"/>
    <n v="21.335999999999999"/>
    <n v="83.373000000000005"/>
    <s v="176/100"/>
    <n v="147"/>
    <n v="46"/>
    <n v="127"/>
    <s v="N"/>
    <s v="Y"/>
    <s v="High"/>
    <s v="N"/>
    <n v="161.321"/>
    <n v="0.51700000000000002"/>
    <n v="176"/>
    <n v="100"/>
    <s v="Hypertension Stage 2"/>
    <n v="71"/>
    <n v="18.007000000000001"/>
    <x v="0"/>
  </r>
  <r>
    <s v="F"/>
    <x v="40"/>
    <m/>
    <n v="1.8939999999999999"/>
    <n v="27.587"/>
    <n v="93.554000000000002"/>
    <s v="127/66"/>
    <n v="179"/>
    <n v="40"/>
    <n v="70"/>
    <s v="N"/>
    <s v="N"/>
    <s v="High"/>
    <s v="N"/>
    <n v="189.405"/>
    <n v="0.49399999999999999"/>
    <n v="127"/>
    <n v="66"/>
    <s v="Elevated"/>
    <n v="109"/>
    <n v="15.446999999999999"/>
    <x v="2"/>
  </r>
  <r>
    <s v="F"/>
    <x v="44"/>
    <n v="108.428"/>
    <n v="1.579"/>
    <n v="30.689"/>
    <n v="75.798000000000002"/>
    <s v="122/112"/>
    <n v="159"/>
    <n v="89"/>
    <n v="137"/>
    <s v="N"/>
    <s v="Y"/>
    <s v="Moderate"/>
    <s v="N"/>
    <n v="157.94"/>
    <n v="0.48"/>
    <n v="122"/>
    <n v="112"/>
    <s v="Hypertension Stage 2"/>
    <n v="40"/>
    <n v="17.417999999999999"/>
    <x v="1"/>
  </r>
  <r>
    <s v="F"/>
    <x v="31"/>
    <n v="119.571"/>
    <n v="1.764"/>
    <n v="29.949000000000002"/>
    <n v="97.328999999999994"/>
    <s v="161/85"/>
    <n v="244"/>
    <n v="46"/>
    <n v="155"/>
    <s v="Y"/>
    <s v="Y"/>
    <s v="Moderate"/>
    <s v="Y"/>
    <n v="176.411"/>
    <n v="0.55200000000000005"/>
    <n v="161"/>
    <n v="85"/>
    <s v="Hypertension Stage 1"/>
    <n v="168"/>
    <n v="20.92"/>
    <x v="0"/>
  </r>
  <r>
    <s v="M"/>
    <x v="28"/>
    <n v="101.49299999999999"/>
    <n v="1.8340000000000001"/>
    <n v="30.829000000000001"/>
    <n v="119.43600000000001"/>
    <s v="101/63"/>
    <n v="261"/>
    <n v="84"/>
    <n v="151"/>
    <s v="Y"/>
    <s v="Y"/>
    <s v="Moderate"/>
    <s v="Y"/>
    <n v="183.42599999999999"/>
    <n v="0.65100000000000002"/>
    <n v="101"/>
    <n v="63"/>
    <s v="Normal"/>
    <n v="147"/>
    <n v="18.436"/>
    <x v="1"/>
  </r>
  <r>
    <s v="F"/>
    <x v="25"/>
    <n v="85.436000000000007"/>
    <n v="1.8089999999999999"/>
    <n v="29.928000000000001"/>
    <n v="72.209999999999994"/>
    <s v="124/60"/>
    <n v="105"/>
    <n v="49"/>
    <n v="93"/>
    <s v="Y"/>
    <s v="Y"/>
    <s v="Moderate"/>
    <s v="N"/>
    <n v="180.94900000000001"/>
    <n v="0.39900000000000002"/>
    <n v="124"/>
    <n v="60"/>
    <s v="Elevated"/>
    <n v="26"/>
    <n v="16.286000000000001"/>
    <x v="2"/>
  </r>
  <r>
    <s v="M"/>
    <x v="48"/>
    <n v="71.018000000000001"/>
    <n v="1.8660000000000001"/>
    <n v="29.228999999999999"/>
    <n v="81.180999999999997"/>
    <s v="119/86"/>
    <n v="281"/>
    <n v="58"/>
    <n v="111"/>
    <s v="N"/>
    <s v="N"/>
    <s v="Low"/>
    <s v="Y"/>
    <n v="186.58"/>
    <n v="0.435"/>
    <n v="119"/>
    <n v="86"/>
    <s v="Hypertension Stage 1"/>
    <n v="193"/>
    <n v="17.416"/>
    <x v="1"/>
  </r>
  <r>
    <s v="M"/>
    <x v="32"/>
    <n v="88.176000000000002"/>
    <n v="1.73"/>
    <n v="32.064"/>
    <n v="108.771"/>
    <s v="157/65"/>
    <n v="253"/>
    <n v="79"/>
    <n v="168"/>
    <s v="Y"/>
    <s v="Y"/>
    <s v="Low"/>
    <s v="N"/>
    <n v="173.04400000000001"/>
    <n v="0.629"/>
    <n v="157"/>
    <n v="65"/>
    <s v="Hypertension Stage 2"/>
    <n v="144"/>
    <n v="21.323"/>
    <x v="0"/>
  </r>
  <r>
    <s v="F"/>
    <x v="43"/>
    <n v="89.625"/>
    <n v="1.6180000000000001"/>
    <n v="39.646000000000001"/>
    <n v="112.02500000000001"/>
    <s v="166/96"/>
    <n v="137"/>
    <n v="52"/>
    <n v="77"/>
    <s v="Y"/>
    <s v="Y"/>
    <s v="High"/>
    <s v="N"/>
    <n v="161.81"/>
    <n v="0.69199999999999995"/>
    <n v="166"/>
    <n v="96"/>
    <s v="Hypertension Stage 2"/>
    <n v="55"/>
    <n v="20.969000000000001"/>
    <x v="2"/>
  </r>
  <r>
    <s v="F"/>
    <x v="30"/>
    <n v="72.513999999999996"/>
    <n v="1.8089999999999999"/>
    <n v="25.928000000000001"/>
    <n v="90.137"/>
    <s v="176/92"/>
    <n v="251"/>
    <n v="88"/>
    <n v="125"/>
    <s v="Y"/>
    <s v="Y"/>
    <s v="High"/>
    <s v="N"/>
    <n v="180.946"/>
    <n v="0.498"/>
    <n v="176"/>
    <n v="92"/>
    <s v="Hypertension Stage 2"/>
    <n v="133"/>
    <n v="21.006"/>
    <x v="0"/>
  </r>
  <r>
    <s v="M"/>
    <x v="52"/>
    <n v="59.067999999999998"/>
    <n v="1.556"/>
    <n v="29.125"/>
    <n v="71.025999999999996"/>
    <s v="162/80"/>
    <n v="238"/>
    <m/>
    <n v="119"/>
    <s v="Y"/>
    <s v="N"/>
    <s v="High"/>
    <s v="N"/>
    <n v="155.596"/>
    <n v="0.45600000000000002"/>
    <n v="162"/>
    <n v="80"/>
    <s v="Hypertension Stage 1"/>
    <m/>
    <n v="18.684999999999999"/>
    <x v="2"/>
  </r>
  <r>
    <s v="F"/>
    <x v="55"/>
    <n v="83.855999999999995"/>
    <n v="1.95"/>
    <n v="36.851999999999997"/>
    <n v="77.156999999999996"/>
    <s v="96/68"/>
    <n v="140"/>
    <n v="32"/>
    <n v="174"/>
    <s v="Y"/>
    <s v="Y"/>
    <s v="Low"/>
    <s v="Y"/>
    <n v="194.953"/>
    <n v="0.39600000000000002"/>
    <n v="96"/>
    <n v="68"/>
    <s v="Normal"/>
    <n v="78"/>
    <n v="16.97"/>
    <x v="1"/>
  </r>
  <r>
    <s v="M"/>
    <x v="37"/>
    <n v="88.733999999999995"/>
    <n v="1.863"/>
    <n v="22.917999999999999"/>
    <n v="75.188000000000002"/>
    <s v="148/84"/>
    <n v="120"/>
    <n v="62"/>
    <n v="141"/>
    <s v="Y"/>
    <s v="Y"/>
    <s v="High"/>
    <s v="Y"/>
    <n v="186.33"/>
    <n v="0.40400000000000003"/>
    <n v="148"/>
    <n v="84"/>
    <s v="Hypertension Stage 1"/>
    <n v="28"/>
    <n v="16.384"/>
    <x v="2"/>
  </r>
  <r>
    <s v="F"/>
    <x v="28"/>
    <n v="99.356999999999999"/>
    <n v="1.8979999999999999"/>
    <n v="31.597000000000001"/>
    <n v="92.525999999999996"/>
    <s v="142/95"/>
    <n v="240"/>
    <n v="49"/>
    <n v="164"/>
    <s v="Y"/>
    <s v="N"/>
    <s v="High"/>
    <s v="Y"/>
    <n v="189.75399999999999"/>
    <n v="0.48799999999999999"/>
    <n v="142"/>
    <n v="95"/>
    <s v="Hypertension Stage 2"/>
    <n v="161"/>
    <n v="18.219000000000001"/>
    <x v="2"/>
  </r>
  <r>
    <s v="M"/>
    <x v="45"/>
    <n v="100.94"/>
    <n v="1.7509999999999999"/>
    <n v="22.696999999999999"/>
    <n v="71.652000000000001"/>
    <s v="115/113"/>
    <n v="128"/>
    <n v="81"/>
    <n v="103"/>
    <s v="Y"/>
    <s v="Y"/>
    <s v="High"/>
    <s v="N"/>
    <n v="175.10300000000001"/>
    <m/>
    <n v="115"/>
    <n v="113"/>
    <s v="Hypertension Stage 2"/>
    <n v="17"/>
    <n v="14.849"/>
    <x v="0"/>
  </r>
  <r>
    <s v="M"/>
    <x v="19"/>
    <n v="61.213000000000001"/>
    <n v="1.829"/>
    <n v="19.643999999999998"/>
    <n v="84.102000000000004"/>
    <s v="108/61"/>
    <n v="145"/>
    <n v="70"/>
    <n v="168"/>
    <s v="N"/>
    <s v="N"/>
    <s v="High"/>
    <s v="N"/>
    <n v="182.90199999999999"/>
    <n v="0.46"/>
    <n v="108"/>
    <n v="61"/>
    <s v="Normal"/>
    <n v="45"/>
    <n v="12.228999999999999"/>
    <x v="0"/>
  </r>
  <r>
    <s v="M"/>
    <x v="33"/>
    <n v="76.988"/>
    <n v="1.792"/>
    <n v="21.911999999999999"/>
    <n v="116.937"/>
    <s v="103/93"/>
    <n v="218"/>
    <n v="71"/>
    <n v="88"/>
    <s v="N"/>
    <s v="N"/>
    <s v="Low"/>
    <s v="N"/>
    <n v="179.18600000000001"/>
    <n v="0.65300000000000002"/>
    <n v="103"/>
    <n v="93"/>
    <s v="Hypertension Stage 2"/>
    <n v="117"/>
    <n v="13.891999999999999"/>
    <x v="2"/>
  </r>
  <r>
    <s v="F"/>
    <x v="45"/>
    <n v="57.871000000000002"/>
    <n v="1.752"/>
    <n v="18.510000000000002"/>
    <n v="108.94199999999999"/>
    <s v="175/69"/>
    <n v="213"/>
    <n v="58"/>
    <n v="84"/>
    <s v="Y"/>
    <s v="Y"/>
    <s v="Moderate"/>
    <s v="Y"/>
    <n v="175.155"/>
    <n v="0.622"/>
    <n v="175"/>
    <n v="69"/>
    <s v="Hypertension Stage 2"/>
    <n v="125"/>
    <m/>
    <x v="2"/>
  </r>
  <r>
    <s v="M"/>
    <x v="39"/>
    <n v="116.52500000000001"/>
    <n v="1.9379999999999999"/>
    <n v="33.296999999999997"/>
    <n v="117.983"/>
    <s v="107/92"/>
    <n v="133"/>
    <m/>
    <m/>
    <s v="Y"/>
    <s v="N"/>
    <s v="Moderate"/>
    <s v="N"/>
    <n v="193.809"/>
    <n v="0.60899999999999999"/>
    <n v="107"/>
    <m/>
    <s v="Hypertension Stage 2"/>
    <n v="17"/>
    <n v="14.669"/>
    <x v="0"/>
  </r>
  <r>
    <s v="F"/>
    <x v="30"/>
    <n v="117.84699999999999"/>
    <n v="1.68"/>
    <n v="36.276000000000003"/>
    <n v="81.599000000000004"/>
    <s v="118/119"/>
    <n v="254"/>
    <n v="66"/>
    <n v="131"/>
    <s v="Y"/>
    <s v="Y"/>
    <s v="Moderate"/>
    <s v="Y"/>
    <n v="168.03700000000001"/>
    <n v="0.48599999999999999"/>
    <n v="118"/>
    <n v="119"/>
    <s v="Hypertension Stage 2"/>
    <n v="158"/>
    <n v="20.234999999999999"/>
    <x v="2"/>
  </r>
  <r>
    <s v="M"/>
    <x v="25"/>
    <n v="80.566999999999993"/>
    <n v="1.597"/>
    <n v="22.382999999999999"/>
    <n v="86.290999999999997"/>
    <s v="108/101"/>
    <n v="249"/>
    <n v="63"/>
    <n v="186"/>
    <s v="Y"/>
    <s v="N"/>
    <s v="Low"/>
    <s v="Y"/>
    <n v="159.72300000000001"/>
    <n v="0.54"/>
    <n v="108"/>
    <n v="101"/>
    <s v="Hypertension Stage 2"/>
    <n v="156"/>
    <n v="14.856999999999999"/>
    <x v="0"/>
  </r>
  <r>
    <s v="M"/>
    <x v="29"/>
    <n v="67.97"/>
    <n v="1.841"/>
    <n v="34.814999999999998"/>
    <n v="112.65900000000001"/>
    <s v="153/103"/>
    <n v="262"/>
    <n v="80"/>
    <n v="198"/>
    <s v="N"/>
    <s v="Y"/>
    <s v="Low"/>
    <s v="Y"/>
    <n v="184.12299999999999"/>
    <n v="0.61199999999999999"/>
    <m/>
    <n v="103"/>
    <s v="Hypertension Stage 2"/>
    <n v="152"/>
    <n v="21.853000000000002"/>
    <x v="1"/>
  </r>
  <r>
    <s v="F"/>
    <x v="43"/>
    <n v="65.816000000000003"/>
    <n v="1.8939999999999999"/>
    <n v="24.122"/>
    <n v="112.145"/>
    <s v="144/73"/>
    <n v="245"/>
    <n v="55"/>
    <n v="88"/>
    <s v="Y"/>
    <s v="N"/>
    <s v="Low"/>
    <s v="N"/>
    <n v="189.404"/>
    <m/>
    <n v="144"/>
    <n v="73"/>
    <s v="Hypertension Stage 2"/>
    <n v="160"/>
    <n v="16.923999999999999"/>
    <x v="2"/>
  </r>
  <r>
    <s v="F"/>
    <x v="15"/>
    <m/>
    <n v="1.7969999999999999"/>
    <n v="26.577999999999999"/>
    <n v="104.59"/>
    <s v="116/68"/>
    <n v="145"/>
    <n v="51"/>
    <n v="89"/>
    <s v="Y"/>
    <s v="N"/>
    <s v="Moderate"/>
    <s v="Y"/>
    <n v="179.745"/>
    <n v="0.58199999999999996"/>
    <n v="116"/>
    <n v="68"/>
    <s v="Normal"/>
    <n v="64"/>
    <n v="14.016"/>
    <x v="2"/>
  </r>
  <r>
    <s v="F"/>
    <x v="55"/>
    <n v="57.25"/>
    <n v="1.859"/>
    <n v="29.971"/>
    <n v="81.215000000000003"/>
    <s v="111/76"/>
    <n v="147"/>
    <m/>
    <m/>
    <s v="Y"/>
    <s v="Y"/>
    <s v="High"/>
    <s v="N"/>
    <n v="185.864"/>
    <n v="0.437"/>
    <n v="111"/>
    <n v="76"/>
    <s v="Normal"/>
    <n v="60"/>
    <n v="16.484000000000002"/>
    <x v="1"/>
  </r>
  <r>
    <s v="M"/>
    <x v="54"/>
    <n v="118.83"/>
    <n v="1.827"/>
    <n v="34.781999999999996"/>
    <n v="113.748"/>
    <s v="160/82"/>
    <n v="217"/>
    <n v="65"/>
    <m/>
    <s v="N"/>
    <s v="N"/>
    <s v="Moderate"/>
    <s v="Y"/>
    <n v="182.65"/>
    <n v="0.623"/>
    <n v="160"/>
    <n v="82"/>
    <s v="Hypertension Stage 1"/>
    <n v="122"/>
    <n v="19.295999999999999"/>
    <x v="0"/>
  </r>
  <r>
    <s v="F"/>
    <x v="9"/>
    <n v="108.949"/>
    <n v="1.5169999999999999"/>
    <n v="30.24"/>
    <n v="101.419"/>
    <s v="129/63"/>
    <n v="220"/>
    <n v="38"/>
    <n v="120"/>
    <s v="Y"/>
    <s v="N"/>
    <s v="High"/>
    <s v="Y"/>
    <n v="151.66399999999999"/>
    <n v="0.66900000000000004"/>
    <n v="129"/>
    <n v="63"/>
    <s v="Elevated"/>
    <m/>
    <n v="16.898"/>
    <x v="0"/>
  </r>
  <r>
    <s v="M"/>
    <x v="29"/>
    <n v="102.474"/>
    <n v="1.94"/>
    <n v="26.036000000000001"/>
    <n v="76.486999999999995"/>
    <s v="162/110"/>
    <n v="148"/>
    <n v="48"/>
    <m/>
    <s v="Y"/>
    <s v="N"/>
    <s v="Moderate"/>
    <s v="N"/>
    <n v="193.98400000000001"/>
    <n v="0.39400000000000002"/>
    <n v="162"/>
    <n v="110"/>
    <s v="Hypertension Stage 2"/>
    <n v="70"/>
    <n v="16.266999999999999"/>
    <x v="0"/>
  </r>
  <r>
    <s v="M"/>
    <x v="28"/>
    <n v="102.224"/>
    <n v="1.81"/>
    <n v="27.765999999999998"/>
    <n v="83.057000000000002"/>
    <s v="97/92"/>
    <n v="286"/>
    <n v="72"/>
    <n v="150"/>
    <s v="N"/>
    <s v="Y"/>
    <s v="Low"/>
    <s v="Y"/>
    <n v="181.005"/>
    <n v="0.45900000000000002"/>
    <n v="97"/>
    <n v="92"/>
    <s v="Hypertension Stage 2"/>
    <n v="184"/>
    <n v="18.123000000000001"/>
    <x v="2"/>
  </r>
  <r>
    <s v="M"/>
    <x v="7"/>
    <n v="116.742"/>
    <n v="1.6970000000000001"/>
    <n v="34.604999999999997"/>
    <n v="118.754"/>
    <s v="177/76"/>
    <n v="279"/>
    <n v="56"/>
    <m/>
    <s v="Y"/>
    <s v="Y"/>
    <s v="Moderate"/>
    <s v="N"/>
    <n v="169.67599999999999"/>
    <m/>
    <n v="177"/>
    <n v="76"/>
    <s v="Hypertension Stage 2"/>
    <n v="193"/>
    <n v="23.350999999999999"/>
    <x v="1"/>
  </r>
  <r>
    <s v="F"/>
    <x v="39"/>
    <n v="69.138999999999996"/>
    <n v="1.734"/>
    <n v="21.824999999999999"/>
    <n v="95.866"/>
    <s v="139/113"/>
    <n v="176"/>
    <n v="84"/>
    <n v="87"/>
    <s v="N"/>
    <s v="Y"/>
    <s v="Moderate"/>
    <s v="N"/>
    <n v="173.37"/>
    <n v="0.55300000000000005"/>
    <n v="139"/>
    <n v="113"/>
    <s v="Hypertension Stage 1"/>
    <n v="62"/>
    <n v="16.835000000000001"/>
    <x v="1"/>
  </r>
  <r>
    <s v="F"/>
    <x v="11"/>
    <n v="99.555000000000007"/>
    <n v="1.5740000000000001"/>
    <n v="39.323"/>
    <n v="88.724999999999994"/>
    <s v="115/114"/>
    <n v="268"/>
    <n v="48"/>
    <n v="115"/>
    <s v="N"/>
    <s v="Y"/>
    <s v="Low"/>
    <s v="Y"/>
    <n v="157.37799999999999"/>
    <n v="0.56399999999999995"/>
    <n v="115"/>
    <n v="114"/>
    <s v="Hypertension Stage 2"/>
    <n v="190"/>
    <n v="20.975000000000001"/>
    <x v="2"/>
  </r>
  <r>
    <s v="M"/>
    <x v="2"/>
    <n v="75.358000000000004"/>
    <n v="1.9039999999999999"/>
    <n v="32.084000000000003"/>
    <n v="91.513000000000005"/>
    <s v="145/68"/>
    <n v="234"/>
    <n v="84"/>
    <n v="141"/>
    <s v="Y"/>
    <s v="N"/>
    <s v="Moderate"/>
    <s v="Y"/>
    <n v="190.44"/>
    <n v="0.48099999999999998"/>
    <n v="145"/>
    <n v="68"/>
    <s v="Hypertension Stage 2"/>
    <n v="120"/>
    <n v="18.347000000000001"/>
    <x v="0"/>
  </r>
  <r>
    <s v="M"/>
    <x v="46"/>
    <n v="107.491"/>
    <n v="1.976"/>
    <n v="29.614000000000001"/>
    <n v="93.15"/>
    <s v="136/115"/>
    <n v="206"/>
    <n v="86"/>
    <n v="165"/>
    <s v="Y"/>
    <s v="N"/>
    <s v="Low"/>
    <s v="Y"/>
    <n v="197.63300000000001"/>
    <n v="0.47099999999999997"/>
    <n v="136"/>
    <n v="115"/>
    <s v="Hypertension Stage 1"/>
    <n v="90"/>
    <n v="16.843"/>
    <x v="2"/>
  </r>
  <r>
    <s v="F"/>
    <x v="18"/>
    <n v="71.926000000000002"/>
    <n v="1.831"/>
    <n v="38.911999999999999"/>
    <n v="88.626999999999995"/>
    <s v="134/98"/>
    <n v="218"/>
    <n v="64"/>
    <n v="83"/>
    <s v="Y"/>
    <s v="Y"/>
    <s v="High"/>
    <s v="N"/>
    <n v="183.13900000000001"/>
    <n v="0.48399999999999999"/>
    <n v="134"/>
    <n v="98"/>
    <s v="Hypertension Stage 1"/>
    <n v="124"/>
    <n v="20.841999999999999"/>
    <x v="0"/>
  </r>
  <r>
    <s v="F"/>
    <x v="26"/>
    <n v="59.642000000000003"/>
    <n v="1.6539999999999999"/>
    <m/>
    <n v="89.134"/>
    <s v="110/116"/>
    <n v="191"/>
    <n v="35"/>
    <n v="112"/>
    <s v="N"/>
    <s v="Y"/>
    <s v="Low"/>
    <s v="Y"/>
    <n v="165.38300000000001"/>
    <n v="0.53900000000000003"/>
    <n v="110"/>
    <n v="116"/>
    <s v="Hypertension Stage 2"/>
    <n v="126"/>
    <n v="17.045999999999999"/>
    <x v="1"/>
  </r>
  <r>
    <s v="M"/>
    <x v="11"/>
    <n v="71.555999999999997"/>
    <n v="1.7050000000000001"/>
    <n v="38.381"/>
    <n v="73.153999999999996"/>
    <s v="125/112"/>
    <n v="246"/>
    <n v="56"/>
    <n v="88"/>
    <s v="N"/>
    <s v="N"/>
    <s v="Low"/>
    <s v="N"/>
    <n v="170.506"/>
    <n v="0.42899999999999999"/>
    <n v="125"/>
    <n v="112"/>
    <s v="Hypertension Stage 2"/>
    <n v="160"/>
    <n v="18.846"/>
    <x v="0"/>
  </r>
  <r>
    <s v="M"/>
    <x v="1"/>
    <n v="88.834000000000003"/>
    <n v="1.665"/>
    <n v="27.856000000000002"/>
    <n v="91.37"/>
    <s v="120/75"/>
    <n v="106"/>
    <m/>
    <n v="87"/>
    <s v="Y"/>
    <s v="N"/>
    <s v="Low"/>
    <s v="N"/>
    <m/>
    <m/>
    <n v="120"/>
    <n v="75"/>
    <s v="Elevated"/>
    <n v="39"/>
    <n v="13.691000000000001"/>
    <x v="0"/>
  </r>
  <r>
    <s v="M"/>
    <x v="2"/>
    <n v="74.671000000000006"/>
    <n v="1.982"/>
    <n v="26.564"/>
    <n v="102.538"/>
    <s v="135/87"/>
    <n v="160"/>
    <n v="88"/>
    <n v="126"/>
    <s v="N"/>
    <s v="N"/>
    <s v="High"/>
    <s v="N"/>
    <n v="198.23599999999999"/>
    <n v="0.51700000000000002"/>
    <n v="135"/>
    <n v="87"/>
    <s v="Hypertension Stage 1"/>
    <n v="42"/>
    <n v="15.263"/>
    <x v="2"/>
  </r>
  <r>
    <s v="F"/>
    <x v="34"/>
    <n v="99.519000000000005"/>
    <n v="1.609"/>
    <n v="22.722000000000001"/>
    <n v="111.179"/>
    <s v="178/100"/>
    <n v="235"/>
    <n v="54"/>
    <n v="85"/>
    <s v="Y"/>
    <s v="N"/>
    <s v="Low"/>
    <s v="N"/>
    <n v="160.893"/>
    <n v="0.69099999999999995"/>
    <n v="178"/>
    <n v="100"/>
    <s v="Hypertension Stage 2"/>
    <n v="151"/>
    <n v="18.143999999999998"/>
    <x v="2"/>
  </r>
  <r>
    <s v="F"/>
    <x v="34"/>
    <n v="70.894999999999996"/>
    <n v="1.6759999999999999"/>
    <n v="28.332000000000001"/>
    <n v="114.88500000000001"/>
    <s v="176/103"/>
    <n v="165"/>
    <n v="88"/>
    <n v="198"/>
    <s v="N"/>
    <s v="N"/>
    <s v="Moderate"/>
    <s v="N"/>
    <n v="167.62200000000001"/>
    <n v="0.68500000000000005"/>
    <n v="176"/>
    <n v="103"/>
    <s v="Hypertension Stage 2"/>
    <n v="47"/>
    <n v="17.765999999999998"/>
    <x v="1"/>
  </r>
  <r>
    <s v="F"/>
    <x v="2"/>
    <n v="92.667000000000002"/>
    <n v="1.7210000000000001"/>
    <n v="24.405000000000001"/>
    <n v="95.191999999999993"/>
    <s v="137/84"/>
    <n v="133"/>
    <n v="84"/>
    <n v="111"/>
    <s v="Y"/>
    <s v="N"/>
    <s v="Low"/>
    <s v="N"/>
    <n v="172.09800000000001"/>
    <n v="0.55300000000000005"/>
    <n v="137"/>
    <n v="84"/>
    <s v="Hypertension Stage 1"/>
    <n v="19"/>
    <m/>
    <x v="1"/>
  </r>
  <r>
    <s v="M"/>
    <x v="48"/>
    <n v="107.53400000000001"/>
    <n v="1.65"/>
    <n v="31.065999999999999"/>
    <n v="89.564999999999998"/>
    <s v="155/68"/>
    <n v="118"/>
    <n v="50"/>
    <n v="131"/>
    <s v="Y"/>
    <s v="N"/>
    <s v="Moderate"/>
    <s v="Y"/>
    <n v="164.96199999999999"/>
    <n v="0.54300000000000004"/>
    <n v="155"/>
    <n v="68"/>
    <s v="Hypertension Stage 2"/>
    <n v="38"/>
    <n v="16.323"/>
    <x v="0"/>
  </r>
  <r>
    <s v="F"/>
    <x v="3"/>
    <n v="112.97799999999999"/>
    <n v="1.5069999999999999"/>
    <n v="36.380000000000003"/>
    <n v="118.586"/>
    <s v="142/101"/>
    <n v="168"/>
    <n v="61"/>
    <n v="170"/>
    <s v="N"/>
    <s v="N"/>
    <s v="Moderate"/>
    <s v="N"/>
    <n v="150.721"/>
    <n v="0.78700000000000003"/>
    <n v="142"/>
    <n v="101"/>
    <s v="Hypertension Stage 2"/>
    <n v="77"/>
    <n v="17.736000000000001"/>
    <x v="1"/>
  </r>
  <r>
    <s v="F"/>
    <x v="33"/>
    <n v="112.81399999999999"/>
    <n v="1.7270000000000001"/>
    <n v="35.835000000000001"/>
    <n v="70.332999999999998"/>
    <s v="178/73"/>
    <n v="225"/>
    <n v="87"/>
    <m/>
    <s v="N"/>
    <s v="N"/>
    <s v="Low"/>
    <s v="N"/>
    <n v="172.69"/>
    <n v="0.40699999999999997"/>
    <n v="178"/>
    <n v="73"/>
    <s v="Hypertension Stage 2"/>
    <n v="108"/>
    <n v="20.567"/>
    <x v="1"/>
  </r>
  <r>
    <s v="F"/>
    <x v="20"/>
    <m/>
    <n v="1.6160000000000001"/>
    <n v="39.633000000000003"/>
    <n v="109.352"/>
    <s v="175/98"/>
    <n v="256"/>
    <n v="75"/>
    <n v="160"/>
    <s v="N"/>
    <s v="Y"/>
    <s v="High"/>
    <s v="Y"/>
    <n v="161.584"/>
    <n v="0.67700000000000005"/>
    <n v="175"/>
    <n v="98"/>
    <s v="Hypertension Stage 2"/>
    <n v="151"/>
    <n v="23.797000000000001"/>
    <x v="2"/>
  </r>
  <r>
    <s v="M"/>
    <x v="27"/>
    <n v="71.126999999999995"/>
    <n v="1.754"/>
    <n v="31.042000000000002"/>
    <n v="112.11199999999999"/>
    <s v="154/99"/>
    <n v="170"/>
    <n v="89"/>
    <n v="175"/>
    <s v="Y"/>
    <s v="N"/>
    <s v="Low"/>
    <s v="Y"/>
    <n v="175.351"/>
    <n v="0.63900000000000001"/>
    <n v="154"/>
    <n v="99"/>
    <s v="Hypertension Stage 2"/>
    <n v="51"/>
    <n v="17.308"/>
    <x v="2"/>
  </r>
  <r>
    <s v="M"/>
    <x v="24"/>
    <n v="107.21899999999999"/>
    <n v="1.5760000000000001"/>
    <n v="22.565000000000001"/>
    <n v="107.586"/>
    <s v="112/71"/>
    <n v="210"/>
    <n v="70"/>
    <n v="81"/>
    <s v="Y"/>
    <s v="N"/>
    <s v="High"/>
    <s v="Y"/>
    <n v="157.60900000000001"/>
    <n v="0.68300000000000005"/>
    <n v="112"/>
    <n v="71"/>
    <s v="Normal"/>
    <n v="110"/>
    <n v="14.313000000000001"/>
    <x v="2"/>
  </r>
  <r>
    <s v="M"/>
    <x v="17"/>
    <n v="62.204000000000001"/>
    <n v="1.887"/>
    <n v="38.322000000000003"/>
    <n v="108.822"/>
    <s v="113/79"/>
    <n v="164"/>
    <n v="76"/>
    <n v="148"/>
    <s v="N"/>
    <s v="N"/>
    <s v="Low"/>
    <s v="Y"/>
    <n v="188.68899999999999"/>
    <n v="0.57699999999999996"/>
    <n v="113"/>
    <n v="79"/>
    <s v="Normal"/>
    <n v="58"/>
    <n v="16.594000000000001"/>
    <x v="0"/>
  </r>
  <r>
    <s v="M"/>
    <x v="10"/>
    <n v="116.77200000000001"/>
    <n v="1.569"/>
    <n v="34.125999999999998"/>
    <n v="90.736999999999995"/>
    <s v="117/116"/>
    <n v="254"/>
    <n v="60"/>
    <n v="177"/>
    <s v="N"/>
    <s v="N"/>
    <s v="Low"/>
    <s v="Y"/>
    <n v="156.85400000000001"/>
    <n v="0.57799999999999996"/>
    <n v="117"/>
    <n v="116"/>
    <s v="Hypertension Stage 2"/>
    <n v="164"/>
    <n v="17.754999999999999"/>
    <x v="1"/>
  </r>
  <r>
    <s v="F"/>
    <x v="2"/>
    <n v="80.421000000000006"/>
    <n v="1.53"/>
    <n v="26.79"/>
    <n v="73.218000000000004"/>
    <s v="113/77"/>
    <n v="239"/>
    <n v="73"/>
    <n v="96"/>
    <s v="Y"/>
    <s v="Y"/>
    <s v="High"/>
    <s v="Y"/>
    <n v="152.94999999999999"/>
    <n v="0.47899999999999998"/>
    <n v="113"/>
    <n v="77"/>
    <s v="Normal"/>
    <n v="136"/>
    <n v="17.788"/>
    <x v="2"/>
  </r>
  <r>
    <s v="F"/>
    <x v="18"/>
    <n v="60.472000000000001"/>
    <n v="1.601"/>
    <n v="31.989000000000001"/>
    <n v="93.816999999999993"/>
    <s v="151/101"/>
    <n v="293"/>
    <n v="88"/>
    <n v="104"/>
    <s v="Y"/>
    <s v="Y"/>
    <s v="High"/>
    <s v="Y"/>
    <m/>
    <n v="0.58599999999999997"/>
    <n v="151"/>
    <n v="101"/>
    <s v="Hypertension Stage 2"/>
    <n v="175"/>
    <n v="21.808"/>
    <x v="1"/>
  </r>
  <r>
    <s v="M"/>
    <x v="38"/>
    <n v="118.544"/>
    <n v="1.591"/>
    <n v="27.881"/>
    <n v="91.388000000000005"/>
    <s v="179/74"/>
    <n v="215"/>
    <n v="36"/>
    <n v="115"/>
    <s v="Y"/>
    <s v="Y"/>
    <s v="Moderate"/>
    <s v="Y"/>
    <n v="159.11799999999999"/>
    <n v="0.57399999999999995"/>
    <n v="179"/>
    <n v="74"/>
    <s v="Hypertension Stage 2"/>
    <n v="149"/>
    <n v="20.826000000000001"/>
    <x v="2"/>
  </r>
  <r>
    <s v="M"/>
    <x v="1"/>
    <n v="60.109000000000002"/>
    <n v="1.9330000000000001"/>
    <n v="26.309000000000001"/>
    <n v="72.233999999999995"/>
    <s v="177/107"/>
    <n v="110"/>
    <n v="72"/>
    <n v="150"/>
    <s v="Y"/>
    <s v="N"/>
    <s v="Moderate"/>
    <s v="Y"/>
    <n v="193.29900000000001"/>
    <m/>
    <n v="177"/>
    <n v="107"/>
    <s v="Hypertension Stage 2"/>
    <n v="8"/>
    <n v="16.312000000000001"/>
    <x v="0"/>
  </r>
  <r>
    <s v="M"/>
    <x v="37"/>
    <n v="60.411000000000001"/>
    <n v="1.762"/>
    <n v="19.332999999999998"/>
    <n v="77.022000000000006"/>
    <s v="128/110"/>
    <n v="132"/>
    <n v="55"/>
    <n v="168"/>
    <s v="Y"/>
    <s v="N"/>
    <s v="Low"/>
    <s v="N"/>
    <n v="176.23599999999999"/>
    <n v="0.437"/>
    <n v="128"/>
    <n v="110"/>
    <s v="Hypertension Stage 2"/>
    <n v="47"/>
    <n v="12.907"/>
    <x v="1"/>
  </r>
  <r>
    <s v="F"/>
    <x v="48"/>
    <n v="73.453000000000003"/>
    <n v="1.8959999999999999"/>
    <n v="23.978999999999999"/>
    <n v="93.376999999999995"/>
    <s v="166/111"/>
    <n v="275"/>
    <m/>
    <n v="74"/>
    <s v="N"/>
    <s v="N"/>
    <s v="Moderate"/>
    <s v="N"/>
    <n v="189.56200000000001"/>
    <n v="0.49299999999999999"/>
    <n v="166"/>
    <n v="111"/>
    <s v="Hypertension Stage 2"/>
    <n v="208"/>
    <n v="18.596"/>
    <x v="1"/>
  </r>
  <r>
    <s v="F"/>
    <x v="55"/>
    <n v="50.716999999999999"/>
    <n v="1.8360000000000001"/>
    <n v="35.741999999999997"/>
    <m/>
    <s v="159/81"/>
    <n v="260"/>
    <n v="82"/>
    <n v="124"/>
    <s v="Y"/>
    <s v="N"/>
    <s v="High"/>
    <s v="N"/>
    <n v="183.554"/>
    <n v="0.64600000000000002"/>
    <n v="159"/>
    <n v="81"/>
    <s v="Hypertension Stage 1"/>
    <n v="148"/>
    <n v="20.297999999999998"/>
    <x v="1"/>
  </r>
  <r>
    <s v="F"/>
    <x v="17"/>
    <n v="115.197"/>
    <m/>
    <n v="18.724"/>
    <n v="116.8"/>
    <s v="102/84"/>
    <n v="203"/>
    <n v="45"/>
    <n v="123"/>
    <s v="N"/>
    <s v="Y"/>
    <s v="Moderate"/>
    <s v="Y"/>
    <n v="183.971"/>
    <n v="0.63500000000000001"/>
    <n v="102"/>
    <m/>
    <s v="Hypertension Stage 1"/>
    <n v="128"/>
    <n v="14.904999999999999"/>
    <x v="2"/>
  </r>
  <r>
    <s v="F"/>
    <x v="33"/>
    <n v="103.37"/>
    <n v="1.571"/>
    <n v="37.728000000000002"/>
    <n v="94.123999999999995"/>
    <s v="134/110"/>
    <n v="273"/>
    <n v="38"/>
    <n v="177"/>
    <s v="Y"/>
    <s v="Y"/>
    <s v="Moderate"/>
    <s v="Y"/>
    <n v="157.149"/>
    <n v="0.59899999999999998"/>
    <n v="134"/>
    <n v="110"/>
    <s v="Hypertension Stage 1"/>
    <n v="205"/>
    <n v="21.706"/>
    <x v="2"/>
  </r>
  <r>
    <s v="M"/>
    <x v="45"/>
    <m/>
    <n v="1.899"/>
    <n v="20.602"/>
    <n v="80.350999999999999"/>
    <s v="144/77"/>
    <n v="296"/>
    <n v="83"/>
    <n v="139"/>
    <s v="Y"/>
    <s v="N"/>
    <s v="Moderate"/>
    <s v="N"/>
    <n v="189.89599999999999"/>
    <n v="0.42299999999999999"/>
    <n v="144"/>
    <n v="77"/>
    <s v="Hypertension Stage 2"/>
    <n v="183"/>
    <n v="17.239999999999998"/>
    <x v="0"/>
  </r>
  <r>
    <s v="M"/>
    <x v="27"/>
    <n v="50.427999999999997"/>
    <n v="1.7629999999999999"/>
    <n v="36.606999999999999"/>
    <n v="74.566999999999993"/>
    <s v="172/111"/>
    <n v="255"/>
    <n v="35"/>
    <n v="107"/>
    <s v="N"/>
    <s v="N"/>
    <s v="Moderate"/>
    <s v="N"/>
    <n v="176.33600000000001"/>
    <n v="0.42299999999999999"/>
    <n v="172"/>
    <n v="111"/>
    <s v="Hypertension Stage 2"/>
    <n v="190"/>
    <n v="21.021000000000001"/>
    <x v="2"/>
  </r>
  <r>
    <s v="M"/>
    <x v="34"/>
    <n v="70.423000000000002"/>
    <n v="1.7829999999999999"/>
    <n v="19.995000000000001"/>
    <n v="95.591999999999999"/>
    <s v="175/107"/>
    <n v="226"/>
    <n v="72"/>
    <n v="136"/>
    <s v="Y"/>
    <s v="Y"/>
    <s v="Moderate"/>
    <s v="N"/>
    <n v="178.34800000000001"/>
    <n v="0.53600000000000003"/>
    <n v="175"/>
    <n v="107"/>
    <s v="Hypertension Stage 2"/>
    <n v="124"/>
    <n v="19.268999999999998"/>
    <x v="2"/>
  </r>
  <r>
    <s v="M"/>
    <x v="10"/>
    <n v="51.844999999999999"/>
    <n v="1.7549999999999999"/>
    <n v="23.094000000000001"/>
    <n v="112.218"/>
    <s v="164/78"/>
    <n v="211"/>
    <n v="30"/>
    <n v="79"/>
    <s v="Y"/>
    <s v="Y"/>
    <s v="High"/>
    <s v="Y"/>
    <n v="175.51"/>
    <n v="0.63900000000000001"/>
    <n v="164"/>
    <n v="78"/>
    <s v="Hypertension Stage 2"/>
    <n v="151"/>
    <n v="19.039000000000001"/>
    <x v="0"/>
  </r>
  <r>
    <s v="M"/>
    <x v="35"/>
    <n v="79.807000000000002"/>
    <n v="1.5449999999999999"/>
    <n v="38.128"/>
    <m/>
    <s v="128/91"/>
    <n v="201"/>
    <n v="44"/>
    <n v="147"/>
    <s v="N"/>
    <s v="Y"/>
    <s v="High"/>
    <s v="N"/>
    <n v="154.51300000000001"/>
    <n v="0.47199999999999998"/>
    <n v="128"/>
    <n v="91"/>
    <s v="Hypertension Stage 2"/>
    <n v="127"/>
    <m/>
    <x v="2"/>
  </r>
  <r>
    <s v="M"/>
    <x v="44"/>
    <n v="59.683999999999997"/>
    <n v="1.94"/>
    <n v="23.914000000000001"/>
    <n v="117.986"/>
    <s v="106/115"/>
    <n v="206"/>
    <n v="42"/>
    <n v="140"/>
    <s v="Y"/>
    <s v="Y"/>
    <s v="High"/>
    <s v="Y"/>
    <n v="193.98099999999999"/>
    <n v="0.60799999999999998"/>
    <n v="106"/>
    <n v="115"/>
    <s v="Hypertension Stage 2"/>
    <n v="134"/>
    <n v="16.202999999999999"/>
    <x v="1"/>
  </r>
  <r>
    <s v="M"/>
    <x v="2"/>
    <n v="69.769000000000005"/>
    <n v="1.696"/>
    <n v="22.06"/>
    <n v="74.183999999999997"/>
    <s v="120/76"/>
    <n v="197"/>
    <n v="65"/>
    <n v="151"/>
    <s v="Y"/>
    <s v="N"/>
    <s v="Low"/>
    <s v="N"/>
    <n v="169.56"/>
    <n v="0.438"/>
    <n v="120"/>
    <n v="76"/>
    <s v="Elevated"/>
    <m/>
    <n v="14.352"/>
    <x v="0"/>
  </r>
  <r>
    <s v="M"/>
    <x v="23"/>
    <m/>
    <n v="1.917"/>
    <n v="26.257000000000001"/>
    <n v="99.63"/>
    <s v="173/70"/>
    <n v="157"/>
    <n v="62"/>
    <n v="168"/>
    <s v="N"/>
    <s v="Y"/>
    <s v="Low"/>
    <s v="N"/>
    <n v="191.68799999999999"/>
    <n v="0.52"/>
    <n v="173"/>
    <n v="70"/>
    <s v="Hypertension Stage 2"/>
    <n v="65"/>
    <n v="19.041"/>
    <x v="0"/>
  </r>
  <r>
    <s v="F"/>
    <x v="19"/>
    <n v="95.747"/>
    <n v="1.758"/>
    <n v="26.721"/>
    <n v="74.381"/>
    <s v="121/96"/>
    <n v="161"/>
    <n v="74"/>
    <n v="187"/>
    <s v="Y"/>
    <s v="Y"/>
    <s v="High"/>
    <s v="N"/>
    <n v="175.804"/>
    <n v="0.42299999999999999"/>
    <n v="121"/>
    <n v="96"/>
    <s v="Hypertension Stage 2"/>
    <n v="57"/>
    <n v="16.614000000000001"/>
    <x v="0"/>
  </r>
  <r>
    <s v="M"/>
    <x v="33"/>
    <n v="89.04"/>
    <n v="1.57"/>
    <n v="37.698999999999998"/>
    <n v="72.102000000000004"/>
    <s v="124/102"/>
    <n v="214"/>
    <n v="81"/>
    <n v="73"/>
    <s v="Y"/>
    <s v="Y"/>
    <s v="High"/>
    <s v="N"/>
    <n v="156.96799999999999"/>
    <n v="0.45900000000000002"/>
    <n v="124"/>
    <n v="102"/>
    <s v="Hypertension Stage 2"/>
    <m/>
    <n v="20.02"/>
    <x v="1"/>
  </r>
  <r>
    <s v="M"/>
    <x v="33"/>
    <n v="71.14"/>
    <n v="1.9650000000000001"/>
    <n v="36.601999999999997"/>
    <n v="107.11"/>
    <s v="178/81"/>
    <n v="209"/>
    <n v="39"/>
    <n v="113"/>
    <s v="N"/>
    <s v="N"/>
    <s v="High"/>
    <s v="Y"/>
    <m/>
    <n v="0.54500000000000004"/>
    <n v="178"/>
    <n v="81"/>
    <s v="Hypertension Stage 1"/>
    <n v="140"/>
    <n v="20.399999999999999"/>
    <x v="0"/>
  </r>
  <r>
    <s v="M"/>
    <x v="1"/>
    <n v="73.143000000000001"/>
    <n v="1.9259999999999999"/>
    <n v="23.826000000000001"/>
    <n v="105.997"/>
    <s v="138/99"/>
    <n v="298"/>
    <n v="65"/>
    <n v="133"/>
    <s v="N"/>
    <s v="Y"/>
    <s v="High"/>
    <s v="N"/>
    <n v="192.58600000000001"/>
    <n v="0.55000000000000004"/>
    <n v="138"/>
    <m/>
    <s v="Hypertension Stage 1"/>
    <n v="203"/>
    <n v="19.625"/>
    <x v="2"/>
  </r>
  <r>
    <s v="M"/>
    <x v="17"/>
    <n v="110.756"/>
    <n v="1.7230000000000001"/>
    <n v="34.107999999999997"/>
    <n v="97.134"/>
    <s v="154/112"/>
    <n v="192"/>
    <n v="87"/>
    <n v="133"/>
    <s v="N"/>
    <s v="Y"/>
    <s v="High"/>
    <s v="Y"/>
    <n v="172.339"/>
    <n v="0.56399999999999995"/>
    <n v="154"/>
    <n v="112"/>
    <s v="Hypertension Stage 2"/>
    <n v="75"/>
    <n v="20.361999999999998"/>
    <x v="2"/>
  </r>
  <r>
    <s v="M"/>
    <x v="55"/>
    <n v="66.629000000000005"/>
    <n v="1.8420000000000001"/>
    <n v="37.856999999999999"/>
    <n v="112.39100000000001"/>
    <s v="108/88"/>
    <n v="154"/>
    <n v="35"/>
    <n v="113"/>
    <s v="N"/>
    <s v="Y"/>
    <s v="Low"/>
    <s v="N"/>
    <n v="184.21"/>
    <m/>
    <n v="108"/>
    <n v="88"/>
    <s v="Hypertension Stage 1"/>
    <n v="89"/>
    <n v="18.050999999999998"/>
    <x v="1"/>
  </r>
  <r>
    <s v="M"/>
    <x v="22"/>
    <n v="107.048"/>
    <n v="1.595"/>
    <n v="22.024999999999999"/>
    <n v="81.302999999999997"/>
    <s v="178/77"/>
    <n v="173"/>
    <m/>
    <n v="181"/>
    <s v="N"/>
    <s v="Y"/>
    <s v="High"/>
    <s v="N"/>
    <n v="159.505"/>
    <n v="0.51"/>
    <n v="178"/>
    <n v="77"/>
    <s v="Hypertension Stage 2"/>
    <n v="109"/>
    <n v="18.765000000000001"/>
    <x v="2"/>
  </r>
  <r>
    <s v="F"/>
    <x v="34"/>
    <n v="69.983999999999995"/>
    <n v="1.6719999999999999"/>
    <n v="25.939"/>
    <n v="91.655000000000001"/>
    <s v="129/113"/>
    <n v="136"/>
    <n v="71"/>
    <n v="127"/>
    <s v="Y"/>
    <s v="Y"/>
    <s v="Low"/>
    <s v="Y"/>
    <n v="167.15199999999999"/>
    <n v="0.54800000000000004"/>
    <n v="129"/>
    <n v="113"/>
    <s v="Hypertension Stage 2"/>
    <n v="35"/>
    <n v="16.358000000000001"/>
    <x v="1"/>
  </r>
  <r>
    <s v="M"/>
    <x v="30"/>
    <n v="62.814"/>
    <n v="1.8360000000000001"/>
    <n v="23.748999999999999"/>
    <n v="98.415000000000006"/>
    <s v="150/81"/>
    <n v="254"/>
    <n v="44"/>
    <n v="143"/>
    <s v="Y"/>
    <s v="Y"/>
    <s v="Low"/>
    <s v="Y"/>
    <n v="183.64"/>
    <n v="0.53600000000000003"/>
    <n v="150"/>
    <n v="81"/>
    <s v="Hypertension Stage 1"/>
    <n v="180"/>
    <n v="19.329999999999998"/>
    <x v="1"/>
  </r>
  <r>
    <s v="F"/>
    <x v="34"/>
    <n v="75.801000000000002"/>
    <n v="1.988"/>
    <n v="26.556000000000001"/>
    <n v="102.511"/>
    <s v="147/116"/>
    <n v="108"/>
    <n v="72"/>
    <n v="184"/>
    <s v="N"/>
    <s v="N"/>
    <s v="High"/>
    <s v="Y"/>
    <n v="198.804"/>
    <n v="0.51600000000000001"/>
    <n v="147"/>
    <n v="116"/>
    <s v="Hypertension Stage 2"/>
    <n v="6"/>
    <n v="14.821"/>
    <x v="0"/>
  </r>
  <r>
    <s v="M"/>
    <x v="30"/>
    <n v="93.019000000000005"/>
    <n v="1.6459999999999999"/>
    <n v="31.42"/>
    <n v="91.486999999999995"/>
    <s v="105/104"/>
    <n v="238"/>
    <n v="59"/>
    <n v="126"/>
    <s v="Y"/>
    <s v="N"/>
    <s v="Moderate"/>
    <s v="N"/>
    <n v="164.59299999999999"/>
    <n v="0.55600000000000005"/>
    <n v="105"/>
    <n v="104"/>
    <s v="Hypertension Stage 2"/>
    <n v="149"/>
    <n v="16.294"/>
    <x v="1"/>
  </r>
  <r>
    <s v="F"/>
    <x v="48"/>
    <n v="55.365000000000002"/>
    <n v="1.5369999999999999"/>
    <n v="36.322000000000003"/>
    <n v="116.04900000000001"/>
    <s v="139/90"/>
    <n v="286"/>
    <n v="78"/>
    <n v="125"/>
    <s v="N"/>
    <s v="N"/>
    <s v="High"/>
    <s v="Y"/>
    <n v="153.68100000000001"/>
    <n v="0.755"/>
    <n v="139"/>
    <n v="90"/>
    <s v="Hypertension Stage 1"/>
    <n v="178"/>
    <n v="19.934000000000001"/>
    <x v="1"/>
  </r>
  <r>
    <s v="F"/>
    <x v="4"/>
    <n v="94.09"/>
    <n v="1.6679999999999999"/>
    <n v="35.261000000000003"/>
    <n v="119.874"/>
    <s v="172/63"/>
    <n v="294"/>
    <n v="39"/>
    <n v="94"/>
    <s v="N"/>
    <s v="Y"/>
    <s v="Low"/>
    <s v="N"/>
    <n v="166.84200000000001"/>
    <n v="0.71799999999999997"/>
    <n v="172"/>
    <n v="63"/>
    <s v="Hypertension Stage 2"/>
    <n v="225"/>
    <n v="23.532"/>
    <x v="1"/>
  </r>
  <r>
    <s v="F"/>
    <x v="6"/>
    <n v="76.597999999999999"/>
    <n v="1.891"/>
    <n v="27.643000000000001"/>
    <n v="103.955"/>
    <s v="91/108"/>
    <n v="231"/>
    <n v="53"/>
    <n v="138"/>
    <s v="N"/>
    <s v="N"/>
    <s v="Low"/>
    <s v="N"/>
    <n v="189.06700000000001"/>
    <n v="0.55000000000000004"/>
    <n v="91"/>
    <n v="108"/>
    <s v="Hypertension Stage 2"/>
    <n v="148"/>
    <n v="14.699"/>
    <x v="1"/>
  </r>
  <r>
    <s v="M"/>
    <x v="49"/>
    <m/>
    <n v="1.911"/>
    <n v="21.324999999999999"/>
    <n v="114.265"/>
    <s v="140/67"/>
    <n v="160"/>
    <n v="76"/>
    <m/>
    <s v="Y"/>
    <s v="Y"/>
    <s v="High"/>
    <s v="N"/>
    <n v="191.12799999999999"/>
    <n v="0.59799999999999998"/>
    <n v="140"/>
    <n v="67"/>
    <s v="Hypertension Stage 2"/>
    <n v="54"/>
    <n v="16.465"/>
    <x v="0"/>
  </r>
  <r>
    <s v="M"/>
    <x v="9"/>
    <n v="112.22"/>
    <n v="1.968"/>
    <n v="27.899000000000001"/>
    <n v="108.46899999999999"/>
    <s v="126/64"/>
    <n v="203"/>
    <n v="80"/>
    <n v="165"/>
    <s v="Y"/>
    <s v="N"/>
    <s v="Moderate"/>
    <s v="N"/>
    <n v="196.75899999999999"/>
    <n v="0.55100000000000005"/>
    <n v="126"/>
    <n v="64"/>
    <s v="Elevated"/>
    <n v="93"/>
    <m/>
    <x v="1"/>
  </r>
  <r>
    <s v="F"/>
    <x v="34"/>
    <n v="96.234999999999999"/>
    <n v="1.661"/>
    <n v="28.343"/>
    <n v="118.402"/>
    <s v="92/107"/>
    <n v="179"/>
    <n v="46"/>
    <n v="112"/>
    <s v="Y"/>
    <s v="N"/>
    <s v="Moderate"/>
    <s v="N"/>
    <n v="166.09100000000001"/>
    <n v="0.71299999999999997"/>
    <n v="92"/>
    <n v="107"/>
    <s v="Hypertension Stage 2"/>
    <n v="103"/>
    <n v="13.849"/>
    <x v="1"/>
  </r>
  <r>
    <s v="F"/>
    <x v="3"/>
    <n v="56.978000000000002"/>
    <n v="1.629"/>
    <n v="29.390999999999998"/>
    <n v="96.63"/>
    <s v="148/71"/>
    <n v="178"/>
    <m/>
    <n v="167"/>
    <s v="N"/>
    <s v="Y"/>
    <s v="High"/>
    <s v="Y"/>
    <n v="162.92099999999999"/>
    <n v="0.59299999999999997"/>
    <n v="148"/>
    <n v="71"/>
    <s v="Hypertension Stage 2"/>
    <n v="103"/>
    <n v="18.838000000000001"/>
    <x v="1"/>
  </r>
  <r>
    <s v="F"/>
    <x v="47"/>
    <n v="66.073999999999998"/>
    <m/>
    <n v="27.460999999999999"/>
    <n v="76.599000000000004"/>
    <s v="112/106"/>
    <n v="197"/>
    <n v="55"/>
    <n v="131"/>
    <s v="N"/>
    <s v="N"/>
    <s v="Low"/>
    <s v="Y"/>
    <n v="195.82"/>
    <n v="0.39100000000000001"/>
    <n v="112"/>
    <n v="106"/>
    <s v="Hypertension Stage 2"/>
    <n v="112"/>
    <m/>
    <x v="0"/>
  </r>
  <r>
    <s v="M"/>
    <x v="12"/>
    <n v="52.640999999999998"/>
    <n v="1.8979999999999999"/>
    <n v="33.1"/>
    <n v="73.69"/>
    <s v="120/78"/>
    <n v="228"/>
    <n v="38"/>
    <n v="112"/>
    <s v="Y"/>
    <s v="Y"/>
    <s v="Moderate"/>
    <s v="Y"/>
    <n v="189.81700000000001"/>
    <n v="0.38800000000000001"/>
    <n v="120"/>
    <m/>
    <s v="Elevated"/>
    <n v="160"/>
    <n v="19.18"/>
    <x v="0"/>
  </r>
  <r>
    <s v="M"/>
    <x v="53"/>
    <n v="88.179000000000002"/>
    <n v="1.802"/>
    <n v="28.2"/>
    <n v="96.090999999999994"/>
    <s v="165/72"/>
    <n v="171"/>
    <n v="56"/>
    <n v="144"/>
    <s v="Y"/>
    <s v="N"/>
    <s v="Low"/>
    <s v="Y"/>
    <n v="180.15799999999999"/>
    <n v="0.53300000000000003"/>
    <n v="165"/>
    <n v="72"/>
    <s v="Hypertension Stage 2"/>
    <n v="85"/>
    <n v="17.309999999999999"/>
    <x v="0"/>
  </r>
  <r>
    <s v="M"/>
    <x v="1"/>
    <n v="74.451999999999998"/>
    <n v="1.643"/>
    <n v="37.512"/>
    <n v="79.587999999999994"/>
    <s v="102/90"/>
    <n v="160"/>
    <n v="48"/>
    <n v="161"/>
    <s v="Y"/>
    <s v="N"/>
    <s v="Moderate"/>
    <s v="N"/>
    <n v="164.30600000000001"/>
    <n v="0.48399999999999999"/>
    <n v="102"/>
    <n v="90"/>
    <s v="Hypertension Stage 2"/>
    <n v="82"/>
    <m/>
    <x v="2"/>
  </r>
  <r>
    <s v="M"/>
    <x v="22"/>
    <n v="61.985999999999997"/>
    <n v="1.841"/>
    <m/>
    <n v="118.99"/>
    <s v="169/87"/>
    <m/>
    <n v="61"/>
    <n v="155"/>
    <s v="Y"/>
    <s v="N"/>
    <s v="Low"/>
    <s v="Y"/>
    <n v="184.053"/>
    <n v="0.64600000000000002"/>
    <n v="169"/>
    <n v="87"/>
    <s v="Hypertension Stage 1"/>
    <n v="31"/>
    <n v="16.75"/>
    <x v="1"/>
  </r>
  <r>
    <s v="F"/>
    <x v="22"/>
    <n v="98.034999999999997"/>
    <n v="1.86"/>
    <n v="24.27"/>
    <n v="89.5"/>
    <s v="117/77"/>
    <n v="150"/>
    <m/>
    <n v="174"/>
    <s v="N"/>
    <s v="N"/>
    <s v="High"/>
    <s v="N"/>
    <n v="185.96100000000001"/>
    <n v="0.48099999999999998"/>
    <n v="117"/>
    <n v="77"/>
    <s v="Normal"/>
    <n v="77"/>
    <n v="13.704000000000001"/>
    <x v="1"/>
  </r>
  <r>
    <s v="F"/>
    <x v="32"/>
    <n v="114.22799999999999"/>
    <n v="1.6180000000000001"/>
    <m/>
    <n v="77.89"/>
    <s v="163/82"/>
    <n v="137"/>
    <n v="70"/>
    <n v="90"/>
    <s v="N"/>
    <s v="Y"/>
    <s v="Moderate"/>
    <s v="N"/>
    <n v="161.76499999999999"/>
    <n v="0.48199999999999998"/>
    <n v="163"/>
    <n v="82"/>
    <s v="Hypertension Stage 1"/>
    <n v="37"/>
    <n v="19.716000000000001"/>
    <x v="1"/>
  </r>
  <r>
    <s v="F"/>
    <x v="48"/>
    <n v="103.54300000000001"/>
    <n v="1.8520000000000001"/>
    <n v="29.792999999999999"/>
    <n v="110.663"/>
    <s v="96/89"/>
    <n v="249"/>
    <n v="49"/>
    <n v="191"/>
    <s v="Y"/>
    <s v="Y"/>
    <s v="High"/>
    <s v="Y"/>
    <n v="185.239"/>
    <n v="0.59699999999999998"/>
    <n v="96"/>
    <n v="89"/>
    <s v="Hypertension Stage 1"/>
    <n v="170"/>
    <n v="17.739000000000001"/>
    <x v="2"/>
  </r>
  <r>
    <s v="F"/>
    <x v="9"/>
    <n v="114.34699999999999"/>
    <n v="1.8720000000000001"/>
    <n v="27.49"/>
    <n v="103.441"/>
    <s v="107/91"/>
    <n v="299"/>
    <n v="42"/>
    <n v="134"/>
    <s v="N"/>
    <s v="Y"/>
    <s v="High"/>
    <s v="N"/>
    <n v="187.24199999999999"/>
    <n v="0.55200000000000005"/>
    <n v="107"/>
    <n v="91"/>
    <s v="Hypertension Stage 2"/>
    <n v="227"/>
    <n v="18.827999999999999"/>
    <x v="0"/>
  </r>
  <r>
    <s v="M"/>
    <x v="44"/>
    <n v="85.474000000000004"/>
    <n v="1.879"/>
    <n v="36.134999999999998"/>
    <n v="101.905"/>
    <s v="131/98"/>
    <n v="205"/>
    <n v="89"/>
    <n v="171"/>
    <s v="Y"/>
    <s v="Y"/>
    <s v="Low"/>
    <s v="Y"/>
    <n v="187.92400000000001"/>
    <n v="0.54200000000000004"/>
    <n v="131"/>
    <n v="98"/>
    <s v="Hypertension Stage 1"/>
    <n v="86"/>
    <n v="19.876999999999999"/>
    <x v="2"/>
  </r>
  <r>
    <s v="F"/>
    <x v="33"/>
    <n v="66.498000000000005"/>
    <n v="1.6439999999999999"/>
    <n v="33.527999999999999"/>
    <n v="116.551"/>
    <s v="179/91"/>
    <m/>
    <n v="53"/>
    <n v="193"/>
    <s v="Y"/>
    <s v="N"/>
    <s v="Moderate"/>
    <s v="N"/>
    <n v="164.40299999999999"/>
    <n v="0.70899999999999996"/>
    <n v="179"/>
    <n v="91"/>
    <s v="Hypertension Stage 2"/>
    <n v="134"/>
    <n v="19.995999999999999"/>
    <x v="2"/>
  </r>
  <r>
    <s v="M"/>
    <x v="2"/>
    <n v="104.80200000000001"/>
    <n v="1.927"/>
    <n v="36.368000000000002"/>
    <n v="70.411000000000001"/>
    <s v="90/111"/>
    <n v="104"/>
    <n v="31"/>
    <n v="78"/>
    <s v="N"/>
    <s v="Y"/>
    <s v="Low"/>
    <s v="Y"/>
    <n v="192.739"/>
    <n v="0.36499999999999999"/>
    <n v="90"/>
    <n v="111"/>
    <s v="Hypertension Stage 2"/>
    <n v="43"/>
    <n v="15.853999999999999"/>
    <x v="1"/>
  </r>
  <r>
    <s v="M"/>
    <x v="14"/>
    <n v="117.825"/>
    <n v="1.5509999999999999"/>
    <n v="21.128"/>
    <n v="74.558999999999997"/>
    <s v="110/112"/>
    <n v="288"/>
    <n v="49"/>
    <m/>
    <s v="Y"/>
    <s v="Y"/>
    <s v="Low"/>
    <s v="Y"/>
    <n v="155.06800000000001"/>
    <n v="0.48099999999999998"/>
    <n v="110"/>
    <n v="112"/>
    <s v="Hypertension Stage 2"/>
    <n v="209"/>
    <n v="17.486000000000001"/>
    <x v="0"/>
  </r>
  <r>
    <s v="F"/>
    <x v="40"/>
    <n v="56.381"/>
    <n v="1.9"/>
    <n v="33.984000000000002"/>
    <n v="78.763999999999996"/>
    <s v="176/95"/>
    <n v="215"/>
    <n v="52"/>
    <n v="166"/>
    <s v="N"/>
    <s v="Y"/>
    <s v="High"/>
    <s v="Y"/>
    <n v="190.04"/>
    <n v="0.41399999999999998"/>
    <n v="176"/>
    <n v="95"/>
    <s v="Hypertension Stage 2"/>
    <n v="133"/>
    <n v="21.896999999999998"/>
    <x v="0"/>
  </r>
  <r>
    <s v="F"/>
    <x v="5"/>
    <n v="65.016999999999996"/>
    <n v="1.5780000000000001"/>
    <n v="21.577000000000002"/>
    <n v="110.809"/>
    <s v="102/73"/>
    <n v="121"/>
    <n v="48"/>
    <n v="148"/>
    <s v="N"/>
    <s v="N"/>
    <s v="Low"/>
    <s v="Y"/>
    <n v="157.827"/>
    <n v="0.70199999999999996"/>
    <n v="102"/>
    <n v="73"/>
    <s v="Normal"/>
    <n v="43"/>
    <n v="11.835000000000001"/>
    <x v="0"/>
  </r>
  <r>
    <s v="M"/>
    <x v="9"/>
    <n v="111.548"/>
    <n v="1.9119999999999999"/>
    <m/>
    <n v="88.150999999999996"/>
    <s v="130/71"/>
    <n v="102"/>
    <n v="46"/>
    <n v="90"/>
    <s v="Y"/>
    <s v="Y"/>
    <s v="Low"/>
    <s v="N"/>
    <n v="191.18700000000001"/>
    <n v="0.46100000000000002"/>
    <n v="130"/>
    <n v="71"/>
    <s v="Hypertension Stage 1"/>
    <n v="26"/>
    <n v="16.672999999999998"/>
    <x v="0"/>
  </r>
  <r>
    <s v="F"/>
    <x v="37"/>
    <n v="92.683000000000007"/>
    <n v="1.839"/>
    <n v="31.26"/>
    <n v="76.347999999999999"/>
    <s v="169/95"/>
    <n v="297"/>
    <n v="81"/>
    <n v="147"/>
    <s v="N"/>
    <s v="Y"/>
    <s v="High"/>
    <s v="N"/>
    <n v="183.85300000000001"/>
    <n v="0.41499999999999998"/>
    <n v="169"/>
    <n v="95"/>
    <s v="Hypertension Stage 2"/>
    <n v="186"/>
    <n v="22.641999999999999"/>
    <x v="2"/>
  </r>
  <r>
    <s v="F"/>
    <x v="48"/>
    <n v="109.986"/>
    <n v="1.5740000000000001"/>
    <n v="35.325000000000003"/>
    <n v="109.006"/>
    <s v="119/88"/>
    <n v="295"/>
    <n v="77"/>
    <n v="134"/>
    <s v="N"/>
    <s v="N"/>
    <s v="Moderate"/>
    <s v="N"/>
    <n v="157.44200000000001"/>
    <n v="0.69199999999999995"/>
    <n v="119"/>
    <n v="88"/>
    <s v="Hypertension Stage 1"/>
    <n v="188"/>
    <n v="18.914999999999999"/>
    <x v="1"/>
  </r>
  <r>
    <s v="M"/>
    <x v="23"/>
    <n v="62.890999999999998"/>
    <n v="1.639"/>
    <n v="39.597000000000001"/>
    <n v="91.942999999999998"/>
    <s v="100/90"/>
    <n v="157"/>
    <n v="55"/>
    <n v="128"/>
    <s v="N"/>
    <s v="N"/>
    <s v="Low"/>
    <s v="Y"/>
    <n v="163.91300000000001"/>
    <n v="0.56100000000000005"/>
    <n v="100"/>
    <n v="90"/>
    <s v="Hypertension Stage 2"/>
    <n v="72"/>
    <n v="16.059000000000001"/>
    <x v="0"/>
  </r>
  <r>
    <s v="M"/>
    <x v="45"/>
    <n v="58.137999999999998"/>
    <n v="1.8640000000000001"/>
    <n v="31.123000000000001"/>
    <n v="85.182000000000002"/>
    <s v="149/71"/>
    <n v="259"/>
    <n v="78"/>
    <n v="147"/>
    <s v="Y"/>
    <s v="Y"/>
    <s v="Low"/>
    <s v="Y"/>
    <n v="186.435"/>
    <n v="0.45700000000000002"/>
    <n v="149"/>
    <n v="71"/>
    <s v="Hypertension Stage 2"/>
    <n v="151"/>
    <n v="20.855"/>
    <x v="1"/>
  </r>
  <r>
    <s v="M"/>
    <x v="51"/>
    <n v="105.196"/>
    <m/>
    <n v="26.420999999999999"/>
    <n v="92.346999999999994"/>
    <s v="91/97"/>
    <n v="275"/>
    <n v="87"/>
    <n v="93"/>
    <s v="N"/>
    <s v="Y"/>
    <s v="High"/>
    <s v="N"/>
    <n v="168.959"/>
    <n v="0.54700000000000004"/>
    <n v="91"/>
    <n v="97"/>
    <s v="Hypertension Stage 2"/>
    <n v="158"/>
    <n v="17.334"/>
    <x v="0"/>
  </r>
  <r>
    <s v="F"/>
    <x v="45"/>
    <m/>
    <n v="1.7490000000000001"/>
    <n v="35.573999999999998"/>
    <n v="75.444999999999993"/>
    <s v="147/105"/>
    <n v="169"/>
    <n v="79"/>
    <n v="192"/>
    <s v="Y"/>
    <s v="Y"/>
    <s v="Moderate"/>
    <s v="Y"/>
    <n v="174.90299999999999"/>
    <n v="0.43099999999999999"/>
    <n v="147"/>
    <n v="105"/>
    <s v="Hypertension Stage 2"/>
    <n v="60"/>
    <n v="19.844999999999999"/>
    <x v="1"/>
  </r>
  <r>
    <s v="M"/>
    <x v="10"/>
    <n v="111.959"/>
    <n v="1.772"/>
    <n v="32.305999999999997"/>
    <n v="102.645"/>
    <s v="171/75"/>
    <n v="155"/>
    <n v="36"/>
    <n v="130"/>
    <s v="Y"/>
    <s v="Y"/>
    <s v="Moderate"/>
    <s v="Y"/>
    <n v="177.23400000000001"/>
    <n v="0.57899999999999996"/>
    <n v="171"/>
    <m/>
    <s v="Hypertension Stage 2"/>
    <n v="89"/>
    <n v="20.111000000000001"/>
    <x v="1"/>
  </r>
  <r>
    <s v="F"/>
    <x v="31"/>
    <n v="74.241"/>
    <n v="1.5549999999999999"/>
    <n v="24.553999999999998"/>
    <n v="116.941"/>
    <s v="104/107"/>
    <n v="105"/>
    <n v="85"/>
    <n v="122"/>
    <s v="N"/>
    <s v="N"/>
    <s v="Moderate"/>
    <s v="N"/>
    <n v="155.54499999999999"/>
    <n v="0.752"/>
    <n v="104"/>
    <n v="107"/>
    <s v="Hypertension Stage 2"/>
    <n v="-10"/>
    <n v="12.211"/>
    <x v="1"/>
  </r>
  <r>
    <s v="F"/>
    <x v="2"/>
    <n v="62.551000000000002"/>
    <n v="1.8460000000000001"/>
    <n v="36.387"/>
    <n v="105.20699999999999"/>
    <s v="177/62"/>
    <n v="251"/>
    <n v="77"/>
    <n v="191"/>
    <s v="Y"/>
    <s v="N"/>
    <s v="Moderate"/>
    <s v="N"/>
    <n v="184.64699999999999"/>
    <n v="0.56999999999999995"/>
    <n v="177"/>
    <n v="62"/>
    <s v="Hypertension Stage 2"/>
    <n v="144"/>
    <n v="21.146999999999998"/>
    <x v="0"/>
  </r>
  <r>
    <s v="F"/>
    <x v="53"/>
    <n v="113.154"/>
    <n v="1.6579999999999999"/>
    <n v="23.254000000000001"/>
    <n v="100.246"/>
    <s v="148/81"/>
    <n v="250"/>
    <n v="34"/>
    <n v="150"/>
    <s v="N"/>
    <s v="Y"/>
    <s v="High"/>
    <s v="Y"/>
    <n v="165.81399999999999"/>
    <n v="0.60499999999999998"/>
    <n v="148"/>
    <n v="81"/>
    <s v="Hypertension Stage 1"/>
    <n v="186"/>
    <n v="19.050999999999998"/>
    <x v="0"/>
  </r>
  <r>
    <s v="M"/>
    <x v="28"/>
    <n v="80.463999999999999"/>
    <m/>
    <n v="34.707999999999998"/>
    <n v="115.123"/>
    <s v="142/107"/>
    <n v="281"/>
    <n v="61"/>
    <n v="93"/>
    <s v="N"/>
    <s v="Y"/>
    <s v="Moderate"/>
    <s v="N"/>
    <n v="184.43799999999999"/>
    <n v="0.624"/>
    <n v="142"/>
    <n v="107"/>
    <s v="Hypertension Stage 2"/>
    <n v="190"/>
    <n v="21.661999999999999"/>
    <x v="2"/>
  </r>
  <r>
    <s v="F"/>
    <x v="41"/>
    <n v="63.569000000000003"/>
    <n v="1.6160000000000001"/>
    <n v="21.219000000000001"/>
    <n v="80.661000000000001"/>
    <s v="148/98"/>
    <n v="166"/>
    <n v="79"/>
    <n v="181"/>
    <s v="N"/>
    <s v="Y"/>
    <s v="Low"/>
    <s v="Y"/>
    <n v="161.607"/>
    <n v="0.499"/>
    <n v="148"/>
    <m/>
    <s v="Hypertension Stage 2"/>
    <n v="57"/>
    <n v="16.963999999999999"/>
    <x v="1"/>
  </r>
  <r>
    <s v="M"/>
    <x v="36"/>
    <n v="63.04"/>
    <n v="1.524"/>
    <n v="18.866"/>
    <n v="72.418999999999997"/>
    <s v="111/83"/>
    <n v="187"/>
    <n v="77"/>
    <n v="146"/>
    <s v="N"/>
    <s v="N"/>
    <s v="High"/>
    <s v="Y"/>
    <n v="152.416"/>
    <m/>
    <n v="111"/>
    <n v="83"/>
    <s v="Hypertension Stage 1"/>
    <n v="80"/>
    <n v="13.063000000000001"/>
    <x v="1"/>
  </r>
  <r>
    <s v="F"/>
    <x v="43"/>
    <n v="55.975000000000001"/>
    <n v="1.8320000000000001"/>
    <n v="24.033999999999999"/>
    <n v="115.905"/>
    <s v="128/99"/>
    <n v="270"/>
    <n v="57"/>
    <n v="146"/>
    <s v="Y"/>
    <s v="Y"/>
    <s v="Moderate"/>
    <s v="N"/>
    <n v="183.17599999999999"/>
    <n v="0.63300000000000001"/>
    <n v="128"/>
    <n v="99"/>
    <s v="Hypertension Stage 2"/>
    <m/>
    <n v="18.606999999999999"/>
    <x v="1"/>
  </r>
  <r>
    <s v="M"/>
    <x v="2"/>
    <n v="56.551000000000002"/>
    <n v="1.9159999999999999"/>
    <n v="23.640999999999998"/>
    <n v="88.822000000000003"/>
    <s v="106/79"/>
    <m/>
    <n v="73"/>
    <n v="169"/>
    <s v="Y"/>
    <s v="Y"/>
    <s v="Low"/>
    <s v="N"/>
    <n v="191.62200000000001"/>
    <m/>
    <n v="106"/>
    <n v="79"/>
    <s v="Normal"/>
    <n v="179"/>
    <n v="17.667999999999999"/>
    <x v="2"/>
  </r>
  <r>
    <s v="M"/>
    <x v="49"/>
    <n v="86.263999999999996"/>
    <n v="1.694"/>
    <n v="29.422999999999998"/>
    <n v="119.233"/>
    <s v="170/62"/>
    <n v="204"/>
    <n v="65"/>
    <n v="82"/>
    <s v="N"/>
    <s v="N"/>
    <s v="High"/>
    <s v="Y"/>
    <m/>
    <n v="0.70399999999999996"/>
    <n v="170"/>
    <m/>
    <s v="Hypertension Stage 2"/>
    <n v="109"/>
    <n v="18.465"/>
    <x v="0"/>
  </r>
  <r>
    <s v="M"/>
    <x v="27"/>
    <n v="72.364000000000004"/>
    <n v="1.9279999999999999"/>
    <n v="35.698999999999998"/>
    <n v="108.85299999999999"/>
    <s v="115/115"/>
    <n v="199"/>
    <n v="38"/>
    <n v="168"/>
    <s v="Y"/>
    <s v="Y"/>
    <s v="Moderate"/>
    <s v="Y"/>
    <n v="192.79900000000001"/>
    <n v="0.56499999999999995"/>
    <n v="115"/>
    <n v="115"/>
    <s v="Hypertension Stage 2"/>
    <n v="131"/>
    <n v="18.87"/>
    <x v="2"/>
  </r>
  <r>
    <s v="M"/>
    <x v="27"/>
    <n v="62.459000000000003"/>
    <n v="1.579"/>
    <n v="20.474"/>
    <m/>
    <s v="177/81"/>
    <n v="181"/>
    <n v="36"/>
    <n v="74"/>
    <s v="Y"/>
    <s v="N"/>
    <s v="High"/>
    <s v="Y"/>
    <m/>
    <n v="0.64800000000000002"/>
    <n v="177"/>
    <n v="81"/>
    <s v="Hypertension Stage 1"/>
    <n v="115"/>
    <n v="16.565000000000001"/>
    <x v="1"/>
  </r>
  <r>
    <s v="F"/>
    <x v="10"/>
    <n v="89.650999999999996"/>
    <n v="1.603"/>
    <n v="27.783000000000001"/>
    <n v="70.403000000000006"/>
    <s v="129/108"/>
    <m/>
    <n v="52"/>
    <n v="151"/>
    <s v="Y"/>
    <s v="N"/>
    <s v="Moderate"/>
    <s v="Y"/>
    <n v="160.32599999999999"/>
    <n v="0.439"/>
    <n v="129"/>
    <n v="108"/>
    <s v="Hypertension Stage 2"/>
    <n v="112"/>
    <m/>
    <x v="0"/>
  </r>
  <r>
    <s v="F"/>
    <x v="19"/>
    <n v="62.347000000000001"/>
    <n v="1.5349999999999999"/>
    <n v="32.843000000000004"/>
    <n v="89.638000000000005"/>
    <s v="125/86"/>
    <n v="177"/>
    <m/>
    <n v="87"/>
    <s v="Y"/>
    <s v="Y"/>
    <s v="Low"/>
    <s v="Y"/>
    <n v="153.51300000000001"/>
    <n v="0.58399999999999996"/>
    <n v="125"/>
    <n v="86"/>
    <s v="Hypertension Stage 1"/>
    <n v="90"/>
    <n v="18.359000000000002"/>
    <x v="1"/>
  </r>
  <r>
    <s v="F"/>
    <x v="50"/>
    <n v="64.405000000000001"/>
    <n v="1.601"/>
    <n v="35.043999999999997"/>
    <n v="109.708"/>
    <s v="122/85"/>
    <n v="171"/>
    <n v="79"/>
    <n v="136"/>
    <s v="N"/>
    <s v="Y"/>
    <s v="Moderate"/>
    <s v="N"/>
    <n v="160.13"/>
    <n v="0.68500000000000005"/>
    <n v="122"/>
    <n v="85"/>
    <s v="Hypertension Stage 1"/>
    <n v="62"/>
    <n v="18.529"/>
    <x v="2"/>
  </r>
  <r>
    <s v="F"/>
    <x v="0"/>
    <m/>
    <n v="1.8979999999999999"/>
    <n v="36.837000000000003"/>
    <n v="72.41"/>
    <s v="125/111"/>
    <n v="233"/>
    <n v="52"/>
    <n v="84"/>
    <s v="N"/>
    <s v="N"/>
    <s v="High"/>
    <s v="Y"/>
    <n v="189.815"/>
    <n v="0.38100000000000001"/>
    <n v="125"/>
    <m/>
    <s v="Hypertension Stage 2"/>
    <n v="151"/>
    <n v="18.277000000000001"/>
    <x v="0"/>
  </r>
  <r>
    <s v="M"/>
    <x v="11"/>
    <n v="114.426"/>
    <n v="1.823"/>
    <n v="38.582000000000001"/>
    <n v="105.06699999999999"/>
    <s v="171/86"/>
    <n v="140"/>
    <n v="54"/>
    <n v="116"/>
    <s v="Y"/>
    <s v="Y"/>
    <s v="High"/>
    <s v="N"/>
    <n v="182.28700000000001"/>
    <n v="0.57599999999999996"/>
    <n v="171"/>
    <n v="86"/>
    <s v="Hypertension Stage 1"/>
    <n v="56"/>
    <n v="21.065999999999999"/>
    <x v="1"/>
  </r>
  <r>
    <s v="M"/>
    <x v="34"/>
    <n v="87.046000000000006"/>
    <n v="1.5249999999999999"/>
    <n v="23.282"/>
    <n v="112.155"/>
    <s v="128/84"/>
    <n v="209"/>
    <n v="41"/>
    <n v="137"/>
    <s v="N"/>
    <s v="N"/>
    <s v="High"/>
    <s v="N"/>
    <n v="152.53800000000001"/>
    <n v="0.73499999999999999"/>
    <n v="128"/>
    <n v="84"/>
    <s v="Hypertension Stage 1"/>
    <n v="138"/>
    <n v="15.236000000000001"/>
    <x v="1"/>
  </r>
  <r>
    <s v="F"/>
    <x v="18"/>
    <n v="89.635999999999996"/>
    <n v="1.752"/>
    <n v="23.7"/>
    <n v="78.406000000000006"/>
    <s v="148/63"/>
    <n v="292"/>
    <m/>
    <n v="154"/>
    <s v="N"/>
    <s v="N"/>
    <s v="Low"/>
    <s v="N"/>
    <n v="175.22300000000001"/>
    <n v="0.44700000000000001"/>
    <n v="148"/>
    <n v="63"/>
    <s v="Hypertension Stage 2"/>
    <n v="223"/>
    <n v="17.98"/>
    <x v="1"/>
  </r>
  <r>
    <s v="M"/>
    <x v="38"/>
    <n v="71.016000000000005"/>
    <n v="1.7689999999999999"/>
    <n v="29.196999999999999"/>
    <n v="85.153999999999996"/>
    <s v="127/84"/>
    <n v="173"/>
    <n v="81"/>
    <n v="139"/>
    <s v="N"/>
    <s v="N"/>
    <s v="Low"/>
    <s v="N"/>
    <n v="176.90100000000001"/>
    <n v="0.48099999999999998"/>
    <n v="127"/>
    <n v="84"/>
    <s v="Hypertension Stage 1"/>
    <n v="62"/>
    <m/>
    <x v="2"/>
  </r>
  <r>
    <s v="F"/>
    <x v="33"/>
    <n v="114.762"/>
    <n v="1.9079999999999999"/>
    <n v="29.827000000000002"/>
    <n v="75.754000000000005"/>
    <s v="105/102"/>
    <n v="270"/>
    <n v="53"/>
    <n v="189"/>
    <s v="Y"/>
    <s v="N"/>
    <s v="Low"/>
    <s v="N"/>
    <n v="190.84100000000001"/>
    <n v="0.39700000000000002"/>
    <n v="105"/>
    <n v="102"/>
    <s v="Hypertension Stage 2"/>
    <n v="187"/>
    <n v="16.614999999999998"/>
    <x v="0"/>
  </r>
  <r>
    <s v="M"/>
    <x v="17"/>
    <n v="85.018000000000001"/>
    <n v="1.913"/>
    <m/>
    <n v="115.545"/>
    <s v="171/75"/>
    <n v="243"/>
    <n v="82"/>
    <n v="157"/>
    <s v="Y"/>
    <s v="N"/>
    <s v="Moderate"/>
    <s v="Y"/>
    <n v="191.29900000000001"/>
    <n v="0.60399999999999998"/>
    <n v="171"/>
    <n v="75"/>
    <s v="Hypertension Stage 2"/>
    <m/>
    <n v="17.579000000000001"/>
    <x v="0"/>
  </r>
  <r>
    <s v="F"/>
    <x v="5"/>
    <n v="117.861"/>
    <n v="1.708"/>
    <n v="29.817"/>
    <n v="79.664000000000001"/>
    <s v="105/118"/>
    <n v="154"/>
    <n v="66"/>
    <n v="96"/>
    <s v="N"/>
    <s v="N"/>
    <s v="Moderate"/>
    <s v="Y"/>
    <n v="170.84700000000001"/>
    <n v="0.46600000000000003"/>
    <n v="105"/>
    <n v="118"/>
    <s v="Hypertension Stage 2"/>
    <n v="58"/>
    <n v="14.292999999999999"/>
    <x v="0"/>
  </r>
  <r>
    <s v="F"/>
    <x v="39"/>
    <n v="107.306"/>
    <n v="1.516"/>
    <n v="33.795999999999999"/>
    <n v="97.468999999999994"/>
    <s v="144/86"/>
    <n v="234"/>
    <n v="55"/>
    <n v="160"/>
    <s v="Y"/>
    <s v="Y"/>
    <s v="Moderate"/>
    <s v="Y"/>
    <n v="151.61600000000001"/>
    <n v="0.64300000000000002"/>
    <n v="144"/>
    <n v="86"/>
    <s v="Hypertension Stage 1"/>
    <n v="149"/>
    <m/>
    <x v="2"/>
  </r>
  <r>
    <s v="F"/>
    <x v="26"/>
    <n v="91.667000000000002"/>
    <n v="1.5109999999999999"/>
    <n v="21.881"/>
    <n v="80.91"/>
    <s v="144/64"/>
    <n v="231"/>
    <n v="76"/>
    <n v="183"/>
    <s v="N"/>
    <s v="N"/>
    <s v="Low"/>
    <s v="N"/>
    <n v="151.09700000000001"/>
    <n v="0.53500000000000003"/>
    <n v="144"/>
    <n v="64"/>
    <s v="Hypertension Stage 2"/>
    <n v="125"/>
    <n v="16.196000000000002"/>
    <x v="1"/>
  </r>
  <r>
    <s v="M"/>
    <x v="43"/>
    <n v="65.382999999999996"/>
    <n v="1.504"/>
    <n v="28.513000000000002"/>
    <n v="73.721999999999994"/>
    <s v="98/85"/>
    <n v="123"/>
    <n v="48"/>
    <n v="137"/>
    <s v="Y"/>
    <s v="Y"/>
    <s v="High"/>
    <s v="Y"/>
    <n v="150.39099999999999"/>
    <n v="0.49"/>
    <n v="98"/>
    <n v="85"/>
    <s v="Hypertension Stage 1"/>
    <n v="45"/>
    <n v="15.063000000000001"/>
    <x v="1"/>
  </r>
  <r>
    <s v="M"/>
    <x v="46"/>
    <n v="113.78700000000001"/>
    <n v="1.9730000000000001"/>
    <n v="38.463999999999999"/>
    <n v="71.033000000000001"/>
    <s v="166/96"/>
    <n v="236"/>
    <n v="77"/>
    <n v="71"/>
    <s v="Y"/>
    <s v="N"/>
    <s v="Moderate"/>
    <s v="N"/>
    <n v="197.28899999999999"/>
    <n v="0.36"/>
    <n v="166"/>
    <n v="96"/>
    <s v="Hypertension Stage 2"/>
    <n v="129"/>
    <n v="20.713000000000001"/>
    <x v="2"/>
  </r>
  <r>
    <s v="F"/>
    <x v="28"/>
    <n v="80.429000000000002"/>
    <n v="1.7430000000000001"/>
    <n v="28.158999999999999"/>
    <n v="82.548000000000002"/>
    <s v="146/75"/>
    <n v="191"/>
    <n v="44"/>
    <n v="165"/>
    <s v="N"/>
    <s v="Y"/>
    <s v="Low"/>
    <s v="Y"/>
    <n v="174.26300000000001"/>
    <n v="0.47399999999999998"/>
    <n v="146"/>
    <m/>
    <s v="Hypertension Stage 2"/>
    <n v="117"/>
    <n v="18.751999999999999"/>
    <x v="1"/>
  </r>
  <r>
    <s v="M"/>
    <x v="52"/>
    <n v="110.797"/>
    <n v="1.768"/>
    <n v="32.759"/>
    <n v="84.932000000000002"/>
    <s v="149/80"/>
    <n v="192"/>
    <n v="69"/>
    <n v="146"/>
    <s v="Y"/>
    <s v="Y"/>
    <s v="Low"/>
    <s v="Y"/>
    <n v="176.768"/>
    <n v="0.48"/>
    <n v="149"/>
    <n v="80"/>
    <s v="Hypertension Stage 1"/>
    <n v="93"/>
    <n v="19.841999999999999"/>
    <x v="0"/>
  </r>
  <r>
    <s v="F"/>
    <x v="36"/>
    <n v="85.447999999999993"/>
    <n v="1.548"/>
    <n v="29.422999999999998"/>
    <n v="105.4"/>
    <s v="165/86"/>
    <n v="289"/>
    <n v="76"/>
    <n v="158"/>
    <s v="Y"/>
    <s v="N"/>
    <s v="Moderate"/>
    <s v="Y"/>
    <n v="154.81200000000001"/>
    <n v="0.68100000000000005"/>
    <n v="165"/>
    <n v="86"/>
    <s v="Hypertension Stage 1"/>
    <n v="183"/>
    <n v="19.914999999999999"/>
    <x v="0"/>
  </r>
  <r>
    <s v="F"/>
    <x v="33"/>
    <n v="67.028999999999996"/>
    <n v="1.6240000000000001"/>
    <n v="21.408000000000001"/>
    <n v="114.26900000000001"/>
    <s v="124/86"/>
    <n v="290"/>
    <n v="49"/>
    <n v="187"/>
    <s v="N"/>
    <s v="Y"/>
    <s v="Low"/>
    <s v="N"/>
    <n v="162.35900000000001"/>
    <n v="0.70399999999999996"/>
    <n v="124"/>
    <n v="86"/>
    <s v="Hypertension Stage 1"/>
    <n v="211"/>
    <m/>
    <x v="2"/>
  </r>
  <r>
    <s v="F"/>
    <x v="18"/>
    <n v="61.326000000000001"/>
    <n v="1.651"/>
    <n v="33.648000000000003"/>
    <n v="90.445999999999998"/>
    <s v="142/114"/>
    <n v="116"/>
    <n v="89"/>
    <n v="139"/>
    <s v="Y"/>
    <s v="Y"/>
    <s v="Moderate"/>
    <s v="Y"/>
    <n v="165.10499999999999"/>
    <n v="0.54800000000000004"/>
    <n v="142"/>
    <n v="114"/>
    <s v="Hypertension Stage 2"/>
    <n v="-3"/>
    <n v="18.149999999999999"/>
    <x v="0"/>
  </r>
  <r>
    <s v="F"/>
    <x v="3"/>
    <n v="52.875999999999998"/>
    <n v="1.728"/>
    <n v="27.186"/>
    <n v="77.87"/>
    <s v="95/65"/>
    <n v="242"/>
    <n v="77"/>
    <n v="164"/>
    <s v="Y"/>
    <s v="N"/>
    <s v="Moderate"/>
    <s v="Y"/>
    <n v="172.846"/>
    <n v="0.45100000000000001"/>
    <n v="95"/>
    <n v="65"/>
    <s v="Normal"/>
    <n v="135"/>
    <m/>
    <x v="2"/>
  </r>
  <r>
    <s v="F"/>
    <x v="24"/>
    <n v="68.89"/>
    <n v="1.6870000000000001"/>
    <n v="37.372"/>
    <n v="98.302000000000007"/>
    <s v="164/101"/>
    <n v="276"/>
    <n v="63"/>
    <n v="115"/>
    <s v="Y"/>
    <s v="Y"/>
    <s v="Moderate"/>
    <s v="N"/>
    <n v="168.66300000000001"/>
    <n v="0.58299999999999996"/>
    <n v="164"/>
    <n v="101"/>
    <s v="Hypertension Stage 2"/>
    <n v="183"/>
    <n v="23.193999999999999"/>
    <x v="0"/>
  </r>
  <r>
    <s v="F"/>
    <x v="8"/>
    <n v="117.474"/>
    <n v="1.587"/>
    <n v="25.332999999999998"/>
    <n v="99.730999999999995"/>
    <s v="129/101"/>
    <n v="176"/>
    <n v="51"/>
    <n v="139"/>
    <s v="N"/>
    <s v="N"/>
    <s v="Moderate"/>
    <s v="N"/>
    <n v="158.74199999999999"/>
    <n v="0.628"/>
    <m/>
    <n v="101"/>
    <s v="Hypertension Stage 2"/>
    <n v="95"/>
    <n v="15.037000000000001"/>
    <x v="0"/>
  </r>
  <r>
    <s v="M"/>
    <x v="22"/>
    <n v="90.748000000000005"/>
    <n v="1.7050000000000001"/>
    <n v="30.866"/>
    <n v="108.768"/>
    <s v="105/113"/>
    <n v="198"/>
    <n v="51"/>
    <n v="157"/>
    <s v="N"/>
    <s v="N"/>
    <s v="Moderate"/>
    <s v="N"/>
    <n v="170.518"/>
    <n v="0.63800000000000001"/>
    <n v="105"/>
    <n v="113"/>
    <s v="Hypertension Stage 2"/>
    <n v="117"/>
    <n v="15.382999999999999"/>
    <x v="0"/>
  </r>
  <r>
    <s v="M"/>
    <x v="17"/>
    <n v="89.86"/>
    <n v="1.65"/>
    <m/>
    <n v="98.950999999999993"/>
    <s v="142/118"/>
    <m/>
    <n v="33"/>
    <n v="186"/>
    <s v="N"/>
    <s v="Y"/>
    <s v="Low"/>
    <s v="N"/>
    <n v="165.01400000000001"/>
    <n v="0.6"/>
    <n v="142"/>
    <n v="118"/>
    <s v="Hypertension Stage 2"/>
    <n v="209"/>
    <n v="18.942"/>
    <x v="1"/>
  </r>
  <r>
    <s v="M"/>
    <x v="0"/>
    <n v="59.01"/>
    <n v="1.51"/>
    <n v="32.725000000000001"/>
    <n v="111.55500000000001"/>
    <s v="169/65"/>
    <n v="298"/>
    <n v="49"/>
    <n v="96"/>
    <s v="N"/>
    <s v="Y"/>
    <s v="High"/>
    <s v="N"/>
    <n v="151.01"/>
    <n v="0.73899999999999999"/>
    <n v="169"/>
    <n v="65"/>
    <s v="Hypertension Stage 2"/>
    <n v="219"/>
    <n v="22.954999999999998"/>
    <x v="0"/>
  </r>
  <r>
    <s v="F"/>
    <x v="8"/>
    <n v="99.706999999999994"/>
    <n v="1.968"/>
    <n v="30.760999999999999"/>
    <m/>
    <s v="154/87"/>
    <n v="224"/>
    <n v="46"/>
    <n v="177"/>
    <s v="N"/>
    <s v="N"/>
    <s v="Moderate"/>
    <s v="N"/>
    <n v="196.75700000000001"/>
    <n v="0.44600000000000001"/>
    <n v="154"/>
    <n v="87"/>
    <s v="Hypertension Stage 1"/>
    <n v="148"/>
    <n v="18.332000000000001"/>
    <x v="0"/>
  </r>
  <r>
    <s v="F"/>
    <x v="30"/>
    <n v="100.23399999999999"/>
    <n v="1.52"/>
    <n v="30.731999999999999"/>
    <n v="115.40900000000001"/>
    <s v="97/96"/>
    <n v="127"/>
    <n v="61"/>
    <n v="164"/>
    <s v="N"/>
    <s v="N"/>
    <s v="Moderate"/>
    <s v="Y"/>
    <n v="151.965"/>
    <n v="0.75900000000000001"/>
    <n v="97"/>
    <n v="96"/>
    <s v="Hypertension Stage 2"/>
    <n v="36"/>
    <n v="13.536"/>
    <x v="1"/>
  </r>
  <r>
    <s v="M"/>
    <x v="18"/>
    <n v="88.03"/>
    <n v="1.9870000000000001"/>
    <n v="22.225000000000001"/>
    <n v="107.69"/>
    <s v="174/82"/>
    <n v="204"/>
    <n v="50"/>
    <n v="119"/>
    <s v="Y"/>
    <s v="Y"/>
    <s v="Moderate"/>
    <s v="Y"/>
    <n v="198.666"/>
    <m/>
    <n v="174"/>
    <m/>
    <s v="Hypertension Stage 1"/>
    <n v="124"/>
    <n v="19.225000000000001"/>
    <x v="1"/>
  </r>
  <r>
    <s v="F"/>
    <x v="27"/>
    <n v="95.67"/>
    <n v="1.631"/>
    <n v="37.857999999999997"/>
    <n v="70.183999999999997"/>
    <s v="116/72"/>
    <n v="166"/>
    <n v="44"/>
    <n v="77"/>
    <s v="N"/>
    <s v="N"/>
    <s v="High"/>
    <s v="N"/>
    <n v="163.102"/>
    <n v="0.43"/>
    <n v="116"/>
    <n v="72"/>
    <s v="Normal"/>
    <n v="92"/>
    <n v="16.692"/>
    <x v="2"/>
  </r>
  <r>
    <s v="F"/>
    <x v="44"/>
    <n v="104.387"/>
    <m/>
    <n v="23.105"/>
    <n v="114.05"/>
    <s v="91/69"/>
    <n v="167"/>
    <n v="47"/>
    <n v="188"/>
    <s v="N"/>
    <s v="N"/>
    <s v="Low"/>
    <s v="Y"/>
    <n v="172.429"/>
    <n v="0.66100000000000003"/>
    <n v="91"/>
    <n v="69"/>
    <s v="Normal"/>
    <n v="90"/>
    <n v="12.510999999999999"/>
    <x v="1"/>
  </r>
  <r>
    <s v="M"/>
    <x v="31"/>
    <n v="105.97499999999999"/>
    <m/>
    <n v="22.39"/>
    <n v="87.486999999999995"/>
    <s v="175/80"/>
    <n v="254"/>
    <n v="75"/>
    <n v="78"/>
    <s v="N"/>
    <s v="N"/>
    <s v="Moderate"/>
    <s v="N"/>
    <n v="197.45500000000001"/>
    <n v="0.443"/>
    <n v="175"/>
    <n v="80"/>
    <s v="Hypertension Stage 1"/>
    <n v="149"/>
    <n v="18.308"/>
    <x v="1"/>
  </r>
  <r>
    <s v="F"/>
    <x v="16"/>
    <n v="101.53"/>
    <n v="1.7270000000000001"/>
    <n v="35.423000000000002"/>
    <n v="110.121"/>
    <s v="143/67"/>
    <n v="174"/>
    <n v="38"/>
    <n v="161"/>
    <s v="Y"/>
    <s v="Y"/>
    <s v="High"/>
    <s v="Y"/>
    <n v="172.65700000000001"/>
    <n v="0.63800000000000001"/>
    <n v="143"/>
    <n v="67"/>
    <s v="Hypertension Stage 2"/>
    <n v="106"/>
    <n v="19.715"/>
    <x v="1"/>
  </r>
  <r>
    <s v="M"/>
    <x v="53"/>
    <n v="89.388000000000005"/>
    <n v="1.716"/>
    <n v="26.207999999999998"/>
    <n v="78.400000000000006"/>
    <s v="165/72"/>
    <n v="223"/>
    <n v="49"/>
    <n v="94"/>
    <s v="N"/>
    <s v="Y"/>
    <s v="Low"/>
    <s v="N"/>
    <n v="171.63499999999999"/>
    <n v="0.45700000000000002"/>
    <n v="165"/>
    <n v="72"/>
    <s v="Hypertension Stage 2"/>
    <n v="144"/>
    <n v="19.952000000000002"/>
    <x v="2"/>
  </r>
  <r>
    <s v="F"/>
    <x v="8"/>
    <n v="116.29900000000001"/>
    <n v="1.665"/>
    <n v="23.504000000000001"/>
    <n v="107.21899999999999"/>
    <s v="97/74"/>
    <n v="216"/>
    <n v="82"/>
    <n v="168"/>
    <s v="Y"/>
    <s v="Y"/>
    <s v="Moderate"/>
    <s v="N"/>
    <n v="166.47399999999999"/>
    <n v="0.64400000000000002"/>
    <n v="97"/>
    <n v="74"/>
    <s v="Normal"/>
    <n v="104"/>
    <n v="15.871"/>
    <x v="2"/>
  </r>
  <r>
    <s v="F"/>
    <x v="9"/>
    <n v="117.36499999999999"/>
    <n v="1.748"/>
    <n v="38.31"/>
    <n v="118.246"/>
    <s v="105/87"/>
    <n v="200"/>
    <n v="35"/>
    <n v="87"/>
    <s v="Y"/>
    <s v="Y"/>
    <s v="High"/>
    <s v="N"/>
    <n v="174.81399999999999"/>
    <n v="0.67600000000000005"/>
    <n v="105"/>
    <n v="87"/>
    <s v="Hypertension Stage 1"/>
    <n v="135"/>
    <n v="18.911999999999999"/>
    <x v="0"/>
  </r>
  <r>
    <s v="M"/>
    <x v="52"/>
    <n v="91.625"/>
    <n v="1.702"/>
    <n v="35.277999999999999"/>
    <m/>
    <s v="162/60"/>
    <n v="189"/>
    <n v="76"/>
    <n v="153"/>
    <s v="N"/>
    <s v="Y"/>
    <s v="Moderate"/>
    <s v="N"/>
    <m/>
    <n v="0.60099999999999998"/>
    <n v="162"/>
    <n v="60"/>
    <s v="Hypertension Stage 2"/>
    <n v="83"/>
    <n v="20.936"/>
    <x v="0"/>
  </r>
  <r>
    <s v="F"/>
    <x v="11"/>
    <n v="72.069999999999993"/>
    <n v="1.889"/>
    <m/>
    <n v="95.325999999999993"/>
    <s v="119/66"/>
    <n v="157"/>
    <n v="60"/>
    <n v="93"/>
    <s v="N"/>
    <s v="N"/>
    <s v="Moderate"/>
    <s v="Y"/>
    <n v="188.89400000000001"/>
    <n v="0.505"/>
    <n v="119"/>
    <n v="66"/>
    <s v="Normal"/>
    <n v="67"/>
    <n v="14.3"/>
    <x v="2"/>
  </r>
  <r>
    <s v="F"/>
    <x v="54"/>
    <n v="85.876999999999995"/>
    <n v="1.825"/>
    <n v="24.425999999999998"/>
    <n v="112.34"/>
    <s v="102/115"/>
    <n v="241"/>
    <n v="84"/>
    <m/>
    <s v="Y"/>
    <s v="N"/>
    <s v="Low"/>
    <s v="N"/>
    <n v="182.48500000000001"/>
    <n v="0.61599999999999999"/>
    <n v="102"/>
    <n v="115"/>
    <s v="Hypertension Stage 2"/>
    <n v="127"/>
    <n v="14.805"/>
    <x v="0"/>
  </r>
  <r>
    <s v="M"/>
    <x v="12"/>
    <n v="98.626000000000005"/>
    <n v="1.5209999999999999"/>
    <n v="20.055"/>
    <n v="77.192999999999998"/>
    <s v="150/90"/>
    <n v="237"/>
    <n v="82"/>
    <n v="147"/>
    <s v="N"/>
    <s v="Y"/>
    <s v="High"/>
    <s v="N"/>
    <n v="152.119"/>
    <n v="0.50700000000000001"/>
    <n v="150"/>
    <n v="90"/>
    <s v="Hypertension Stage 2"/>
    <n v="125"/>
    <n v="18.251000000000001"/>
    <x v="0"/>
  </r>
  <r>
    <s v="M"/>
    <x v="49"/>
    <n v="116.163"/>
    <n v="1.841"/>
    <n v="29.279"/>
    <n v="114.197"/>
    <s v="112/63"/>
    <n v="193"/>
    <n v="84"/>
    <n v="123"/>
    <s v="N"/>
    <s v="N"/>
    <s v="High"/>
    <s v="Y"/>
    <n v="184.059"/>
    <n v="0.62"/>
    <n v="112"/>
    <n v="63"/>
    <s v="Normal"/>
    <n v="79"/>
    <n v="15.316000000000001"/>
    <x v="0"/>
  </r>
  <r>
    <s v="F"/>
    <x v="54"/>
    <n v="111.627"/>
    <n v="1.867"/>
    <n v="22.016999999999999"/>
    <n v="97.691999999999993"/>
    <s v="134/67"/>
    <n v="218"/>
    <n v="68"/>
    <n v="166"/>
    <s v="N"/>
    <s v="N"/>
    <s v="High"/>
    <s v="N"/>
    <n v="186.73500000000001"/>
    <n v="0.52300000000000002"/>
    <n v="134"/>
    <n v="67"/>
    <s v="Hypertension Stage 1"/>
    <n v="120"/>
    <n v="15.462999999999999"/>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9">
  <r>
    <x v="0"/>
    <n v="32"/>
    <n v="69.099999999999994"/>
    <n v="1.71"/>
    <n v="23.6"/>
    <n v="86.2"/>
    <s v="125/79"/>
    <n v="248"/>
    <n v="78"/>
    <n v="111"/>
    <x v="0"/>
    <s v="Y"/>
    <s v="Low"/>
    <s v="N"/>
    <n v="171"/>
    <n v="0.504"/>
    <n v="125"/>
    <n v="79"/>
    <s v="Elevated"/>
    <n v="140"/>
    <n v="17.93"/>
    <x v="0"/>
    <x v="0"/>
  </r>
  <r>
    <x v="0"/>
    <n v="55"/>
    <n v="118.7"/>
    <n v="1.69"/>
    <n v="41.6"/>
    <n v="82.5"/>
    <s v="139/70"/>
    <n v="162"/>
    <n v="50"/>
    <n v="135"/>
    <x v="1"/>
    <s v="Y"/>
    <s v="High"/>
    <s v="Y"/>
    <n v="169"/>
    <n v="0.48799999999999999"/>
    <n v="139"/>
    <n v="70"/>
    <s v="Hypertension Stage 1"/>
    <n v="82"/>
    <n v="20.51"/>
    <x v="1"/>
    <x v="1"/>
  </r>
  <r>
    <x v="1"/>
    <m/>
    <m/>
    <n v="1.83"/>
    <n v="26.9"/>
    <n v="106.7"/>
    <s v="104/77"/>
    <n v="103"/>
    <n v="73"/>
    <n v="114"/>
    <x v="0"/>
    <s v="N"/>
    <s v="High"/>
    <s v="Y"/>
    <n v="183"/>
    <n v="0.58299999999999996"/>
    <n v="104"/>
    <n v="77"/>
    <s v="Normal"/>
    <n v="0"/>
    <n v="12.64"/>
    <x v="0"/>
    <x v="0"/>
  </r>
  <r>
    <x v="1"/>
    <n v="44"/>
    <n v="108.3"/>
    <n v="1.8"/>
    <n v="33.4"/>
    <n v="96.6"/>
    <s v="140/83"/>
    <n v="134"/>
    <n v="46"/>
    <n v="91"/>
    <x v="0"/>
    <s v="N"/>
    <s v="High"/>
    <s v="Y"/>
    <m/>
    <n v="0.53700000000000003"/>
    <n v="140"/>
    <n v="83"/>
    <s v="Hypertension Stage 1"/>
    <n v="58"/>
    <n v="16.36"/>
    <x v="0"/>
    <x v="0"/>
  </r>
  <r>
    <x v="0"/>
    <n v="32"/>
    <n v="99.5"/>
    <n v="1.86"/>
    <n v="28.8"/>
    <n v="102.7"/>
    <s v="144/83"/>
    <n v="146"/>
    <n v="64"/>
    <n v="141"/>
    <x v="1"/>
    <s v="Y"/>
    <s v="High"/>
    <s v="N"/>
    <n v="186"/>
    <n v="0.55200000000000005"/>
    <n v="144"/>
    <n v="83"/>
    <s v="Hypertension Stage 1"/>
    <n v="52"/>
    <n v="17.88"/>
    <x v="0"/>
    <x v="0"/>
  </r>
  <r>
    <x v="0"/>
    <n v="58"/>
    <n v="117.9"/>
    <n v="1.87"/>
    <n v="33.700000000000003"/>
    <n v="81.400000000000006"/>
    <s v="142/90"/>
    <n v="156"/>
    <n v="67"/>
    <n v="82"/>
    <x v="1"/>
    <s v="N"/>
    <s v="Moderate"/>
    <s v="Y"/>
    <n v="187"/>
    <n v="0.435"/>
    <n v="142"/>
    <n v="90"/>
    <s v="Hypertension Stage 2"/>
    <n v="59"/>
    <n v="16.96"/>
    <x v="1"/>
    <x v="1"/>
  </r>
  <r>
    <x v="1"/>
    <n v="33"/>
    <n v="117.9"/>
    <n v="1.82"/>
    <n v="35.6"/>
    <n v="74.8"/>
    <s v="96/63"/>
    <n v="184"/>
    <n v="66"/>
    <n v="87"/>
    <x v="0"/>
    <s v="Y"/>
    <s v="Low"/>
    <s v="N"/>
    <n v="182"/>
    <n v="0.41099999999999998"/>
    <n v="96"/>
    <n v="63"/>
    <s v="Normal"/>
    <n v="88"/>
    <n v="17.600000000000001"/>
    <x v="0"/>
    <x v="0"/>
  </r>
  <r>
    <x v="1"/>
    <n v="55"/>
    <n v="100.1"/>
    <n v="1.74"/>
    <n v="33.1"/>
    <n v="96.6"/>
    <s v="115/73"/>
    <n v="287"/>
    <n v="40"/>
    <n v="96"/>
    <x v="1"/>
    <s v="N"/>
    <s v="Moderate"/>
    <s v="N"/>
    <n v="174"/>
    <n v="0.55500000000000005"/>
    <n v="115"/>
    <n v="73"/>
    <s v="Normal"/>
    <n v="217"/>
    <n v="18.11"/>
    <x v="1"/>
    <x v="1"/>
  </r>
  <r>
    <x v="0"/>
    <n v="37"/>
    <n v="110.1"/>
    <n v="1.86"/>
    <n v="31.8"/>
    <n v="92.4"/>
    <s v="107/95"/>
    <n v="177"/>
    <n v="68"/>
    <n v="70"/>
    <x v="1"/>
    <s v="N"/>
    <s v="High"/>
    <s v="N"/>
    <n v="186"/>
    <n v="0.497"/>
    <m/>
    <n v="95"/>
    <s v="Hypertension Stage 2"/>
    <n v="79"/>
    <n v="15.25"/>
    <x v="0"/>
    <x v="0"/>
  </r>
  <r>
    <x v="0"/>
    <n v="58"/>
    <n v="97.6"/>
    <n v="1.86"/>
    <n v="28.2"/>
    <n v="74.599999999999994"/>
    <s v="133/83"/>
    <n v="281"/>
    <n v="68"/>
    <n v="126"/>
    <x v="0"/>
    <s v="N"/>
    <s v="Moderate"/>
    <s v="N"/>
    <n v="186"/>
    <n v="0.40100000000000002"/>
    <n v="133"/>
    <n v="83"/>
    <s v="Hypertension Stage 1"/>
    <n v="183"/>
    <n v="17.91"/>
    <x v="0"/>
    <x v="0"/>
  </r>
  <r>
    <x v="0"/>
    <n v="38"/>
    <n v="75.599999999999994"/>
    <n v="1.6"/>
    <n v="29.5"/>
    <n v="72.3"/>
    <s v="129/87"/>
    <n v="269"/>
    <n v="61"/>
    <n v="74"/>
    <x v="1"/>
    <s v="Y"/>
    <s v="Low"/>
    <s v="Y"/>
    <n v="160"/>
    <n v="0.45200000000000001"/>
    <n v="129"/>
    <n v="87"/>
    <s v="Hypertension Stage 1"/>
    <n v="178"/>
    <n v="19.73"/>
    <x v="1"/>
    <x v="1"/>
  </r>
  <r>
    <x v="0"/>
    <n v="32"/>
    <n v="90.2"/>
    <n v="1.85"/>
    <n v="26.4"/>
    <n v="71.8"/>
    <s v="134/91"/>
    <n v="231"/>
    <n v="53"/>
    <n v="121"/>
    <x v="0"/>
    <s v="Y"/>
    <s v="Moderate"/>
    <s v="N"/>
    <n v="185"/>
    <n v="0.38800000000000001"/>
    <n v="134"/>
    <n v="91"/>
    <s v="Hypertension Stage 1"/>
    <n v="148"/>
    <n v="18.600000000000001"/>
    <x v="0"/>
    <x v="0"/>
  </r>
  <r>
    <x v="1"/>
    <n v="48"/>
    <m/>
    <m/>
    <n v="28.8"/>
    <n v="79.7"/>
    <s v="102/63"/>
    <n v="245"/>
    <n v="72"/>
    <n v="97"/>
    <x v="1"/>
    <s v="N"/>
    <s v="Low"/>
    <s v="Y"/>
    <n v="178"/>
    <n v="0.44800000000000001"/>
    <n v="102"/>
    <n v="63"/>
    <s v="Normal"/>
    <n v="143"/>
    <n v="15.76"/>
    <x v="1"/>
    <x v="1"/>
  </r>
  <r>
    <x v="1"/>
    <n v="38"/>
    <n v="117"/>
    <n v="1.81"/>
    <n v="35.700000000000003"/>
    <n v="79.3"/>
    <s v="142/92"/>
    <n v="206"/>
    <n v="51"/>
    <n v="122"/>
    <x v="1"/>
    <s v="Y"/>
    <s v="High"/>
    <s v="Y"/>
    <n v="181"/>
    <n v="0.438"/>
    <n v="142"/>
    <n v="92"/>
    <s v="Hypertension Stage 2"/>
    <n v="125"/>
    <n v="20.36"/>
    <x v="1"/>
    <x v="1"/>
  </r>
  <r>
    <x v="1"/>
    <n v="58"/>
    <n v="104.2"/>
    <n v="1.73"/>
    <n v="34.799999999999997"/>
    <n v="108.4"/>
    <s v="101/64"/>
    <m/>
    <n v="68"/>
    <n v="142"/>
    <x v="1"/>
    <s v="Y"/>
    <s v="Low"/>
    <s v="Y"/>
    <n v="173"/>
    <n v="0.627"/>
    <n v="101"/>
    <n v="64"/>
    <s v="Normal"/>
    <n v="190"/>
    <m/>
    <x v="1"/>
    <x v="1"/>
  </r>
  <r>
    <x v="1"/>
    <n v="38"/>
    <n v="116.5"/>
    <n v="1.64"/>
    <n v="43.3"/>
    <n v="76.7"/>
    <s v="101/67"/>
    <n v="115"/>
    <n v="41"/>
    <n v="111"/>
    <x v="0"/>
    <s v="N"/>
    <s v="Low"/>
    <s v="N"/>
    <n v="164"/>
    <n v="0.46800000000000003"/>
    <n v="101"/>
    <n v="67"/>
    <s v="Normal"/>
    <n v="44"/>
    <n v="16.010000000000002"/>
    <x v="0"/>
    <x v="0"/>
  </r>
  <r>
    <x v="0"/>
    <n v="41"/>
    <n v="60.8"/>
    <n v="1.68"/>
    <n v="21.5"/>
    <n v="77.099999999999994"/>
    <s v="138/99"/>
    <m/>
    <n v="60"/>
    <m/>
    <x v="1"/>
    <s v="Y"/>
    <s v="Low"/>
    <s v="N"/>
    <n v="168"/>
    <m/>
    <n v="138"/>
    <n v="99"/>
    <s v="Hypertension Stage 1"/>
    <n v="138"/>
    <n v="17.760000000000002"/>
    <x v="1"/>
    <x v="1"/>
  </r>
  <r>
    <x v="1"/>
    <n v="57"/>
    <n v="94.5"/>
    <n v="1.8"/>
    <n v="29.2"/>
    <n v="89.9"/>
    <s v="129/100"/>
    <m/>
    <n v="64"/>
    <n v="109"/>
    <x v="0"/>
    <s v="Y"/>
    <s v="Moderate"/>
    <s v="N"/>
    <n v="180"/>
    <n v="0.499"/>
    <n v="129"/>
    <n v="100"/>
    <s v="Hypertension Stage 2"/>
    <n v="78"/>
    <n v="17.73"/>
    <x v="0"/>
    <x v="0"/>
  </r>
  <r>
    <x v="0"/>
    <n v="41"/>
    <n v="58.3"/>
    <n v="1.85"/>
    <n v="17"/>
    <n v="100.6"/>
    <s v="138/96"/>
    <n v="167"/>
    <n v="51"/>
    <n v="135"/>
    <x v="0"/>
    <s v="N"/>
    <s v="Moderate"/>
    <s v="Y"/>
    <n v="185"/>
    <m/>
    <n v="138"/>
    <n v="96"/>
    <s v="Hypertension Stage 1"/>
    <n v="86"/>
    <n v="13.64"/>
    <x v="2"/>
    <x v="0"/>
  </r>
  <r>
    <x v="0"/>
    <n v="48"/>
    <n v="50.6"/>
    <n v="1.7"/>
    <n v="17.5"/>
    <m/>
    <s v="95/92"/>
    <n v="185"/>
    <n v="68"/>
    <n v="116"/>
    <x v="1"/>
    <s v="N"/>
    <s v="Low"/>
    <s v="Y"/>
    <n v="170"/>
    <n v="0.64600000000000002"/>
    <n v="95"/>
    <n v="92"/>
    <s v="Hypertension Stage 2"/>
    <n v="87"/>
    <n v="11.95"/>
    <x v="1"/>
    <x v="1"/>
  </r>
  <r>
    <x v="0"/>
    <n v="40"/>
    <n v="85.6"/>
    <n v="1.77"/>
    <n v="27.3"/>
    <n v="98.7"/>
    <s v="132/92"/>
    <n v="282"/>
    <n v="80"/>
    <n v="112"/>
    <x v="1"/>
    <s v="Y"/>
    <s v="Low"/>
    <s v="Y"/>
    <n v="177"/>
    <n v="0.55800000000000005"/>
    <n v="132"/>
    <n v="92"/>
    <s v="Hypertension Stage 1"/>
    <n v="172"/>
    <n v="19.7"/>
    <x v="1"/>
    <x v="1"/>
  </r>
  <r>
    <x v="0"/>
    <n v="39"/>
    <n v="92.7"/>
    <n v="1.61"/>
    <n v="35.799999999999997"/>
    <n v="105.6"/>
    <s v="120/89"/>
    <n v="176"/>
    <n v="71"/>
    <n v="85"/>
    <x v="1"/>
    <s v="N"/>
    <s v="Low"/>
    <s v="Y"/>
    <n v="161"/>
    <n v="0.65600000000000003"/>
    <n v="120"/>
    <n v="89"/>
    <s v="Hypertension Stage 1"/>
    <n v="75"/>
    <n v="16.68"/>
    <x v="1"/>
    <x v="1"/>
  </r>
  <r>
    <x v="0"/>
    <n v="34"/>
    <n v="90.4"/>
    <m/>
    <n v="25"/>
    <n v="71.400000000000006"/>
    <s v="121/79"/>
    <n v="149"/>
    <n v="76"/>
    <n v="114"/>
    <x v="0"/>
    <s v="Y"/>
    <s v="Low"/>
    <s v="Y"/>
    <n v="190"/>
    <n v="0.376"/>
    <m/>
    <m/>
    <s v="Elevated"/>
    <n v="43"/>
    <n v="16.03"/>
    <x v="1"/>
    <x v="1"/>
  </r>
  <r>
    <x v="0"/>
    <n v="35"/>
    <n v="60.1"/>
    <n v="1.76"/>
    <n v="19.399999999999999"/>
    <n v="86.9"/>
    <s v="102/74"/>
    <n v="191"/>
    <n v="65"/>
    <n v="86"/>
    <x v="0"/>
    <s v="N"/>
    <s v="Moderate"/>
    <s v="Y"/>
    <n v="176"/>
    <n v="0.49399999999999999"/>
    <n v="102"/>
    <n v="74"/>
    <s v="Normal"/>
    <n v="96"/>
    <n v="12.8"/>
    <x v="2"/>
    <x v="0"/>
  </r>
  <r>
    <x v="1"/>
    <n v="36"/>
    <n v="96"/>
    <n v="1.63"/>
    <n v="36.1"/>
    <n v="78.2"/>
    <s v="98/99"/>
    <n v="158"/>
    <n v="39"/>
    <n v="108"/>
    <x v="1"/>
    <s v="Y"/>
    <s v="Low"/>
    <s v="Y"/>
    <n v="163"/>
    <n v="0.48"/>
    <n v="98"/>
    <n v="99"/>
    <s v="Hypertension Stage 2"/>
    <n v="89"/>
    <n v="17.28"/>
    <x v="1"/>
    <x v="1"/>
  </r>
  <r>
    <x v="0"/>
    <n v="53"/>
    <n v="68.900000000000006"/>
    <n v="1.88"/>
    <n v="19.5"/>
    <n v="84.6"/>
    <s v="137/70"/>
    <n v="156"/>
    <m/>
    <n v="128"/>
    <x v="1"/>
    <s v="Y"/>
    <s v="High"/>
    <s v="Y"/>
    <n v="188"/>
    <n v="0.45"/>
    <n v="137"/>
    <n v="70"/>
    <s v="Hypertension Stage 1"/>
    <n v="47"/>
    <n v="15.87"/>
    <x v="1"/>
    <x v="1"/>
  </r>
  <r>
    <x v="0"/>
    <n v="55"/>
    <n v="96"/>
    <n v="1.65"/>
    <n v="35.299999999999997"/>
    <n v="83.6"/>
    <s v="148/97"/>
    <n v="160"/>
    <n v="41"/>
    <m/>
    <x v="0"/>
    <s v="N"/>
    <s v="Low"/>
    <s v="Y"/>
    <n v="165"/>
    <n v="0.50700000000000001"/>
    <n v="148"/>
    <m/>
    <s v="Hypertension Stage 2"/>
    <n v="89"/>
    <n v="17.66"/>
    <x v="1"/>
    <x v="1"/>
  </r>
  <r>
    <x v="1"/>
    <n v="47"/>
    <n v="111.6"/>
    <n v="1.73"/>
    <m/>
    <n v="75.900000000000006"/>
    <s v="128/66"/>
    <n v="283"/>
    <n v="64"/>
    <n v="142"/>
    <x v="1"/>
    <s v="N"/>
    <s v="Low"/>
    <s v="N"/>
    <n v="173"/>
    <n v="0.439"/>
    <n v="128"/>
    <n v="66"/>
    <s v="Elevated"/>
    <n v="189"/>
    <n v="19.52"/>
    <x v="1"/>
    <x v="1"/>
  </r>
  <r>
    <x v="1"/>
    <n v="55"/>
    <n v="106"/>
    <n v="1.82"/>
    <n v="32"/>
    <n v="109.3"/>
    <s v="97/63"/>
    <n v="287"/>
    <n v="35"/>
    <n v="130"/>
    <x v="0"/>
    <s v="Y"/>
    <s v="Moderate"/>
    <s v="N"/>
    <n v="182"/>
    <n v="0.60099999999999998"/>
    <n v="97"/>
    <n v="63"/>
    <s v="Normal"/>
    <n v="222"/>
    <n v="18.989999999999998"/>
    <x v="1"/>
    <x v="1"/>
  </r>
  <r>
    <x v="1"/>
    <n v="30"/>
    <m/>
    <n v="1.83"/>
    <n v="22.6"/>
    <n v="75.099999999999994"/>
    <s v="91/95"/>
    <n v="277"/>
    <n v="32"/>
    <n v="73"/>
    <x v="1"/>
    <s v="N"/>
    <s v="Moderate"/>
    <s v="Y"/>
    <n v="183"/>
    <n v="0.41"/>
    <n v="91"/>
    <n v="95"/>
    <s v="Hypertension Stage 2"/>
    <n v="215"/>
    <n v="14.61"/>
    <x v="1"/>
    <x v="1"/>
  </r>
  <r>
    <x v="0"/>
    <n v="58"/>
    <n v="64.7"/>
    <n v="1.64"/>
    <n v="24.1"/>
    <n v="82.1"/>
    <s v="97/75"/>
    <n v="151"/>
    <n v="40"/>
    <n v="123"/>
    <x v="1"/>
    <s v="N"/>
    <s v="Low"/>
    <s v="N"/>
    <n v="164"/>
    <m/>
    <n v="97"/>
    <n v="75"/>
    <s v="Normal"/>
    <n v="81"/>
    <n v="12.69"/>
    <x v="0"/>
    <x v="0"/>
  </r>
  <r>
    <x v="0"/>
    <n v="31"/>
    <n v="51.6"/>
    <n v="1.71"/>
    <n v="17.600000000000001"/>
    <n v="93.7"/>
    <s v="109/64"/>
    <n v="165"/>
    <n v="79"/>
    <n v="136"/>
    <x v="1"/>
    <s v="Y"/>
    <s v="Low"/>
    <s v="N"/>
    <n v="171"/>
    <n v="0.54800000000000004"/>
    <n v="109"/>
    <n v="64"/>
    <s v="Normal"/>
    <n v="56"/>
    <n v="14.27"/>
    <x v="0"/>
    <x v="0"/>
  </r>
  <r>
    <x v="1"/>
    <n v="55"/>
    <n v="112.8"/>
    <n v="1.74"/>
    <n v="37.299999999999997"/>
    <n v="80.900000000000006"/>
    <s v="106/87"/>
    <n v="145"/>
    <n v="32"/>
    <n v="150"/>
    <x v="1"/>
    <s v="Y"/>
    <s v="High"/>
    <s v="Y"/>
    <n v="174"/>
    <n v="0.46500000000000002"/>
    <n v="106"/>
    <n v="87"/>
    <s v="Hypertension Stage 1"/>
    <n v="83"/>
    <n v="17.66"/>
    <x v="1"/>
    <x v="1"/>
  </r>
  <r>
    <x v="1"/>
    <n v="37"/>
    <n v="108.4"/>
    <m/>
    <n v="36.200000000000003"/>
    <n v="80.099999999999994"/>
    <s v="100/83"/>
    <m/>
    <n v="48"/>
    <n v="145"/>
    <x v="1"/>
    <s v="N"/>
    <s v="Moderate"/>
    <s v="N"/>
    <n v="173"/>
    <n v="0.46300000000000002"/>
    <n v="100"/>
    <n v="83"/>
    <s v="Hypertension Stage 1"/>
    <n v="55"/>
    <n v="14.9"/>
    <x v="0"/>
    <x v="0"/>
  </r>
  <r>
    <x v="1"/>
    <n v="32"/>
    <m/>
    <n v="1.62"/>
    <n v="24"/>
    <n v="105.5"/>
    <s v="122/84"/>
    <n v="155"/>
    <n v="74"/>
    <n v="130"/>
    <x v="0"/>
    <s v="N"/>
    <s v="Low"/>
    <s v="N"/>
    <n v="162"/>
    <n v="0.65100000000000002"/>
    <n v="122"/>
    <n v="84"/>
    <s v="Hypertension Stage 1"/>
    <n v="51"/>
    <n v="14"/>
    <x v="2"/>
    <x v="0"/>
  </r>
  <r>
    <x v="1"/>
    <n v="45"/>
    <n v="58.7"/>
    <n v="1.73"/>
    <n v="19.600000000000001"/>
    <m/>
    <s v="136/80"/>
    <n v="286"/>
    <n v="73"/>
    <n v="141"/>
    <x v="0"/>
    <s v="Y"/>
    <s v="High"/>
    <s v="Y"/>
    <n v="173"/>
    <n v="0.46"/>
    <n v="136"/>
    <m/>
    <s v="Hypertension Stage 1"/>
    <n v="183"/>
    <n v="18.440000000000001"/>
    <x v="0"/>
    <x v="0"/>
  </r>
  <r>
    <x v="0"/>
    <n v="32"/>
    <n v="116.2"/>
    <m/>
    <n v="36.700000000000003"/>
    <n v="89.8"/>
    <s v="99/99"/>
    <n v="115"/>
    <n v="52"/>
    <n v="147"/>
    <x v="0"/>
    <s v="Y"/>
    <s v="Moderate"/>
    <s v="Y"/>
    <n v="178"/>
    <n v="0.504"/>
    <n v="99"/>
    <n v="99"/>
    <s v="Hypertension Stage 2"/>
    <n v="33"/>
    <n v="16.59"/>
    <x v="0"/>
    <x v="0"/>
  </r>
  <r>
    <x v="0"/>
    <n v="42"/>
    <n v="100.4"/>
    <n v="1.77"/>
    <n v="32"/>
    <n v="82.5"/>
    <s v="144/73"/>
    <n v="164"/>
    <n v="75"/>
    <n v="96"/>
    <x v="0"/>
    <s v="Y"/>
    <s v="High"/>
    <s v="Y"/>
    <n v="177"/>
    <n v="0.46600000000000003"/>
    <n v="144"/>
    <n v="73"/>
    <s v="Hypertension Stage 2"/>
    <n v="59"/>
    <n v="18.88"/>
    <x v="0"/>
    <x v="0"/>
  </r>
  <r>
    <x v="1"/>
    <n v="33"/>
    <n v="81.599999999999994"/>
    <n v="1.87"/>
    <n v="23.3"/>
    <n v="70"/>
    <s v="130/75"/>
    <n v="285"/>
    <n v="69"/>
    <m/>
    <x v="0"/>
    <s v="N"/>
    <s v="Low"/>
    <s v="N"/>
    <n v="187"/>
    <n v="0.374"/>
    <m/>
    <n v="75"/>
    <s v="Hypertension Stage 1"/>
    <n v="186"/>
    <n v="16.86"/>
    <x v="0"/>
    <x v="0"/>
  </r>
  <r>
    <x v="1"/>
    <n v="46"/>
    <n v="69.3"/>
    <n v="1.63"/>
    <n v="26.1"/>
    <n v="102.6"/>
    <s v="134/64"/>
    <n v="111"/>
    <n v="74"/>
    <n v="94"/>
    <x v="0"/>
    <s v="N"/>
    <s v="Low"/>
    <s v="N"/>
    <n v="163"/>
    <n v="0.629"/>
    <n v="134"/>
    <n v="64"/>
    <s v="Hypertension Stage 1"/>
    <n v="7"/>
    <m/>
    <x v="0"/>
    <x v="0"/>
  </r>
  <r>
    <x v="0"/>
    <m/>
    <n v="109.2"/>
    <n v="1.74"/>
    <n v="36.1"/>
    <n v="80.099999999999994"/>
    <s v="117/85"/>
    <n v="155"/>
    <n v="65"/>
    <n v="138"/>
    <x v="1"/>
    <s v="N"/>
    <s v="Low"/>
    <s v="Y"/>
    <n v="174"/>
    <n v="0.46"/>
    <n v="117"/>
    <n v="85"/>
    <s v="Hypertension Stage 1"/>
    <n v="60"/>
    <n v="16.170000000000002"/>
    <x v="1"/>
    <x v="1"/>
  </r>
  <r>
    <x v="0"/>
    <n v="51"/>
    <n v="102.1"/>
    <n v="1.9"/>
    <n v="28.3"/>
    <n v="94.1"/>
    <s v="116/61"/>
    <n v="297"/>
    <n v="38"/>
    <n v="98"/>
    <x v="1"/>
    <s v="N"/>
    <s v="High"/>
    <s v="N"/>
    <n v="190"/>
    <m/>
    <n v="116"/>
    <n v="61"/>
    <s v="Normal"/>
    <n v="229"/>
    <n v="17.399999999999999"/>
    <x v="1"/>
    <x v="1"/>
  </r>
  <r>
    <x v="0"/>
    <n v="43"/>
    <n v="71.400000000000006"/>
    <n v="1.76"/>
    <n v="23.1"/>
    <n v="97.7"/>
    <s v="105/64"/>
    <n v="123"/>
    <n v="50"/>
    <n v="125"/>
    <x v="1"/>
    <s v="N"/>
    <s v="High"/>
    <s v="Y"/>
    <n v="176"/>
    <n v="0.55500000000000005"/>
    <n v="105"/>
    <n v="64"/>
    <s v="Normal"/>
    <n v="43"/>
    <n v="12.33"/>
    <x v="0"/>
    <x v="0"/>
  </r>
  <r>
    <x v="0"/>
    <n v="44"/>
    <n v="64.400000000000006"/>
    <n v="1.76"/>
    <n v="20.8"/>
    <n v="100.6"/>
    <s v="129/78"/>
    <n v="132"/>
    <n v="49"/>
    <n v="145"/>
    <x v="1"/>
    <s v="Y"/>
    <s v="Moderate"/>
    <s v="N"/>
    <n v="176"/>
    <m/>
    <n v="129"/>
    <n v="78"/>
    <s v="Elevated"/>
    <n v="53"/>
    <n v="15.25"/>
    <x v="0"/>
    <x v="0"/>
  </r>
  <r>
    <x v="0"/>
    <m/>
    <m/>
    <n v="1.81"/>
    <n v="32.1"/>
    <n v="75.7"/>
    <s v="94/61"/>
    <n v="144"/>
    <n v="69"/>
    <n v="129"/>
    <x v="0"/>
    <s v="Y"/>
    <s v="Moderate"/>
    <s v="Y"/>
    <n v="181"/>
    <n v="0.41799999999999998"/>
    <n v="94"/>
    <n v="61"/>
    <s v="Normal"/>
    <n v="45"/>
    <n v="16"/>
    <x v="0"/>
    <x v="0"/>
  </r>
  <r>
    <x v="0"/>
    <n v="31"/>
    <n v="115.5"/>
    <n v="1.64"/>
    <n v="42.9"/>
    <n v="73.400000000000006"/>
    <s v="129/75"/>
    <n v="229"/>
    <m/>
    <n v="85"/>
    <x v="0"/>
    <s v="Y"/>
    <s v="High"/>
    <s v="Y"/>
    <n v="164"/>
    <n v="0.44800000000000001"/>
    <n v="129"/>
    <n v="75"/>
    <s v="Elevated"/>
    <n v="156"/>
    <n v="21.61"/>
    <x v="1"/>
    <x v="1"/>
  </r>
  <r>
    <x v="0"/>
    <n v="48"/>
    <n v="81.8"/>
    <n v="1.61"/>
    <n v="31.6"/>
    <n v="88.5"/>
    <s v="110/74"/>
    <n v="111"/>
    <n v="31"/>
    <n v="123"/>
    <x v="0"/>
    <s v="Y"/>
    <s v="Moderate"/>
    <s v="Y"/>
    <n v="161"/>
    <n v="0.55000000000000004"/>
    <n v="110"/>
    <n v="74"/>
    <s v="Normal"/>
    <m/>
    <n v="16.04"/>
    <x v="1"/>
    <x v="1"/>
  </r>
  <r>
    <x v="1"/>
    <n v="34"/>
    <m/>
    <n v="1.71"/>
    <n v="36.6"/>
    <n v="79.7"/>
    <s v="120/77"/>
    <n v="250"/>
    <n v="60"/>
    <n v="88"/>
    <x v="0"/>
    <s v="Y"/>
    <s v="High"/>
    <s v="Y"/>
    <n v="171"/>
    <n v="0.46600000000000003"/>
    <n v="120"/>
    <n v="77"/>
    <s v="Elevated"/>
    <m/>
    <n v="20.32"/>
    <x v="1"/>
    <x v="1"/>
  </r>
  <r>
    <x v="1"/>
    <n v="41"/>
    <n v="114.7"/>
    <n v="1.8"/>
    <n v="35.4"/>
    <n v="75.099999999999994"/>
    <s v="145/84"/>
    <n v="119"/>
    <n v="74"/>
    <n v="133"/>
    <x v="1"/>
    <s v="Y"/>
    <s v="High"/>
    <s v="N"/>
    <n v="180"/>
    <n v="0.41699999999999998"/>
    <n v="145"/>
    <n v="84"/>
    <s v="Hypertension Stage 1"/>
    <n v="15"/>
    <n v="18.71"/>
    <x v="0"/>
    <x v="0"/>
  </r>
  <r>
    <x v="1"/>
    <n v="56"/>
    <n v="61"/>
    <n v="1.82"/>
    <n v="18.399999999999999"/>
    <m/>
    <s v="97/73"/>
    <n v="260"/>
    <n v="79"/>
    <n v="78"/>
    <x v="0"/>
    <s v="N"/>
    <s v="Moderate"/>
    <s v="N"/>
    <n v="182"/>
    <n v="0.48099999999999998"/>
    <n v="97"/>
    <n v="73"/>
    <s v="Normal"/>
    <m/>
    <n v="13.73"/>
    <x v="0"/>
    <x v="0"/>
  </r>
  <r>
    <x v="1"/>
    <n v="55"/>
    <n v="110.3"/>
    <n v="1.61"/>
    <n v="42.6"/>
    <n v="74.5"/>
    <s v="135/96"/>
    <n v="101"/>
    <n v="43"/>
    <n v="117"/>
    <x v="0"/>
    <s v="N"/>
    <s v="High"/>
    <s v="N"/>
    <n v="161"/>
    <n v="0.46300000000000002"/>
    <n v="135"/>
    <m/>
    <s v="Hypertension Stage 1"/>
    <n v="28"/>
    <m/>
    <x v="0"/>
    <x v="0"/>
  </r>
  <r>
    <x v="0"/>
    <m/>
    <n v="75.2"/>
    <n v="1.7"/>
    <n v="26"/>
    <n v="93.2"/>
    <s v="135/75"/>
    <n v="144"/>
    <n v="49"/>
    <n v="103"/>
    <x v="1"/>
    <s v="N"/>
    <s v="Moderate"/>
    <s v="N"/>
    <n v="170"/>
    <n v="0.54800000000000004"/>
    <n v="135"/>
    <n v="75"/>
    <s v="Hypertension Stage 1"/>
    <n v="65"/>
    <n v="14.83"/>
    <x v="0"/>
    <x v="0"/>
  </r>
  <r>
    <x v="1"/>
    <n v="59"/>
    <n v="96.3"/>
    <n v="1.75"/>
    <n v="31.4"/>
    <n v="90"/>
    <s v="102/71"/>
    <n v="115"/>
    <n v="73"/>
    <m/>
    <x v="0"/>
    <s v="Y"/>
    <s v="High"/>
    <s v="N"/>
    <n v="175"/>
    <n v="0.51400000000000001"/>
    <n v="102"/>
    <m/>
    <s v="Normal"/>
    <n v="12"/>
    <n v="15.68"/>
    <x v="0"/>
    <x v="0"/>
  </r>
  <r>
    <x v="0"/>
    <n v="50"/>
    <n v="67.900000000000006"/>
    <n v="1.83"/>
    <n v="20.3"/>
    <n v="108.2"/>
    <s v="148/92"/>
    <n v="128"/>
    <n v="32"/>
    <n v="87"/>
    <x v="1"/>
    <s v="Y"/>
    <s v="High"/>
    <s v="Y"/>
    <n v="183"/>
    <n v="0.59099999999999997"/>
    <n v="148"/>
    <n v="92"/>
    <s v="Hypertension Stage 2"/>
    <n v="66"/>
    <n v="16.02"/>
    <x v="1"/>
    <x v="1"/>
  </r>
  <r>
    <x v="0"/>
    <n v="52"/>
    <n v="98.9"/>
    <n v="1.61"/>
    <n v="38.200000000000003"/>
    <n v="79.900000000000006"/>
    <s v="139/66"/>
    <n v="175"/>
    <n v="32"/>
    <n v="145"/>
    <x v="1"/>
    <s v="Y"/>
    <s v="Moderate"/>
    <s v="N"/>
    <n v="161"/>
    <n v="0.496"/>
    <n v="139"/>
    <n v="66"/>
    <s v="Hypertension Stage 1"/>
    <n v="113"/>
    <n v="20.09"/>
    <x v="1"/>
    <x v="1"/>
  </r>
  <r>
    <x v="1"/>
    <n v="43"/>
    <n v="65.8"/>
    <n v="1.76"/>
    <n v="21.2"/>
    <n v="101.1"/>
    <s v="94/81"/>
    <n v="243"/>
    <n v="66"/>
    <n v="70"/>
    <x v="0"/>
    <s v="Y"/>
    <s v="Moderate"/>
    <s v="Y"/>
    <n v="176"/>
    <n v="0.57399999999999995"/>
    <n v="94"/>
    <n v="81"/>
    <s v="Hypertension Stage 1"/>
    <n v="147"/>
    <n v="15.8"/>
    <x v="0"/>
    <x v="0"/>
  </r>
  <r>
    <x v="0"/>
    <n v="37"/>
    <n v="74.599999999999994"/>
    <n v="1.74"/>
    <n v="24.6"/>
    <n v="107.8"/>
    <s v="104/60"/>
    <n v="124"/>
    <n v="48"/>
    <n v="98"/>
    <x v="1"/>
    <s v="Y"/>
    <s v="High"/>
    <s v="N"/>
    <n v="174"/>
    <n v="0.62"/>
    <n v="104"/>
    <n v="60"/>
    <s v="Normal"/>
    <n v="46"/>
    <n v="14.6"/>
    <x v="0"/>
    <x v="0"/>
  </r>
  <r>
    <x v="0"/>
    <n v="51"/>
    <n v="100.5"/>
    <n v="1.82"/>
    <n v="30.3"/>
    <n v="106.4"/>
    <s v="129/71"/>
    <n v="257"/>
    <n v="76"/>
    <n v="89"/>
    <x v="1"/>
    <s v="N"/>
    <s v="Moderate"/>
    <s v="N"/>
    <n v="182"/>
    <n v="0.58499999999999996"/>
    <n v="129"/>
    <n v="71"/>
    <s v="Elevated"/>
    <n v="151"/>
    <n v="17.649999999999999"/>
    <x v="1"/>
    <x v="1"/>
  </r>
  <r>
    <x v="0"/>
    <n v="44"/>
    <n v="101.5"/>
    <n v="1.69"/>
    <n v="35.5"/>
    <n v="91.5"/>
    <s v="98/73"/>
    <n v="103"/>
    <n v="74"/>
    <n v="93"/>
    <x v="0"/>
    <s v="N"/>
    <s v="Moderate"/>
    <s v="N"/>
    <n v="169"/>
    <n v="0.54100000000000004"/>
    <n v="98"/>
    <n v="73"/>
    <s v="Normal"/>
    <n v="-1"/>
    <n v="14.06"/>
    <x v="2"/>
    <x v="0"/>
  </r>
  <r>
    <x v="0"/>
    <n v="46"/>
    <n v="65.7"/>
    <n v="1.77"/>
    <n v="21"/>
    <n v="77.099999999999994"/>
    <s v="129/78"/>
    <n v="232"/>
    <n v="59"/>
    <n v="113"/>
    <x v="0"/>
    <s v="Y"/>
    <s v="High"/>
    <s v="N"/>
    <n v="177"/>
    <n v="0.436"/>
    <n v="129"/>
    <n v="78"/>
    <s v="Elevated"/>
    <n v="143"/>
    <n v="17.29"/>
    <x v="0"/>
    <x v="0"/>
  </r>
  <r>
    <x v="0"/>
    <n v="53"/>
    <n v="103.9"/>
    <n v="1.77"/>
    <n v="33.200000000000003"/>
    <n v="71.599999999999994"/>
    <s v="149/84"/>
    <n v="247"/>
    <n v="50"/>
    <n v="130"/>
    <x v="0"/>
    <s v="Y"/>
    <s v="Moderate"/>
    <s v="N"/>
    <n v="177"/>
    <n v="0.40500000000000003"/>
    <n v="149"/>
    <n v="84"/>
    <s v="Hypertension Stage 1"/>
    <n v="167"/>
    <n v="21.03"/>
    <x v="1"/>
    <x v="1"/>
  </r>
  <r>
    <x v="0"/>
    <n v="56"/>
    <n v="112.1"/>
    <n v="1.78"/>
    <n v="35.4"/>
    <n v="87.4"/>
    <s v="103/98"/>
    <m/>
    <n v="67"/>
    <n v="89"/>
    <x v="0"/>
    <s v="Y"/>
    <s v="Moderate"/>
    <s v="Y"/>
    <n v="178"/>
    <n v="0.49099999999999999"/>
    <n v="103"/>
    <n v="98"/>
    <s v="Hypertension Stage 2"/>
    <n v="50"/>
    <n v="17.170000000000002"/>
    <x v="1"/>
    <x v="1"/>
  </r>
  <r>
    <x v="1"/>
    <n v="43"/>
    <n v="118"/>
    <n v="1.64"/>
    <n v="43.9"/>
    <n v="73.599999999999994"/>
    <s v="99/92"/>
    <n v="199"/>
    <n v="51"/>
    <n v="129"/>
    <x v="0"/>
    <s v="N"/>
    <s v="Moderate"/>
    <s v="Y"/>
    <n v="164"/>
    <n v="0.44900000000000001"/>
    <n v="99"/>
    <n v="92"/>
    <s v="Hypertension Stage 2"/>
    <n v="118"/>
    <n v="17.71"/>
    <x v="0"/>
    <x v="0"/>
  </r>
  <r>
    <x v="1"/>
    <n v="40"/>
    <n v="107.4"/>
    <n v="1.6"/>
    <n v="42"/>
    <m/>
    <s v="114/91"/>
    <m/>
    <n v="52"/>
    <n v="89"/>
    <x v="1"/>
    <s v="N"/>
    <s v="Moderate"/>
    <s v="N"/>
    <n v="160"/>
    <n v="0.57899999999999996"/>
    <n v="114"/>
    <n v="91"/>
    <s v="Hypertension Stage 2"/>
    <n v="89"/>
    <n v="17.52"/>
    <x v="0"/>
    <x v="0"/>
  </r>
  <r>
    <x v="0"/>
    <n v="51"/>
    <n v="60.6"/>
    <n v="1.88"/>
    <n v="17.100000000000001"/>
    <n v="75.7"/>
    <s v="116/64"/>
    <n v="146"/>
    <n v="50"/>
    <n v="99"/>
    <x v="0"/>
    <s v="Y"/>
    <s v="Low"/>
    <s v="Y"/>
    <n v="188"/>
    <n v="0.40300000000000002"/>
    <n v="116"/>
    <n v="64"/>
    <s v="Normal"/>
    <n v="66"/>
    <n v="14.14"/>
    <x v="1"/>
    <x v="1"/>
  </r>
  <r>
    <x v="0"/>
    <n v="52"/>
    <n v="54.7"/>
    <n v="1.61"/>
    <n v="21.1"/>
    <n v="78.099999999999994"/>
    <s v="93/65"/>
    <n v="193"/>
    <n v="79"/>
    <n v="127"/>
    <x v="0"/>
    <s v="Y"/>
    <s v="High"/>
    <s v="Y"/>
    <n v="161"/>
    <n v="0.48499999999999999"/>
    <n v="93"/>
    <n v="65"/>
    <s v="Normal"/>
    <n v="84"/>
    <n v="14.73"/>
    <x v="0"/>
    <x v="0"/>
  </r>
  <r>
    <x v="0"/>
    <n v="55"/>
    <n v="117.2"/>
    <n v="1.72"/>
    <n v="39.6"/>
    <n v="74.2"/>
    <s v="113/63"/>
    <n v="164"/>
    <n v="57"/>
    <n v="150"/>
    <x v="0"/>
    <s v="N"/>
    <s v="Low"/>
    <s v="N"/>
    <n v="172"/>
    <n v="0.43099999999999999"/>
    <n v="113"/>
    <n v="63"/>
    <s v="Normal"/>
    <n v="77"/>
    <n v="16.850000000000001"/>
    <x v="0"/>
    <x v="0"/>
  </r>
  <r>
    <x v="0"/>
    <n v="48"/>
    <n v="56.7"/>
    <n v="1.63"/>
    <n v="21.3"/>
    <n v="80.3"/>
    <s v="142/66"/>
    <n v="141"/>
    <n v="62"/>
    <n v="96"/>
    <x v="0"/>
    <s v="N"/>
    <s v="Moderate"/>
    <s v="N"/>
    <n v="163"/>
    <m/>
    <m/>
    <n v="66"/>
    <s v="Hypertension Stage 2"/>
    <n v="49"/>
    <n v="14.18"/>
    <x v="2"/>
    <x v="0"/>
  </r>
  <r>
    <x v="1"/>
    <n v="58"/>
    <n v="77"/>
    <m/>
    <n v="21.8"/>
    <n v="97.3"/>
    <s v="142/69"/>
    <n v="125"/>
    <n v="80"/>
    <n v="96"/>
    <x v="0"/>
    <s v="N"/>
    <s v="Moderate"/>
    <s v="Y"/>
    <n v="188"/>
    <n v="0.51800000000000002"/>
    <n v="142"/>
    <n v="69"/>
    <s v="Hypertension Stage 2"/>
    <n v="15"/>
    <n v="13.96"/>
    <x v="0"/>
    <x v="0"/>
  </r>
  <r>
    <x v="0"/>
    <n v="37"/>
    <n v="116.8"/>
    <n v="1.77"/>
    <n v="37.299999999999997"/>
    <n v="92.9"/>
    <s v="140/68"/>
    <n v="244"/>
    <n v="76"/>
    <n v="96"/>
    <x v="0"/>
    <s v="Y"/>
    <s v="High"/>
    <s v="N"/>
    <n v="177"/>
    <n v="0.52500000000000002"/>
    <n v="140"/>
    <n v="68"/>
    <s v="Hypertension Stage 2"/>
    <n v="138"/>
    <n v="21.34"/>
    <x v="0"/>
    <x v="0"/>
  </r>
  <r>
    <x v="1"/>
    <n v="55"/>
    <n v="51.4"/>
    <m/>
    <m/>
    <n v="79.8"/>
    <s v="102/79"/>
    <n v="170"/>
    <n v="36"/>
    <n v="138"/>
    <x v="0"/>
    <s v="N"/>
    <s v="High"/>
    <s v="N"/>
    <n v="168"/>
    <n v="0.47499999999999998"/>
    <n v="102"/>
    <n v="79"/>
    <s v="Normal"/>
    <n v="104"/>
    <n v="12.14"/>
    <x v="0"/>
    <x v="0"/>
  </r>
  <r>
    <x v="1"/>
    <n v="51"/>
    <n v="107.6"/>
    <n v="1.66"/>
    <n v="39"/>
    <n v="100.8"/>
    <s v="96/65"/>
    <n v="135"/>
    <n v="57"/>
    <n v="129"/>
    <x v="0"/>
    <s v="N"/>
    <s v="High"/>
    <s v="N"/>
    <n v="166"/>
    <n v="0.60699999999999998"/>
    <n v="96"/>
    <n v="65"/>
    <s v="Normal"/>
    <n v="48"/>
    <n v="15.3"/>
    <x v="0"/>
    <x v="0"/>
  </r>
  <r>
    <x v="0"/>
    <n v="57"/>
    <n v="82.5"/>
    <n v="1.76"/>
    <n v="26.6"/>
    <n v="92.8"/>
    <s v="101/81"/>
    <n v="300"/>
    <n v="38"/>
    <n v="98"/>
    <x v="0"/>
    <s v="Y"/>
    <s v="High"/>
    <s v="N"/>
    <n v="176"/>
    <n v="0.52700000000000002"/>
    <n v="101"/>
    <n v="81"/>
    <s v="Hypertension Stage 1"/>
    <n v="232"/>
    <n v="18.37"/>
    <x v="1"/>
    <x v="1"/>
  </r>
  <r>
    <x v="1"/>
    <n v="44"/>
    <n v="114.3"/>
    <n v="1.72"/>
    <n v="38.6"/>
    <n v="100"/>
    <s v="112/83"/>
    <n v="228"/>
    <n v="77"/>
    <n v="91"/>
    <x v="1"/>
    <s v="Y"/>
    <s v="High"/>
    <s v="N"/>
    <n v="172"/>
    <n v="0.58099999999999996"/>
    <n v="112"/>
    <n v="83"/>
    <s v="Hypertension Stage 1"/>
    <n v="121"/>
    <n v="19.88"/>
    <x v="1"/>
    <x v="1"/>
  </r>
  <r>
    <x v="1"/>
    <n v="38"/>
    <n v="63.3"/>
    <n v="1.7"/>
    <n v="21.9"/>
    <n v="93.8"/>
    <s v="93/67"/>
    <m/>
    <n v="76"/>
    <n v="73"/>
    <x v="0"/>
    <s v="Y"/>
    <s v="High"/>
    <s v="N"/>
    <n v="170"/>
    <n v="0.55200000000000005"/>
    <n v="93"/>
    <n v="67"/>
    <s v="Normal"/>
    <n v="182"/>
    <n v="16.79"/>
    <x v="0"/>
    <x v="0"/>
  </r>
  <r>
    <x v="0"/>
    <n v="60"/>
    <n v="91.6"/>
    <n v="1.64"/>
    <n v="34.1"/>
    <n v="94.4"/>
    <s v="132/73"/>
    <n v="258"/>
    <n v="31"/>
    <n v="142"/>
    <x v="1"/>
    <s v="Y"/>
    <s v="High"/>
    <s v="Y"/>
    <n v="164"/>
    <n v="0.57599999999999996"/>
    <n v="132"/>
    <m/>
    <s v="Hypertension Stage 1"/>
    <n v="197"/>
    <n v="20.58"/>
    <x v="1"/>
    <x v="1"/>
  </r>
  <r>
    <x v="0"/>
    <n v="51"/>
    <n v="52.5"/>
    <n v="1.78"/>
    <n v="16.600000000000001"/>
    <n v="75.8"/>
    <s v="98/63"/>
    <n v="119"/>
    <n v="50"/>
    <n v="128"/>
    <x v="1"/>
    <s v="Y"/>
    <s v="High"/>
    <s v="Y"/>
    <n v="178"/>
    <n v="0.42599999999999999"/>
    <n v="98"/>
    <n v="63"/>
    <s v="Normal"/>
    <n v="39"/>
    <n v="12.6"/>
    <x v="1"/>
    <x v="1"/>
  </r>
  <r>
    <x v="0"/>
    <n v="43"/>
    <n v="109.7"/>
    <n v="1.81"/>
    <n v="33.5"/>
    <n v="80.8"/>
    <s v="120/74"/>
    <n v="278"/>
    <n v="63"/>
    <n v="142"/>
    <x v="0"/>
    <s v="Y"/>
    <s v="Moderate"/>
    <s v="Y"/>
    <n v="181"/>
    <n v="0.44600000000000001"/>
    <n v="120"/>
    <n v="74"/>
    <s v="Elevated"/>
    <n v="185"/>
    <n v="20.260000000000002"/>
    <x v="1"/>
    <x v="1"/>
  </r>
  <r>
    <x v="1"/>
    <n v="49"/>
    <n v="115.6"/>
    <n v="1.72"/>
    <n v="39.1"/>
    <n v="109.3"/>
    <s v="90/95"/>
    <n v="155"/>
    <n v="71"/>
    <n v="110"/>
    <x v="0"/>
    <s v="Y"/>
    <s v="Moderate"/>
    <s v="N"/>
    <n v="172"/>
    <n v="0.63500000000000001"/>
    <n v="90"/>
    <n v="95"/>
    <s v="Hypertension Stage 2"/>
    <n v="54"/>
    <n v="17.420000000000002"/>
    <x v="0"/>
    <x v="0"/>
  </r>
  <r>
    <x v="1"/>
    <n v="60"/>
    <n v="78.900000000000006"/>
    <n v="1.85"/>
    <n v="23.1"/>
    <n v="101.5"/>
    <s v="94/78"/>
    <n v="133"/>
    <n v="39"/>
    <n v="149"/>
    <x v="0"/>
    <s v="Y"/>
    <s v="Low"/>
    <s v="Y"/>
    <n v="185"/>
    <n v="0.54900000000000004"/>
    <n v="94"/>
    <n v="78"/>
    <s v="Normal"/>
    <n v="64"/>
    <m/>
    <x v="1"/>
    <x v="1"/>
  </r>
  <r>
    <x v="1"/>
    <n v="37"/>
    <n v="78.400000000000006"/>
    <n v="1.63"/>
    <n v="29.5"/>
    <n v="70.2"/>
    <s v="127/96"/>
    <n v="103"/>
    <n v="57"/>
    <n v="74"/>
    <x v="0"/>
    <s v="N"/>
    <s v="High"/>
    <s v="N"/>
    <n v="163"/>
    <n v="0.43099999999999999"/>
    <n v="127"/>
    <n v="96"/>
    <s v="Hypertension Stage 2"/>
    <n v="16"/>
    <n v="14.31"/>
    <x v="2"/>
    <x v="0"/>
  </r>
  <r>
    <x v="0"/>
    <n v="52"/>
    <n v="65.3"/>
    <n v="1.61"/>
    <n v="25.2"/>
    <n v="74.900000000000006"/>
    <s v="120/87"/>
    <n v="251"/>
    <n v="50"/>
    <n v="83"/>
    <x v="1"/>
    <s v="N"/>
    <s v="Low"/>
    <s v="N"/>
    <m/>
    <n v="0.46500000000000002"/>
    <n v="120"/>
    <n v="87"/>
    <s v="Hypertension Stage 1"/>
    <n v="171"/>
    <n v="16.059999999999999"/>
    <x v="1"/>
    <x v="1"/>
  </r>
  <r>
    <x v="0"/>
    <n v="37"/>
    <n v="114.4"/>
    <n v="1.72"/>
    <n v="38.700000000000003"/>
    <n v="105"/>
    <s v="99/90"/>
    <n v="203"/>
    <n v="60"/>
    <n v="103"/>
    <x v="0"/>
    <s v="Y"/>
    <s v="Moderate"/>
    <s v="N"/>
    <n v="172"/>
    <n v="0.61"/>
    <n v="99"/>
    <n v="90"/>
    <s v="Hypertension Stage 2"/>
    <n v="113"/>
    <n v="18.75"/>
    <x v="0"/>
    <x v="0"/>
  </r>
  <r>
    <x v="1"/>
    <n v="57"/>
    <n v="114.5"/>
    <n v="1.83"/>
    <n v="34.200000000000003"/>
    <n v="93.8"/>
    <s v="114/63"/>
    <n v="204"/>
    <n v="48"/>
    <n v="140"/>
    <x v="0"/>
    <s v="Y"/>
    <s v="Moderate"/>
    <s v="N"/>
    <n v="183"/>
    <n v="0.51300000000000001"/>
    <n v="114"/>
    <n v="63"/>
    <s v="Normal"/>
    <n v="126"/>
    <n v="18.62"/>
    <x v="1"/>
    <x v="1"/>
  </r>
  <r>
    <x v="1"/>
    <n v="56"/>
    <n v="81.8"/>
    <n v="1.76"/>
    <n v="26.4"/>
    <n v="72.099999999999994"/>
    <s v="132/97"/>
    <n v="109"/>
    <n v="78"/>
    <n v="111"/>
    <x v="0"/>
    <s v="N"/>
    <s v="High"/>
    <s v="Y"/>
    <n v="176"/>
    <n v="0.41"/>
    <n v="132"/>
    <n v="97"/>
    <s v="Hypertension Stage 1"/>
    <n v="1"/>
    <n v="14.06"/>
    <x v="0"/>
    <x v="0"/>
  </r>
  <r>
    <x v="1"/>
    <n v="32"/>
    <n v="85.5"/>
    <n v="1.63"/>
    <n v="32.200000000000003"/>
    <n v="81.599999999999994"/>
    <s v="111/68"/>
    <n v="102"/>
    <n v="79"/>
    <n v="97"/>
    <x v="1"/>
    <s v="N"/>
    <s v="Low"/>
    <s v="N"/>
    <n v="163"/>
    <n v="0.501"/>
    <n v="111"/>
    <n v="68"/>
    <s v="Normal"/>
    <m/>
    <n v="14.03"/>
    <x v="0"/>
    <x v="0"/>
  </r>
  <r>
    <x v="0"/>
    <n v="58"/>
    <n v="82.1"/>
    <m/>
    <n v="26.2"/>
    <n v="82.6"/>
    <s v="97/69"/>
    <n v="133"/>
    <n v="43"/>
    <m/>
    <x v="1"/>
    <s v="N"/>
    <s v="Low"/>
    <s v="N"/>
    <n v="177"/>
    <n v="0.46700000000000003"/>
    <n v="97"/>
    <n v="69"/>
    <s v="Normal"/>
    <n v="60"/>
    <n v="12.75"/>
    <x v="1"/>
    <x v="1"/>
  </r>
  <r>
    <x v="0"/>
    <n v="37"/>
    <n v="113.4"/>
    <n v="1.68"/>
    <n v="40.200000000000003"/>
    <n v="109.2"/>
    <s v="120/71"/>
    <n v="281"/>
    <n v="70"/>
    <n v="140"/>
    <x v="0"/>
    <s v="N"/>
    <s v="High"/>
    <s v="N"/>
    <n v="168"/>
    <n v="0.65"/>
    <n v="120"/>
    <n v="71"/>
    <s v="Elevated"/>
    <n v="181"/>
    <n v="19.66"/>
    <x v="0"/>
    <x v="0"/>
  </r>
  <r>
    <x v="0"/>
    <n v="40"/>
    <n v="50.7"/>
    <n v="1.65"/>
    <n v="18.600000000000001"/>
    <n v="80.900000000000006"/>
    <s v="130/97"/>
    <n v="228"/>
    <n v="56"/>
    <n v="76"/>
    <x v="1"/>
    <s v="Y"/>
    <s v="Low"/>
    <s v="N"/>
    <n v="165"/>
    <n v="0.49"/>
    <n v="130"/>
    <n v="97"/>
    <s v="Hypertension Stage 1"/>
    <n v="142"/>
    <n v="16.78"/>
    <x v="1"/>
    <x v="1"/>
  </r>
  <r>
    <x v="1"/>
    <n v="58"/>
    <n v="118.3"/>
    <n v="1.66"/>
    <n v="42.9"/>
    <m/>
    <s v="119/65"/>
    <n v="149"/>
    <n v="66"/>
    <n v="127"/>
    <x v="0"/>
    <s v="Y"/>
    <s v="Moderate"/>
    <s v="N"/>
    <n v="166"/>
    <n v="0.622"/>
    <n v="119"/>
    <n v="65"/>
    <s v="Normal"/>
    <n v="53"/>
    <m/>
    <x v="0"/>
    <x v="0"/>
  </r>
  <r>
    <x v="0"/>
    <n v="59"/>
    <n v="85.7"/>
    <n v="1.78"/>
    <n v="27"/>
    <n v="74.3"/>
    <s v="120/96"/>
    <n v="268"/>
    <n v="73"/>
    <n v="77"/>
    <x v="0"/>
    <s v="N"/>
    <s v="Low"/>
    <s v="N"/>
    <n v="178"/>
    <n v="0.41699999999999998"/>
    <n v="120"/>
    <n v="96"/>
    <s v="Hypertension Stage 2"/>
    <n v="165"/>
    <n v="16.760000000000002"/>
    <x v="1"/>
    <x v="1"/>
  </r>
  <r>
    <x v="0"/>
    <n v="60"/>
    <n v="110.1"/>
    <m/>
    <n v="35.5"/>
    <n v="95.6"/>
    <s v="145/84"/>
    <n v="108"/>
    <n v="66"/>
    <n v="78"/>
    <x v="0"/>
    <s v="Y"/>
    <s v="Moderate"/>
    <s v="N"/>
    <n v="176"/>
    <n v="0.54300000000000004"/>
    <n v="145"/>
    <n v="84"/>
    <s v="Hypertension Stage 1"/>
    <n v="12"/>
    <n v="18.510000000000002"/>
    <x v="0"/>
    <x v="0"/>
  </r>
  <r>
    <x v="0"/>
    <n v="40"/>
    <n v="70.5"/>
    <n v="1.68"/>
    <n v="25"/>
    <m/>
    <s v="111/93"/>
    <n v="154"/>
    <n v="47"/>
    <n v="119"/>
    <x v="1"/>
    <s v="N"/>
    <s v="Low"/>
    <s v="N"/>
    <n v="168"/>
    <n v="0.495"/>
    <n v="111"/>
    <n v="93"/>
    <s v="Hypertension Stage 2"/>
    <n v="77"/>
    <n v="13.63"/>
    <x v="0"/>
    <x v="0"/>
  </r>
  <r>
    <x v="0"/>
    <n v="48"/>
    <n v="109.3"/>
    <n v="1.81"/>
    <n v="33.4"/>
    <n v="83.2"/>
    <s v="105/100"/>
    <n v="135"/>
    <n v="65"/>
    <n v="119"/>
    <x v="1"/>
    <s v="Y"/>
    <s v="High"/>
    <s v="N"/>
    <n v="181"/>
    <n v="0.46"/>
    <n v="105"/>
    <n v="100"/>
    <s v="Hypertension Stage 2"/>
    <n v="40"/>
    <n v="16.63"/>
    <x v="1"/>
    <x v="1"/>
  </r>
  <r>
    <x v="0"/>
    <n v="40"/>
    <n v="84.6"/>
    <n v="1.81"/>
    <n v="25.8"/>
    <n v="74.5"/>
    <s v="100/91"/>
    <n v="220"/>
    <n v="47"/>
    <n v="77"/>
    <x v="0"/>
    <s v="N"/>
    <s v="High"/>
    <s v="Y"/>
    <n v="181"/>
    <n v="0.41199999999999998"/>
    <n v="100"/>
    <n v="91"/>
    <s v="Hypertension Stage 2"/>
    <n v="143"/>
    <n v="14.56"/>
    <x v="0"/>
    <x v="0"/>
  </r>
  <r>
    <x v="1"/>
    <n v="48"/>
    <n v="111"/>
    <n v="1.69"/>
    <n v="38.9"/>
    <n v="94.8"/>
    <s v="98/64"/>
    <m/>
    <n v="48"/>
    <n v="119"/>
    <x v="1"/>
    <s v="N"/>
    <s v="Moderate"/>
    <s v="N"/>
    <n v="169"/>
    <n v="0.56100000000000005"/>
    <n v="98"/>
    <n v="64"/>
    <s v="Normal"/>
    <n v="178"/>
    <n v="17.8"/>
    <x v="1"/>
    <x v="1"/>
  </r>
  <r>
    <x v="1"/>
    <n v="37"/>
    <n v="78.8"/>
    <n v="1.81"/>
    <n v="24.1"/>
    <n v="101.8"/>
    <s v="135/80"/>
    <n v="194"/>
    <n v="73"/>
    <n v="90"/>
    <x v="0"/>
    <s v="N"/>
    <s v="Low"/>
    <s v="Y"/>
    <n v="181"/>
    <n v="0.56200000000000006"/>
    <n v="135"/>
    <n v="80"/>
    <s v="Hypertension Stage 1"/>
    <n v="91"/>
    <n v="15.45"/>
    <x v="0"/>
    <x v="0"/>
  </r>
  <r>
    <x v="0"/>
    <n v="40"/>
    <n v="116.9"/>
    <n v="1.66"/>
    <n v="42.4"/>
    <n v="78.099999999999994"/>
    <s v="124/72"/>
    <n v="211"/>
    <n v="75"/>
    <n v="117"/>
    <x v="1"/>
    <s v="N"/>
    <s v="High"/>
    <s v="Y"/>
    <n v="166"/>
    <n v="0.47"/>
    <n v="124"/>
    <n v="72"/>
    <s v="Elevated"/>
    <n v="106"/>
    <n v="18.899999999999999"/>
    <x v="1"/>
    <x v="1"/>
  </r>
  <r>
    <x v="0"/>
    <n v="32"/>
    <n v="98.3"/>
    <n v="1.78"/>
    <n v="31"/>
    <n v="93"/>
    <s v="127/98"/>
    <n v="261"/>
    <n v="42"/>
    <n v="94"/>
    <x v="1"/>
    <s v="Y"/>
    <s v="High"/>
    <s v="Y"/>
    <n v="178"/>
    <n v="0.52200000000000002"/>
    <n v="127"/>
    <n v="98"/>
    <s v="Hypertension Stage 2"/>
    <n v="189"/>
    <n v="19.77"/>
    <x v="1"/>
    <x v="1"/>
  </r>
  <r>
    <x v="1"/>
    <n v="56"/>
    <n v="84.1"/>
    <n v="1.86"/>
    <m/>
    <n v="74.599999999999994"/>
    <s v="90/78"/>
    <n v="249"/>
    <n v="62"/>
    <n v="118"/>
    <x v="0"/>
    <s v="N"/>
    <s v="Moderate"/>
    <s v="Y"/>
    <n v="186"/>
    <m/>
    <n v="90"/>
    <n v="78"/>
    <s v="Normal"/>
    <n v="157"/>
    <n v="14.34"/>
    <x v="0"/>
    <x v="0"/>
  </r>
  <r>
    <x v="1"/>
    <n v="57"/>
    <n v="99.1"/>
    <n v="1.6"/>
    <n v="38.700000000000003"/>
    <m/>
    <s v="103/96"/>
    <n v="237"/>
    <n v="58"/>
    <n v="132"/>
    <x v="0"/>
    <s v="Y"/>
    <s v="High"/>
    <s v="N"/>
    <n v="160"/>
    <n v="0.66500000000000004"/>
    <n v="103"/>
    <n v="96"/>
    <s v="Hypertension Stage 2"/>
    <n v="149"/>
    <n v="19.63"/>
    <x v="1"/>
    <x v="1"/>
  </r>
  <r>
    <x v="0"/>
    <n v="51"/>
    <n v="63.5"/>
    <n v="1.8"/>
    <n v="19.600000000000001"/>
    <n v="75.099999999999994"/>
    <s v="103/81"/>
    <n v="154"/>
    <n v="54"/>
    <n v="102"/>
    <x v="0"/>
    <s v="Y"/>
    <s v="High"/>
    <s v="Y"/>
    <n v="180"/>
    <n v="0.41699999999999998"/>
    <n v="103"/>
    <n v="81"/>
    <s v="Hypertension Stage 1"/>
    <n v="70"/>
    <n v="14.15"/>
    <x v="0"/>
    <x v="0"/>
  </r>
  <r>
    <x v="1"/>
    <n v="48"/>
    <n v="113.6"/>
    <n v="1.79"/>
    <n v="35.5"/>
    <m/>
    <s v="111/98"/>
    <n v="286"/>
    <n v="56"/>
    <n v="133"/>
    <x v="1"/>
    <s v="N"/>
    <s v="Moderate"/>
    <s v="N"/>
    <n v="179"/>
    <n v="0.55800000000000005"/>
    <n v="111"/>
    <n v="98"/>
    <s v="Hypertension Stage 2"/>
    <n v="200"/>
    <n v="18.37"/>
    <x v="1"/>
    <x v="1"/>
  </r>
  <r>
    <x v="0"/>
    <n v="53"/>
    <n v="70.3"/>
    <n v="1.67"/>
    <m/>
    <n v="88.8"/>
    <s v="130/97"/>
    <n v="277"/>
    <n v="60"/>
    <n v="113"/>
    <x v="0"/>
    <s v="N"/>
    <s v="Low"/>
    <s v="Y"/>
    <n v="167"/>
    <n v="0.53200000000000003"/>
    <n v="130"/>
    <n v="97"/>
    <s v="Hypertension Stage 1"/>
    <n v="187"/>
    <n v="17.079999999999998"/>
    <x v="1"/>
    <x v="1"/>
  </r>
  <r>
    <x v="0"/>
    <n v="41"/>
    <n v="54.8"/>
    <n v="1.78"/>
    <n v="17.3"/>
    <n v="105.4"/>
    <s v="92/73"/>
    <m/>
    <n v="49"/>
    <n v="83"/>
    <x v="0"/>
    <s v="Y"/>
    <s v="Low"/>
    <s v="Y"/>
    <m/>
    <n v="0.59199999999999997"/>
    <n v="92"/>
    <n v="73"/>
    <s v="Normal"/>
    <n v="26"/>
    <n v="12.16"/>
    <x v="0"/>
    <x v="0"/>
  </r>
  <r>
    <x v="1"/>
    <n v="33"/>
    <n v="119.7"/>
    <n v="1.74"/>
    <n v="39.5"/>
    <n v="96"/>
    <s v="99/97"/>
    <n v="163"/>
    <n v="57"/>
    <n v="116"/>
    <x v="1"/>
    <s v="N"/>
    <s v="Moderate"/>
    <s v="N"/>
    <n v="174"/>
    <n v="0.55200000000000005"/>
    <n v="99"/>
    <n v="97"/>
    <s v="Hypertension Stage 2"/>
    <n v="76"/>
    <n v="16.11"/>
    <x v="0"/>
    <x v="0"/>
  </r>
  <r>
    <x v="0"/>
    <n v="59"/>
    <n v="89.5"/>
    <n v="1.71"/>
    <n v="30.6"/>
    <n v="104.3"/>
    <s v="107/67"/>
    <n v="132"/>
    <n v="69"/>
    <n v="140"/>
    <x v="0"/>
    <s v="Y"/>
    <s v="Low"/>
    <s v="Y"/>
    <n v="171"/>
    <n v="0.61"/>
    <n v="107"/>
    <n v="67"/>
    <s v="Normal"/>
    <n v="33"/>
    <n v="16.11"/>
    <x v="1"/>
    <x v="1"/>
  </r>
  <r>
    <x v="0"/>
    <n v="42"/>
    <n v="59.2"/>
    <n v="1.78"/>
    <n v="18.7"/>
    <n v="88.6"/>
    <s v="137/68"/>
    <n v="122"/>
    <n v="80"/>
    <n v="110"/>
    <x v="1"/>
    <s v="N"/>
    <s v="Low"/>
    <s v="Y"/>
    <n v="178"/>
    <n v="0.498"/>
    <n v="137"/>
    <n v="68"/>
    <s v="Hypertension Stage 1"/>
    <n v="12"/>
    <n v="13.03"/>
    <x v="0"/>
    <x v="0"/>
  </r>
  <r>
    <x v="0"/>
    <n v="46"/>
    <n v="77.7"/>
    <n v="1.61"/>
    <n v="30"/>
    <n v="93.1"/>
    <s v="104/81"/>
    <n v="225"/>
    <n v="43"/>
    <n v="121"/>
    <x v="1"/>
    <s v="Y"/>
    <s v="High"/>
    <s v="Y"/>
    <n v="161"/>
    <n v="0.57799999999999996"/>
    <n v="104"/>
    <n v="81"/>
    <s v="Hypertension Stage 1"/>
    <n v="152"/>
    <n v="17.7"/>
    <x v="1"/>
    <x v="1"/>
  </r>
  <r>
    <x v="0"/>
    <m/>
    <n v="100.9"/>
    <n v="1.78"/>
    <n v="31.8"/>
    <n v="109.4"/>
    <s v="113/99"/>
    <n v="176"/>
    <n v="35"/>
    <n v="136"/>
    <x v="1"/>
    <s v="N"/>
    <s v="Low"/>
    <s v="Y"/>
    <n v="178"/>
    <n v="0.61499999999999999"/>
    <n v="113"/>
    <n v="99"/>
    <s v="Hypertension Stage 2"/>
    <n v="111"/>
    <n v="15.53"/>
    <x v="1"/>
    <x v="1"/>
  </r>
  <r>
    <x v="1"/>
    <n v="40"/>
    <n v="53.3"/>
    <n v="1.63"/>
    <n v="20.100000000000001"/>
    <m/>
    <s v="90/67"/>
    <n v="142"/>
    <n v="40"/>
    <n v="129"/>
    <x v="0"/>
    <s v="Y"/>
    <s v="High"/>
    <s v="N"/>
    <n v="163"/>
    <n v="0.65600000000000003"/>
    <n v="90"/>
    <n v="67"/>
    <s v="Normal"/>
    <n v="72"/>
    <n v="13.36"/>
    <x v="2"/>
    <x v="0"/>
  </r>
  <r>
    <x v="1"/>
    <n v="49"/>
    <n v="74.8"/>
    <n v="1.84"/>
    <n v="22.1"/>
    <n v="103.4"/>
    <s v="122/88"/>
    <n v="228"/>
    <n v="76"/>
    <n v="99"/>
    <x v="1"/>
    <s v="Y"/>
    <s v="Low"/>
    <s v="N"/>
    <m/>
    <n v="0.56200000000000006"/>
    <n v="122"/>
    <n v="88"/>
    <s v="Hypertension Stage 1"/>
    <n v="122"/>
    <n v="17.079999999999998"/>
    <x v="1"/>
    <x v="1"/>
  </r>
  <r>
    <x v="0"/>
    <n v="30"/>
    <n v="89.6"/>
    <n v="1.78"/>
    <n v="28.3"/>
    <n v="70.099999999999994"/>
    <s v="133/97"/>
    <n v="239"/>
    <n v="79"/>
    <n v="121"/>
    <x v="0"/>
    <s v="Y"/>
    <s v="Low"/>
    <s v="N"/>
    <m/>
    <n v="0.39400000000000002"/>
    <n v="133"/>
    <n v="97"/>
    <s v="Hypertension Stage 1"/>
    <n v="130"/>
    <n v="19.09"/>
    <x v="1"/>
    <x v="1"/>
  </r>
  <r>
    <x v="0"/>
    <n v="39"/>
    <n v="55.7"/>
    <n v="1.68"/>
    <n v="19.7"/>
    <n v="78.900000000000006"/>
    <s v="135/100"/>
    <n v="252"/>
    <n v="43"/>
    <n v="123"/>
    <x v="1"/>
    <s v="Y"/>
    <s v="Low"/>
    <s v="Y"/>
    <n v="168"/>
    <m/>
    <n v="135"/>
    <n v="100"/>
    <s v="Hypertension Stage 1"/>
    <n v="179"/>
    <m/>
    <x v="1"/>
    <x v="1"/>
  </r>
  <r>
    <x v="0"/>
    <n v="41"/>
    <n v="93"/>
    <n v="1.88"/>
    <n v="26.3"/>
    <n v="99.2"/>
    <s v="114/96"/>
    <n v="158"/>
    <n v="58"/>
    <n v="138"/>
    <x v="1"/>
    <s v="N"/>
    <s v="Moderate"/>
    <s v="Y"/>
    <n v="188"/>
    <n v="0.52800000000000002"/>
    <n v="114"/>
    <m/>
    <s v="Hypertension Stage 2"/>
    <n v="70"/>
    <n v="14.12"/>
    <x v="0"/>
    <x v="0"/>
  </r>
  <r>
    <x v="0"/>
    <n v="50"/>
    <n v="73"/>
    <n v="1.79"/>
    <n v="22.8"/>
    <n v="77.400000000000006"/>
    <s v="117/97"/>
    <n v="183"/>
    <n v="69"/>
    <n v="119"/>
    <x v="1"/>
    <s v="Y"/>
    <s v="Low"/>
    <s v="N"/>
    <n v="179"/>
    <n v="0.432"/>
    <n v="117"/>
    <n v="97"/>
    <s v="Hypertension Stage 2"/>
    <n v="84"/>
    <n v="16.07"/>
    <x v="1"/>
    <x v="1"/>
  </r>
  <r>
    <x v="1"/>
    <n v="50"/>
    <n v="94.3"/>
    <n v="1.68"/>
    <n v="33.4"/>
    <n v="96.3"/>
    <s v="103/96"/>
    <n v="106"/>
    <n v="38"/>
    <n v="118"/>
    <x v="0"/>
    <s v="Y"/>
    <s v="Low"/>
    <s v="Y"/>
    <n v="168"/>
    <n v="0.57299999999999995"/>
    <n v="103"/>
    <n v="96"/>
    <s v="Hypertension Stage 2"/>
    <n v="38"/>
    <n v="15.95"/>
    <x v="1"/>
    <x v="1"/>
  </r>
  <r>
    <x v="0"/>
    <n v="60"/>
    <m/>
    <n v="1.64"/>
    <n v="30"/>
    <n v="95.9"/>
    <s v="114/63"/>
    <n v="178"/>
    <n v="62"/>
    <n v="90"/>
    <x v="1"/>
    <s v="Y"/>
    <s v="Low"/>
    <s v="Y"/>
    <n v="164"/>
    <n v="0.58499999999999996"/>
    <m/>
    <n v="63"/>
    <s v="Normal"/>
    <n v="86"/>
    <n v="17.260000000000002"/>
    <x v="1"/>
    <x v="1"/>
  </r>
  <r>
    <x v="1"/>
    <n v="41"/>
    <n v="71.3"/>
    <n v="1.73"/>
    <n v="23.8"/>
    <n v="107.9"/>
    <s v="139/61"/>
    <n v="253"/>
    <n v="77"/>
    <n v="94"/>
    <x v="1"/>
    <s v="N"/>
    <s v="Low"/>
    <s v="Y"/>
    <n v="173"/>
    <m/>
    <n v="139"/>
    <m/>
    <s v="Hypertension Stage 1"/>
    <n v="146"/>
    <n v="16.77"/>
    <x v="1"/>
    <x v="1"/>
  </r>
  <r>
    <x v="1"/>
    <n v="59"/>
    <n v="103.9"/>
    <n v="1.66"/>
    <n v="37.700000000000003"/>
    <n v="87.1"/>
    <s v="117/61"/>
    <n v="272"/>
    <n v="31"/>
    <n v="117"/>
    <x v="0"/>
    <s v="N"/>
    <s v="Low"/>
    <s v="N"/>
    <n v="166"/>
    <n v="0.52500000000000002"/>
    <n v="117"/>
    <n v="61"/>
    <s v="Normal"/>
    <n v="211"/>
    <n v="18.829999999999998"/>
    <x v="1"/>
    <x v="1"/>
  </r>
  <r>
    <x v="0"/>
    <n v="60"/>
    <n v="54.8"/>
    <n v="1.77"/>
    <n v="17.5"/>
    <n v="81.2"/>
    <s v="108/81"/>
    <n v="108"/>
    <n v="80"/>
    <n v="108"/>
    <x v="1"/>
    <s v="N"/>
    <s v="Moderate"/>
    <s v="N"/>
    <n v="177"/>
    <n v="0.45900000000000002"/>
    <n v="108"/>
    <n v="81"/>
    <s v="Hypertension Stage 1"/>
    <n v="-2"/>
    <n v="11.06"/>
    <x v="0"/>
    <x v="0"/>
  </r>
  <r>
    <x v="0"/>
    <n v="40"/>
    <n v="113.8"/>
    <n v="1.84"/>
    <n v="33.6"/>
    <n v="96.9"/>
    <s v="94/92"/>
    <n v="203"/>
    <n v="56"/>
    <n v="109"/>
    <x v="1"/>
    <s v="N"/>
    <s v="Moderate"/>
    <s v="N"/>
    <n v="184"/>
    <n v="0.52700000000000002"/>
    <n v="94"/>
    <n v="92"/>
    <s v="Hypertension Stage 2"/>
    <n v="117"/>
    <n v="15.48"/>
    <x v="0"/>
    <x v="0"/>
  </r>
  <r>
    <x v="0"/>
    <n v="52"/>
    <n v="117.7"/>
    <n v="1.62"/>
    <n v="44.8"/>
    <n v="80.8"/>
    <s v="137/82"/>
    <n v="202"/>
    <n v="77"/>
    <n v="75"/>
    <x v="0"/>
    <s v="Y"/>
    <s v="Low"/>
    <s v="N"/>
    <n v="162"/>
    <n v="0.499"/>
    <n v="137"/>
    <n v="82"/>
    <s v="Hypertension Stage 1"/>
    <n v="95"/>
    <n v="21.85"/>
    <x v="1"/>
    <x v="1"/>
  </r>
  <r>
    <x v="1"/>
    <n v="45"/>
    <n v="100.4"/>
    <n v="1.62"/>
    <n v="38.299999999999997"/>
    <n v="76.3"/>
    <s v="128/91"/>
    <n v="254"/>
    <n v="31"/>
    <n v="130"/>
    <x v="0"/>
    <s v="Y"/>
    <s v="Low"/>
    <s v="N"/>
    <n v="162"/>
    <n v="0.47099999999999997"/>
    <n v="128"/>
    <n v="91"/>
    <s v="Hypertension Stage 2"/>
    <n v="193"/>
    <n v="21.14"/>
    <x v="1"/>
    <x v="1"/>
  </r>
  <r>
    <x v="0"/>
    <n v="49"/>
    <n v="101"/>
    <n v="1.74"/>
    <n v="33.4"/>
    <n v="80.599999999999994"/>
    <s v="94/79"/>
    <n v="172"/>
    <n v="50"/>
    <n v="128"/>
    <x v="0"/>
    <s v="Y"/>
    <s v="Moderate"/>
    <s v="Y"/>
    <n v="174"/>
    <n v="0.46300000000000002"/>
    <n v="94"/>
    <n v="79"/>
    <s v="Normal"/>
    <n v="92"/>
    <n v="16.82"/>
    <x v="1"/>
    <x v="1"/>
  </r>
  <r>
    <x v="1"/>
    <n v="45"/>
    <n v="67.5"/>
    <n v="1.83"/>
    <n v="20.2"/>
    <n v="91.3"/>
    <s v="149/66"/>
    <n v="166"/>
    <n v="59"/>
    <n v="98"/>
    <x v="0"/>
    <s v="N"/>
    <s v="Moderate"/>
    <s v="N"/>
    <n v="183"/>
    <n v="0.499"/>
    <n v="149"/>
    <n v="66"/>
    <s v="Hypertension Stage 2"/>
    <n v="77"/>
    <n v="14.81"/>
    <x v="2"/>
    <x v="0"/>
  </r>
  <r>
    <x v="0"/>
    <n v="37"/>
    <n v="117.3"/>
    <n v="1.78"/>
    <n v="37"/>
    <n v="84.6"/>
    <s v="135/77"/>
    <n v="206"/>
    <n v="51"/>
    <n v="120"/>
    <x v="0"/>
    <s v="Y"/>
    <s v="High"/>
    <s v="N"/>
    <n v="178"/>
    <n v="0.47499999999999998"/>
    <n v="135"/>
    <n v="77"/>
    <s v="Hypertension Stage 1"/>
    <n v="125"/>
    <n v="20.27"/>
    <x v="0"/>
    <x v="0"/>
  </r>
  <r>
    <x v="0"/>
    <n v="34"/>
    <n v="94.4"/>
    <n v="1.8"/>
    <n v="29.1"/>
    <n v="90.9"/>
    <s v="100/76"/>
    <m/>
    <m/>
    <n v="89"/>
    <x v="0"/>
    <s v="N"/>
    <s v="Low"/>
    <s v="N"/>
    <n v="180"/>
    <n v="0.505"/>
    <n v="100"/>
    <n v="76"/>
    <s v="Normal"/>
    <n v="139"/>
    <n v="15.54"/>
    <x v="0"/>
    <x v="0"/>
  </r>
  <r>
    <x v="1"/>
    <n v="31"/>
    <n v="104.1"/>
    <n v="1.69"/>
    <n v="36.4"/>
    <n v="74.099999999999994"/>
    <s v="95/84"/>
    <n v="143"/>
    <n v="50"/>
    <n v="73"/>
    <x v="0"/>
    <s v="N"/>
    <s v="High"/>
    <s v="N"/>
    <n v="169"/>
    <n v="0.438"/>
    <n v="95"/>
    <n v="84"/>
    <s v="Hypertension Stage 1"/>
    <n v="63"/>
    <n v="14.89"/>
    <x v="2"/>
    <x v="0"/>
  </r>
  <r>
    <x v="0"/>
    <n v="31"/>
    <n v="113.4"/>
    <n v="1.76"/>
    <n v="36.6"/>
    <n v="101"/>
    <s v="110/83"/>
    <n v="101"/>
    <n v="31"/>
    <n v="98"/>
    <x v="1"/>
    <s v="N"/>
    <s v="High"/>
    <s v="N"/>
    <n v="176"/>
    <n v="0.57399999999999995"/>
    <n v="110"/>
    <n v="83"/>
    <s v="Hypertension Stage 1"/>
    <n v="40"/>
    <n v="14.84"/>
    <x v="0"/>
    <x v="0"/>
  </r>
  <r>
    <x v="1"/>
    <n v="59"/>
    <n v="97.1"/>
    <n v="1.61"/>
    <n v="37.5"/>
    <m/>
    <s v="92/90"/>
    <n v="120"/>
    <n v="45"/>
    <n v="90"/>
    <x v="1"/>
    <s v="N"/>
    <s v="High"/>
    <s v="Y"/>
    <n v="161"/>
    <n v="0.50900000000000001"/>
    <n v="92"/>
    <n v="90"/>
    <s v="Hypertension Stage 2"/>
    <m/>
    <n v="14.5"/>
    <x v="1"/>
    <x v="1"/>
  </r>
  <r>
    <x v="1"/>
    <n v="54"/>
    <m/>
    <n v="1.7"/>
    <n v="27.8"/>
    <n v="70.400000000000006"/>
    <s v="111/94"/>
    <m/>
    <n v="41"/>
    <n v="110"/>
    <x v="1"/>
    <s v="Y"/>
    <s v="High"/>
    <s v="N"/>
    <n v="170"/>
    <n v="0.41399999999999998"/>
    <n v="111"/>
    <n v="94"/>
    <s v="Hypertension Stage 2"/>
    <n v="150"/>
    <n v="17.53"/>
    <x v="1"/>
    <x v="1"/>
  </r>
  <r>
    <x v="0"/>
    <n v="34"/>
    <n v="116.1"/>
    <n v="1.79"/>
    <n v="36.200000000000003"/>
    <n v="78.599999999999994"/>
    <s v="107/66"/>
    <n v="167"/>
    <n v="62"/>
    <n v="140"/>
    <x v="1"/>
    <s v="Y"/>
    <s v="High"/>
    <s v="N"/>
    <n v="179"/>
    <n v="0.439"/>
    <n v="107"/>
    <n v="66"/>
    <s v="Normal"/>
    <n v="75"/>
    <n v="17.93"/>
    <x v="0"/>
    <x v="0"/>
  </r>
  <r>
    <x v="1"/>
    <n v="35"/>
    <n v="75.3"/>
    <n v="1.72"/>
    <n v="25.5"/>
    <n v="95.4"/>
    <s v="98/72"/>
    <n v="137"/>
    <n v="53"/>
    <n v="73"/>
    <x v="1"/>
    <s v="Y"/>
    <s v="High"/>
    <s v="N"/>
    <n v="172"/>
    <n v="0.55500000000000005"/>
    <n v="98"/>
    <n v="72"/>
    <s v="Normal"/>
    <n v="54"/>
    <n v="14.74"/>
    <x v="0"/>
    <x v="0"/>
  </r>
  <r>
    <x v="0"/>
    <n v="31"/>
    <n v="113.5"/>
    <n v="1.74"/>
    <n v="37.5"/>
    <n v="85.8"/>
    <s v="150/96"/>
    <n v="290"/>
    <n v="64"/>
    <n v="118"/>
    <x v="1"/>
    <s v="N"/>
    <s v="Moderate"/>
    <s v="Y"/>
    <n v="174"/>
    <n v="0.49299999999999999"/>
    <n v="150"/>
    <n v="96"/>
    <s v="Hypertension Stage 2"/>
    <n v="196"/>
    <n v="20.8"/>
    <x v="1"/>
    <x v="1"/>
  </r>
  <r>
    <x v="1"/>
    <n v="31"/>
    <n v="75.599999999999994"/>
    <n v="1.73"/>
    <n v="25.3"/>
    <n v="74.5"/>
    <s v="96/69"/>
    <n v="182"/>
    <n v="67"/>
    <n v="148"/>
    <x v="1"/>
    <s v="N"/>
    <s v="High"/>
    <s v="N"/>
    <n v="173"/>
    <n v="0.43099999999999999"/>
    <n v="96"/>
    <n v="69"/>
    <s v="Normal"/>
    <n v="85"/>
    <n v="13.5"/>
    <x v="0"/>
    <x v="0"/>
  </r>
  <r>
    <x v="0"/>
    <n v="59"/>
    <n v="66.099999999999994"/>
    <n v="1.67"/>
    <n v="23.7"/>
    <n v="85.2"/>
    <s v="130/95"/>
    <n v="169"/>
    <n v="52"/>
    <n v="75"/>
    <x v="0"/>
    <s v="N"/>
    <s v="Low"/>
    <s v="N"/>
    <n v="167"/>
    <n v="0.51"/>
    <n v="130"/>
    <n v="95"/>
    <s v="Hypertension Stage 1"/>
    <n v="87"/>
    <n v="14.62"/>
    <x v="0"/>
    <x v="0"/>
  </r>
  <r>
    <x v="1"/>
    <n v="33"/>
    <n v="108.4"/>
    <n v="1.9"/>
    <n v="30"/>
    <n v="84.8"/>
    <s v="140/85"/>
    <n v="132"/>
    <n v="54"/>
    <n v="130"/>
    <x v="0"/>
    <s v="N"/>
    <s v="Moderate"/>
    <s v="Y"/>
    <n v="190"/>
    <n v="0.44600000000000001"/>
    <n v="140"/>
    <n v="85"/>
    <s v="Hypertension Stage 1"/>
    <n v="48"/>
    <n v="15.64"/>
    <x v="0"/>
    <x v="0"/>
  </r>
  <r>
    <x v="0"/>
    <n v="54"/>
    <n v="74.099999999999994"/>
    <n v="1.87"/>
    <n v="21.2"/>
    <n v="105.8"/>
    <s v="138/73"/>
    <n v="171"/>
    <n v="37"/>
    <n v="84"/>
    <x v="1"/>
    <s v="N"/>
    <s v="Low"/>
    <s v="N"/>
    <n v="187"/>
    <n v="0.56599999999999995"/>
    <n v="138"/>
    <n v="73"/>
    <s v="Hypertension Stage 1"/>
    <n v="104"/>
    <n v="14.56"/>
    <x v="1"/>
    <x v="1"/>
  </r>
  <r>
    <x v="0"/>
    <n v="52"/>
    <n v="102.6"/>
    <m/>
    <n v="40.1"/>
    <n v="103.2"/>
    <s v="101/82"/>
    <n v="144"/>
    <n v="63"/>
    <n v="148"/>
    <x v="1"/>
    <s v="Y"/>
    <s v="Moderate"/>
    <s v="Y"/>
    <n v="160"/>
    <n v="0.64500000000000002"/>
    <n v="101"/>
    <n v="82"/>
    <s v="Hypertension Stage 1"/>
    <n v="51"/>
    <n v="17.95"/>
    <x v="1"/>
    <x v="1"/>
  </r>
  <r>
    <x v="1"/>
    <n v="54"/>
    <n v="69.5"/>
    <n v="1.71"/>
    <n v="23.8"/>
    <n v="77.400000000000006"/>
    <s v="126/64"/>
    <n v="151"/>
    <n v="74"/>
    <n v="116"/>
    <x v="1"/>
    <s v="Y"/>
    <s v="High"/>
    <s v="N"/>
    <n v="171"/>
    <n v="0.45300000000000001"/>
    <n v="126"/>
    <n v="64"/>
    <s v="Elevated"/>
    <n v="47"/>
    <n v="16.079999999999998"/>
    <x v="0"/>
    <x v="0"/>
  </r>
  <r>
    <x v="0"/>
    <n v="53"/>
    <n v="119.5"/>
    <n v="1.82"/>
    <n v="36.1"/>
    <n v="102.5"/>
    <s v="135/82"/>
    <n v="256"/>
    <n v="33"/>
    <n v="125"/>
    <x v="0"/>
    <s v="Y"/>
    <s v="Moderate"/>
    <s v="Y"/>
    <n v="182"/>
    <n v="0.56299999999999994"/>
    <n v="135"/>
    <n v="82"/>
    <s v="Hypertension Stage 1"/>
    <n v="193"/>
    <n v="21.09"/>
    <x v="1"/>
    <x v="1"/>
  </r>
  <r>
    <x v="1"/>
    <n v="57"/>
    <n v="108.7"/>
    <n v="1.81"/>
    <n v="33.200000000000003"/>
    <n v="84"/>
    <s v="150/71"/>
    <n v="158"/>
    <n v="33"/>
    <n v="114"/>
    <x v="1"/>
    <s v="Y"/>
    <s v="High"/>
    <s v="N"/>
    <n v="181"/>
    <n v="0.46400000000000002"/>
    <m/>
    <n v="71"/>
    <s v="Hypertension Stage 2"/>
    <n v="95"/>
    <n v="19.3"/>
    <x v="1"/>
    <x v="1"/>
  </r>
  <r>
    <x v="1"/>
    <n v="33"/>
    <n v="118.3"/>
    <n v="1.69"/>
    <n v="41.4"/>
    <n v="72.099999999999994"/>
    <s v="116/93"/>
    <n v="171"/>
    <n v="44"/>
    <n v="145"/>
    <x v="0"/>
    <s v="N"/>
    <s v="Moderate"/>
    <s v="N"/>
    <m/>
    <n v="0.42699999999999999"/>
    <n v="116"/>
    <n v="93"/>
    <s v="Hypertension Stage 2"/>
    <n v="97"/>
    <n v="17.5"/>
    <x v="2"/>
    <x v="0"/>
  </r>
  <r>
    <x v="0"/>
    <n v="54"/>
    <n v="67.2"/>
    <n v="1.88"/>
    <n v="19"/>
    <n v="71.400000000000006"/>
    <s v="96/90"/>
    <n v="128"/>
    <m/>
    <n v="133"/>
    <x v="0"/>
    <s v="Y"/>
    <s v="Moderate"/>
    <s v="N"/>
    <n v="188"/>
    <n v="0.38"/>
    <m/>
    <n v="90"/>
    <s v="Hypertension Stage 2"/>
    <n v="55"/>
    <n v="13.16"/>
    <x v="0"/>
    <x v="0"/>
  </r>
  <r>
    <x v="0"/>
    <n v="38"/>
    <n v="111.4"/>
    <n v="1.76"/>
    <n v="36"/>
    <n v="98.7"/>
    <s v="117/93"/>
    <n v="263"/>
    <n v="45"/>
    <n v="98"/>
    <x v="0"/>
    <s v="Y"/>
    <s v="High"/>
    <s v="N"/>
    <n v="176"/>
    <n v="0.56100000000000005"/>
    <n v="117"/>
    <n v="93"/>
    <s v="Hypertension Stage 2"/>
    <n v="188"/>
    <n v="20.309999999999999"/>
    <x v="0"/>
    <x v="0"/>
  </r>
  <r>
    <x v="1"/>
    <n v="51"/>
    <n v="57.5"/>
    <n v="1.69"/>
    <n v="20.100000000000001"/>
    <n v="99.1"/>
    <s v="105/64"/>
    <n v="137"/>
    <n v="57"/>
    <n v="84"/>
    <x v="1"/>
    <s v="Y"/>
    <s v="Low"/>
    <s v="Y"/>
    <n v="169"/>
    <n v="0.58599999999999997"/>
    <n v="105"/>
    <n v="64"/>
    <s v="Normal"/>
    <n v="50"/>
    <n v="14.01"/>
    <x v="1"/>
    <x v="1"/>
  </r>
  <r>
    <x v="1"/>
    <n v="51"/>
    <n v="57.6"/>
    <n v="1.81"/>
    <n v="17.600000000000001"/>
    <n v="100"/>
    <s v="97/84"/>
    <n v="137"/>
    <n v="48"/>
    <n v="113"/>
    <x v="1"/>
    <s v="N"/>
    <s v="High"/>
    <s v="N"/>
    <n v="181"/>
    <n v="0.55200000000000005"/>
    <n v="97"/>
    <n v="84"/>
    <s v="Hypertension Stage 1"/>
    <n v="59"/>
    <n v="11.11"/>
    <x v="0"/>
    <x v="0"/>
  </r>
  <r>
    <x v="0"/>
    <n v="54"/>
    <n v="98.8"/>
    <n v="1.69"/>
    <n v="34.6"/>
    <n v="108.6"/>
    <s v="145/96"/>
    <n v="258"/>
    <n v="44"/>
    <n v="83"/>
    <x v="0"/>
    <s v="N"/>
    <s v="Low"/>
    <s v="N"/>
    <n v="169"/>
    <n v="0.64300000000000002"/>
    <n v="145"/>
    <n v="96"/>
    <s v="Hypertension Stage 2"/>
    <n v="184"/>
    <n v="19.329999999999998"/>
    <x v="1"/>
    <x v="1"/>
  </r>
  <r>
    <x v="1"/>
    <n v="49"/>
    <n v="50.6"/>
    <n v="1.81"/>
    <n v="15.4"/>
    <m/>
    <s v="127/77"/>
    <n v="227"/>
    <n v="32"/>
    <n v="88"/>
    <x v="1"/>
    <s v="N"/>
    <s v="Low"/>
    <s v="N"/>
    <n v="181"/>
    <n v="0.40200000000000002"/>
    <m/>
    <n v="77"/>
    <s v="Elevated"/>
    <n v="165"/>
    <n v="13.97"/>
    <x v="1"/>
    <x v="1"/>
  </r>
  <r>
    <x v="1"/>
    <n v="45"/>
    <n v="110.9"/>
    <n v="1.62"/>
    <n v="42.3"/>
    <n v="109.5"/>
    <s v="98/60"/>
    <n v="199"/>
    <n v="30"/>
    <n v="150"/>
    <x v="1"/>
    <s v="N"/>
    <s v="Moderate"/>
    <s v="Y"/>
    <n v="162"/>
    <n v="0.67600000000000005"/>
    <n v="98"/>
    <n v="60"/>
    <s v="Normal"/>
    <n v="139"/>
    <n v="17.34"/>
    <x v="1"/>
    <x v="1"/>
  </r>
  <r>
    <x v="1"/>
    <n v="50"/>
    <n v="90.7"/>
    <n v="1.75"/>
    <n v="29.6"/>
    <n v="97.6"/>
    <s v="91/79"/>
    <n v="264"/>
    <n v="36"/>
    <n v="138"/>
    <x v="1"/>
    <s v="Y"/>
    <s v="Moderate"/>
    <s v="Y"/>
    <n v="175"/>
    <n v="0.55800000000000005"/>
    <n v="91"/>
    <n v="79"/>
    <s v="Normal"/>
    <n v="198"/>
    <n v="17.75"/>
    <x v="1"/>
    <x v="1"/>
  </r>
  <r>
    <x v="0"/>
    <n v="59"/>
    <n v="66.7"/>
    <n v="1.67"/>
    <n v="23.9"/>
    <n v="90.1"/>
    <s v="147/82"/>
    <n v="116"/>
    <n v="35"/>
    <n v="104"/>
    <x v="1"/>
    <s v="N"/>
    <s v="High"/>
    <s v="Y"/>
    <m/>
    <n v="0.54"/>
    <n v="147"/>
    <n v="82"/>
    <s v="Hypertension Stage 1"/>
    <n v="51"/>
    <n v="14.45"/>
    <x v="1"/>
    <x v="1"/>
  </r>
  <r>
    <x v="1"/>
    <n v="57"/>
    <n v="95.9"/>
    <n v="1.62"/>
    <n v="36.5"/>
    <n v="81.7"/>
    <s v="117/91"/>
    <n v="281"/>
    <n v="40"/>
    <n v="150"/>
    <x v="0"/>
    <s v="N"/>
    <s v="Low"/>
    <s v="Y"/>
    <n v="162"/>
    <n v="0.504"/>
    <m/>
    <n v="91"/>
    <s v="Hypertension Stage 2"/>
    <n v="211"/>
    <n v="18.77"/>
    <x v="1"/>
    <x v="1"/>
  </r>
  <r>
    <x v="1"/>
    <n v="48"/>
    <n v="73.099999999999994"/>
    <n v="1.76"/>
    <n v="23.6"/>
    <n v="87.8"/>
    <s v="119/81"/>
    <n v="294"/>
    <n v="40"/>
    <n v="113"/>
    <x v="0"/>
    <s v="Y"/>
    <s v="Low"/>
    <s v="N"/>
    <n v="176"/>
    <n v="0.499"/>
    <n v="119"/>
    <n v="81"/>
    <s v="Hypertension Stage 1"/>
    <n v="224"/>
    <n v="18.55"/>
    <x v="1"/>
    <x v="1"/>
  </r>
  <r>
    <x v="0"/>
    <n v="45"/>
    <n v="94.5"/>
    <n v="1.85"/>
    <n v="27.6"/>
    <n v="78.5"/>
    <s v="136/61"/>
    <n v="177"/>
    <n v="38"/>
    <n v="145"/>
    <x v="1"/>
    <s v="Y"/>
    <s v="Moderate"/>
    <s v="Y"/>
    <n v="185"/>
    <n v="0.42399999999999999"/>
    <n v="136"/>
    <n v="61"/>
    <s v="Hypertension Stage 1"/>
    <n v="109"/>
    <n v="17.86"/>
    <x v="1"/>
    <x v="1"/>
  </r>
  <r>
    <x v="1"/>
    <n v="48"/>
    <n v="81.400000000000006"/>
    <n v="1.63"/>
    <n v="30.6"/>
    <n v="106.7"/>
    <s v="149/81"/>
    <n v="191"/>
    <n v="41"/>
    <n v="71"/>
    <x v="1"/>
    <s v="Y"/>
    <s v="Moderate"/>
    <s v="N"/>
    <n v="163"/>
    <n v="0.65500000000000003"/>
    <n v="149"/>
    <m/>
    <s v="Hypertension Stage 1"/>
    <m/>
    <n v="19.39"/>
    <x v="1"/>
    <x v="1"/>
  </r>
  <r>
    <x v="1"/>
    <n v="35"/>
    <n v="85.2"/>
    <n v="1.79"/>
    <n v="26.6"/>
    <n v="73.5"/>
    <s v="97/79"/>
    <n v="262"/>
    <n v="39"/>
    <n v="70"/>
    <x v="0"/>
    <s v="Y"/>
    <s v="High"/>
    <s v="N"/>
    <n v="179"/>
    <n v="0.41099999999999998"/>
    <n v="97"/>
    <n v="79"/>
    <s v="Normal"/>
    <n v="193"/>
    <n v="17.41"/>
    <x v="1"/>
    <x v="1"/>
  </r>
  <r>
    <x v="1"/>
    <n v="53"/>
    <n v="118.8"/>
    <n v="1.68"/>
    <n v="42.1"/>
    <n v="88.2"/>
    <s v="140/86"/>
    <n v="233"/>
    <n v="63"/>
    <n v="73"/>
    <x v="1"/>
    <s v="N"/>
    <s v="Low"/>
    <s v="Y"/>
    <n v="168"/>
    <n v="0.52500000000000002"/>
    <n v="140"/>
    <n v="86"/>
    <s v="Hypertension Stage 1"/>
    <n v="140"/>
    <n v="20.079999999999998"/>
    <x v="1"/>
    <x v="1"/>
  </r>
  <r>
    <x v="1"/>
    <n v="33"/>
    <n v="99.4"/>
    <n v="1.88"/>
    <n v="28.1"/>
    <n v="75.599999999999994"/>
    <s v="121/67"/>
    <n v="182"/>
    <n v="35"/>
    <n v="126"/>
    <x v="0"/>
    <s v="Y"/>
    <s v="Moderate"/>
    <s v="N"/>
    <n v="188"/>
    <n v="0.40200000000000002"/>
    <n v="121"/>
    <n v="67"/>
    <s v="Elevated"/>
    <n v="117"/>
    <n v="17.309999999999999"/>
    <x v="0"/>
    <x v="0"/>
  </r>
  <r>
    <x v="0"/>
    <n v="32"/>
    <n v="71.7"/>
    <n v="1.72"/>
    <n v="24.2"/>
    <n v="109.9"/>
    <s v="150/84"/>
    <n v="170"/>
    <n v="38"/>
    <n v="92"/>
    <x v="1"/>
    <s v="N"/>
    <s v="Moderate"/>
    <s v="Y"/>
    <n v="172"/>
    <n v="0.63900000000000001"/>
    <n v="150"/>
    <n v="84"/>
    <s v="Hypertension Stage 1"/>
    <n v="102"/>
    <n v="15.74"/>
    <x v="0"/>
    <x v="0"/>
  </r>
  <r>
    <x v="1"/>
    <n v="30"/>
    <n v="78.5"/>
    <n v="1.77"/>
    <n v="25.1"/>
    <n v="100.6"/>
    <s v="131/79"/>
    <n v="162"/>
    <n v="42"/>
    <n v="126"/>
    <x v="1"/>
    <s v="N"/>
    <s v="Low"/>
    <s v="Y"/>
    <n v="177"/>
    <n v="0.56799999999999995"/>
    <n v="131"/>
    <m/>
    <s v="Hypertension Stage 1"/>
    <n v="90"/>
    <n v="14.81"/>
    <x v="1"/>
    <x v="1"/>
  </r>
  <r>
    <x v="0"/>
    <n v="48"/>
    <n v="57.4"/>
    <n v="1.76"/>
    <n v="18.5"/>
    <n v="96.6"/>
    <s v="119/92"/>
    <n v="212"/>
    <n v="58"/>
    <n v="76"/>
    <x v="1"/>
    <s v="N"/>
    <s v="High"/>
    <s v="N"/>
    <n v="176"/>
    <n v="0.54900000000000004"/>
    <n v="119"/>
    <n v="92"/>
    <s v="Hypertension Stage 2"/>
    <n v="124"/>
    <n v="13.89"/>
    <x v="0"/>
    <x v="0"/>
  </r>
  <r>
    <x v="0"/>
    <n v="55"/>
    <n v="73.5"/>
    <n v="1.88"/>
    <n v="20.8"/>
    <n v="82.7"/>
    <s v="144/72"/>
    <m/>
    <n v="36"/>
    <n v="116"/>
    <x v="0"/>
    <s v="Y"/>
    <s v="Low"/>
    <s v="Y"/>
    <n v="188"/>
    <n v="0.44"/>
    <n v="144"/>
    <n v="72"/>
    <s v="Hypertension Stage 2"/>
    <n v="100"/>
    <n v="16.68"/>
    <x v="1"/>
    <x v="1"/>
  </r>
  <r>
    <x v="1"/>
    <n v="31"/>
    <n v="56.8"/>
    <n v="1.85"/>
    <n v="16.600000000000001"/>
    <n v="86.8"/>
    <s v="144/70"/>
    <n v="193"/>
    <n v="50"/>
    <n v="112"/>
    <x v="1"/>
    <s v="N"/>
    <s v="Low"/>
    <s v="N"/>
    <n v="185"/>
    <n v="0.46899999999999997"/>
    <n v="144"/>
    <n v="70"/>
    <s v="Hypertension Stage 2"/>
    <n v="113"/>
    <n v="14.38"/>
    <x v="0"/>
    <x v="0"/>
  </r>
  <r>
    <x v="0"/>
    <n v="33"/>
    <n v="72.8"/>
    <n v="1.64"/>
    <n v="27.1"/>
    <n v="96.6"/>
    <s v="137/64"/>
    <n v="214"/>
    <n v="69"/>
    <n v="73"/>
    <x v="0"/>
    <s v="Y"/>
    <s v="Low"/>
    <s v="N"/>
    <n v="164"/>
    <n v="0.58899999999999997"/>
    <n v="137"/>
    <n v="64"/>
    <s v="Hypertension Stage 1"/>
    <n v="115"/>
    <n v="18.55"/>
    <x v="1"/>
    <x v="1"/>
  </r>
  <r>
    <x v="0"/>
    <n v="30"/>
    <n v="60.2"/>
    <n v="1.76"/>
    <n v="19.399999999999999"/>
    <n v="83.6"/>
    <s v="124/76"/>
    <n v="118"/>
    <n v="36"/>
    <n v="101"/>
    <x v="1"/>
    <s v="N"/>
    <s v="High"/>
    <s v="Y"/>
    <n v="176"/>
    <n v="0.47499999999999998"/>
    <n v="124"/>
    <n v="76"/>
    <s v="Elevated"/>
    <n v="52"/>
    <n v="12.44"/>
    <x v="0"/>
    <x v="0"/>
  </r>
  <r>
    <x v="0"/>
    <n v="48"/>
    <n v="57.5"/>
    <n v="1.76"/>
    <n v="18.600000000000001"/>
    <n v="82.1"/>
    <s v="142/79"/>
    <n v="181"/>
    <n v="72"/>
    <n v="118"/>
    <x v="0"/>
    <s v="Y"/>
    <s v="High"/>
    <s v="N"/>
    <n v="176"/>
    <n v="0.46600000000000003"/>
    <n v="142"/>
    <n v="79"/>
    <s v="Hypertension Stage 2"/>
    <n v="79"/>
    <n v="16.440000000000001"/>
    <x v="0"/>
    <x v="0"/>
  </r>
  <r>
    <x v="0"/>
    <n v="51"/>
    <n v="67.3"/>
    <n v="1.67"/>
    <n v="24.1"/>
    <n v="93.5"/>
    <s v="102/79"/>
    <n v="217"/>
    <n v="30"/>
    <n v="99"/>
    <x v="0"/>
    <s v="N"/>
    <s v="High"/>
    <s v="Y"/>
    <n v="167"/>
    <n v="0.56000000000000005"/>
    <n v="102"/>
    <m/>
    <s v="Normal"/>
    <n v="157"/>
    <n v="14.26"/>
    <x v="1"/>
    <x v="1"/>
  </r>
  <r>
    <x v="0"/>
    <n v="53"/>
    <n v="58.4"/>
    <n v="1.78"/>
    <n v="18.399999999999999"/>
    <n v="90.7"/>
    <s v="92/84"/>
    <n v="166"/>
    <n v="40"/>
    <n v="76"/>
    <x v="1"/>
    <s v="N"/>
    <s v="High"/>
    <s v="Y"/>
    <n v="178"/>
    <m/>
    <n v="92"/>
    <n v="84"/>
    <s v="Hypertension Stage 1"/>
    <n v="96"/>
    <n v="11.6"/>
    <x v="0"/>
    <x v="0"/>
  </r>
  <r>
    <x v="1"/>
    <m/>
    <n v="102.1"/>
    <n v="1.66"/>
    <n v="37.1"/>
    <n v="71.3"/>
    <s v="133/75"/>
    <n v="288"/>
    <m/>
    <n v="149"/>
    <x v="1"/>
    <s v="Y"/>
    <s v="High"/>
    <s v="N"/>
    <m/>
    <n v="0.43"/>
    <n v="133"/>
    <n v="75"/>
    <s v="Hypertension Stage 1"/>
    <n v="207"/>
    <n v="21.83"/>
    <x v="1"/>
    <x v="1"/>
  </r>
  <r>
    <x v="0"/>
    <n v="33"/>
    <n v="74.599999999999994"/>
    <n v="1.7"/>
    <n v="25.8"/>
    <n v="84.4"/>
    <s v="125/73"/>
    <n v="294"/>
    <n v="74"/>
    <n v="76"/>
    <x v="1"/>
    <s v="Y"/>
    <s v="Moderate"/>
    <s v="Y"/>
    <n v="170"/>
    <n v="0.496"/>
    <n v="125"/>
    <n v="73"/>
    <s v="Elevated"/>
    <n v="190"/>
    <n v="19.29"/>
    <x v="1"/>
    <x v="1"/>
  </r>
  <r>
    <x v="0"/>
    <m/>
    <n v="77"/>
    <n v="1.65"/>
    <n v="28.3"/>
    <n v="88.8"/>
    <s v="97/74"/>
    <n v="101"/>
    <n v="40"/>
    <n v="138"/>
    <x v="0"/>
    <s v="Y"/>
    <s v="High"/>
    <s v="N"/>
    <n v="165"/>
    <n v="0.53800000000000003"/>
    <m/>
    <n v="74"/>
    <s v="Normal"/>
    <n v="31"/>
    <n v="14.53"/>
    <x v="0"/>
    <x v="0"/>
  </r>
  <r>
    <x v="1"/>
    <n v="38"/>
    <n v="100.4"/>
    <n v="1.68"/>
    <n v="35.6"/>
    <n v="102"/>
    <s v="146/73"/>
    <n v="109"/>
    <n v="55"/>
    <n v="150"/>
    <x v="1"/>
    <s v="Y"/>
    <s v="High"/>
    <s v="Y"/>
    <n v="168"/>
    <n v="0.60699999999999998"/>
    <n v="146"/>
    <n v="73"/>
    <s v="Hypertension Stage 2"/>
    <n v="24"/>
    <n v="18.600000000000001"/>
    <x v="1"/>
    <x v="1"/>
  </r>
  <r>
    <x v="1"/>
    <n v="30"/>
    <n v="85.2"/>
    <n v="1.69"/>
    <n v="29.8"/>
    <n v="96.3"/>
    <s v="91/61"/>
    <n v="247"/>
    <m/>
    <n v="129"/>
    <x v="1"/>
    <s v="Y"/>
    <s v="High"/>
    <s v="Y"/>
    <n v="169"/>
    <n v="0.56999999999999995"/>
    <n v="91"/>
    <m/>
    <s v="Normal"/>
    <n v="138"/>
    <m/>
    <x v="1"/>
    <x v="1"/>
  </r>
  <r>
    <x v="0"/>
    <n v="54"/>
    <n v="106"/>
    <n v="1.78"/>
    <n v="33.5"/>
    <n v="82.9"/>
    <s v="119/89"/>
    <n v="117"/>
    <n v="36"/>
    <n v="95"/>
    <x v="1"/>
    <s v="N"/>
    <s v="Moderate"/>
    <s v="N"/>
    <n v="178"/>
    <n v="0.46600000000000003"/>
    <n v="119"/>
    <n v="89"/>
    <s v="Hypertension Stage 1"/>
    <n v="51"/>
    <n v="14.99"/>
    <x v="1"/>
    <x v="1"/>
  </r>
  <r>
    <x v="1"/>
    <n v="56"/>
    <n v="117.9"/>
    <n v="1.66"/>
    <n v="42.8"/>
    <n v="108.6"/>
    <s v="133/65"/>
    <n v="120"/>
    <n v="64"/>
    <n v="132"/>
    <x v="0"/>
    <s v="Y"/>
    <s v="Moderate"/>
    <s v="Y"/>
    <n v="166"/>
    <n v="0.65400000000000003"/>
    <n v="133"/>
    <n v="65"/>
    <s v="Hypertension Stage 1"/>
    <n v="26"/>
    <n v="19.61"/>
    <x v="1"/>
    <x v="1"/>
  </r>
  <r>
    <x v="1"/>
    <n v="37"/>
    <n v="79.3"/>
    <n v="1.86"/>
    <n v="22.9"/>
    <n v="73.8"/>
    <s v="118/89"/>
    <n v="286"/>
    <n v="36"/>
    <n v="142"/>
    <x v="1"/>
    <s v="Y"/>
    <s v="Low"/>
    <s v="N"/>
    <n v="186"/>
    <n v="0.39700000000000002"/>
    <n v="118"/>
    <n v="89"/>
    <s v="Hypertension Stage 1"/>
    <m/>
    <n v="18.2"/>
    <x v="1"/>
    <x v="1"/>
  </r>
  <r>
    <x v="0"/>
    <n v="59"/>
    <n v="89.4"/>
    <n v="1.67"/>
    <n v="32.1"/>
    <n v="107.2"/>
    <s v="118/89"/>
    <n v="206"/>
    <n v="54"/>
    <n v="140"/>
    <x v="1"/>
    <s v="Y"/>
    <s v="Low"/>
    <s v="Y"/>
    <n v="167"/>
    <n v="0.64200000000000002"/>
    <n v="118"/>
    <n v="89"/>
    <s v="Hypertension Stage 1"/>
    <n v="122"/>
    <n v="18.440000000000001"/>
    <x v="1"/>
    <x v="1"/>
  </r>
  <r>
    <x v="1"/>
    <n v="30"/>
    <n v="105.3"/>
    <n v="1.62"/>
    <n v="40.1"/>
    <n v="88.2"/>
    <s v="121/94"/>
    <n v="162"/>
    <n v="43"/>
    <n v="79"/>
    <x v="1"/>
    <s v="N"/>
    <s v="High"/>
    <s v="N"/>
    <n v="162"/>
    <n v="0.54400000000000004"/>
    <n v="121"/>
    <m/>
    <s v="Hypertension Stage 2"/>
    <n v="89"/>
    <n v="17.309999999999999"/>
    <x v="0"/>
    <x v="0"/>
  </r>
  <r>
    <x v="0"/>
    <n v="39"/>
    <m/>
    <n v="1.66"/>
    <n v="19"/>
    <n v="98.1"/>
    <s v="141/69"/>
    <n v="149"/>
    <n v="70"/>
    <n v="137"/>
    <x v="1"/>
    <s v="Y"/>
    <s v="Moderate"/>
    <s v="Y"/>
    <n v="166"/>
    <n v="0.59099999999999997"/>
    <n v="141"/>
    <n v="69"/>
    <s v="Hypertension Stage 2"/>
    <n v="49"/>
    <n v="15.83"/>
    <x v="0"/>
    <x v="0"/>
  </r>
  <r>
    <x v="0"/>
    <n v="49"/>
    <n v="113.1"/>
    <n v="1.67"/>
    <n v="40.6"/>
    <n v="89.7"/>
    <s v="102/63"/>
    <n v="124"/>
    <n v="48"/>
    <n v="90"/>
    <x v="0"/>
    <s v="Y"/>
    <s v="High"/>
    <s v="Y"/>
    <m/>
    <n v="0.53700000000000003"/>
    <n v="102"/>
    <n v="63"/>
    <s v="Normal"/>
    <n v="46"/>
    <n v="17.7"/>
    <x v="1"/>
    <x v="1"/>
  </r>
  <r>
    <x v="1"/>
    <n v="36"/>
    <n v="74.8"/>
    <n v="1.88"/>
    <n v="21.2"/>
    <n v="73"/>
    <s v="130/71"/>
    <m/>
    <n v="49"/>
    <n v="107"/>
    <x v="1"/>
    <s v="N"/>
    <s v="High"/>
    <s v="Y"/>
    <n v="188"/>
    <n v="0.38800000000000001"/>
    <n v="130"/>
    <n v="71"/>
    <s v="Hypertension Stage 1"/>
    <n v="76"/>
    <n v="13.84"/>
    <x v="0"/>
    <x v="0"/>
  </r>
  <r>
    <x v="1"/>
    <n v="39"/>
    <n v="73.3"/>
    <n v="1.74"/>
    <n v="24.2"/>
    <n v="95"/>
    <s v="111/84"/>
    <n v="158"/>
    <n v="37"/>
    <n v="81"/>
    <x v="0"/>
    <s v="Y"/>
    <s v="High"/>
    <s v="Y"/>
    <n v="174"/>
    <n v="0.54600000000000004"/>
    <n v="111"/>
    <n v="84"/>
    <s v="Hypertension Stage 1"/>
    <n v="91"/>
    <n v="15.55"/>
    <x v="0"/>
    <x v="0"/>
  </r>
  <r>
    <x v="1"/>
    <n v="50"/>
    <n v="57.9"/>
    <n v="1.87"/>
    <n v="16.600000000000001"/>
    <n v="78.3"/>
    <s v="102/60"/>
    <n v="215"/>
    <n v="68"/>
    <n v="90"/>
    <x v="0"/>
    <s v="Y"/>
    <s v="Moderate"/>
    <s v="N"/>
    <n v="187"/>
    <n v="0.41899999999999998"/>
    <m/>
    <n v="60"/>
    <s v="Normal"/>
    <n v="117"/>
    <n v="14.72"/>
    <x v="0"/>
    <x v="0"/>
  </r>
  <r>
    <x v="1"/>
    <n v="43"/>
    <n v="52.7"/>
    <n v="1.85"/>
    <n v="15.4"/>
    <n v="107.7"/>
    <s v="107/61"/>
    <n v="105"/>
    <n v="32"/>
    <n v="70"/>
    <x v="1"/>
    <s v="N"/>
    <s v="High"/>
    <s v="N"/>
    <n v="185"/>
    <n v="0.58199999999999996"/>
    <n v="107"/>
    <n v="61"/>
    <s v="Normal"/>
    <n v="43"/>
    <n v="10.53"/>
    <x v="0"/>
    <x v="0"/>
  </r>
  <r>
    <x v="1"/>
    <n v="44"/>
    <n v="56.8"/>
    <n v="1.77"/>
    <n v="18.100000000000001"/>
    <n v="90.8"/>
    <s v="133/77"/>
    <n v="131"/>
    <n v="37"/>
    <n v="109"/>
    <x v="1"/>
    <s v="Y"/>
    <s v="High"/>
    <s v="N"/>
    <n v="177"/>
    <n v="0.51300000000000001"/>
    <n v="133"/>
    <n v="77"/>
    <s v="Hypertension Stage 1"/>
    <n v="64"/>
    <n v="14.89"/>
    <x v="0"/>
    <x v="0"/>
  </r>
  <r>
    <x v="1"/>
    <n v="60"/>
    <n v="84.4"/>
    <n v="1.9"/>
    <n v="23.4"/>
    <n v="77.099999999999994"/>
    <s v="112/91"/>
    <n v="134"/>
    <n v="31"/>
    <n v="95"/>
    <x v="0"/>
    <s v="N"/>
    <s v="Moderate"/>
    <s v="N"/>
    <n v="190"/>
    <n v="0.40600000000000003"/>
    <n v="112"/>
    <n v="91"/>
    <s v="Hypertension Stage 2"/>
    <n v="73"/>
    <n v="12.96"/>
    <x v="0"/>
    <x v="0"/>
  </r>
  <r>
    <x v="0"/>
    <n v="37"/>
    <n v="103.5"/>
    <n v="1.81"/>
    <n v="31.6"/>
    <n v="84.6"/>
    <s v="122/65"/>
    <n v="114"/>
    <n v="55"/>
    <n v="138"/>
    <x v="0"/>
    <s v="Y"/>
    <s v="High"/>
    <s v="N"/>
    <n v="181"/>
    <n v="0.46700000000000003"/>
    <m/>
    <n v="65"/>
    <s v="Elevated"/>
    <n v="29"/>
    <n v="16.7"/>
    <x v="0"/>
    <x v="0"/>
  </r>
  <r>
    <x v="1"/>
    <n v="47"/>
    <n v="87.6"/>
    <n v="1.81"/>
    <n v="26.7"/>
    <n v="91.3"/>
    <s v="90/92"/>
    <n v="271"/>
    <n v="42"/>
    <n v="108"/>
    <x v="1"/>
    <s v="N"/>
    <s v="Moderate"/>
    <s v="Y"/>
    <m/>
    <n v="0.504"/>
    <n v="90"/>
    <n v="92"/>
    <s v="Hypertension Stage 2"/>
    <n v="199"/>
    <n v="15.26"/>
    <x v="1"/>
    <x v="1"/>
  </r>
  <r>
    <x v="1"/>
    <n v="32"/>
    <n v="84.8"/>
    <n v="1.66"/>
    <n v="30.8"/>
    <n v="100.4"/>
    <s v="133/70"/>
    <n v="284"/>
    <n v="76"/>
    <n v="70"/>
    <x v="0"/>
    <s v="Y"/>
    <s v="Low"/>
    <s v="Y"/>
    <n v="166"/>
    <n v="0.60499999999999998"/>
    <n v="133"/>
    <n v="70"/>
    <s v="Hypertension Stage 1"/>
    <n v="178"/>
    <n v="20.49"/>
    <x v="1"/>
    <x v="1"/>
  </r>
  <r>
    <x v="1"/>
    <m/>
    <n v="115.4"/>
    <m/>
    <n v="36.799999999999997"/>
    <n v="91.9"/>
    <s v="142/64"/>
    <m/>
    <n v="39"/>
    <n v="118"/>
    <x v="1"/>
    <s v="Y"/>
    <s v="High"/>
    <s v="N"/>
    <n v="177"/>
    <n v="0.51900000000000002"/>
    <n v="142"/>
    <n v="64"/>
    <s v="Hypertension Stage 2"/>
    <n v="67"/>
    <n v="19.18"/>
    <x v="1"/>
    <x v="1"/>
  </r>
  <r>
    <x v="0"/>
    <n v="30"/>
    <n v="70.7"/>
    <n v="1.82"/>
    <n v="21.3"/>
    <n v="109.7"/>
    <s v="117/62"/>
    <n v="157"/>
    <n v="37"/>
    <n v="105"/>
    <x v="0"/>
    <s v="Y"/>
    <s v="Moderate"/>
    <s v="N"/>
    <n v="182"/>
    <n v="0.60299999999999998"/>
    <n v="117"/>
    <n v="62"/>
    <s v="Normal"/>
    <n v="90"/>
    <n v="15.25"/>
    <x v="0"/>
    <x v="0"/>
  </r>
  <r>
    <x v="1"/>
    <n v="43"/>
    <n v="79.8"/>
    <n v="1.86"/>
    <n v="23.1"/>
    <n v="82.2"/>
    <s v="141/65"/>
    <n v="160"/>
    <n v="72"/>
    <n v="70"/>
    <x v="0"/>
    <s v="N"/>
    <s v="Low"/>
    <s v="Y"/>
    <n v="186"/>
    <n v="0.442"/>
    <n v="141"/>
    <n v="65"/>
    <s v="Hypertension Stage 2"/>
    <n v="58"/>
    <n v="14.87"/>
    <x v="0"/>
    <x v="0"/>
  </r>
  <r>
    <x v="1"/>
    <n v="42"/>
    <n v="95.7"/>
    <n v="1.89"/>
    <n v="26.8"/>
    <n v="96.8"/>
    <s v="113/94"/>
    <n v="186"/>
    <m/>
    <n v="112"/>
    <x v="1"/>
    <s v="Y"/>
    <s v="High"/>
    <s v="N"/>
    <n v="189"/>
    <n v="0.51200000000000001"/>
    <n v="113"/>
    <n v="94"/>
    <s v="Hypertension Stage 2"/>
    <n v="84"/>
    <n v="16.73"/>
    <x v="0"/>
    <x v="0"/>
  </r>
  <r>
    <x v="0"/>
    <n v="46"/>
    <n v="71.400000000000006"/>
    <n v="1.79"/>
    <n v="22.3"/>
    <n v="104.4"/>
    <s v="122/80"/>
    <m/>
    <n v="64"/>
    <n v="88"/>
    <x v="1"/>
    <s v="Y"/>
    <s v="Low"/>
    <s v="N"/>
    <n v="179"/>
    <n v="0.58299999999999996"/>
    <n v="122"/>
    <n v="80"/>
    <s v="Hypertension Stage 1"/>
    <n v="67"/>
    <n v="15.78"/>
    <x v="1"/>
    <x v="1"/>
  </r>
  <r>
    <x v="1"/>
    <n v="35"/>
    <n v="99.6"/>
    <n v="1.81"/>
    <m/>
    <n v="77.8"/>
    <s v="97/64"/>
    <n v="152"/>
    <n v="79"/>
    <n v="124"/>
    <x v="1"/>
    <s v="N"/>
    <s v="Moderate"/>
    <s v="N"/>
    <n v="181"/>
    <n v="0.43"/>
    <n v="97"/>
    <n v="64"/>
    <s v="Normal"/>
    <n v="43"/>
    <n v="13.97"/>
    <x v="0"/>
    <x v="0"/>
  </r>
  <r>
    <x v="1"/>
    <n v="31"/>
    <n v="56.3"/>
    <n v="1.81"/>
    <n v="17.2"/>
    <n v="73"/>
    <s v="144/74"/>
    <n v="170"/>
    <n v="73"/>
    <n v="84"/>
    <x v="1"/>
    <s v="N"/>
    <s v="Moderate"/>
    <s v="N"/>
    <n v="181"/>
    <n v="0.40300000000000002"/>
    <n v="144"/>
    <n v="74"/>
    <s v="Hypertension Stage 2"/>
    <n v="67"/>
    <n v="14.04"/>
    <x v="2"/>
    <x v="0"/>
  </r>
  <r>
    <x v="1"/>
    <n v="43"/>
    <n v="106"/>
    <n v="1.66"/>
    <n v="38.5"/>
    <n v="92.5"/>
    <s v="130/73"/>
    <n v="195"/>
    <n v="31"/>
    <n v="136"/>
    <x v="1"/>
    <s v="N"/>
    <s v="Moderate"/>
    <s v="N"/>
    <n v="166"/>
    <n v="0.55700000000000005"/>
    <n v="130"/>
    <n v="73"/>
    <s v="Hypertension Stage 1"/>
    <n v="134"/>
    <n v="18.100000000000001"/>
    <x v="0"/>
    <x v="0"/>
  </r>
  <r>
    <x v="1"/>
    <n v="56"/>
    <n v="114.6"/>
    <n v="1.88"/>
    <m/>
    <n v="109.8"/>
    <s v="95/62"/>
    <n v="174"/>
    <n v="52"/>
    <n v="106"/>
    <x v="1"/>
    <s v="N"/>
    <s v="High"/>
    <s v="N"/>
    <n v="188"/>
    <n v="0.58399999999999996"/>
    <m/>
    <n v="62"/>
    <s v="Normal"/>
    <n v="92"/>
    <n v="14.71"/>
    <x v="0"/>
    <x v="0"/>
  </r>
  <r>
    <x v="1"/>
    <n v="40"/>
    <n v="97"/>
    <n v="1.78"/>
    <n v="30.6"/>
    <n v="76.900000000000006"/>
    <s v="121/83"/>
    <n v="170"/>
    <n v="44"/>
    <n v="105"/>
    <x v="0"/>
    <s v="N"/>
    <s v="Moderate"/>
    <s v="Y"/>
    <n v="178"/>
    <n v="0.432"/>
    <n v="121"/>
    <n v="83"/>
    <s v="Hypertension Stage 1"/>
    <n v="96"/>
    <n v="15.57"/>
    <x v="0"/>
    <x v="0"/>
  </r>
  <r>
    <x v="1"/>
    <n v="42"/>
    <m/>
    <n v="1.81"/>
    <n v="18"/>
    <n v="87.8"/>
    <s v="118/84"/>
    <n v="159"/>
    <n v="41"/>
    <n v="150"/>
    <x v="0"/>
    <s v="N"/>
    <s v="Moderate"/>
    <s v="N"/>
    <n v="181"/>
    <n v="0.48499999999999999"/>
    <n v="118"/>
    <n v="84"/>
    <s v="Hypertension Stage 1"/>
    <n v="88"/>
    <n v="12.68"/>
    <x v="2"/>
    <x v="0"/>
  </r>
  <r>
    <x v="0"/>
    <n v="51"/>
    <n v="52.7"/>
    <n v="1.69"/>
    <n v="18.5"/>
    <n v="102.3"/>
    <s v="143/89"/>
    <n v="140"/>
    <n v="31"/>
    <n v="127"/>
    <x v="1"/>
    <s v="N"/>
    <s v="Low"/>
    <s v="N"/>
    <n v="169"/>
    <n v="0.60499999999999998"/>
    <n v="143"/>
    <m/>
    <s v="Hypertension Stage 1"/>
    <n v="79"/>
    <n v="13.65"/>
    <x v="1"/>
    <x v="1"/>
  </r>
  <r>
    <x v="1"/>
    <n v="30"/>
    <n v="58.3"/>
    <n v="1.64"/>
    <m/>
    <n v="93.5"/>
    <s v="139/76"/>
    <n v="113"/>
    <n v="53"/>
    <n v="146"/>
    <x v="1"/>
    <s v="N"/>
    <s v="Moderate"/>
    <s v="N"/>
    <n v="164"/>
    <n v="0.56999999999999995"/>
    <n v="139"/>
    <n v="76"/>
    <s v="Hypertension Stage 1"/>
    <n v="30"/>
    <n v="13.55"/>
    <x v="2"/>
    <x v="0"/>
  </r>
  <r>
    <x v="1"/>
    <m/>
    <n v="104.3"/>
    <n v="1.6"/>
    <n v="40.700000000000003"/>
    <n v="108.2"/>
    <s v="97/89"/>
    <n v="192"/>
    <n v="30"/>
    <n v="132"/>
    <x v="0"/>
    <s v="N"/>
    <s v="High"/>
    <s v="N"/>
    <n v="160"/>
    <n v="0.67600000000000005"/>
    <n v="97"/>
    <n v="89"/>
    <s v="Hypertension Stage 1"/>
    <n v="132"/>
    <n v="16.829999999999998"/>
    <x v="0"/>
    <x v="0"/>
  </r>
  <r>
    <x v="1"/>
    <n v="51"/>
    <n v="117.1"/>
    <m/>
    <n v="36.5"/>
    <n v="103.2"/>
    <s v="118/61"/>
    <n v="106"/>
    <n v="37"/>
    <n v="130"/>
    <x v="0"/>
    <s v="N"/>
    <s v="Moderate"/>
    <s v="Y"/>
    <n v="179"/>
    <n v="0.57699999999999996"/>
    <n v="118"/>
    <n v="61"/>
    <s v="Normal"/>
    <n v="39"/>
    <n v="15.32"/>
    <x v="1"/>
    <x v="1"/>
  </r>
  <r>
    <x v="0"/>
    <n v="51"/>
    <n v="83.2"/>
    <n v="1.66"/>
    <n v="30.2"/>
    <m/>
    <s v="91/64"/>
    <n v="148"/>
    <n v="69"/>
    <n v="138"/>
    <x v="1"/>
    <s v="Y"/>
    <s v="Low"/>
    <s v="N"/>
    <n v="166"/>
    <n v="0.48099999999999998"/>
    <n v="91"/>
    <n v="64"/>
    <s v="Normal"/>
    <n v="49"/>
    <n v="15.55"/>
    <x v="1"/>
    <x v="1"/>
  </r>
  <r>
    <x v="0"/>
    <m/>
    <n v="69.400000000000006"/>
    <n v="1.86"/>
    <n v="20.100000000000001"/>
    <n v="76.099999999999994"/>
    <s v="98/94"/>
    <n v="185"/>
    <n v="40"/>
    <n v="119"/>
    <x v="0"/>
    <s v="Y"/>
    <s v="Moderate"/>
    <s v="N"/>
    <n v="186"/>
    <n v="0.40899999999999997"/>
    <n v="98"/>
    <m/>
    <s v="Hypertension Stage 2"/>
    <n v="115"/>
    <n v="14.62"/>
    <x v="0"/>
    <x v="0"/>
  </r>
  <r>
    <x v="1"/>
    <n v="31"/>
    <n v="77.599999999999994"/>
    <n v="1.85"/>
    <n v="22.7"/>
    <n v="101.1"/>
    <s v="114/92"/>
    <n v="147"/>
    <n v="59"/>
    <n v="122"/>
    <x v="0"/>
    <s v="Y"/>
    <s v="Moderate"/>
    <s v="Y"/>
    <n v="185"/>
    <n v="0.54600000000000004"/>
    <n v="114"/>
    <n v="92"/>
    <s v="Hypertension Stage 2"/>
    <n v="58"/>
    <n v="15.18"/>
    <x v="0"/>
    <x v="0"/>
  </r>
  <r>
    <x v="1"/>
    <n v="38"/>
    <m/>
    <n v="1.72"/>
    <m/>
    <n v="107.2"/>
    <s v="110/81"/>
    <n v="237"/>
    <n v="46"/>
    <n v="144"/>
    <x v="1"/>
    <s v="N"/>
    <s v="Moderate"/>
    <s v="N"/>
    <n v="172"/>
    <n v="0.623"/>
    <n v="110"/>
    <n v="81"/>
    <s v="Hypertension Stage 1"/>
    <n v="161"/>
    <n v="15.48"/>
    <x v="0"/>
    <x v="0"/>
  </r>
  <r>
    <x v="1"/>
    <n v="42"/>
    <n v="99.5"/>
    <n v="1.7"/>
    <n v="34.4"/>
    <n v="93.1"/>
    <s v="98/87"/>
    <n v="150"/>
    <n v="30"/>
    <n v="76"/>
    <x v="1"/>
    <s v="N"/>
    <s v="High"/>
    <s v="Y"/>
    <n v="170"/>
    <n v="0.54800000000000004"/>
    <m/>
    <n v="87"/>
    <s v="Hypertension Stage 1"/>
    <n v="90"/>
    <n v="14.78"/>
    <x v="1"/>
    <x v="1"/>
  </r>
  <r>
    <x v="0"/>
    <n v="58"/>
    <n v="69"/>
    <n v="1.87"/>
    <n v="19.7"/>
    <n v="77.5"/>
    <s v="107/88"/>
    <n v="184"/>
    <n v="45"/>
    <n v="75"/>
    <x v="0"/>
    <s v="Y"/>
    <s v="Low"/>
    <s v="Y"/>
    <m/>
    <n v="0.41399999999999998"/>
    <n v="107"/>
    <n v="88"/>
    <s v="Hypertension Stage 1"/>
    <n v="109"/>
    <n v="14.97"/>
    <x v="1"/>
    <x v="1"/>
  </r>
  <r>
    <x v="1"/>
    <n v="40"/>
    <m/>
    <n v="1.9"/>
    <n v="24.3"/>
    <m/>
    <s v="90/72"/>
    <n v="216"/>
    <n v="61"/>
    <n v="146"/>
    <x v="0"/>
    <s v="N"/>
    <s v="High"/>
    <s v="N"/>
    <n v="190"/>
    <n v="0.38"/>
    <n v="90"/>
    <n v="72"/>
    <s v="Normal"/>
    <n v="125"/>
    <n v="13.68"/>
    <x v="2"/>
    <x v="0"/>
  </r>
  <r>
    <x v="1"/>
    <n v="46"/>
    <n v="53.9"/>
    <n v="1.61"/>
    <n v="20.8"/>
    <n v="99.5"/>
    <s v="150/96"/>
    <n v="205"/>
    <n v="63"/>
    <n v="75"/>
    <x v="0"/>
    <s v="N"/>
    <s v="Moderate"/>
    <s v="N"/>
    <n v="161"/>
    <n v="0.61799999999999999"/>
    <m/>
    <n v="96"/>
    <s v="Hypertension Stage 2"/>
    <n v="112"/>
    <n v="15.76"/>
    <x v="0"/>
    <x v="0"/>
  </r>
  <r>
    <x v="0"/>
    <n v="35"/>
    <n v="51.1"/>
    <n v="1.73"/>
    <n v="17.100000000000001"/>
    <n v="106.2"/>
    <s v="149/68"/>
    <n v="215"/>
    <n v="65"/>
    <n v="79"/>
    <x v="1"/>
    <s v="N"/>
    <s v="Low"/>
    <s v="N"/>
    <n v="173"/>
    <n v="0.61399999999999999"/>
    <n v="149"/>
    <n v="68"/>
    <s v="Hypertension Stage 2"/>
    <n v="120"/>
    <n v="15.17"/>
    <x v="0"/>
    <x v="0"/>
  </r>
  <r>
    <x v="1"/>
    <n v="43"/>
    <m/>
    <n v="1.62"/>
    <n v="28.3"/>
    <n v="91.6"/>
    <s v="90/80"/>
    <n v="195"/>
    <n v="43"/>
    <n v="90"/>
    <x v="1"/>
    <s v="Y"/>
    <s v="High"/>
    <s v="Y"/>
    <n v="162"/>
    <n v="0.56499999999999995"/>
    <n v="90"/>
    <n v="80"/>
    <s v="Hypertension Stage 1"/>
    <n v="122"/>
    <n v="16.059999999999999"/>
    <x v="1"/>
    <x v="1"/>
  </r>
  <r>
    <x v="0"/>
    <n v="56"/>
    <n v="70.8"/>
    <n v="1.66"/>
    <n v="25.7"/>
    <n v="85.8"/>
    <s v="135/61"/>
    <n v="248"/>
    <n v="67"/>
    <n v="102"/>
    <x v="1"/>
    <s v="N"/>
    <s v="Moderate"/>
    <s v="N"/>
    <n v="166"/>
    <n v="0.51700000000000002"/>
    <n v="135"/>
    <n v="61"/>
    <s v="Hypertension Stage 1"/>
    <n v="151"/>
    <n v="16.850000000000001"/>
    <x v="1"/>
    <x v="1"/>
  </r>
  <r>
    <x v="1"/>
    <n v="48"/>
    <n v="71.900000000000006"/>
    <n v="1.74"/>
    <n v="23.7"/>
    <n v="90.9"/>
    <s v="127/71"/>
    <n v="116"/>
    <n v="44"/>
    <n v="131"/>
    <x v="1"/>
    <s v="Y"/>
    <s v="Low"/>
    <s v="Y"/>
    <n v="174"/>
    <n v="0.52200000000000002"/>
    <n v="127"/>
    <n v="71"/>
    <s v="Elevated"/>
    <n v="42"/>
    <n v="15.41"/>
    <x v="1"/>
    <x v="1"/>
  </r>
  <r>
    <x v="0"/>
    <n v="37"/>
    <n v="54.5"/>
    <n v="1.65"/>
    <n v="20"/>
    <n v="83.1"/>
    <s v="97/75"/>
    <n v="113"/>
    <n v="33"/>
    <n v="76"/>
    <x v="1"/>
    <s v="N"/>
    <s v="Moderate"/>
    <s v="Y"/>
    <n v="165"/>
    <n v="0.504"/>
    <n v="97"/>
    <n v="75"/>
    <s v="Normal"/>
    <n v="50"/>
    <n v="11.11"/>
    <x v="0"/>
    <x v="0"/>
  </r>
  <r>
    <x v="0"/>
    <n v="40"/>
    <n v="102"/>
    <n v="1.63"/>
    <n v="38.4"/>
    <n v="97.1"/>
    <s v="111/86"/>
    <n v="215"/>
    <n v="38"/>
    <n v="98"/>
    <x v="0"/>
    <s v="Y"/>
    <s v="Low"/>
    <s v="N"/>
    <n v="163"/>
    <n v="0.59599999999999997"/>
    <n v="111"/>
    <n v="86"/>
    <s v="Hypertension Stage 1"/>
    <n v="147"/>
    <n v="19.53"/>
    <x v="1"/>
    <x v="1"/>
  </r>
  <r>
    <x v="1"/>
    <n v="49"/>
    <n v="114.2"/>
    <n v="1.77"/>
    <n v="36.5"/>
    <n v="78.400000000000006"/>
    <s v="140/70"/>
    <n v="277"/>
    <n v="33"/>
    <n v="109"/>
    <x v="0"/>
    <s v="Y"/>
    <s v="High"/>
    <s v="N"/>
    <n v="177"/>
    <n v="0.443"/>
    <n v="140"/>
    <n v="70"/>
    <s v="Hypertension Stage 2"/>
    <m/>
    <n v="21.84"/>
    <x v="1"/>
    <x v="1"/>
  </r>
  <r>
    <x v="0"/>
    <n v="50"/>
    <n v="94.6"/>
    <n v="1.89"/>
    <n v="26.5"/>
    <n v="96.7"/>
    <s v="96/73"/>
    <m/>
    <n v="45"/>
    <m/>
    <x v="0"/>
    <s v="Y"/>
    <s v="Low"/>
    <s v="Y"/>
    <n v="189"/>
    <n v="0.51200000000000001"/>
    <n v="96"/>
    <n v="73"/>
    <s v="Normal"/>
    <n v="144"/>
    <n v="16.48"/>
    <x v="1"/>
    <x v="1"/>
  </r>
  <r>
    <x v="1"/>
    <n v="32"/>
    <n v="104"/>
    <n v="1.69"/>
    <n v="36.4"/>
    <n v="105.5"/>
    <s v="143/67"/>
    <n v="148"/>
    <n v="60"/>
    <n v="107"/>
    <x v="1"/>
    <s v="Y"/>
    <s v="Low"/>
    <s v="N"/>
    <n v="169"/>
    <n v="0.624"/>
    <n v="143"/>
    <n v="67"/>
    <s v="Hypertension Stage 2"/>
    <n v="58"/>
    <n v="19.39"/>
    <x v="1"/>
    <x v="1"/>
  </r>
  <r>
    <x v="1"/>
    <n v="54"/>
    <n v="52.9"/>
    <n v="1.7"/>
    <n v="18.3"/>
    <m/>
    <s v="139/66"/>
    <n v="170"/>
    <n v="41"/>
    <n v="118"/>
    <x v="1"/>
    <s v="N"/>
    <s v="High"/>
    <s v="Y"/>
    <n v="170"/>
    <n v="0.433"/>
    <n v="139"/>
    <n v="66"/>
    <s v="Hypertension Stage 1"/>
    <n v="99"/>
    <n v="14.01"/>
    <x v="0"/>
    <x v="0"/>
  </r>
  <r>
    <x v="1"/>
    <n v="30"/>
    <n v="82.9"/>
    <n v="1.75"/>
    <n v="27.1"/>
    <n v="77.3"/>
    <s v="148/91"/>
    <n v="157"/>
    <m/>
    <n v="141"/>
    <x v="1"/>
    <s v="Y"/>
    <s v="High"/>
    <s v="Y"/>
    <n v="175"/>
    <m/>
    <n v="148"/>
    <n v="91"/>
    <s v="Hypertension Stage 2"/>
    <n v="73"/>
    <n v="17.96"/>
    <x v="1"/>
    <x v="1"/>
  </r>
  <r>
    <x v="0"/>
    <n v="43"/>
    <n v="98.2"/>
    <n v="1.74"/>
    <n v="32.4"/>
    <n v="106"/>
    <s v="103/98"/>
    <m/>
    <n v="52"/>
    <n v="113"/>
    <x v="1"/>
    <s v="Y"/>
    <s v="Moderate"/>
    <s v="N"/>
    <n v="174"/>
    <m/>
    <n v="103"/>
    <n v="98"/>
    <s v="Hypertension Stage 2"/>
    <n v="35"/>
    <n v="15.97"/>
    <x v="0"/>
    <x v="0"/>
  </r>
  <r>
    <x v="0"/>
    <n v="34"/>
    <n v="93.1"/>
    <m/>
    <n v="27.5"/>
    <n v="101.2"/>
    <s v="124/70"/>
    <n v="165"/>
    <n v="31"/>
    <n v="140"/>
    <x v="1"/>
    <s v="N"/>
    <s v="Moderate"/>
    <s v="Y"/>
    <n v="184"/>
    <n v="0.55000000000000004"/>
    <n v="124"/>
    <n v="70"/>
    <s v="Elevated"/>
    <n v="104"/>
    <n v="15"/>
    <x v="1"/>
    <x v="1"/>
  </r>
  <r>
    <x v="1"/>
    <n v="38"/>
    <n v="97"/>
    <n v="1.66"/>
    <n v="35.200000000000003"/>
    <n v="86.9"/>
    <s v="128/81"/>
    <n v="221"/>
    <n v="41"/>
    <n v="83"/>
    <x v="0"/>
    <s v="Y"/>
    <s v="Moderate"/>
    <s v="Y"/>
    <n v="166"/>
    <n v="0.52300000000000002"/>
    <n v="128"/>
    <n v="81"/>
    <s v="Hypertension Stage 1"/>
    <n v="150"/>
    <n v="19.86"/>
    <x v="1"/>
    <x v="1"/>
  </r>
  <r>
    <x v="1"/>
    <n v="56"/>
    <n v="116.2"/>
    <n v="1.67"/>
    <n v="41.7"/>
    <n v="97.6"/>
    <s v="149/66"/>
    <n v="173"/>
    <n v="40"/>
    <n v="133"/>
    <x v="0"/>
    <s v="Y"/>
    <s v="High"/>
    <s v="N"/>
    <n v="167"/>
    <n v="0.58399999999999996"/>
    <n v="149"/>
    <n v="66"/>
    <s v="Hypertension Stage 2"/>
    <n v="103"/>
    <n v="21.25"/>
    <x v="0"/>
    <x v="0"/>
  </r>
  <r>
    <x v="0"/>
    <n v="35"/>
    <n v="113.3"/>
    <n v="1.78"/>
    <n v="35.799999999999997"/>
    <n v="79.599999999999994"/>
    <s v="92/89"/>
    <n v="158"/>
    <n v="34"/>
    <n v="111"/>
    <x v="1"/>
    <s v="N"/>
    <s v="Moderate"/>
    <s v="Y"/>
    <n v="178"/>
    <n v="0.44700000000000001"/>
    <n v="92"/>
    <n v="89"/>
    <s v="Hypertension Stage 1"/>
    <n v="94"/>
    <n v="14.92"/>
    <x v="1"/>
    <x v="1"/>
  </r>
  <r>
    <x v="1"/>
    <n v="50"/>
    <n v="83"/>
    <n v="1.85"/>
    <n v="24.3"/>
    <n v="91.7"/>
    <s v="141/78"/>
    <n v="279"/>
    <n v="59"/>
    <n v="116"/>
    <x v="1"/>
    <s v="Y"/>
    <s v="Low"/>
    <s v="N"/>
    <m/>
    <n v="0.496"/>
    <n v="141"/>
    <n v="78"/>
    <s v="Hypertension Stage 2"/>
    <n v="190"/>
    <n v="19.489999999999998"/>
    <x v="1"/>
    <x v="1"/>
  </r>
  <r>
    <x v="1"/>
    <n v="46"/>
    <n v="78.7"/>
    <n v="1.64"/>
    <m/>
    <n v="105.5"/>
    <s v="137/76"/>
    <n v="196"/>
    <n v="37"/>
    <n v="102"/>
    <x v="0"/>
    <s v="N"/>
    <s v="High"/>
    <s v="Y"/>
    <n v="164"/>
    <n v="0.64300000000000002"/>
    <n v="137"/>
    <n v="76"/>
    <s v="Hypertension Stage 1"/>
    <n v="129"/>
    <n v="16.63"/>
    <x v="1"/>
    <x v="1"/>
  </r>
  <r>
    <x v="1"/>
    <n v="52"/>
    <n v="108.6"/>
    <n v="1.86"/>
    <n v="31.4"/>
    <n v="93.9"/>
    <s v="133/63"/>
    <n v="109"/>
    <n v="42"/>
    <n v="79"/>
    <x v="0"/>
    <s v="Y"/>
    <s v="Moderate"/>
    <s v="N"/>
    <n v="186"/>
    <n v="0.505"/>
    <n v="133"/>
    <n v="63"/>
    <s v="Hypertension Stage 1"/>
    <m/>
    <n v="17.11"/>
    <x v="0"/>
    <x v="0"/>
  </r>
  <r>
    <x v="0"/>
    <n v="43"/>
    <n v="61"/>
    <n v="1.73"/>
    <n v="20.399999999999999"/>
    <n v="79.7"/>
    <s v="131/95"/>
    <n v="299"/>
    <n v="79"/>
    <n v="130"/>
    <x v="1"/>
    <s v="N"/>
    <s v="Moderate"/>
    <s v="Y"/>
    <n v="173"/>
    <n v="0.46100000000000002"/>
    <n v="131"/>
    <n v="95"/>
    <s v="Hypertension Stage 1"/>
    <n v="190"/>
    <n v="16.61"/>
    <x v="0"/>
    <x v="0"/>
  </r>
  <r>
    <x v="0"/>
    <n v="31"/>
    <n v="98.9"/>
    <m/>
    <n v="30.2"/>
    <n v="77.900000000000006"/>
    <s v="129/86"/>
    <n v="174"/>
    <n v="37"/>
    <n v="149"/>
    <x v="0"/>
    <s v="N"/>
    <s v="Low"/>
    <s v="Y"/>
    <n v="181"/>
    <m/>
    <n v="129"/>
    <n v="86"/>
    <s v="Hypertension Stage 1"/>
    <n v="107"/>
    <n v="15.97"/>
    <x v="1"/>
    <x v="1"/>
  </r>
  <r>
    <x v="0"/>
    <n v="32"/>
    <n v="55.1"/>
    <n v="1.77"/>
    <n v="17.600000000000001"/>
    <n v="109.7"/>
    <s v="119/61"/>
    <n v="204"/>
    <n v="68"/>
    <n v="137"/>
    <x v="0"/>
    <s v="N"/>
    <s v="High"/>
    <s v="N"/>
    <n v="177"/>
    <m/>
    <n v="119"/>
    <n v="61"/>
    <s v="Normal"/>
    <n v="106"/>
    <n v="13.55"/>
    <x v="2"/>
    <x v="0"/>
  </r>
  <r>
    <x v="1"/>
    <n v="42"/>
    <n v="52.5"/>
    <n v="1.64"/>
    <n v="19.5"/>
    <n v="102.4"/>
    <s v="143/67"/>
    <n v="118"/>
    <n v="30"/>
    <n v="102"/>
    <x v="1"/>
    <s v="Y"/>
    <s v="High"/>
    <s v="Y"/>
    <n v="164"/>
    <n v="0.624"/>
    <n v="143"/>
    <n v="67"/>
    <s v="Hypertension Stage 2"/>
    <n v="58"/>
    <n v="15.41"/>
    <x v="1"/>
    <x v="1"/>
  </r>
  <r>
    <x v="1"/>
    <n v="38"/>
    <n v="105.6"/>
    <n v="1.8"/>
    <n v="32.6"/>
    <n v="71.7"/>
    <s v="127/84"/>
    <n v="252"/>
    <n v="48"/>
    <n v="134"/>
    <x v="1"/>
    <s v="Y"/>
    <s v="Moderate"/>
    <s v="Y"/>
    <n v="180"/>
    <n v="0.39800000000000002"/>
    <n v="127"/>
    <n v="84"/>
    <s v="Hypertension Stage 1"/>
    <n v="174"/>
    <n v="19.91"/>
    <x v="1"/>
    <x v="1"/>
  </r>
  <r>
    <x v="0"/>
    <n v="41"/>
    <n v="93.6"/>
    <n v="1.71"/>
    <m/>
    <n v="102.7"/>
    <s v="139/86"/>
    <n v="137"/>
    <n v="49"/>
    <n v="134"/>
    <x v="1"/>
    <s v="Y"/>
    <s v="Low"/>
    <s v="N"/>
    <n v="171"/>
    <n v="0.60099999999999998"/>
    <n v="139"/>
    <m/>
    <s v="Hypertension Stage 1"/>
    <n v="58"/>
    <n v="18.09"/>
    <x v="1"/>
    <x v="1"/>
  </r>
  <r>
    <x v="1"/>
    <n v="40"/>
    <n v="96.7"/>
    <n v="1.64"/>
    <n v="36"/>
    <n v="74.5"/>
    <s v="126/71"/>
    <n v="238"/>
    <n v="58"/>
    <n v="125"/>
    <x v="1"/>
    <s v="Y"/>
    <s v="High"/>
    <s v="Y"/>
    <n v="164"/>
    <n v="0.45400000000000001"/>
    <n v="126"/>
    <n v="71"/>
    <s v="Elevated"/>
    <n v="150"/>
    <n v="20.260000000000002"/>
    <x v="1"/>
    <x v="1"/>
  </r>
  <r>
    <x v="1"/>
    <n v="37"/>
    <n v="112.3"/>
    <n v="1.71"/>
    <n v="38.4"/>
    <n v="70.3"/>
    <s v="140/69"/>
    <m/>
    <n v="34"/>
    <m/>
    <x v="0"/>
    <s v="N"/>
    <s v="Low"/>
    <s v="Y"/>
    <n v="171"/>
    <n v="0.41099999999999998"/>
    <n v="140"/>
    <n v="69"/>
    <s v="Hypertension Stage 2"/>
    <n v="174"/>
    <n v="19.440000000000001"/>
    <x v="1"/>
    <x v="1"/>
  </r>
  <r>
    <x v="0"/>
    <m/>
    <n v="94.5"/>
    <n v="1.88"/>
    <n v="26.7"/>
    <n v="102.6"/>
    <s v="127/91"/>
    <n v="211"/>
    <n v="79"/>
    <n v="131"/>
    <x v="1"/>
    <s v="Y"/>
    <s v="High"/>
    <s v="Y"/>
    <n v="188"/>
    <n v="0.54600000000000004"/>
    <n v="127"/>
    <n v="91"/>
    <s v="Hypertension Stage 2"/>
    <n v="102"/>
    <n v="17.91"/>
    <x v="1"/>
    <x v="1"/>
  </r>
  <r>
    <x v="1"/>
    <n v="58"/>
    <n v="110.5"/>
    <n v="1.64"/>
    <n v="41.1"/>
    <n v="88.3"/>
    <s v="103/73"/>
    <n v="119"/>
    <n v="35"/>
    <n v="141"/>
    <x v="1"/>
    <s v="Y"/>
    <s v="Moderate"/>
    <s v="Y"/>
    <n v="164"/>
    <n v="0.53800000000000003"/>
    <n v="103"/>
    <n v="73"/>
    <s v="Normal"/>
    <n v="54"/>
    <n v="17.75"/>
    <x v="1"/>
    <x v="1"/>
  </r>
  <r>
    <x v="0"/>
    <n v="42"/>
    <n v="77.099999999999994"/>
    <n v="1.74"/>
    <n v="25.5"/>
    <n v="107.6"/>
    <s v="126/86"/>
    <n v="186"/>
    <n v="66"/>
    <n v="143"/>
    <x v="1"/>
    <s v="N"/>
    <s v="Moderate"/>
    <s v="N"/>
    <n v="174"/>
    <n v="0.61799999999999999"/>
    <n v="126"/>
    <n v="86"/>
    <s v="Hypertension Stage 1"/>
    <n v="90"/>
    <n v="15.12"/>
    <x v="0"/>
    <x v="0"/>
  </r>
  <r>
    <x v="0"/>
    <n v="30"/>
    <n v="113.3"/>
    <n v="1.81"/>
    <n v="34.6"/>
    <m/>
    <s v="150/61"/>
    <n v="160"/>
    <n v="31"/>
    <n v="111"/>
    <x v="0"/>
    <s v="Y"/>
    <s v="Moderate"/>
    <s v="Y"/>
    <n v="181"/>
    <m/>
    <n v="150"/>
    <n v="61"/>
    <s v="Hypertension Stage 2"/>
    <n v="99"/>
    <n v="19.62"/>
    <x v="1"/>
    <x v="1"/>
  </r>
  <r>
    <x v="1"/>
    <n v="46"/>
    <n v="88.6"/>
    <n v="1.64"/>
    <n v="32.9"/>
    <n v="109.5"/>
    <s v="94/64"/>
    <n v="276"/>
    <n v="78"/>
    <n v="112"/>
    <x v="0"/>
    <s v="N"/>
    <s v="High"/>
    <s v="Y"/>
    <n v="164"/>
    <n v="0.66800000000000004"/>
    <n v="94"/>
    <n v="64"/>
    <s v="Normal"/>
    <n v="168"/>
    <n v="16.8"/>
    <x v="1"/>
    <x v="1"/>
  </r>
  <r>
    <x v="1"/>
    <n v="31"/>
    <n v="91.4"/>
    <n v="1.82"/>
    <n v="27.6"/>
    <m/>
    <s v="110/92"/>
    <n v="146"/>
    <n v="80"/>
    <n v="112"/>
    <x v="1"/>
    <s v="N"/>
    <s v="High"/>
    <s v="Y"/>
    <n v="182"/>
    <n v="0.55400000000000005"/>
    <n v="110"/>
    <n v="92"/>
    <s v="Hypertension Stage 2"/>
    <n v="36"/>
    <m/>
    <x v="0"/>
    <x v="0"/>
  </r>
  <r>
    <x v="0"/>
    <n v="38"/>
    <n v="72.900000000000006"/>
    <n v="1.77"/>
    <n v="23.3"/>
    <n v="70.599999999999994"/>
    <s v="98/66"/>
    <n v="124"/>
    <n v="61"/>
    <n v="84"/>
    <x v="1"/>
    <s v="N"/>
    <s v="High"/>
    <s v="Y"/>
    <n v="177"/>
    <n v="0.39900000000000002"/>
    <n v="98"/>
    <n v="66"/>
    <s v="Normal"/>
    <n v="33"/>
    <n v="12.04"/>
    <x v="0"/>
    <x v="0"/>
  </r>
  <r>
    <x v="1"/>
    <m/>
    <n v="91.9"/>
    <n v="1.75"/>
    <n v="30"/>
    <n v="78.2"/>
    <s v="125/65"/>
    <n v="185"/>
    <n v="52"/>
    <n v="148"/>
    <x v="1"/>
    <s v="Y"/>
    <s v="Low"/>
    <s v="N"/>
    <n v="175"/>
    <n v="0.44700000000000001"/>
    <n v="125"/>
    <n v="65"/>
    <s v="Elevated"/>
    <n v="103"/>
    <n v="17.95"/>
    <x v="1"/>
    <x v="1"/>
  </r>
  <r>
    <x v="0"/>
    <n v="48"/>
    <n v="102.2"/>
    <n v="1.75"/>
    <n v="33.4"/>
    <n v="106.7"/>
    <s v="121/68"/>
    <n v="207"/>
    <n v="49"/>
    <n v="147"/>
    <x v="1"/>
    <s v="Y"/>
    <s v="Low"/>
    <s v="Y"/>
    <n v="175"/>
    <n v="0.61"/>
    <n v="121"/>
    <n v="68"/>
    <s v="Elevated"/>
    <n v="128"/>
    <n v="18.87"/>
    <x v="1"/>
    <x v="1"/>
  </r>
  <r>
    <x v="1"/>
    <n v="39"/>
    <n v="54.3"/>
    <n v="1.73"/>
    <n v="18.100000000000001"/>
    <n v="98.6"/>
    <s v="133/86"/>
    <n v="220"/>
    <m/>
    <n v="86"/>
    <x v="0"/>
    <s v="N"/>
    <s v="Moderate"/>
    <s v="Y"/>
    <n v="173"/>
    <n v="0.56999999999999995"/>
    <n v="133"/>
    <n v="86"/>
    <s v="Hypertension Stage 1"/>
    <n v="121"/>
    <n v="14.67"/>
    <x v="0"/>
    <x v="0"/>
  </r>
  <r>
    <x v="1"/>
    <n v="39"/>
    <n v="100.7"/>
    <n v="1.75"/>
    <n v="32.9"/>
    <n v="101.1"/>
    <s v="101/98"/>
    <n v="192"/>
    <n v="59"/>
    <n v="72"/>
    <x v="0"/>
    <s v="N"/>
    <s v="Low"/>
    <s v="N"/>
    <n v="175"/>
    <n v="0.57799999999999996"/>
    <n v="101"/>
    <n v="98"/>
    <s v="Hypertension Stage 2"/>
    <n v="103"/>
    <n v="15.47"/>
    <x v="0"/>
    <x v="0"/>
  </r>
  <r>
    <x v="0"/>
    <n v="54"/>
    <n v="101.8"/>
    <n v="1.61"/>
    <n v="39.299999999999997"/>
    <n v="98.5"/>
    <s v="121/100"/>
    <n v="161"/>
    <m/>
    <n v="108"/>
    <x v="0"/>
    <s v="N"/>
    <s v="Low"/>
    <s v="Y"/>
    <n v="161"/>
    <n v="0.61199999999999999"/>
    <n v="121"/>
    <n v="100"/>
    <s v="Hypertension Stage 2"/>
    <n v="58"/>
    <n v="17.13"/>
    <x v="1"/>
    <x v="1"/>
  </r>
  <r>
    <x v="0"/>
    <n v="32"/>
    <n v="112.3"/>
    <n v="1.76"/>
    <n v="36.299999999999997"/>
    <n v="102"/>
    <s v="148/96"/>
    <n v="149"/>
    <n v="59"/>
    <n v="103"/>
    <x v="0"/>
    <s v="Y"/>
    <s v="Moderate"/>
    <s v="Y"/>
    <n v="176"/>
    <n v="0.57999999999999996"/>
    <n v="148"/>
    <n v="96"/>
    <s v="Hypertension Stage 2"/>
    <n v="60"/>
    <n v="19.64"/>
    <x v="0"/>
    <x v="0"/>
  </r>
  <r>
    <x v="0"/>
    <n v="40"/>
    <n v="110"/>
    <n v="1.69"/>
    <n v="38.5"/>
    <n v="85.6"/>
    <s v="100/62"/>
    <n v="101"/>
    <n v="40"/>
    <n v="105"/>
    <x v="1"/>
    <s v="Y"/>
    <s v="Low"/>
    <s v="Y"/>
    <n v="169"/>
    <n v="0.50700000000000001"/>
    <n v="100"/>
    <n v="62"/>
    <s v="Normal"/>
    <n v="31"/>
    <n v="16.72"/>
    <x v="1"/>
    <x v="1"/>
  </r>
  <r>
    <x v="1"/>
    <n v="38"/>
    <n v="60.6"/>
    <n v="1.68"/>
    <n v="21.5"/>
    <n v="105.2"/>
    <s v="103/82"/>
    <m/>
    <n v="75"/>
    <n v="107"/>
    <x v="1"/>
    <s v="Y"/>
    <s v="High"/>
    <s v="Y"/>
    <n v="168"/>
    <n v="0.626"/>
    <n v="103"/>
    <n v="82"/>
    <s v="Hypertension Stage 1"/>
    <n v="48"/>
    <n v="14.51"/>
    <x v="0"/>
    <x v="0"/>
  </r>
  <r>
    <x v="0"/>
    <n v="57"/>
    <n v="100.8"/>
    <n v="1.84"/>
    <n v="29.8"/>
    <n v="88.4"/>
    <s v="110/78"/>
    <n v="102"/>
    <n v="33"/>
    <n v="128"/>
    <x v="1"/>
    <s v="Y"/>
    <s v="High"/>
    <s v="N"/>
    <m/>
    <n v="0.48"/>
    <n v="110"/>
    <n v="78"/>
    <s v="Normal"/>
    <n v="39"/>
    <n v="15.5"/>
    <x v="1"/>
    <x v="1"/>
  </r>
  <r>
    <x v="1"/>
    <n v="38"/>
    <n v="103.8"/>
    <n v="1.65"/>
    <n v="38.1"/>
    <n v="101.7"/>
    <s v="94/73"/>
    <n v="177"/>
    <m/>
    <n v="131"/>
    <x v="1"/>
    <s v="N"/>
    <s v="High"/>
    <s v="Y"/>
    <n v="165"/>
    <n v="0.61599999999999999"/>
    <n v="94"/>
    <n v="73"/>
    <s v="Normal"/>
    <n v="89"/>
    <n v="15.86"/>
    <x v="0"/>
    <x v="0"/>
  </r>
  <r>
    <x v="1"/>
    <n v="57"/>
    <n v="78.400000000000006"/>
    <n v="1.84"/>
    <n v="23.2"/>
    <n v="101.1"/>
    <s v="109/83"/>
    <n v="186"/>
    <n v="70"/>
    <n v="70"/>
    <x v="1"/>
    <s v="N"/>
    <s v="Moderate"/>
    <s v="N"/>
    <n v="184"/>
    <n v="0.54900000000000004"/>
    <n v="109"/>
    <n v="83"/>
    <s v="Hypertension Stage 1"/>
    <n v="86"/>
    <n v="13.81"/>
    <x v="0"/>
    <x v="0"/>
  </r>
  <r>
    <x v="1"/>
    <n v="39"/>
    <n v="64.099999999999994"/>
    <n v="1.7"/>
    <n v="22.2"/>
    <n v="99.1"/>
    <s v="113/69"/>
    <n v="175"/>
    <n v="55"/>
    <n v="125"/>
    <x v="1"/>
    <s v="N"/>
    <s v="Moderate"/>
    <s v="Y"/>
    <n v="170"/>
    <n v="0.58299999999999996"/>
    <n v="113"/>
    <n v="69"/>
    <s v="Normal"/>
    <n v="90"/>
    <n v="13.59"/>
    <x v="0"/>
    <x v="0"/>
  </r>
  <r>
    <x v="1"/>
    <n v="40"/>
    <n v="64.8"/>
    <n v="1.76"/>
    <n v="20.9"/>
    <n v="109.1"/>
    <s v="135/96"/>
    <n v="294"/>
    <n v="70"/>
    <n v="89"/>
    <x v="0"/>
    <s v="Y"/>
    <s v="High"/>
    <s v="N"/>
    <n v="176"/>
    <n v="0.62"/>
    <n v="135"/>
    <n v="96"/>
    <s v="Hypertension Stage 1"/>
    <n v="194"/>
    <n v="18.809999999999999"/>
    <x v="0"/>
    <x v="0"/>
  </r>
  <r>
    <x v="1"/>
    <n v="56"/>
    <n v="106.4"/>
    <n v="1.73"/>
    <n v="35.6"/>
    <n v="70.3"/>
    <s v="136/76"/>
    <m/>
    <n v="69"/>
    <n v="90"/>
    <x v="1"/>
    <s v="N"/>
    <s v="High"/>
    <s v="N"/>
    <n v="173"/>
    <n v="0.40600000000000003"/>
    <n v="136"/>
    <n v="76"/>
    <s v="Hypertension Stage 1"/>
    <n v="29"/>
    <n v="16.48"/>
    <x v="0"/>
    <x v="0"/>
  </r>
  <r>
    <x v="0"/>
    <n v="34"/>
    <n v="55.5"/>
    <n v="1.62"/>
    <n v="21.1"/>
    <n v="74.3"/>
    <s v="139/64"/>
    <n v="168"/>
    <n v="37"/>
    <n v="120"/>
    <x v="1"/>
    <s v="Y"/>
    <s v="High"/>
    <s v="Y"/>
    <n v="162"/>
    <n v="0.45900000000000002"/>
    <n v="139"/>
    <n v="64"/>
    <s v="Hypertension Stage 1"/>
    <n v="101"/>
    <m/>
    <x v="1"/>
    <x v="1"/>
  </r>
  <r>
    <x v="0"/>
    <n v="60"/>
    <n v="75.400000000000006"/>
    <n v="1.68"/>
    <n v="26.7"/>
    <n v="94.1"/>
    <s v="141/69"/>
    <n v="138"/>
    <n v="77"/>
    <n v="80"/>
    <x v="0"/>
    <s v="N"/>
    <s v="Moderate"/>
    <s v="Y"/>
    <n v="168"/>
    <n v="0.56000000000000005"/>
    <n v="141"/>
    <n v="69"/>
    <s v="Hypertension Stage 2"/>
    <m/>
    <n v="15.15"/>
    <x v="0"/>
    <x v="0"/>
  </r>
  <r>
    <x v="0"/>
    <n v="47"/>
    <n v="80.599999999999994"/>
    <n v="1.83"/>
    <n v="24.1"/>
    <n v="83.5"/>
    <s v="114/69"/>
    <n v="289"/>
    <n v="45"/>
    <n v="93"/>
    <x v="0"/>
    <s v="Y"/>
    <s v="Moderate"/>
    <s v="N"/>
    <n v="183"/>
    <n v="0.45600000000000002"/>
    <n v="114"/>
    <n v="69"/>
    <s v="Normal"/>
    <n v="214"/>
    <n v="18.3"/>
    <x v="0"/>
    <x v="0"/>
  </r>
  <r>
    <x v="0"/>
    <n v="54"/>
    <n v="93.7"/>
    <n v="1.84"/>
    <n v="27.7"/>
    <n v="102.7"/>
    <s v="118/64"/>
    <n v="231"/>
    <m/>
    <n v="72"/>
    <x v="1"/>
    <s v="N"/>
    <s v="Low"/>
    <s v="N"/>
    <n v="184"/>
    <n v="0.55800000000000005"/>
    <n v="118"/>
    <n v="64"/>
    <s v="Normal"/>
    <n v="147"/>
    <n v="16.059999999999999"/>
    <x v="1"/>
    <x v="1"/>
  </r>
  <r>
    <x v="1"/>
    <n v="36"/>
    <n v="106.2"/>
    <n v="1.76"/>
    <n v="34.299999999999997"/>
    <n v="74.8"/>
    <s v="124/66"/>
    <n v="171"/>
    <n v="48"/>
    <n v="141"/>
    <x v="1"/>
    <s v="N"/>
    <s v="High"/>
    <s v="N"/>
    <n v="176"/>
    <n v="0.42499999999999999"/>
    <n v="124"/>
    <n v="66"/>
    <s v="Elevated"/>
    <n v="93"/>
    <n v="16.48"/>
    <x v="0"/>
    <x v="0"/>
  </r>
  <r>
    <x v="0"/>
    <n v="47"/>
    <n v="100.6"/>
    <n v="1.66"/>
    <n v="36.5"/>
    <n v="107.3"/>
    <s v="94/93"/>
    <n v="287"/>
    <n v="63"/>
    <n v="150"/>
    <x v="0"/>
    <s v="N"/>
    <s v="High"/>
    <s v="N"/>
    <n v="166"/>
    <n v="0.64600000000000002"/>
    <n v="94"/>
    <n v="93"/>
    <s v="Hypertension Stage 2"/>
    <n v="194"/>
    <n v="17.739999999999998"/>
    <x v="0"/>
    <x v="0"/>
  </r>
  <r>
    <x v="1"/>
    <m/>
    <n v="93.9"/>
    <n v="1.72"/>
    <n v="31.7"/>
    <n v="82.1"/>
    <s v="104/60"/>
    <n v="144"/>
    <n v="50"/>
    <n v="137"/>
    <x v="0"/>
    <s v="N"/>
    <s v="High"/>
    <s v="Y"/>
    <n v="172"/>
    <n v="0.47699999999999998"/>
    <n v="104"/>
    <n v="60"/>
    <s v="Normal"/>
    <n v="64"/>
    <n v="14.42"/>
    <x v="0"/>
    <x v="0"/>
  </r>
  <r>
    <x v="1"/>
    <n v="57"/>
    <n v="107"/>
    <n v="1.62"/>
    <n v="40.799999999999997"/>
    <n v="101.7"/>
    <s v="117/66"/>
    <n v="147"/>
    <n v="45"/>
    <n v="106"/>
    <x v="1"/>
    <s v="Y"/>
    <s v="Moderate"/>
    <s v="Y"/>
    <n v="162"/>
    <n v="0.628"/>
    <n v="117"/>
    <n v="66"/>
    <s v="Normal"/>
    <n v="72"/>
    <n v="18.95"/>
    <x v="1"/>
    <x v="1"/>
  </r>
  <r>
    <x v="0"/>
    <n v="52"/>
    <n v="109.7"/>
    <n v="1.78"/>
    <n v="34.6"/>
    <n v="104.4"/>
    <s v="103/99"/>
    <n v="197"/>
    <m/>
    <n v="99"/>
    <x v="0"/>
    <s v="Y"/>
    <s v="High"/>
    <s v="N"/>
    <n v="178"/>
    <n v="0.58699999999999997"/>
    <n v="103"/>
    <n v="99"/>
    <s v="Hypertension Stage 2"/>
    <m/>
    <n v="18.010000000000002"/>
    <x v="1"/>
    <x v="1"/>
  </r>
  <r>
    <x v="1"/>
    <n v="45"/>
    <n v="84.2"/>
    <n v="1.77"/>
    <n v="26.9"/>
    <n v="106"/>
    <s v="114/90"/>
    <n v="180"/>
    <n v="39"/>
    <n v="115"/>
    <x v="1"/>
    <s v="N"/>
    <s v="Low"/>
    <s v="Y"/>
    <n v="177"/>
    <m/>
    <n v="114"/>
    <n v="90"/>
    <s v="Hypertension Stage 2"/>
    <n v="111"/>
    <n v="14.68"/>
    <x v="1"/>
    <x v="1"/>
  </r>
  <r>
    <x v="1"/>
    <n v="31"/>
    <n v="85"/>
    <n v="1.66"/>
    <n v="30.8"/>
    <n v="79.900000000000006"/>
    <s v="116/69"/>
    <n v="130"/>
    <n v="70"/>
    <n v="125"/>
    <x v="0"/>
    <s v="N"/>
    <s v="Moderate"/>
    <s v="Y"/>
    <n v="166"/>
    <n v="0.48099999999999998"/>
    <n v="116"/>
    <n v="69"/>
    <s v="Normal"/>
    <n v="30"/>
    <n v="14.56"/>
    <x v="0"/>
    <x v="0"/>
  </r>
  <r>
    <x v="0"/>
    <n v="49"/>
    <n v="73.2"/>
    <n v="1.68"/>
    <n v="25.9"/>
    <n v="104.9"/>
    <s v="136/93"/>
    <n v="138"/>
    <n v="39"/>
    <n v="81"/>
    <x v="1"/>
    <s v="Y"/>
    <s v="High"/>
    <s v="Y"/>
    <n v="168"/>
    <n v="0.624"/>
    <n v="136"/>
    <n v="93"/>
    <s v="Hypertension Stage 1"/>
    <m/>
    <n v="16.739999999999998"/>
    <x v="1"/>
    <x v="1"/>
  </r>
  <r>
    <x v="1"/>
    <n v="48"/>
    <n v="94.6"/>
    <n v="1.74"/>
    <n v="31.2"/>
    <n v="99.1"/>
    <s v="99/82"/>
    <n v="209"/>
    <n v="60"/>
    <n v="127"/>
    <x v="0"/>
    <s v="Y"/>
    <s v="Moderate"/>
    <s v="N"/>
    <n v="174"/>
    <n v="0.56999999999999995"/>
    <n v="99"/>
    <n v="82"/>
    <s v="Hypertension Stage 1"/>
    <n v="119"/>
    <n v="17.37"/>
    <x v="1"/>
    <x v="1"/>
  </r>
  <r>
    <x v="0"/>
    <n v="37"/>
    <n v="50.5"/>
    <n v="1.64"/>
    <n v="18.8"/>
    <n v="75.400000000000006"/>
    <s v="100/96"/>
    <n v="240"/>
    <n v="53"/>
    <n v="98"/>
    <x v="0"/>
    <s v="Y"/>
    <s v="Low"/>
    <s v="N"/>
    <n v="164"/>
    <n v="0.46"/>
    <n v="100"/>
    <n v="96"/>
    <s v="Hypertension Stage 2"/>
    <n v="157"/>
    <n v="15.56"/>
    <x v="0"/>
    <x v="0"/>
  </r>
  <r>
    <x v="0"/>
    <n v="49"/>
    <n v="58.3"/>
    <n v="1.7"/>
    <n v="20.2"/>
    <n v="96.7"/>
    <s v="140/95"/>
    <n v="280"/>
    <n v="33"/>
    <n v="93"/>
    <x v="1"/>
    <s v="Y"/>
    <s v="Moderate"/>
    <s v="Y"/>
    <n v="170"/>
    <n v="0.56899999999999995"/>
    <n v="140"/>
    <n v="95"/>
    <s v="Hypertension Stage 2"/>
    <n v="217"/>
    <n v="18.64"/>
    <x v="1"/>
    <x v="1"/>
  </r>
  <r>
    <x v="1"/>
    <n v="49"/>
    <n v="64.8"/>
    <n v="1.61"/>
    <n v="25"/>
    <n v="77.900000000000006"/>
    <s v="101/72"/>
    <n v="276"/>
    <n v="30"/>
    <n v="128"/>
    <x v="1"/>
    <s v="N"/>
    <s v="Moderate"/>
    <s v="N"/>
    <n v="161"/>
    <n v="0.48399999999999999"/>
    <n v="101"/>
    <n v="72"/>
    <s v="Normal"/>
    <n v="216"/>
    <n v="15.57"/>
    <x v="1"/>
    <x v="1"/>
  </r>
  <r>
    <x v="1"/>
    <n v="60"/>
    <n v="101.1"/>
    <n v="1.89"/>
    <n v="28.3"/>
    <n v="76.3"/>
    <s v="99/76"/>
    <n v="165"/>
    <n v="67"/>
    <n v="107"/>
    <x v="0"/>
    <s v="N"/>
    <s v="High"/>
    <s v="Y"/>
    <n v="189"/>
    <n v="0.40400000000000003"/>
    <n v="99"/>
    <n v="76"/>
    <s v="Normal"/>
    <n v="68"/>
    <n v="13.91"/>
    <x v="0"/>
    <x v="0"/>
  </r>
  <r>
    <x v="1"/>
    <n v="49"/>
    <n v="62.2"/>
    <n v="1.7"/>
    <n v="21.5"/>
    <n v="75.900000000000006"/>
    <s v="150/91"/>
    <n v="211"/>
    <n v="72"/>
    <n v="86"/>
    <x v="1"/>
    <s v="N"/>
    <s v="Moderate"/>
    <s v="Y"/>
    <n v="170"/>
    <m/>
    <n v="150"/>
    <n v="91"/>
    <s v="Hypertension Stage 2"/>
    <n v="109"/>
    <n v="16.02"/>
    <x v="1"/>
    <x v="1"/>
  </r>
  <r>
    <x v="1"/>
    <n v="31"/>
    <n v="96"/>
    <n v="1.85"/>
    <n v="28"/>
    <n v="78.099999999999994"/>
    <s v="139/81"/>
    <n v="257"/>
    <n v="38"/>
    <n v="125"/>
    <x v="1"/>
    <s v="N"/>
    <s v="High"/>
    <s v="Y"/>
    <n v="185"/>
    <n v="0.42199999999999999"/>
    <n v="139"/>
    <n v="81"/>
    <s v="Hypertension Stage 1"/>
    <n v="189"/>
    <n v="17.690000000000001"/>
    <x v="1"/>
    <x v="1"/>
  </r>
  <r>
    <x v="0"/>
    <n v="52"/>
    <n v="116.8"/>
    <n v="1.62"/>
    <n v="44.5"/>
    <n v="102.6"/>
    <s v="104/83"/>
    <n v="208"/>
    <n v="46"/>
    <n v="123"/>
    <x v="1"/>
    <s v="Y"/>
    <s v="Low"/>
    <s v="N"/>
    <n v="162"/>
    <n v="0.63300000000000001"/>
    <n v="104"/>
    <n v="83"/>
    <s v="Hypertension Stage 1"/>
    <n v="132"/>
    <n v="20.260000000000002"/>
    <x v="1"/>
    <x v="1"/>
  </r>
  <r>
    <x v="1"/>
    <n v="34"/>
    <n v="99.4"/>
    <n v="1.7"/>
    <n v="34.4"/>
    <n v="87.4"/>
    <s v="111/84"/>
    <n v="113"/>
    <n v="33"/>
    <n v="116"/>
    <x v="1"/>
    <s v="N"/>
    <s v="Low"/>
    <s v="N"/>
    <n v="170"/>
    <n v="0.51400000000000001"/>
    <n v="111"/>
    <n v="84"/>
    <s v="Hypertension Stage 1"/>
    <n v="50"/>
    <n v="14.69"/>
    <x v="1"/>
    <x v="1"/>
  </r>
  <r>
    <x v="0"/>
    <n v="60"/>
    <n v="53.4"/>
    <n v="1.88"/>
    <n v="15.1"/>
    <n v="79.8"/>
    <s v="147/64"/>
    <n v="146"/>
    <n v="44"/>
    <n v="127"/>
    <x v="0"/>
    <s v="N"/>
    <s v="High"/>
    <s v="Y"/>
    <n v="188"/>
    <n v="0.42399999999999999"/>
    <n v="147"/>
    <n v="64"/>
    <s v="Hypertension Stage 2"/>
    <n v="72"/>
    <n v="13.29"/>
    <x v="0"/>
    <x v="0"/>
  </r>
  <r>
    <x v="0"/>
    <n v="34"/>
    <n v="94"/>
    <n v="1.6"/>
    <n v="36.700000000000003"/>
    <n v="84.7"/>
    <s v="117/69"/>
    <n v="156"/>
    <n v="80"/>
    <n v="90"/>
    <x v="1"/>
    <s v="N"/>
    <s v="Low"/>
    <s v="Y"/>
    <n v="160"/>
    <n v="0.52900000000000003"/>
    <n v="117"/>
    <n v="69"/>
    <s v="Normal"/>
    <n v="46"/>
    <n v="16.309999999999999"/>
    <x v="1"/>
    <x v="1"/>
  </r>
  <r>
    <x v="1"/>
    <n v="32"/>
    <n v="55.1"/>
    <n v="1.76"/>
    <n v="17.8"/>
    <n v="107.6"/>
    <s v="115/100"/>
    <n v="243"/>
    <n v="42"/>
    <n v="88"/>
    <x v="0"/>
    <s v="Y"/>
    <s v="Moderate"/>
    <s v="N"/>
    <n v="176"/>
    <m/>
    <n v="115"/>
    <n v="100"/>
    <s v="Hypertension Stage 2"/>
    <n v="171"/>
    <n v="16.170000000000002"/>
    <x v="0"/>
    <x v="0"/>
  </r>
  <r>
    <x v="1"/>
    <n v="55"/>
    <n v="69.3"/>
    <n v="1.79"/>
    <n v="21.6"/>
    <m/>
    <s v="141/85"/>
    <n v="224"/>
    <n v="43"/>
    <n v="141"/>
    <x v="0"/>
    <s v="Y"/>
    <s v="High"/>
    <s v="Y"/>
    <n v="179"/>
    <n v="0.53"/>
    <n v="141"/>
    <n v="85"/>
    <s v="Hypertension Stage 1"/>
    <n v="151"/>
    <n v="17.850000000000001"/>
    <x v="1"/>
    <x v="1"/>
  </r>
  <r>
    <x v="1"/>
    <n v="48"/>
    <n v="72.2"/>
    <n v="1.72"/>
    <n v="24.4"/>
    <n v="86.9"/>
    <s v="110/77"/>
    <n v="127"/>
    <n v="35"/>
    <m/>
    <x v="1"/>
    <s v="N"/>
    <s v="High"/>
    <s v="N"/>
    <n v="172"/>
    <m/>
    <n v="110"/>
    <n v="77"/>
    <s v="Normal"/>
    <n v="62"/>
    <n v="12.92"/>
    <x v="0"/>
    <x v="0"/>
  </r>
  <r>
    <x v="0"/>
    <n v="56"/>
    <n v="77.7"/>
    <n v="1.62"/>
    <n v="29.6"/>
    <n v="94.7"/>
    <s v="102/71"/>
    <m/>
    <n v="52"/>
    <n v="144"/>
    <x v="0"/>
    <s v="N"/>
    <s v="Low"/>
    <s v="N"/>
    <n v="162"/>
    <n v="0.58499999999999996"/>
    <n v="102"/>
    <n v="71"/>
    <s v="Normal"/>
    <n v="188"/>
    <n v="16.420000000000002"/>
    <x v="1"/>
    <x v="1"/>
  </r>
  <r>
    <x v="0"/>
    <n v="47"/>
    <n v="112.9"/>
    <n v="1.75"/>
    <n v="36.9"/>
    <n v="98"/>
    <s v="136/85"/>
    <n v="163"/>
    <n v="64"/>
    <n v="82"/>
    <x v="1"/>
    <s v="Y"/>
    <s v="High"/>
    <s v="Y"/>
    <n v="175"/>
    <m/>
    <n v="136"/>
    <n v="85"/>
    <s v="Hypertension Stage 1"/>
    <n v="69"/>
    <n v="19.440000000000001"/>
    <x v="1"/>
    <x v="1"/>
  </r>
  <r>
    <x v="1"/>
    <n v="59"/>
    <n v="104.6"/>
    <n v="1.67"/>
    <n v="37.5"/>
    <n v="108.7"/>
    <s v="145/62"/>
    <n v="152"/>
    <n v="67"/>
    <n v="83"/>
    <x v="0"/>
    <s v="Y"/>
    <s v="Moderate"/>
    <s v="Y"/>
    <n v="167"/>
    <n v="0.65100000000000002"/>
    <n v="145"/>
    <n v="62"/>
    <s v="Hypertension Stage 2"/>
    <n v="55"/>
    <n v="19.79"/>
    <x v="1"/>
    <x v="1"/>
  </r>
  <r>
    <x v="1"/>
    <n v="42"/>
    <n v="67.599999999999994"/>
    <n v="1.81"/>
    <n v="20.6"/>
    <n v="98.3"/>
    <s v="113/72"/>
    <n v="258"/>
    <n v="69"/>
    <n v="80"/>
    <x v="1"/>
    <s v="Y"/>
    <s v="Moderate"/>
    <s v="N"/>
    <n v="181"/>
    <n v="0.54300000000000004"/>
    <n v="113"/>
    <n v="72"/>
    <s v="Normal"/>
    <n v="159"/>
    <n v="16.93"/>
    <x v="0"/>
    <x v="0"/>
  </r>
  <r>
    <x v="0"/>
    <n v="44"/>
    <n v="110.3"/>
    <n v="1.7"/>
    <n v="38.200000000000003"/>
    <n v="100.9"/>
    <s v="123/75"/>
    <n v="139"/>
    <n v="34"/>
    <n v="86"/>
    <x v="1"/>
    <s v="N"/>
    <s v="Low"/>
    <s v="Y"/>
    <n v="170"/>
    <m/>
    <n v="123"/>
    <n v="75"/>
    <s v="Elevated"/>
    <n v="75"/>
    <n v="16.57"/>
    <x v="1"/>
    <x v="1"/>
  </r>
  <r>
    <x v="0"/>
    <n v="59"/>
    <n v="78.8"/>
    <n v="1.76"/>
    <n v="25.4"/>
    <n v="84"/>
    <s v="99/75"/>
    <n v="105"/>
    <n v="60"/>
    <n v="99"/>
    <x v="0"/>
    <s v="N"/>
    <s v="Moderate"/>
    <s v="N"/>
    <n v="176"/>
    <m/>
    <n v="99"/>
    <n v="75"/>
    <s v="Normal"/>
    <n v="15"/>
    <n v="12.13"/>
    <x v="0"/>
    <x v="0"/>
  </r>
  <r>
    <x v="0"/>
    <n v="49"/>
    <n v="61.5"/>
    <n v="1.86"/>
    <n v="17.8"/>
    <n v="102.5"/>
    <s v="106/61"/>
    <n v="151"/>
    <n v="80"/>
    <n v="92"/>
    <x v="0"/>
    <s v="Y"/>
    <s v="High"/>
    <s v="Y"/>
    <n v="186"/>
    <n v="0.55100000000000005"/>
    <n v="106"/>
    <n v="61"/>
    <s v="Normal"/>
    <n v="41"/>
    <n v="13.88"/>
    <x v="0"/>
    <x v="0"/>
  </r>
  <r>
    <x v="1"/>
    <n v="35"/>
    <n v="71.8"/>
    <n v="1.61"/>
    <n v="27.7"/>
    <n v="107.4"/>
    <s v="129/77"/>
    <n v="179"/>
    <n v="77"/>
    <m/>
    <x v="0"/>
    <s v="N"/>
    <s v="High"/>
    <s v="N"/>
    <n v="161"/>
    <n v="0.66700000000000004"/>
    <m/>
    <n v="77"/>
    <s v="Elevated"/>
    <n v="72"/>
    <n v="15.57"/>
    <x v="2"/>
    <x v="0"/>
  </r>
  <r>
    <x v="1"/>
    <n v="46"/>
    <n v="78.8"/>
    <n v="1.7"/>
    <n v="27.3"/>
    <n v="71.900000000000006"/>
    <s v="101/78"/>
    <n v="131"/>
    <n v="62"/>
    <n v="84"/>
    <x v="0"/>
    <s v="Y"/>
    <s v="Low"/>
    <s v="Y"/>
    <n v="170"/>
    <n v="0.42299999999999999"/>
    <n v="101"/>
    <n v="78"/>
    <s v="Normal"/>
    <n v="39"/>
    <n v="15.13"/>
    <x v="1"/>
    <x v="1"/>
  </r>
  <r>
    <x v="1"/>
    <n v="45"/>
    <n v="106.9"/>
    <n v="1.79"/>
    <n v="33.4"/>
    <n v="94.5"/>
    <s v="98/76"/>
    <n v="228"/>
    <n v="74"/>
    <n v="140"/>
    <x v="1"/>
    <s v="Y"/>
    <s v="Moderate"/>
    <s v="N"/>
    <n v="179"/>
    <n v="0.52800000000000002"/>
    <n v="98"/>
    <n v="76"/>
    <s v="Normal"/>
    <n v="124"/>
    <n v="18.14"/>
    <x v="1"/>
    <x v="1"/>
  </r>
  <r>
    <x v="1"/>
    <n v="55"/>
    <n v="83"/>
    <n v="1.68"/>
    <n v="29.4"/>
    <n v="75.099999999999994"/>
    <s v="108/67"/>
    <n v="104"/>
    <n v="65"/>
    <n v="138"/>
    <x v="0"/>
    <s v="N"/>
    <s v="Low"/>
    <s v="N"/>
    <n v="168"/>
    <n v="0.44700000000000001"/>
    <n v="108"/>
    <m/>
    <s v="Normal"/>
    <n v="9"/>
    <n v="13.36"/>
    <x v="0"/>
    <x v="0"/>
  </r>
  <r>
    <x v="0"/>
    <n v="45"/>
    <n v="90.3"/>
    <n v="1.68"/>
    <n v="32"/>
    <n v="84.5"/>
    <s v="121/88"/>
    <n v="224"/>
    <n v="52"/>
    <n v="121"/>
    <x v="0"/>
    <s v="Y"/>
    <s v="Low"/>
    <s v="Y"/>
    <n v="168"/>
    <n v="0.503"/>
    <n v="121"/>
    <n v="88"/>
    <s v="Hypertension Stage 1"/>
    <n v="142"/>
    <m/>
    <x v="1"/>
    <x v="1"/>
  </r>
  <r>
    <x v="0"/>
    <n v="53"/>
    <n v="114"/>
    <n v="1.74"/>
    <n v="37.700000000000003"/>
    <n v="102.6"/>
    <s v="91/79"/>
    <n v="270"/>
    <n v="66"/>
    <n v="82"/>
    <x v="0"/>
    <s v="N"/>
    <s v="Low"/>
    <s v="Y"/>
    <n v="174"/>
    <n v="0.59"/>
    <n v="91"/>
    <n v="79"/>
    <s v="Normal"/>
    <n v="174"/>
    <n v="17.489999999999998"/>
    <x v="1"/>
    <x v="1"/>
  </r>
  <r>
    <x v="1"/>
    <n v="51"/>
    <n v="64.900000000000006"/>
    <n v="1.85"/>
    <n v="19"/>
    <n v="95.4"/>
    <s v="91/88"/>
    <n v="247"/>
    <n v="55"/>
    <n v="119"/>
    <x v="0"/>
    <s v="Y"/>
    <s v="Low"/>
    <s v="N"/>
    <n v="185"/>
    <n v="0.51600000000000001"/>
    <n v="91"/>
    <m/>
    <s v="Hypertension Stage 1"/>
    <n v="162"/>
    <n v="15.29"/>
    <x v="1"/>
    <x v="1"/>
  </r>
  <r>
    <x v="1"/>
    <n v="46"/>
    <n v="72"/>
    <n v="1.75"/>
    <n v="23.5"/>
    <n v="89.1"/>
    <s v="100/90"/>
    <n v="198"/>
    <n v="76"/>
    <n v="141"/>
    <x v="0"/>
    <s v="N"/>
    <s v="Low"/>
    <s v="N"/>
    <n v="175"/>
    <n v="0.50900000000000001"/>
    <n v="100"/>
    <n v="90"/>
    <s v="Hypertension Stage 2"/>
    <n v="92"/>
    <n v="13.66"/>
    <x v="0"/>
    <x v="0"/>
  </r>
  <r>
    <x v="1"/>
    <n v="33"/>
    <n v="94.4"/>
    <n v="1.7"/>
    <m/>
    <n v="77"/>
    <s v="104/85"/>
    <n v="127"/>
    <n v="71"/>
    <n v="147"/>
    <x v="0"/>
    <s v="Y"/>
    <s v="Moderate"/>
    <s v="Y"/>
    <n v="170"/>
    <n v="0.45300000000000001"/>
    <n v="104"/>
    <n v="85"/>
    <s v="Hypertension Stage 1"/>
    <n v="26"/>
    <n v="16.28"/>
    <x v="0"/>
    <x v="0"/>
  </r>
  <r>
    <x v="0"/>
    <n v="46"/>
    <n v="104.5"/>
    <n v="1.65"/>
    <m/>
    <n v="106.4"/>
    <s v="129/63"/>
    <m/>
    <n v="48"/>
    <n v="88"/>
    <x v="0"/>
    <s v="Y"/>
    <s v="High"/>
    <s v="N"/>
    <n v="165"/>
    <n v="0.64500000000000002"/>
    <n v="129"/>
    <n v="63"/>
    <s v="Elevated"/>
    <n v="59"/>
    <n v="18.87"/>
    <x v="0"/>
    <x v="0"/>
  </r>
  <r>
    <x v="1"/>
    <n v="30"/>
    <n v="79.2"/>
    <n v="1.63"/>
    <n v="29.8"/>
    <n v="72.2"/>
    <s v="128/88"/>
    <n v="108"/>
    <n v="45"/>
    <n v="88"/>
    <x v="1"/>
    <s v="Y"/>
    <s v="Low"/>
    <s v="Y"/>
    <n v="163"/>
    <n v="0.443"/>
    <n v="128"/>
    <n v="88"/>
    <s v="Hypertension Stage 1"/>
    <n v="33"/>
    <m/>
    <x v="1"/>
    <x v="1"/>
  </r>
  <r>
    <x v="0"/>
    <n v="43"/>
    <n v="95.6"/>
    <n v="1.68"/>
    <n v="33.9"/>
    <n v="94"/>
    <s v="124/91"/>
    <n v="116"/>
    <n v="52"/>
    <n v="103"/>
    <x v="0"/>
    <s v="Y"/>
    <s v="High"/>
    <s v="N"/>
    <n v="168"/>
    <n v="0.56000000000000005"/>
    <n v="124"/>
    <n v="91"/>
    <s v="Hypertension Stage 2"/>
    <n v="34"/>
    <n v="17.3"/>
    <x v="0"/>
    <x v="0"/>
  </r>
  <r>
    <x v="1"/>
    <n v="45"/>
    <n v="74.7"/>
    <n v="1.84"/>
    <n v="22.1"/>
    <n v="89.1"/>
    <s v="131/67"/>
    <n v="291"/>
    <n v="39"/>
    <n v="132"/>
    <x v="1"/>
    <s v="N"/>
    <s v="Moderate"/>
    <s v="N"/>
    <n v="184"/>
    <n v="0.48399999999999999"/>
    <n v="131"/>
    <n v="67"/>
    <s v="Hypertension Stage 1"/>
    <n v="222"/>
    <n v="16.79"/>
    <x v="0"/>
    <x v="0"/>
  </r>
  <r>
    <x v="0"/>
    <n v="35"/>
    <n v="77.599999999999994"/>
    <n v="1.78"/>
    <n v="24.5"/>
    <n v="84.6"/>
    <s v="124/90"/>
    <n v="143"/>
    <n v="76"/>
    <n v="108"/>
    <x v="0"/>
    <s v="N"/>
    <s v="Low"/>
    <s v="N"/>
    <n v="178"/>
    <n v="0.47499999999999998"/>
    <n v="124"/>
    <n v="90"/>
    <s v="Hypertension Stage 2"/>
    <n v="37"/>
    <n v="13.96"/>
    <x v="2"/>
    <x v="0"/>
  </r>
  <r>
    <x v="0"/>
    <n v="58"/>
    <n v="91.4"/>
    <n v="1.61"/>
    <n v="35.299999999999997"/>
    <n v="93.3"/>
    <s v="111/78"/>
    <m/>
    <n v="69"/>
    <n v="117"/>
    <x v="1"/>
    <s v="Y"/>
    <s v="Moderate"/>
    <s v="N"/>
    <n v="161"/>
    <n v="0.57999999999999996"/>
    <n v="111"/>
    <n v="78"/>
    <s v="Normal"/>
    <n v="18"/>
    <n v="16.95"/>
    <x v="1"/>
    <x v="1"/>
  </r>
  <r>
    <x v="0"/>
    <n v="34"/>
    <n v="91.9"/>
    <n v="1.74"/>
    <n v="30.4"/>
    <n v="72.2"/>
    <s v="137/82"/>
    <n v="186"/>
    <m/>
    <m/>
    <x v="0"/>
    <s v="N"/>
    <s v="Moderate"/>
    <s v="Y"/>
    <n v="174"/>
    <n v="0.41499999999999998"/>
    <n v="137"/>
    <n v="82"/>
    <s v="Hypertension Stage 1"/>
    <n v="95"/>
    <n v="16.649999999999999"/>
    <x v="0"/>
    <x v="0"/>
  </r>
  <r>
    <x v="1"/>
    <n v="31"/>
    <n v="87.9"/>
    <n v="1.9"/>
    <n v="24.3"/>
    <n v="103.7"/>
    <s v="128/93"/>
    <n v="178"/>
    <n v="56"/>
    <n v="78"/>
    <x v="1"/>
    <s v="Y"/>
    <s v="Low"/>
    <s v="N"/>
    <n v="190"/>
    <n v="0.54600000000000004"/>
    <n v="128"/>
    <n v="93"/>
    <s v="Hypertension Stage 2"/>
    <n v="92"/>
    <n v="16.82"/>
    <x v="0"/>
    <x v="0"/>
  </r>
  <r>
    <x v="1"/>
    <n v="38"/>
    <n v="69.099999999999994"/>
    <n v="1.84"/>
    <n v="20.399999999999999"/>
    <n v="95.9"/>
    <s v="129/78"/>
    <n v="131"/>
    <n v="66"/>
    <n v="113"/>
    <x v="0"/>
    <s v="N"/>
    <s v="Low"/>
    <s v="N"/>
    <n v="184"/>
    <n v="0.52100000000000002"/>
    <n v="129"/>
    <n v="78"/>
    <s v="Elevated"/>
    <n v="35"/>
    <n v="13.15"/>
    <x v="2"/>
    <x v="0"/>
  </r>
  <r>
    <x v="0"/>
    <n v="56"/>
    <n v="90"/>
    <n v="1.69"/>
    <n v="31.5"/>
    <n v="72.599999999999994"/>
    <s v="109/67"/>
    <n v="256"/>
    <m/>
    <n v="142"/>
    <x v="1"/>
    <s v="N"/>
    <s v="High"/>
    <s v="N"/>
    <n v="169"/>
    <n v="0.43"/>
    <n v="109"/>
    <n v="67"/>
    <s v="Normal"/>
    <n v="164"/>
    <n v="16.87"/>
    <x v="1"/>
    <x v="1"/>
  </r>
  <r>
    <x v="0"/>
    <m/>
    <n v="59.2"/>
    <n v="1.8"/>
    <n v="18.3"/>
    <n v="71.900000000000006"/>
    <s v="116/83"/>
    <n v="280"/>
    <n v="79"/>
    <n v="84"/>
    <x v="0"/>
    <s v="N"/>
    <s v="High"/>
    <s v="N"/>
    <n v="180"/>
    <n v="0.39900000000000002"/>
    <n v="116"/>
    <n v="83"/>
    <s v="Hypertension Stage 1"/>
    <n v="171"/>
    <n v="15.06"/>
    <x v="0"/>
    <x v="0"/>
  </r>
  <r>
    <x v="1"/>
    <n v="36"/>
    <n v="83.7"/>
    <n v="1.83"/>
    <n v="25"/>
    <n v="85.6"/>
    <s v="136/60"/>
    <n v="117"/>
    <m/>
    <n v="86"/>
    <x v="1"/>
    <s v="N"/>
    <s v="High"/>
    <s v="N"/>
    <n v="183"/>
    <n v="0.46800000000000003"/>
    <n v="136"/>
    <n v="60"/>
    <s v="Hypertension Stage 1"/>
    <n v="57"/>
    <n v="14.14"/>
    <x v="0"/>
    <x v="0"/>
  </r>
  <r>
    <x v="0"/>
    <n v="57"/>
    <n v="116.3"/>
    <n v="1.62"/>
    <n v="44.3"/>
    <n v="99.1"/>
    <s v="149/61"/>
    <n v="293"/>
    <n v="52"/>
    <n v="139"/>
    <x v="0"/>
    <s v="Y"/>
    <s v="Moderate"/>
    <s v="Y"/>
    <n v="162"/>
    <n v="0.61199999999999999"/>
    <n v="149"/>
    <n v="61"/>
    <s v="Hypertension Stage 2"/>
    <m/>
    <n v="24.17"/>
    <x v="1"/>
    <x v="1"/>
  </r>
  <r>
    <x v="0"/>
    <n v="59"/>
    <n v="50.4"/>
    <n v="1.62"/>
    <n v="19.2"/>
    <n v="92.6"/>
    <s v="133/74"/>
    <n v="288"/>
    <n v="48"/>
    <n v="134"/>
    <x v="0"/>
    <s v="N"/>
    <s v="Moderate"/>
    <s v="N"/>
    <n v="162"/>
    <n v="0.57199999999999995"/>
    <n v="133"/>
    <n v="74"/>
    <s v="Hypertension Stage 1"/>
    <n v="210"/>
    <n v="16.25"/>
    <x v="0"/>
    <x v="0"/>
  </r>
  <r>
    <x v="1"/>
    <n v="38"/>
    <n v="66.8"/>
    <n v="1.81"/>
    <n v="20.399999999999999"/>
    <n v="100.8"/>
    <s v="142/67"/>
    <m/>
    <n v="45"/>
    <n v="93"/>
    <x v="0"/>
    <s v="N"/>
    <s v="Low"/>
    <s v="Y"/>
    <n v="181"/>
    <n v="0.55700000000000005"/>
    <m/>
    <n v="67"/>
    <s v="Hypertension Stage 2"/>
    <n v="57"/>
    <n v="13.82"/>
    <x v="0"/>
    <x v="0"/>
  </r>
  <r>
    <x v="1"/>
    <n v="55"/>
    <m/>
    <n v="1.72"/>
    <n v="30.4"/>
    <n v="92.4"/>
    <s v="149/93"/>
    <n v="187"/>
    <n v="72"/>
    <n v="149"/>
    <x v="1"/>
    <s v="Y"/>
    <s v="High"/>
    <s v="N"/>
    <n v="172"/>
    <n v="0.53700000000000003"/>
    <n v="149"/>
    <n v="93"/>
    <s v="Hypertension Stage 2"/>
    <n v="85"/>
    <n v="19.27"/>
    <x v="1"/>
    <x v="1"/>
  </r>
  <r>
    <x v="1"/>
    <n v="50"/>
    <n v="59"/>
    <n v="1.71"/>
    <n v="20.2"/>
    <n v="107.6"/>
    <s v="138/96"/>
    <n v="271"/>
    <n v="56"/>
    <n v="111"/>
    <x v="1"/>
    <s v="Y"/>
    <s v="Low"/>
    <s v="N"/>
    <n v="171"/>
    <n v="0.629"/>
    <n v="138"/>
    <n v="96"/>
    <s v="Hypertension Stage 1"/>
    <n v="185"/>
    <n v="18.36"/>
    <x v="1"/>
    <x v="1"/>
  </r>
  <r>
    <x v="0"/>
    <n v="59"/>
    <n v="76.900000000000006"/>
    <n v="1.8"/>
    <n v="23.7"/>
    <m/>
    <s v="93/89"/>
    <n v="294"/>
    <n v="57"/>
    <n v="150"/>
    <x v="1"/>
    <s v="N"/>
    <s v="Moderate"/>
    <s v="Y"/>
    <n v="180"/>
    <n v="0.48399999999999999"/>
    <n v="93"/>
    <n v="89"/>
    <s v="Hypertension Stage 1"/>
    <n v="207"/>
    <n v="15.27"/>
    <x v="1"/>
    <x v="1"/>
  </r>
  <r>
    <x v="0"/>
    <n v="38"/>
    <n v="67.400000000000006"/>
    <n v="1.63"/>
    <n v="25.4"/>
    <n v="100"/>
    <s v="123/77"/>
    <n v="196"/>
    <n v="30"/>
    <n v="71"/>
    <x v="0"/>
    <s v="Y"/>
    <s v="Moderate"/>
    <s v="N"/>
    <n v="163"/>
    <n v="0.61299999999999999"/>
    <n v="123"/>
    <n v="77"/>
    <s v="Elevated"/>
    <n v="136"/>
    <n v="17.149999999999999"/>
    <x v="0"/>
    <x v="0"/>
  </r>
  <r>
    <x v="1"/>
    <n v="30"/>
    <n v="91.4"/>
    <m/>
    <n v="30.9"/>
    <n v="96.3"/>
    <s v="106/83"/>
    <n v="126"/>
    <n v="32"/>
    <n v="72"/>
    <x v="0"/>
    <s v="Y"/>
    <s v="Moderate"/>
    <s v="N"/>
    <n v="172"/>
    <n v="0.56000000000000005"/>
    <n v="106"/>
    <n v="83"/>
    <s v="Hypertension Stage 1"/>
    <n v="64"/>
    <m/>
    <x v="0"/>
    <x v="0"/>
  </r>
  <r>
    <x v="0"/>
    <n v="40"/>
    <n v="91.4"/>
    <n v="1.74"/>
    <n v="30.2"/>
    <n v="98.7"/>
    <s v="117/64"/>
    <m/>
    <n v="35"/>
    <n v="101"/>
    <x v="1"/>
    <s v="Y"/>
    <s v="Moderate"/>
    <s v="Y"/>
    <n v="174"/>
    <n v="0.56699999999999995"/>
    <n v="117"/>
    <n v="64"/>
    <s v="Normal"/>
    <n v="90"/>
    <n v="16.989999999999998"/>
    <x v="1"/>
    <x v="1"/>
  </r>
  <r>
    <x v="1"/>
    <n v="34"/>
    <n v="100.8"/>
    <n v="1.7"/>
    <n v="34.9"/>
    <n v="108.8"/>
    <s v="100/80"/>
    <m/>
    <n v="71"/>
    <n v="148"/>
    <x v="0"/>
    <s v="N"/>
    <s v="Low"/>
    <s v="Y"/>
    <n v="170"/>
    <n v="0.64"/>
    <n v="100"/>
    <n v="80"/>
    <s v="Hypertension Stage 1"/>
    <n v="11"/>
    <n v="14.22"/>
    <x v="0"/>
    <x v="0"/>
  </r>
  <r>
    <x v="0"/>
    <n v="38"/>
    <n v="104.3"/>
    <n v="1.78"/>
    <n v="32.9"/>
    <n v="108.7"/>
    <s v="99/70"/>
    <n v="164"/>
    <n v="56"/>
    <n v="120"/>
    <x v="0"/>
    <s v="N"/>
    <s v="Moderate"/>
    <s v="Y"/>
    <n v="178"/>
    <n v="0.61099999999999999"/>
    <n v="99"/>
    <n v="70"/>
    <s v="Normal"/>
    <n v="78"/>
    <n v="14.81"/>
    <x v="0"/>
    <x v="0"/>
  </r>
  <r>
    <x v="0"/>
    <n v="36"/>
    <n v="96.2"/>
    <n v="1.89"/>
    <n v="26.9"/>
    <n v="91.8"/>
    <s v="145/60"/>
    <n v="227"/>
    <n v="66"/>
    <n v="137"/>
    <x v="0"/>
    <s v="N"/>
    <s v="Moderate"/>
    <s v="Y"/>
    <m/>
    <n v="0.48599999999999999"/>
    <n v="145"/>
    <n v="60"/>
    <s v="Hypertension Stage 2"/>
    <n v="131"/>
    <n v="17.170000000000002"/>
    <x v="0"/>
    <x v="0"/>
  </r>
  <r>
    <x v="1"/>
    <n v="30"/>
    <n v="117.6"/>
    <n v="1.76"/>
    <n v="38"/>
    <n v="105"/>
    <s v="104/96"/>
    <n v="173"/>
    <n v="58"/>
    <n v="113"/>
    <x v="0"/>
    <s v="N"/>
    <s v="High"/>
    <s v="N"/>
    <n v="176"/>
    <n v="0.59699999999999998"/>
    <n v="104"/>
    <n v="96"/>
    <s v="Hypertension Stage 2"/>
    <n v="85"/>
    <n v="16.260000000000002"/>
    <x v="2"/>
    <x v="0"/>
  </r>
  <r>
    <x v="0"/>
    <n v="49"/>
    <n v="106.4"/>
    <n v="1.83"/>
    <n v="31.8"/>
    <n v="89"/>
    <s v="110/71"/>
    <n v="103"/>
    <n v="72"/>
    <n v="108"/>
    <x v="1"/>
    <s v="Y"/>
    <s v="High"/>
    <s v="Y"/>
    <n v="183"/>
    <n v="0.48599999999999999"/>
    <n v="110"/>
    <n v="71"/>
    <s v="Normal"/>
    <n v="1"/>
    <n v="15.92"/>
    <x v="1"/>
    <x v="1"/>
  </r>
  <r>
    <x v="0"/>
    <n v="44"/>
    <n v="73.3"/>
    <n v="1.63"/>
    <n v="27.6"/>
    <n v="108.7"/>
    <s v="123/89"/>
    <n v="169"/>
    <n v="32"/>
    <n v="93"/>
    <x v="0"/>
    <s v="Y"/>
    <s v="Moderate"/>
    <s v="N"/>
    <n v="163"/>
    <n v="0.66700000000000004"/>
    <n v="123"/>
    <n v="89"/>
    <s v="Hypertension Stage 1"/>
    <n v="107"/>
    <n v="17.05"/>
    <x v="0"/>
    <x v="0"/>
  </r>
  <r>
    <x v="1"/>
    <n v="39"/>
    <n v="57.2"/>
    <n v="1.86"/>
    <n v="16.5"/>
    <n v="88.8"/>
    <s v="93/85"/>
    <n v="115"/>
    <n v="36"/>
    <n v="142"/>
    <x v="0"/>
    <s v="Y"/>
    <s v="Moderate"/>
    <s v="Y"/>
    <n v="186"/>
    <n v="0.47699999999999998"/>
    <n v="93"/>
    <n v="85"/>
    <s v="Hypertension Stage 1"/>
    <n v="49"/>
    <n v="12.25"/>
    <x v="0"/>
    <x v="0"/>
  </r>
  <r>
    <x v="1"/>
    <n v="38"/>
    <n v="63.6"/>
    <n v="1.81"/>
    <n v="19.399999999999999"/>
    <m/>
    <s v="95/66"/>
    <n v="169"/>
    <n v="69"/>
    <n v="115"/>
    <x v="1"/>
    <s v="N"/>
    <s v="High"/>
    <s v="Y"/>
    <n v="181"/>
    <n v="0.50700000000000001"/>
    <n v="95"/>
    <n v="66"/>
    <s v="Normal"/>
    <n v="70"/>
    <n v="12.01"/>
    <x v="0"/>
    <x v="0"/>
  </r>
  <r>
    <x v="1"/>
    <n v="32"/>
    <n v="65.400000000000006"/>
    <n v="1.7"/>
    <n v="22.6"/>
    <m/>
    <s v="129/94"/>
    <n v="129"/>
    <n v="52"/>
    <n v="89"/>
    <x v="0"/>
    <s v="N"/>
    <s v="Low"/>
    <s v="N"/>
    <n v="170"/>
    <n v="0.44800000000000001"/>
    <n v="129"/>
    <n v="94"/>
    <s v="Hypertension Stage 2"/>
    <n v="47"/>
    <n v="13.55"/>
    <x v="2"/>
    <x v="0"/>
  </r>
  <r>
    <x v="0"/>
    <n v="42"/>
    <n v="96.3"/>
    <n v="1.71"/>
    <n v="32.9"/>
    <n v="74.2"/>
    <s v="99/83"/>
    <n v="290"/>
    <n v="35"/>
    <n v="132"/>
    <x v="0"/>
    <s v="N"/>
    <s v="High"/>
    <s v="Y"/>
    <m/>
    <n v="0.434"/>
    <n v="99"/>
    <n v="83"/>
    <s v="Hypertension Stage 1"/>
    <n v="225"/>
    <n v="17.329999999999998"/>
    <x v="1"/>
    <x v="1"/>
  </r>
  <r>
    <x v="1"/>
    <n v="34"/>
    <n v="54"/>
    <n v="1.61"/>
    <m/>
    <n v="96.7"/>
    <s v="116/72"/>
    <n v="253"/>
    <n v="37"/>
    <m/>
    <x v="0"/>
    <s v="N"/>
    <s v="High"/>
    <s v="Y"/>
    <n v="161"/>
    <n v="0.60099999999999998"/>
    <n v="116"/>
    <n v="72"/>
    <s v="Normal"/>
    <n v="186"/>
    <n v="15.02"/>
    <x v="0"/>
    <x v="0"/>
  </r>
  <r>
    <x v="1"/>
    <n v="40"/>
    <n v="62.1"/>
    <n v="1.68"/>
    <n v="22"/>
    <n v="71"/>
    <s v="110/93"/>
    <n v="184"/>
    <n v="51"/>
    <n v="144"/>
    <x v="1"/>
    <s v="Y"/>
    <s v="Low"/>
    <s v="N"/>
    <n v="168"/>
    <n v="0.42299999999999999"/>
    <n v="110"/>
    <n v="93"/>
    <s v="Hypertension Stage 2"/>
    <m/>
    <n v="15.58"/>
    <x v="0"/>
    <x v="0"/>
  </r>
  <r>
    <x v="0"/>
    <n v="41"/>
    <n v="119"/>
    <n v="1.64"/>
    <n v="44.2"/>
    <n v="73.599999999999994"/>
    <s v="116/69"/>
    <n v="139"/>
    <n v="38"/>
    <n v="128"/>
    <x v="0"/>
    <s v="Y"/>
    <s v="Moderate"/>
    <s v="N"/>
    <n v="164"/>
    <n v="0.44900000000000001"/>
    <n v="116"/>
    <n v="69"/>
    <s v="Normal"/>
    <n v="71"/>
    <n v="19.420000000000002"/>
    <x v="0"/>
    <x v="0"/>
  </r>
  <r>
    <x v="1"/>
    <n v="39"/>
    <n v="88.7"/>
    <n v="1.62"/>
    <n v="33.799999999999997"/>
    <n v="109.2"/>
    <s v="111/76"/>
    <n v="285"/>
    <n v="53"/>
    <n v="120"/>
    <x v="0"/>
    <s v="Y"/>
    <s v="Low"/>
    <s v="Y"/>
    <n v="162"/>
    <n v="0.67400000000000004"/>
    <n v="111"/>
    <m/>
    <s v="Normal"/>
    <n v="202"/>
    <n v="20.010000000000002"/>
    <x v="1"/>
    <x v="1"/>
  </r>
  <r>
    <x v="1"/>
    <n v="56"/>
    <n v="58.4"/>
    <n v="1.71"/>
    <n v="20"/>
    <n v="86.4"/>
    <s v="123/75"/>
    <n v="210"/>
    <n v="43"/>
    <n v="111"/>
    <x v="0"/>
    <s v="N"/>
    <s v="High"/>
    <s v="Y"/>
    <n v="171"/>
    <n v="0.505"/>
    <n v="123"/>
    <n v="75"/>
    <s v="Elevated"/>
    <n v="137"/>
    <n v="14.35"/>
    <x v="0"/>
    <x v="0"/>
  </r>
  <r>
    <x v="0"/>
    <n v="60"/>
    <n v="54.1"/>
    <n v="1.86"/>
    <n v="15.6"/>
    <n v="74.099999999999994"/>
    <s v="125/61"/>
    <n v="299"/>
    <n v="32"/>
    <n v="120"/>
    <x v="0"/>
    <s v="Y"/>
    <s v="High"/>
    <s v="Y"/>
    <n v="186"/>
    <n v="0.39800000000000002"/>
    <n v="125"/>
    <n v="61"/>
    <s v="Elevated"/>
    <n v="237"/>
    <n v="17.350000000000001"/>
    <x v="1"/>
    <x v="1"/>
  </r>
  <r>
    <x v="0"/>
    <n v="40"/>
    <n v="61.8"/>
    <n v="1.87"/>
    <n v="17.7"/>
    <n v="94.3"/>
    <s v="93/63"/>
    <n v="188"/>
    <n v="77"/>
    <n v="125"/>
    <x v="0"/>
    <s v="Y"/>
    <s v="Moderate"/>
    <s v="N"/>
    <n v="187"/>
    <n v="0.504"/>
    <n v="93"/>
    <n v="63"/>
    <s v="Normal"/>
    <n v="81"/>
    <n v="13.95"/>
    <x v="2"/>
    <x v="0"/>
  </r>
  <r>
    <x v="0"/>
    <n v="30"/>
    <n v="64.900000000000006"/>
    <n v="1.77"/>
    <n v="20.7"/>
    <n v="98.2"/>
    <s v="141/79"/>
    <n v="178"/>
    <n v="45"/>
    <n v="77"/>
    <x v="0"/>
    <s v="N"/>
    <s v="Low"/>
    <s v="N"/>
    <n v="177"/>
    <n v="0.55500000000000005"/>
    <n v="141"/>
    <m/>
    <s v="Hypertension Stage 2"/>
    <n v="103"/>
    <n v="14.75"/>
    <x v="2"/>
    <x v="0"/>
  </r>
  <r>
    <x v="1"/>
    <n v="54"/>
    <n v="91.5"/>
    <n v="1.84"/>
    <n v="27"/>
    <n v="106.6"/>
    <s v="138/100"/>
    <n v="209"/>
    <n v="35"/>
    <n v="107"/>
    <x v="0"/>
    <s v="Y"/>
    <s v="High"/>
    <s v="N"/>
    <n v="184"/>
    <m/>
    <n v="138"/>
    <n v="100"/>
    <s v="Hypertension Stage 1"/>
    <n v="144"/>
    <n v="18.48"/>
    <x v="1"/>
    <x v="1"/>
  </r>
  <r>
    <x v="0"/>
    <n v="36"/>
    <n v="99.2"/>
    <n v="1.8"/>
    <n v="30.6"/>
    <n v="71.599999999999994"/>
    <s v="108/65"/>
    <n v="206"/>
    <n v="78"/>
    <n v="95"/>
    <x v="1"/>
    <s v="N"/>
    <s v="High"/>
    <s v="Y"/>
    <n v="180"/>
    <m/>
    <m/>
    <n v="65"/>
    <s v="Normal"/>
    <n v="98"/>
    <n v="15.64"/>
    <x v="1"/>
    <x v="1"/>
  </r>
  <r>
    <x v="1"/>
    <n v="34"/>
    <n v="102.6"/>
    <m/>
    <m/>
    <n v="96.9"/>
    <s v="137/81"/>
    <n v="240"/>
    <n v="77"/>
    <n v="120"/>
    <x v="1"/>
    <s v="N"/>
    <s v="High"/>
    <s v="N"/>
    <m/>
    <n v="0.58699999999999997"/>
    <n v="137"/>
    <n v="81"/>
    <s v="Hypertension Stage 1"/>
    <n v="133"/>
    <n v="19.190000000000001"/>
    <x v="0"/>
    <x v="0"/>
  </r>
  <r>
    <x v="1"/>
    <n v="35"/>
    <n v="87.7"/>
    <n v="1.86"/>
    <n v="25.3"/>
    <n v="87.9"/>
    <s v="135/91"/>
    <n v="253"/>
    <n v="74"/>
    <n v="124"/>
    <x v="1"/>
    <s v="N"/>
    <s v="High"/>
    <s v="Y"/>
    <n v="186"/>
    <n v="0.47299999999999998"/>
    <n v="135"/>
    <n v="91"/>
    <s v="Hypertension Stage 1"/>
    <n v="149"/>
    <n v="16.87"/>
    <x v="1"/>
    <x v="1"/>
  </r>
  <r>
    <x v="0"/>
    <n v="30"/>
    <n v="103.1"/>
    <n v="1.81"/>
    <n v="31.5"/>
    <n v="74"/>
    <s v="109/70"/>
    <n v="120"/>
    <m/>
    <n v="144"/>
    <x v="1"/>
    <s v="Y"/>
    <s v="High"/>
    <s v="Y"/>
    <n v="181"/>
    <n v="0.40899999999999997"/>
    <n v="109"/>
    <n v="70"/>
    <s v="Normal"/>
    <n v="53"/>
    <n v="16.149999999999999"/>
    <x v="1"/>
    <x v="1"/>
  </r>
  <r>
    <x v="0"/>
    <m/>
    <n v="59.8"/>
    <n v="1.67"/>
    <n v="21.4"/>
    <n v="97.1"/>
    <s v="129/80"/>
    <n v="196"/>
    <n v="41"/>
    <n v="125"/>
    <x v="1"/>
    <s v="N"/>
    <s v="Low"/>
    <s v="N"/>
    <n v="167"/>
    <n v="0.58099999999999996"/>
    <n v="129"/>
    <n v="80"/>
    <s v="Hypertension Stage 1"/>
    <n v="125"/>
    <n v="14.65"/>
    <x v="0"/>
    <x v="0"/>
  </r>
  <r>
    <x v="1"/>
    <n v="35"/>
    <n v="53.9"/>
    <n v="1.79"/>
    <n v="16.8"/>
    <n v="74.3"/>
    <s v="136/97"/>
    <n v="129"/>
    <n v="47"/>
    <n v="138"/>
    <x v="0"/>
    <s v="Y"/>
    <s v="High"/>
    <s v="N"/>
    <n v="179"/>
    <n v="0.41499999999999998"/>
    <n v="136"/>
    <n v="97"/>
    <s v="Hypertension Stage 1"/>
    <n v="52"/>
    <n v="14.74"/>
    <x v="2"/>
    <x v="0"/>
  </r>
  <r>
    <x v="1"/>
    <n v="51"/>
    <n v="108.8"/>
    <n v="1.77"/>
    <n v="34.700000000000003"/>
    <n v="104.2"/>
    <s v="96/93"/>
    <n v="277"/>
    <n v="38"/>
    <n v="113"/>
    <x v="1"/>
    <s v="Y"/>
    <s v="Moderate"/>
    <s v="Y"/>
    <n v="177"/>
    <m/>
    <n v="96"/>
    <n v="93"/>
    <s v="Hypertension Stage 2"/>
    <n v="209"/>
    <n v="19.28"/>
    <x v="1"/>
    <x v="1"/>
  </r>
  <r>
    <x v="0"/>
    <n v="32"/>
    <n v="51.3"/>
    <n v="1.6"/>
    <n v="20"/>
    <n v="86.8"/>
    <s v="136/61"/>
    <n v="162"/>
    <n v="46"/>
    <n v="88"/>
    <x v="1"/>
    <s v="N"/>
    <s v="High"/>
    <s v="N"/>
    <n v="160"/>
    <n v="0.54200000000000004"/>
    <n v="136"/>
    <n v="61"/>
    <s v="Hypertension Stage 1"/>
    <n v="86"/>
    <n v="14.04"/>
    <x v="2"/>
    <x v="0"/>
  </r>
  <r>
    <x v="1"/>
    <n v="47"/>
    <n v="90.9"/>
    <n v="1.61"/>
    <m/>
    <n v="97.9"/>
    <s v="103/69"/>
    <n v="233"/>
    <n v="72"/>
    <n v="138"/>
    <x v="1"/>
    <s v="N"/>
    <s v="Moderate"/>
    <s v="Y"/>
    <n v="161"/>
    <n v="0.60799999999999998"/>
    <n v="103"/>
    <n v="69"/>
    <s v="Normal"/>
    <n v="131"/>
    <n v="16.829999999999998"/>
    <x v="1"/>
    <x v="1"/>
  </r>
  <r>
    <x v="1"/>
    <n v="58"/>
    <n v="108.5"/>
    <m/>
    <n v="40.799999999999997"/>
    <n v="90.3"/>
    <s v="135/90"/>
    <n v="208"/>
    <n v="40"/>
    <n v="142"/>
    <x v="1"/>
    <s v="Y"/>
    <s v="Moderate"/>
    <s v="Y"/>
    <n v="163"/>
    <n v="0.55400000000000005"/>
    <n v="135"/>
    <m/>
    <s v="Hypertension Stage 1"/>
    <n v="138"/>
    <n v="21.07"/>
    <x v="1"/>
    <x v="1"/>
  </r>
  <r>
    <x v="1"/>
    <n v="41"/>
    <n v="59.3"/>
    <n v="1.61"/>
    <n v="22.9"/>
    <n v="87.6"/>
    <s v="121/68"/>
    <n v="168"/>
    <n v="34"/>
    <n v="124"/>
    <x v="0"/>
    <s v="Y"/>
    <s v="High"/>
    <s v="Y"/>
    <n v="161"/>
    <m/>
    <n v="121"/>
    <n v="68"/>
    <s v="Elevated"/>
    <n v="104"/>
    <n v="15.99"/>
    <x v="0"/>
    <x v="0"/>
  </r>
  <r>
    <x v="1"/>
    <n v="36"/>
    <n v="110.5"/>
    <n v="1.88"/>
    <n v="31.3"/>
    <n v="106.6"/>
    <s v="148/64"/>
    <n v="208"/>
    <n v="52"/>
    <n v="135"/>
    <x v="0"/>
    <s v="N"/>
    <s v="High"/>
    <s v="Y"/>
    <n v="188"/>
    <n v="0.56699999999999995"/>
    <n v="148"/>
    <n v="64"/>
    <s v="Hypertension Stage 2"/>
    <n v="126"/>
    <n v="17.82"/>
    <x v="0"/>
    <x v="0"/>
  </r>
  <r>
    <x v="1"/>
    <n v="39"/>
    <m/>
    <n v="1.61"/>
    <n v="26.7"/>
    <m/>
    <s v="150/78"/>
    <n v="269"/>
    <n v="43"/>
    <n v="122"/>
    <x v="0"/>
    <s v="Y"/>
    <s v="High"/>
    <s v="Y"/>
    <n v="161"/>
    <n v="0.61199999999999999"/>
    <n v="150"/>
    <n v="78"/>
    <s v="Hypertension Stage 2"/>
    <n v="196"/>
    <n v="20.22"/>
    <x v="1"/>
    <x v="1"/>
  </r>
  <r>
    <x v="0"/>
    <n v="53"/>
    <n v="59.8"/>
    <n v="1.74"/>
    <m/>
    <n v="103.9"/>
    <s v="127/78"/>
    <n v="208"/>
    <n v="73"/>
    <n v="143"/>
    <x v="0"/>
    <s v="N"/>
    <s v="High"/>
    <s v="Y"/>
    <n v="174"/>
    <n v="0.59699999999999998"/>
    <n v="127"/>
    <n v="78"/>
    <s v="Elevated"/>
    <n v="105"/>
    <n v="14.47"/>
    <x v="0"/>
    <x v="0"/>
  </r>
  <r>
    <x v="0"/>
    <n v="43"/>
    <n v="54.2"/>
    <n v="1.78"/>
    <n v="17.100000000000001"/>
    <n v="91.8"/>
    <s v="117/81"/>
    <n v="274"/>
    <n v="38"/>
    <n v="144"/>
    <x v="1"/>
    <s v="Y"/>
    <s v="High"/>
    <s v="Y"/>
    <n v="178"/>
    <n v="0.51600000000000001"/>
    <n v="117"/>
    <n v="81"/>
    <s v="Hypertension Stage 1"/>
    <n v="206"/>
    <n v="16.75"/>
    <x v="1"/>
    <x v="1"/>
  </r>
  <r>
    <x v="1"/>
    <n v="58"/>
    <n v="91.2"/>
    <n v="1.78"/>
    <m/>
    <n v="78.599999999999994"/>
    <s v="125/100"/>
    <n v="190"/>
    <n v="74"/>
    <n v="89"/>
    <x v="1"/>
    <s v="Y"/>
    <s v="Low"/>
    <s v="N"/>
    <n v="178"/>
    <n v="0.442"/>
    <n v="125"/>
    <n v="100"/>
    <s v="Hypertension Stage 2"/>
    <n v="86"/>
    <n v="17.809999999999999"/>
    <x v="1"/>
    <x v="1"/>
  </r>
  <r>
    <x v="1"/>
    <n v="59"/>
    <n v="98.7"/>
    <n v="1.64"/>
    <m/>
    <n v="72.599999999999994"/>
    <s v="126/80"/>
    <n v="234"/>
    <n v="30"/>
    <n v="95"/>
    <x v="1"/>
    <s v="N"/>
    <s v="High"/>
    <s v="N"/>
    <n v="164"/>
    <n v="0.443"/>
    <n v="126"/>
    <n v="80"/>
    <s v="Hypertension Stage 1"/>
    <n v="174"/>
    <n v="18.32"/>
    <x v="1"/>
    <x v="1"/>
  </r>
  <r>
    <x v="0"/>
    <n v="42"/>
    <n v="104.1"/>
    <n v="1.88"/>
    <n v="29.5"/>
    <n v="83.4"/>
    <s v="132/86"/>
    <n v="196"/>
    <n v="68"/>
    <n v="110"/>
    <x v="1"/>
    <s v="N"/>
    <s v="Low"/>
    <s v="Y"/>
    <n v="188"/>
    <m/>
    <n v="132"/>
    <n v="86"/>
    <s v="Hypertension Stage 1"/>
    <n v="98"/>
    <n v="16.420000000000002"/>
    <x v="1"/>
    <x v="1"/>
  </r>
  <r>
    <x v="0"/>
    <n v="46"/>
    <n v="73.7"/>
    <n v="1.66"/>
    <n v="26.7"/>
    <n v="108.9"/>
    <s v="92/74"/>
    <n v="173"/>
    <n v="45"/>
    <n v="80"/>
    <x v="1"/>
    <s v="Y"/>
    <s v="High"/>
    <s v="N"/>
    <n v="166"/>
    <n v="0.65600000000000003"/>
    <n v="92"/>
    <n v="74"/>
    <s v="Normal"/>
    <n v="98"/>
    <n v="15.4"/>
    <x v="1"/>
    <x v="1"/>
  </r>
  <r>
    <x v="0"/>
    <n v="42"/>
    <n v="114.1"/>
    <n v="1.66"/>
    <n v="41.4"/>
    <m/>
    <s v="93/88"/>
    <n v="222"/>
    <n v="59"/>
    <n v="146"/>
    <x v="1"/>
    <s v="Y"/>
    <s v="High"/>
    <s v="N"/>
    <n v="166"/>
    <n v="0.46700000000000003"/>
    <n v="93"/>
    <n v="88"/>
    <s v="Hypertension Stage 1"/>
    <n v="133"/>
    <n v="19.37"/>
    <x v="1"/>
    <x v="1"/>
  </r>
  <r>
    <x v="1"/>
    <n v="54"/>
    <n v="98.5"/>
    <n v="1.69"/>
    <n v="34.5"/>
    <n v="105.8"/>
    <s v="126/60"/>
    <n v="257"/>
    <n v="34"/>
    <n v="109"/>
    <x v="1"/>
    <s v="Y"/>
    <s v="Moderate"/>
    <s v="Y"/>
    <n v="169"/>
    <n v="0.626"/>
    <n v="126"/>
    <n v="60"/>
    <s v="Elevated"/>
    <n v="193"/>
    <n v="20.34"/>
    <x v="1"/>
    <x v="1"/>
  </r>
  <r>
    <x v="1"/>
    <n v="59"/>
    <n v="75.3"/>
    <n v="1.65"/>
    <n v="27.7"/>
    <n v="95.6"/>
    <s v="120/83"/>
    <n v="131"/>
    <n v="53"/>
    <n v="81"/>
    <x v="0"/>
    <s v="Y"/>
    <s v="Moderate"/>
    <s v="N"/>
    <n v="165"/>
    <n v="0.57899999999999996"/>
    <n v="120"/>
    <m/>
    <s v="Hypertension Stage 1"/>
    <n v="48"/>
    <m/>
    <x v="0"/>
    <x v="0"/>
  </r>
  <r>
    <x v="0"/>
    <n v="54"/>
    <n v="106.6"/>
    <n v="1.69"/>
    <n v="37.299999999999997"/>
    <n v="101"/>
    <s v="134/82"/>
    <n v="252"/>
    <n v="44"/>
    <n v="124"/>
    <x v="0"/>
    <s v="N"/>
    <s v="Low"/>
    <s v="N"/>
    <n v="169"/>
    <n v="0.59799999999999998"/>
    <n v="134"/>
    <n v="82"/>
    <s v="Hypertension Stage 1"/>
    <m/>
    <n v="19.2"/>
    <x v="1"/>
    <x v="1"/>
  </r>
  <r>
    <x v="1"/>
    <n v="47"/>
    <n v="118.1"/>
    <m/>
    <n v="35.700000000000003"/>
    <n v="93.4"/>
    <s v="130/87"/>
    <n v="151"/>
    <n v="39"/>
    <m/>
    <x v="1"/>
    <s v="Y"/>
    <s v="Low"/>
    <s v="Y"/>
    <n v="182"/>
    <n v="0.51300000000000001"/>
    <n v="130"/>
    <n v="87"/>
    <s v="Hypertension Stage 1"/>
    <n v="82"/>
    <n v="18.66"/>
    <x v="1"/>
    <x v="1"/>
  </r>
  <r>
    <x v="1"/>
    <n v="46"/>
    <n v="73"/>
    <n v="1.79"/>
    <n v="22.8"/>
    <m/>
    <s v="95/60"/>
    <n v="260"/>
    <n v="61"/>
    <n v="72"/>
    <x v="1"/>
    <s v="N"/>
    <s v="Moderate"/>
    <s v="Y"/>
    <n v="179"/>
    <n v="0.434"/>
    <n v="95"/>
    <n v="60"/>
    <s v="Normal"/>
    <n v="169"/>
    <n v="14.51"/>
    <x v="1"/>
    <x v="1"/>
  </r>
  <r>
    <x v="1"/>
    <n v="52"/>
    <m/>
    <n v="1.85"/>
    <n v="26.1"/>
    <n v="98.5"/>
    <s v="114/92"/>
    <n v="295"/>
    <n v="39"/>
    <m/>
    <x v="0"/>
    <s v="N"/>
    <s v="Moderate"/>
    <s v="N"/>
    <n v="185"/>
    <n v="0.53200000000000003"/>
    <n v="114"/>
    <n v="92"/>
    <s v="Hypertension Stage 2"/>
    <n v="226"/>
    <n v="16.82"/>
    <x v="1"/>
    <x v="1"/>
  </r>
  <r>
    <x v="1"/>
    <n v="43"/>
    <n v="108.8"/>
    <n v="1.87"/>
    <n v="31.1"/>
    <n v="74.2"/>
    <s v="128/75"/>
    <n v="216"/>
    <n v="55"/>
    <n v="115"/>
    <x v="0"/>
    <s v="N"/>
    <s v="High"/>
    <s v="Y"/>
    <n v="187"/>
    <n v="0.39700000000000002"/>
    <n v="128"/>
    <n v="75"/>
    <s v="Elevated"/>
    <n v="131"/>
    <n v="16.940000000000001"/>
    <x v="0"/>
    <x v="0"/>
  </r>
  <r>
    <x v="0"/>
    <n v="42"/>
    <n v="68.5"/>
    <n v="1.83"/>
    <n v="20.5"/>
    <n v="84.1"/>
    <s v="140/89"/>
    <n v="184"/>
    <n v="77"/>
    <n v="122"/>
    <x v="1"/>
    <s v="Y"/>
    <s v="High"/>
    <s v="Y"/>
    <n v="183"/>
    <n v="0.46"/>
    <n v="140"/>
    <n v="89"/>
    <s v="Hypertension Stage 1"/>
    <n v="77"/>
    <n v="16.78"/>
    <x v="0"/>
    <x v="0"/>
  </r>
  <r>
    <x v="0"/>
    <n v="37"/>
    <n v="60.7"/>
    <n v="1.63"/>
    <n v="22.8"/>
    <n v="78.900000000000006"/>
    <s v="116/100"/>
    <n v="200"/>
    <n v="68"/>
    <n v="136"/>
    <x v="1"/>
    <s v="N"/>
    <s v="Moderate"/>
    <s v="N"/>
    <n v="163"/>
    <n v="0.48399999999999999"/>
    <n v="116"/>
    <n v="100"/>
    <s v="Hypertension Stage 2"/>
    <n v="102"/>
    <n v="14.36"/>
    <x v="2"/>
    <x v="0"/>
  </r>
  <r>
    <x v="1"/>
    <n v="33"/>
    <n v="99.5"/>
    <n v="1.75"/>
    <n v="32.5"/>
    <n v="73.2"/>
    <s v="100/80"/>
    <n v="149"/>
    <n v="78"/>
    <n v="73"/>
    <x v="1"/>
    <s v="N"/>
    <s v="Low"/>
    <s v="Y"/>
    <n v="175"/>
    <n v="0.41799999999999998"/>
    <n v="100"/>
    <n v="80"/>
    <s v="Hypertension Stage 1"/>
    <n v="41"/>
    <n v="14.48"/>
    <x v="1"/>
    <x v="1"/>
  </r>
  <r>
    <x v="1"/>
    <n v="48"/>
    <n v="95.2"/>
    <n v="1.89"/>
    <n v="26.7"/>
    <n v="81.599999999999994"/>
    <s v="133/94"/>
    <n v="249"/>
    <n v="53"/>
    <n v="134"/>
    <x v="0"/>
    <s v="N"/>
    <s v="Moderate"/>
    <s v="Y"/>
    <n v="189"/>
    <n v="0.432"/>
    <n v="133"/>
    <n v="94"/>
    <s v="Hypertension Stage 1"/>
    <m/>
    <n v="16.97"/>
    <x v="1"/>
    <x v="1"/>
  </r>
  <r>
    <x v="0"/>
    <n v="40"/>
    <n v="83.9"/>
    <n v="1.85"/>
    <n v="24.5"/>
    <n v="109.2"/>
    <s v="143/93"/>
    <n v="179"/>
    <m/>
    <n v="105"/>
    <x v="0"/>
    <s v="Y"/>
    <s v="Low"/>
    <s v="N"/>
    <n v="185"/>
    <n v="0.59"/>
    <n v="143"/>
    <n v="93"/>
    <s v="Hypertension Stage 2"/>
    <n v="107"/>
    <n v="17.63"/>
    <x v="0"/>
    <x v="0"/>
  </r>
  <r>
    <x v="1"/>
    <n v="31"/>
    <n v="73.7"/>
    <n v="1.7"/>
    <n v="25.5"/>
    <n v="88.2"/>
    <s v="146/61"/>
    <n v="190"/>
    <n v="66"/>
    <n v="89"/>
    <x v="0"/>
    <s v="N"/>
    <s v="Low"/>
    <s v="N"/>
    <n v="170"/>
    <n v="0.51900000000000002"/>
    <n v="146"/>
    <n v="61"/>
    <s v="Hypertension Stage 2"/>
    <n v="94"/>
    <n v="16.2"/>
    <x v="0"/>
    <x v="0"/>
  </r>
  <r>
    <x v="1"/>
    <n v="47"/>
    <n v="67.5"/>
    <n v="1.83"/>
    <n v="20.2"/>
    <n v="100"/>
    <s v="119/75"/>
    <n v="185"/>
    <n v="49"/>
    <n v="79"/>
    <x v="0"/>
    <s v="N"/>
    <s v="Moderate"/>
    <s v="Y"/>
    <n v="183"/>
    <n v="0.54600000000000004"/>
    <n v="119"/>
    <m/>
    <s v="Normal"/>
    <n v="106"/>
    <n v="13.69"/>
    <x v="0"/>
    <x v="0"/>
  </r>
  <r>
    <x v="1"/>
    <n v="49"/>
    <n v="88.7"/>
    <n v="1.62"/>
    <n v="33.799999999999997"/>
    <n v="99.9"/>
    <s v="139/85"/>
    <n v="257"/>
    <n v="76"/>
    <n v="138"/>
    <x v="0"/>
    <s v="Y"/>
    <s v="Low"/>
    <s v="N"/>
    <n v="162"/>
    <n v="0.61699999999999999"/>
    <n v="139"/>
    <m/>
    <s v="Hypertension Stage 1"/>
    <n v="151"/>
    <n v="20.85"/>
    <x v="1"/>
    <x v="1"/>
  </r>
  <r>
    <x v="1"/>
    <n v="42"/>
    <n v="57.2"/>
    <n v="1.61"/>
    <n v="22.1"/>
    <n v="98.1"/>
    <s v="139/61"/>
    <n v="137"/>
    <n v="54"/>
    <n v="75"/>
    <x v="1"/>
    <s v="Y"/>
    <s v="Low"/>
    <s v="N"/>
    <n v="161"/>
    <n v="0.60899999999999999"/>
    <n v="139"/>
    <m/>
    <s v="Hypertension Stage 1"/>
    <n v="53"/>
    <n v="16.11"/>
    <x v="0"/>
    <x v="0"/>
  </r>
  <r>
    <x v="1"/>
    <n v="58"/>
    <m/>
    <n v="1.84"/>
    <n v="25.8"/>
    <n v="70.599999999999994"/>
    <s v="113/96"/>
    <n v="276"/>
    <n v="48"/>
    <n v="89"/>
    <x v="0"/>
    <s v="N"/>
    <s v="High"/>
    <s v="N"/>
    <n v="184"/>
    <n v="0.38400000000000001"/>
    <n v="113"/>
    <n v="96"/>
    <s v="Hypertension Stage 2"/>
    <n v="198"/>
    <n v="16.329999999999998"/>
    <x v="0"/>
    <x v="0"/>
  </r>
  <r>
    <x v="1"/>
    <n v="53"/>
    <n v="51.5"/>
    <n v="1.85"/>
    <n v="15"/>
    <m/>
    <s v="108/61"/>
    <n v="167"/>
    <n v="50"/>
    <n v="117"/>
    <x v="0"/>
    <s v="N"/>
    <s v="Low"/>
    <s v="Y"/>
    <n v="185"/>
    <n v="0.59299999999999997"/>
    <n v="108"/>
    <n v="61"/>
    <s v="Normal"/>
    <n v="87"/>
    <n v="11.74"/>
    <x v="0"/>
    <x v="0"/>
  </r>
  <r>
    <x v="1"/>
    <m/>
    <n v="82.2"/>
    <n v="1.77"/>
    <n v="26.2"/>
    <n v="108.4"/>
    <s v="105/88"/>
    <n v="237"/>
    <n v="72"/>
    <n v="128"/>
    <x v="1"/>
    <s v="Y"/>
    <s v="Low"/>
    <s v="Y"/>
    <n v="177"/>
    <n v="0.61199999999999999"/>
    <n v="105"/>
    <n v="88"/>
    <s v="Hypertension Stage 1"/>
    <n v="135"/>
    <n v="17.23"/>
    <x v="1"/>
    <x v="1"/>
  </r>
  <r>
    <x v="0"/>
    <n v="35"/>
    <n v="101.7"/>
    <n v="1.68"/>
    <n v="36"/>
    <n v="107.2"/>
    <s v="143/98"/>
    <n v="160"/>
    <n v="41"/>
    <n v="86"/>
    <x v="0"/>
    <s v="N"/>
    <s v="High"/>
    <s v="Y"/>
    <n v="168"/>
    <n v="0.63800000000000001"/>
    <n v="143"/>
    <n v="98"/>
    <s v="Hypertension Stage 2"/>
    <n v="89"/>
    <n v="17.55"/>
    <x v="0"/>
    <x v="0"/>
  </r>
  <r>
    <x v="0"/>
    <n v="60"/>
    <n v="93"/>
    <n v="1.89"/>
    <n v="26"/>
    <n v="85.3"/>
    <s v="117/84"/>
    <n v="124"/>
    <n v="49"/>
    <n v="103"/>
    <x v="1"/>
    <s v="Y"/>
    <s v="Moderate"/>
    <s v="N"/>
    <n v="189"/>
    <n v="0.45100000000000001"/>
    <n v="117"/>
    <n v="84"/>
    <s v="Hypertension Stage 1"/>
    <n v="45"/>
    <n v="15.53"/>
    <x v="1"/>
    <x v="1"/>
  </r>
  <r>
    <x v="0"/>
    <n v="30"/>
    <n v="115"/>
    <n v="1.83"/>
    <n v="34.299999999999997"/>
    <n v="93.6"/>
    <s v="139/79"/>
    <n v="100"/>
    <n v="31"/>
    <n v="125"/>
    <x v="1"/>
    <s v="N"/>
    <s v="Moderate"/>
    <s v="N"/>
    <n v="183"/>
    <n v="0.51100000000000001"/>
    <n v="139"/>
    <n v="79"/>
    <s v="Hypertension Stage 1"/>
    <n v="39"/>
    <n v="15.81"/>
    <x v="0"/>
    <x v="0"/>
  </r>
  <r>
    <x v="1"/>
    <n v="58"/>
    <n v="77.400000000000006"/>
    <n v="1.65"/>
    <n v="28.4"/>
    <n v="80.5"/>
    <s v="98/63"/>
    <n v="265"/>
    <n v="31"/>
    <n v="79"/>
    <x v="0"/>
    <s v="N"/>
    <s v="Moderate"/>
    <s v="Y"/>
    <n v="165"/>
    <n v="0.48799999999999999"/>
    <n v="98"/>
    <n v="63"/>
    <s v="Normal"/>
    <n v="204"/>
    <n v="15.88"/>
    <x v="1"/>
    <x v="1"/>
  </r>
  <r>
    <x v="1"/>
    <n v="48"/>
    <n v="110.8"/>
    <n v="1.82"/>
    <n v="33.5"/>
    <n v="108.3"/>
    <s v="120/72"/>
    <n v="177"/>
    <n v="39"/>
    <n v="82"/>
    <x v="0"/>
    <s v="Y"/>
    <s v="High"/>
    <s v="N"/>
    <n v="182"/>
    <n v="0.59499999999999997"/>
    <n v="120"/>
    <n v="72"/>
    <s v="Elevated"/>
    <n v="108"/>
    <n v="18.239999999999998"/>
    <x v="1"/>
    <x v="1"/>
  </r>
  <r>
    <x v="0"/>
    <n v="58"/>
    <m/>
    <n v="1.75"/>
    <n v="31.8"/>
    <n v="71.400000000000006"/>
    <s v="135/88"/>
    <n v="272"/>
    <n v="58"/>
    <n v="132"/>
    <x v="0"/>
    <s v="N"/>
    <s v="Low"/>
    <s v="N"/>
    <n v="175"/>
    <n v="0.40799999999999997"/>
    <n v="135"/>
    <n v="88"/>
    <s v="Hypertension Stage 1"/>
    <n v="184"/>
    <n v="18.55"/>
    <x v="1"/>
    <x v="1"/>
  </r>
  <r>
    <x v="1"/>
    <n v="53"/>
    <n v="82.4"/>
    <n v="1.74"/>
    <n v="27.2"/>
    <n v="100.7"/>
    <s v="139/63"/>
    <m/>
    <n v="37"/>
    <n v="140"/>
    <x v="0"/>
    <s v="Y"/>
    <s v="High"/>
    <s v="N"/>
    <n v="174"/>
    <n v="0.57899999999999996"/>
    <n v="139"/>
    <n v="63"/>
    <s v="Hypertension Stage 1"/>
    <n v="226"/>
    <n v="20.25"/>
    <x v="1"/>
    <x v="1"/>
  </r>
  <r>
    <x v="1"/>
    <n v="52"/>
    <n v="50.7"/>
    <n v="1.69"/>
    <n v="17.8"/>
    <n v="72.7"/>
    <s v="107/74"/>
    <n v="274"/>
    <n v="33"/>
    <n v="143"/>
    <x v="0"/>
    <s v="Y"/>
    <s v="Low"/>
    <s v="Y"/>
    <n v="169"/>
    <n v="0.43"/>
    <n v="107"/>
    <n v="74"/>
    <s v="Normal"/>
    <n v="211"/>
    <n v="16.39"/>
    <x v="1"/>
    <x v="1"/>
  </r>
  <r>
    <x v="1"/>
    <n v="36"/>
    <n v="110.4"/>
    <n v="1.6"/>
    <n v="43.1"/>
    <n v="92.5"/>
    <s v="123/93"/>
    <n v="159"/>
    <n v="38"/>
    <n v="95"/>
    <x v="1"/>
    <s v="Y"/>
    <s v="Moderate"/>
    <s v="Y"/>
    <n v="160"/>
    <n v="0.57799999999999996"/>
    <n v="123"/>
    <n v="93"/>
    <s v="Hypertension Stage 2"/>
    <n v="91"/>
    <n v="19.95"/>
    <x v="1"/>
    <x v="1"/>
  </r>
  <r>
    <x v="0"/>
    <n v="43"/>
    <n v="62.7"/>
    <n v="1.83"/>
    <m/>
    <n v="72.5"/>
    <s v="148/85"/>
    <n v="134"/>
    <n v="55"/>
    <n v="92"/>
    <x v="1"/>
    <s v="Y"/>
    <s v="Low"/>
    <s v="N"/>
    <n v="183"/>
    <m/>
    <n v="148"/>
    <n v="85"/>
    <s v="Hypertension Stage 1"/>
    <n v="49"/>
    <n v="15.82"/>
    <x v="0"/>
    <x v="0"/>
  </r>
  <r>
    <x v="0"/>
    <n v="60"/>
    <n v="96.7"/>
    <n v="1.82"/>
    <n v="29.2"/>
    <m/>
    <s v="122/71"/>
    <n v="195"/>
    <n v="57"/>
    <n v="120"/>
    <x v="1"/>
    <s v="N"/>
    <s v="High"/>
    <s v="N"/>
    <n v="182"/>
    <n v="0.40100000000000002"/>
    <n v="122"/>
    <n v="71"/>
    <s v="Elevated"/>
    <n v="108"/>
    <n v="15.84"/>
    <x v="0"/>
    <x v="0"/>
  </r>
  <r>
    <x v="0"/>
    <n v="49"/>
    <n v="110.5"/>
    <n v="1.72"/>
    <n v="37.4"/>
    <n v="70.8"/>
    <s v="96/72"/>
    <m/>
    <n v="33"/>
    <n v="104"/>
    <x v="1"/>
    <s v="N"/>
    <s v="High"/>
    <s v="Y"/>
    <n v="172"/>
    <n v="0.41199999999999998"/>
    <n v="96"/>
    <n v="72"/>
    <s v="Normal"/>
    <n v="91"/>
    <n v="15.36"/>
    <x v="1"/>
    <x v="1"/>
  </r>
  <r>
    <x v="0"/>
    <n v="39"/>
    <n v="94.1"/>
    <n v="1.79"/>
    <n v="29.4"/>
    <n v="101.6"/>
    <s v="119/69"/>
    <n v="276"/>
    <n v="36"/>
    <n v="98"/>
    <x v="1"/>
    <s v="N"/>
    <s v="Moderate"/>
    <s v="N"/>
    <n v="179"/>
    <n v="0.56799999999999995"/>
    <n v="119"/>
    <n v="69"/>
    <s v="Normal"/>
    <n v="210"/>
    <m/>
    <x v="1"/>
    <x v="1"/>
  </r>
  <r>
    <x v="1"/>
    <n v="36"/>
    <n v="117.6"/>
    <n v="1.89"/>
    <n v="32.9"/>
    <n v="76"/>
    <s v="97/87"/>
    <n v="272"/>
    <n v="45"/>
    <n v="143"/>
    <x v="0"/>
    <s v="N"/>
    <s v="Moderate"/>
    <s v="N"/>
    <n v="189"/>
    <n v="0.40200000000000002"/>
    <n v="97"/>
    <n v="87"/>
    <s v="Hypertension Stage 1"/>
    <n v="197"/>
    <n v="16.87"/>
    <x v="0"/>
    <x v="0"/>
  </r>
  <r>
    <x v="0"/>
    <n v="49"/>
    <n v="93.4"/>
    <n v="1.73"/>
    <n v="31.2"/>
    <n v="86.9"/>
    <s v="111/90"/>
    <n v="167"/>
    <n v="36"/>
    <n v="106"/>
    <x v="0"/>
    <s v="Y"/>
    <s v="Moderate"/>
    <s v="Y"/>
    <n v="173"/>
    <n v="0.502"/>
    <n v="111"/>
    <n v="90"/>
    <s v="Hypertension Stage 2"/>
    <n v="101"/>
    <n v="17.13"/>
    <x v="1"/>
    <x v="1"/>
  </r>
  <r>
    <x v="1"/>
    <n v="38"/>
    <m/>
    <n v="1.82"/>
    <n v="22.6"/>
    <m/>
    <s v="113/94"/>
    <n v="165"/>
    <n v="56"/>
    <n v="137"/>
    <x v="1"/>
    <s v="N"/>
    <s v="Moderate"/>
    <s v="Y"/>
    <n v="182"/>
    <n v="0.54100000000000004"/>
    <n v="113"/>
    <n v="94"/>
    <s v="Hypertension Stage 2"/>
    <n v="79"/>
    <n v="13.47"/>
    <x v="0"/>
    <x v="0"/>
  </r>
  <r>
    <x v="0"/>
    <n v="49"/>
    <n v="52.5"/>
    <n v="1.83"/>
    <n v="15.7"/>
    <n v="75"/>
    <s v="113/95"/>
    <n v="243"/>
    <n v="38"/>
    <n v="115"/>
    <x v="1"/>
    <s v="N"/>
    <s v="Moderate"/>
    <s v="N"/>
    <n v="183"/>
    <n v="0.41"/>
    <n v="113"/>
    <n v="95"/>
    <s v="Hypertension Stage 2"/>
    <n v="175"/>
    <n v="13.65"/>
    <x v="1"/>
    <x v="1"/>
  </r>
  <r>
    <x v="1"/>
    <n v="50"/>
    <n v="66.2"/>
    <n v="1.86"/>
    <n v="19.100000000000001"/>
    <n v="93.1"/>
    <s v="133/87"/>
    <n v="166"/>
    <n v="30"/>
    <n v="132"/>
    <x v="0"/>
    <s v="Y"/>
    <s v="Low"/>
    <s v="N"/>
    <n v="186"/>
    <n v="0.501"/>
    <n v="133"/>
    <n v="87"/>
    <s v="Hypertension Stage 1"/>
    <n v="106"/>
    <n v="15.79"/>
    <x v="1"/>
    <x v="1"/>
  </r>
  <r>
    <x v="1"/>
    <n v="43"/>
    <n v="111.9"/>
    <n v="1.71"/>
    <n v="38.299999999999997"/>
    <n v="109.4"/>
    <s v="102/91"/>
    <n v="241"/>
    <n v="49"/>
    <n v="96"/>
    <x v="0"/>
    <s v="Y"/>
    <s v="Low"/>
    <s v="N"/>
    <n v="171"/>
    <n v="0.64"/>
    <n v="102"/>
    <m/>
    <s v="Hypertension Stage 2"/>
    <n v="162"/>
    <n v="19.579999999999998"/>
    <x v="1"/>
    <x v="1"/>
  </r>
  <r>
    <x v="1"/>
    <n v="39"/>
    <n v="54.7"/>
    <n v="1.83"/>
    <n v="16.3"/>
    <n v="101.1"/>
    <s v="103/88"/>
    <n v="270"/>
    <n v="31"/>
    <n v="97"/>
    <x v="0"/>
    <s v="Y"/>
    <s v="Low"/>
    <s v="Y"/>
    <n v="183"/>
    <n v="0.55200000000000005"/>
    <n v="103"/>
    <n v="88"/>
    <s v="Hypertension Stage 1"/>
    <n v="209"/>
    <n v="15.81"/>
    <x v="1"/>
    <x v="1"/>
  </r>
  <r>
    <x v="1"/>
    <n v="50"/>
    <n v="66"/>
    <n v="1.75"/>
    <n v="21.6"/>
    <n v="76.3"/>
    <s v="135/85"/>
    <n v="241"/>
    <n v="41"/>
    <n v="141"/>
    <x v="0"/>
    <s v="Y"/>
    <s v="Moderate"/>
    <s v="Y"/>
    <n v="175"/>
    <n v="0.436"/>
    <n v="135"/>
    <n v="85"/>
    <s v="Hypertension Stage 1"/>
    <n v="170"/>
    <n v="17.89"/>
    <x v="1"/>
    <x v="1"/>
  </r>
  <r>
    <x v="1"/>
    <n v="60"/>
    <n v="95.2"/>
    <n v="1.67"/>
    <n v="34.1"/>
    <n v="91.6"/>
    <s v="97/71"/>
    <n v="279"/>
    <n v="42"/>
    <n v="98"/>
    <x v="1"/>
    <s v="N"/>
    <s v="Moderate"/>
    <s v="Y"/>
    <n v="167"/>
    <n v="0.54900000000000004"/>
    <n v="97"/>
    <n v="71"/>
    <s v="Normal"/>
    <m/>
    <n v="17.25"/>
    <x v="1"/>
    <x v="1"/>
  </r>
  <r>
    <x v="0"/>
    <n v="38"/>
    <n v="61.8"/>
    <n v="1.78"/>
    <n v="19.5"/>
    <n v="71"/>
    <s v="108/87"/>
    <n v="225"/>
    <n v="75"/>
    <n v="138"/>
    <x v="1"/>
    <s v="N"/>
    <s v="High"/>
    <s v="N"/>
    <n v="178"/>
    <n v="0.39900000000000002"/>
    <n v="108"/>
    <n v="87"/>
    <s v="Hypertension Stage 1"/>
    <n v="120"/>
    <n v="13.8"/>
    <x v="0"/>
    <x v="0"/>
  </r>
  <r>
    <x v="1"/>
    <n v="51"/>
    <n v="100.3"/>
    <n v="1.66"/>
    <n v="36.4"/>
    <n v="101.3"/>
    <s v="108/61"/>
    <n v="213"/>
    <n v="64"/>
    <n v="135"/>
    <x v="0"/>
    <s v="N"/>
    <s v="Low"/>
    <s v="N"/>
    <n v="166"/>
    <n v="0.61"/>
    <n v="108"/>
    <n v="61"/>
    <s v="Normal"/>
    <n v="119"/>
    <n v="16.940000000000001"/>
    <x v="1"/>
    <x v="1"/>
  </r>
  <r>
    <x v="0"/>
    <n v="50"/>
    <n v="66.5"/>
    <n v="1.83"/>
    <n v="19.899999999999999"/>
    <n v="98"/>
    <s v="127/75"/>
    <n v="200"/>
    <n v="39"/>
    <n v="98"/>
    <x v="0"/>
    <s v="Y"/>
    <s v="High"/>
    <s v="Y"/>
    <m/>
    <n v="0.53600000000000003"/>
    <n v="127"/>
    <n v="75"/>
    <s v="Elevated"/>
    <n v="131"/>
    <n v="16.329999999999998"/>
    <x v="1"/>
    <x v="1"/>
  </r>
  <r>
    <x v="0"/>
    <n v="37"/>
    <n v="75.400000000000006"/>
    <n v="1.8"/>
    <n v="23.3"/>
    <n v="86.5"/>
    <s v="149/78"/>
    <n v="296"/>
    <m/>
    <n v="137"/>
    <x v="0"/>
    <s v="Y"/>
    <s v="High"/>
    <s v="N"/>
    <m/>
    <n v="0.48099999999999998"/>
    <n v="149"/>
    <m/>
    <s v="Hypertension Stage 2"/>
    <n v="209"/>
    <n v="20.03"/>
    <x v="0"/>
    <x v="0"/>
  </r>
  <r>
    <x v="0"/>
    <n v="38"/>
    <n v="108.3"/>
    <n v="1.8"/>
    <n v="33.4"/>
    <n v="76.2"/>
    <s v="149/91"/>
    <n v="278"/>
    <n v="61"/>
    <n v="106"/>
    <x v="1"/>
    <s v="N"/>
    <s v="High"/>
    <s v="Y"/>
    <n v="180"/>
    <n v="0.42299999999999999"/>
    <n v="149"/>
    <n v="91"/>
    <s v="Hypertension Stage 2"/>
    <n v="187"/>
    <n v="19.690000000000001"/>
    <x v="1"/>
    <x v="1"/>
  </r>
  <r>
    <x v="1"/>
    <n v="59"/>
    <n v="69.2"/>
    <n v="1.87"/>
    <n v="19.8"/>
    <n v="96.8"/>
    <s v="93/78"/>
    <n v="218"/>
    <n v="56"/>
    <n v="71"/>
    <x v="0"/>
    <s v="Y"/>
    <s v="Moderate"/>
    <s v="N"/>
    <n v="187"/>
    <n v="0.51800000000000002"/>
    <n v="93"/>
    <n v="78"/>
    <s v="Normal"/>
    <n v="132"/>
    <n v="14.97"/>
    <x v="0"/>
    <x v="0"/>
  </r>
  <r>
    <x v="0"/>
    <n v="43"/>
    <n v="90.5"/>
    <n v="1.79"/>
    <n v="28.2"/>
    <n v="82.1"/>
    <s v="141/95"/>
    <n v="282"/>
    <n v="34"/>
    <n v="101"/>
    <x v="0"/>
    <s v="Y"/>
    <s v="Moderate"/>
    <s v="N"/>
    <n v="179"/>
    <n v="0.45900000000000002"/>
    <n v="141"/>
    <n v="95"/>
    <s v="Hypertension Stage 2"/>
    <n v="218"/>
    <n v="20.329999999999998"/>
    <x v="1"/>
    <x v="1"/>
  </r>
  <r>
    <x v="1"/>
    <m/>
    <n v="100.8"/>
    <n v="1.87"/>
    <n v="28.8"/>
    <n v="96.5"/>
    <s v="112/97"/>
    <n v="130"/>
    <n v="41"/>
    <n v="84"/>
    <x v="1"/>
    <s v="Y"/>
    <s v="High"/>
    <s v="N"/>
    <n v="187"/>
    <n v="0.51600000000000001"/>
    <n v="112"/>
    <n v="97"/>
    <s v="Hypertension Stage 2"/>
    <n v="59"/>
    <n v="15.96"/>
    <x v="1"/>
    <x v="1"/>
  </r>
  <r>
    <x v="1"/>
    <n v="32"/>
    <n v="98.5"/>
    <n v="1.72"/>
    <n v="33.299999999999997"/>
    <n v="87.6"/>
    <s v="127/77"/>
    <n v="245"/>
    <n v="60"/>
    <n v="131"/>
    <x v="1"/>
    <s v="Y"/>
    <s v="Moderate"/>
    <s v="N"/>
    <n v="172"/>
    <n v="0.50900000000000001"/>
    <n v="127"/>
    <n v="77"/>
    <s v="Elevated"/>
    <n v="155"/>
    <n v="19.91"/>
    <x v="1"/>
    <x v="1"/>
  </r>
  <r>
    <x v="1"/>
    <n v="32"/>
    <n v="68.099999999999994"/>
    <n v="1.88"/>
    <n v="19.3"/>
    <n v="70.900000000000006"/>
    <s v="145/96"/>
    <n v="285"/>
    <n v="32"/>
    <n v="77"/>
    <x v="0"/>
    <s v="Y"/>
    <s v="Moderate"/>
    <s v="Y"/>
    <n v="188"/>
    <n v="0.377"/>
    <n v="145"/>
    <n v="96"/>
    <s v="Hypertension Stage 2"/>
    <n v="223"/>
    <n v="18.809999999999999"/>
    <x v="1"/>
    <x v="1"/>
  </r>
  <r>
    <x v="0"/>
    <n v="32"/>
    <n v="54.2"/>
    <n v="1.85"/>
    <n v="15.8"/>
    <n v="89.8"/>
    <s v="94/78"/>
    <n v="223"/>
    <n v="78"/>
    <n v="71"/>
    <x v="0"/>
    <s v="Y"/>
    <s v="Moderate"/>
    <s v="N"/>
    <n v="185"/>
    <n v="0.48499999999999999"/>
    <n v="94"/>
    <n v="78"/>
    <s v="Normal"/>
    <n v="115"/>
    <n v="14.32"/>
    <x v="0"/>
    <x v="0"/>
  </r>
  <r>
    <x v="1"/>
    <n v="47"/>
    <n v="89.7"/>
    <n v="1.6"/>
    <n v="35"/>
    <n v="95.5"/>
    <s v="133/64"/>
    <n v="172"/>
    <n v="45"/>
    <n v="142"/>
    <x v="0"/>
    <s v="N"/>
    <s v="Low"/>
    <s v="Y"/>
    <n v="160"/>
    <n v="0.59699999999999998"/>
    <n v="133"/>
    <n v="64"/>
    <s v="Hypertension Stage 1"/>
    <n v="97"/>
    <n v="17.09"/>
    <x v="1"/>
    <x v="1"/>
  </r>
  <r>
    <x v="0"/>
    <n v="37"/>
    <n v="85.1"/>
    <n v="1.73"/>
    <n v="28.4"/>
    <n v="75.099999999999994"/>
    <s v="150/64"/>
    <n v="292"/>
    <n v="59"/>
    <n v="89"/>
    <x v="1"/>
    <s v="N"/>
    <s v="Moderate"/>
    <s v="Y"/>
    <n v="173"/>
    <n v="0.434"/>
    <n v="150"/>
    <n v="64"/>
    <s v="Hypertension Stage 2"/>
    <n v="203"/>
    <n v="19.02"/>
    <x v="1"/>
    <x v="1"/>
  </r>
  <r>
    <x v="0"/>
    <n v="33"/>
    <n v="94.7"/>
    <n v="1.82"/>
    <n v="28.6"/>
    <n v="76.7"/>
    <s v="132/92"/>
    <n v="243"/>
    <n v="34"/>
    <n v="121"/>
    <x v="1"/>
    <s v="N"/>
    <s v="Moderate"/>
    <s v="Y"/>
    <n v="182"/>
    <n v="0.42099999999999999"/>
    <n v="132"/>
    <n v="92"/>
    <s v="Hypertension Stage 1"/>
    <n v="179"/>
    <n v="17.18"/>
    <x v="1"/>
    <x v="1"/>
  </r>
  <r>
    <x v="0"/>
    <n v="47"/>
    <n v="110.2"/>
    <n v="1.75"/>
    <n v="36"/>
    <n v="93.4"/>
    <s v="143/89"/>
    <n v="269"/>
    <n v="73"/>
    <n v="77"/>
    <x v="0"/>
    <s v="Y"/>
    <s v="Low"/>
    <s v="N"/>
    <n v="175"/>
    <n v="0.53400000000000003"/>
    <n v="143"/>
    <n v="89"/>
    <s v="Hypertension Stage 1"/>
    <m/>
    <n v="21.73"/>
    <x v="1"/>
    <x v="1"/>
  </r>
  <r>
    <x v="0"/>
    <n v="58"/>
    <n v="91.2"/>
    <m/>
    <n v="33.5"/>
    <n v="76.400000000000006"/>
    <s v="98/88"/>
    <n v="189"/>
    <n v="45"/>
    <n v="141"/>
    <x v="0"/>
    <s v="Y"/>
    <s v="Low"/>
    <s v="Y"/>
    <n v="165"/>
    <n v="0.46300000000000002"/>
    <n v="98"/>
    <n v="88"/>
    <s v="Hypertension Stage 1"/>
    <n v="114"/>
    <n v="17.38"/>
    <x v="1"/>
    <x v="1"/>
  </r>
  <r>
    <x v="1"/>
    <n v="42"/>
    <n v="61.7"/>
    <n v="1.86"/>
    <n v="17.8"/>
    <n v="74.400000000000006"/>
    <s v="128/64"/>
    <n v="181"/>
    <n v="46"/>
    <n v="71"/>
    <x v="0"/>
    <s v="Y"/>
    <s v="Moderate"/>
    <s v="N"/>
    <n v="186"/>
    <n v="0.4"/>
    <n v="128"/>
    <n v="64"/>
    <s v="Elevated"/>
    <n v="105"/>
    <m/>
    <x v="2"/>
    <x v="0"/>
  </r>
  <r>
    <x v="0"/>
    <n v="59"/>
    <n v="87"/>
    <n v="1.62"/>
    <n v="33.200000000000003"/>
    <n v="109.8"/>
    <s v="142/87"/>
    <n v="120"/>
    <n v="78"/>
    <n v="85"/>
    <x v="1"/>
    <s v="N"/>
    <s v="High"/>
    <s v="Y"/>
    <n v="162"/>
    <n v="0.67800000000000005"/>
    <m/>
    <n v="87"/>
    <s v="Hypertension Stage 1"/>
    <n v="12"/>
    <n v="16.14"/>
    <x v="1"/>
    <x v="1"/>
  </r>
  <r>
    <x v="1"/>
    <n v="56"/>
    <n v="77"/>
    <n v="1.61"/>
    <n v="29.7"/>
    <n v="99.7"/>
    <s v="96/85"/>
    <n v="220"/>
    <n v="55"/>
    <n v="105"/>
    <x v="1"/>
    <s v="N"/>
    <s v="Low"/>
    <s v="Y"/>
    <n v="161"/>
    <n v="0.61899999999999999"/>
    <n v="96"/>
    <n v="85"/>
    <s v="Hypertension Stage 1"/>
    <n v="135"/>
    <n v="15.14"/>
    <x v="1"/>
    <x v="1"/>
  </r>
  <r>
    <x v="1"/>
    <n v="33"/>
    <n v="79.8"/>
    <n v="1.67"/>
    <n v="28.6"/>
    <n v="93.5"/>
    <s v="104/84"/>
    <n v="174"/>
    <n v="56"/>
    <n v="119"/>
    <x v="1"/>
    <s v="Y"/>
    <s v="Moderate"/>
    <s v="Y"/>
    <n v="167"/>
    <n v="0.56000000000000005"/>
    <n v="104"/>
    <n v="84"/>
    <s v="Hypertension Stage 1"/>
    <n v="88"/>
    <n v="16.399999999999999"/>
    <x v="1"/>
    <x v="1"/>
  </r>
  <r>
    <x v="1"/>
    <n v="56"/>
    <n v="70.400000000000006"/>
    <n v="1.69"/>
    <n v="24.6"/>
    <n v="75.900000000000006"/>
    <s v="132/87"/>
    <n v="113"/>
    <n v="33"/>
    <n v="130"/>
    <x v="0"/>
    <s v="N"/>
    <s v="Low"/>
    <s v="Y"/>
    <m/>
    <n v="0.44900000000000001"/>
    <n v="132"/>
    <n v="87"/>
    <s v="Hypertension Stage 1"/>
    <n v="50"/>
    <n v="13.78"/>
    <x v="1"/>
    <x v="1"/>
  </r>
  <r>
    <x v="0"/>
    <n v="44"/>
    <n v="113.6"/>
    <n v="1.85"/>
    <n v="33.200000000000003"/>
    <n v="107.6"/>
    <s v="131/88"/>
    <n v="123"/>
    <m/>
    <n v="132"/>
    <x v="0"/>
    <s v="Y"/>
    <s v="High"/>
    <s v="Y"/>
    <n v="185"/>
    <n v="0.58199999999999996"/>
    <n v="131"/>
    <n v="88"/>
    <s v="Hypertension Stage 1"/>
    <n v="15"/>
    <n v="17.649999999999999"/>
    <x v="0"/>
    <x v="0"/>
  </r>
  <r>
    <x v="1"/>
    <n v="32"/>
    <n v="108.8"/>
    <n v="1.89"/>
    <n v="30.5"/>
    <n v="83"/>
    <s v="122/75"/>
    <n v="228"/>
    <n v="46"/>
    <n v="116"/>
    <x v="1"/>
    <s v="Y"/>
    <s v="Low"/>
    <s v="Y"/>
    <n v="189"/>
    <n v="0.439"/>
    <n v="122"/>
    <n v="75"/>
    <s v="Elevated"/>
    <n v="152"/>
    <n v="18.760000000000002"/>
    <x v="1"/>
    <x v="1"/>
  </r>
  <r>
    <x v="1"/>
    <n v="58"/>
    <n v="118.1"/>
    <n v="1.66"/>
    <n v="42.9"/>
    <n v="99.9"/>
    <s v="142/79"/>
    <n v="295"/>
    <n v="60"/>
    <n v="115"/>
    <x v="0"/>
    <s v="Y"/>
    <s v="High"/>
    <s v="Y"/>
    <n v="166"/>
    <n v="0.60199999999999998"/>
    <n v="142"/>
    <n v="79"/>
    <s v="Hypertension Stage 2"/>
    <n v="205"/>
    <n v="23.58"/>
    <x v="1"/>
    <x v="1"/>
  </r>
  <r>
    <x v="0"/>
    <n v="60"/>
    <m/>
    <n v="1.62"/>
    <m/>
    <n v="87.2"/>
    <s v="141/70"/>
    <n v="174"/>
    <n v="71"/>
    <n v="94"/>
    <x v="0"/>
    <s v="Y"/>
    <s v="Low"/>
    <s v="N"/>
    <n v="162"/>
    <n v="0.53800000000000003"/>
    <n v="141"/>
    <n v="70"/>
    <s v="Hypertension Stage 2"/>
    <n v="73"/>
    <n v="17.89"/>
    <x v="1"/>
    <x v="1"/>
  </r>
  <r>
    <x v="1"/>
    <n v="35"/>
    <n v="105.7"/>
    <m/>
    <n v="36.1"/>
    <n v="78.8"/>
    <s v="101/81"/>
    <n v="232"/>
    <n v="79"/>
    <n v="82"/>
    <x v="0"/>
    <s v="N"/>
    <s v="Moderate"/>
    <s v="Y"/>
    <n v="171"/>
    <n v="0.46100000000000002"/>
    <n v="101"/>
    <n v="81"/>
    <s v="Hypertension Stage 1"/>
    <n v="123"/>
    <n v="16.91"/>
    <x v="0"/>
    <x v="0"/>
  </r>
  <r>
    <x v="1"/>
    <n v="55"/>
    <n v="67.400000000000006"/>
    <n v="1.75"/>
    <n v="22"/>
    <n v="71.099999999999994"/>
    <s v="95/97"/>
    <n v="293"/>
    <n v="70"/>
    <n v="87"/>
    <x v="1"/>
    <s v="N"/>
    <s v="Moderate"/>
    <s v="Y"/>
    <n v="175"/>
    <n v="0.40600000000000003"/>
    <n v="95"/>
    <n v="97"/>
    <s v="Hypertension Stage 2"/>
    <n v="193"/>
    <n v="15.01"/>
    <x v="1"/>
    <x v="1"/>
  </r>
  <r>
    <x v="0"/>
    <n v="42"/>
    <n v="107.6"/>
    <n v="1.87"/>
    <n v="30.8"/>
    <n v="97.8"/>
    <s v="108/64"/>
    <n v="176"/>
    <n v="73"/>
    <n v="98"/>
    <x v="1"/>
    <s v="N"/>
    <s v="Low"/>
    <s v="N"/>
    <n v="187"/>
    <n v="0.52300000000000002"/>
    <n v="108"/>
    <n v="64"/>
    <s v="Normal"/>
    <n v="73"/>
    <n v="15.08"/>
    <x v="0"/>
    <x v="0"/>
  </r>
  <r>
    <x v="0"/>
    <n v="39"/>
    <n v="89.8"/>
    <n v="1.84"/>
    <n v="26.5"/>
    <n v="97.7"/>
    <s v="91/65"/>
    <n v="260"/>
    <n v="75"/>
    <n v="85"/>
    <x v="1"/>
    <s v="Y"/>
    <s v="Moderate"/>
    <s v="Y"/>
    <n v="184"/>
    <n v="0.53100000000000003"/>
    <n v="91"/>
    <n v="65"/>
    <s v="Normal"/>
    <n v="155"/>
    <n v="17.05"/>
    <x v="1"/>
    <x v="1"/>
  </r>
  <r>
    <x v="1"/>
    <n v="50"/>
    <n v="116.2"/>
    <n v="1.9"/>
    <n v="32.200000000000003"/>
    <n v="96.2"/>
    <s v="143/70"/>
    <n v="105"/>
    <n v="40"/>
    <n v="130"/>
    <x v="1"/>
    <s v="Y"/>
    <s v="Low"/>
    <s v="Y"/>
    <n v="190"/>
    <n v="0.50600000000000001"/>
    <n v="143"/>
    <m/>
    <s v="Hypertension Stage 2"/>
    <n v="35"/>
    <n v="17.690000000000001"/>
    <x v="1"/>
    <x v="1"/>
  </r>
  <r>
    <x v="0"/>
    <n v="30"/>
    <n v="105"/>
    <n v="1.73"/>
    <n v="35.1"/>
    <n v="93.4"/>
    <s v="126/74"/>
    <m/>
    <n v="34"/>
    <n v="94"/>
    <x v="0"/>
    <s v="Y"/>
    <s v="Low"/>
    <s v="Y"/>
    <n v="173"/>
    <n v="0.54"/>
    <n v="126"/>
    <n v="74"/>
    <s v="Elevated"/>
    <n v="66"/>
    <n v="17.920000000000002"/>
    <x v="1"/>
    <x v="1"/>
  </r>
  <r>
    <x v="1"/>
    <n v="37"/>
    <n v="74.099999999999994"/>
    <n v="1.89"/>
    <n v="20.7"/>
    <n v="105.9"/>
    <s v="135/66"/>
    <n v="147"/>
    <n v="64"/>
    <n v="142"/>
    <x v="0"/>
    <s v="N"/>
    <s v="Low"/>
    <s v="N"/>
    <n v="189"/>
    <n v="0.56000000000000005"/>
    <n v="135"/>
    <n v="66"/>
    <s v="Hypertension Stage 1"/>
    <n v="53"/>
    <n v="13.83"/>
    <x v="2"/>
    <x v="0"/>
  </r>
  <r>
    <x v="1"/>
    <n v="44"/>
    <n v="112.6"/>
    <n v="1.87"/>
    <n v="32.200000000000003"/>
    <n v="82.8"/>
    <s v="115/64"/>
    <n v="226"/>
    <n v="33"/>
    <n v="112"/>
    <x v="0"/>
    <s v="Y"/>
    <s v="Moderate"/>
    <s v="Y"/>
    <n v="187"/>
    <n v="0.443"/>
    <n v="115"/>
    <n v="64"/>
    <s v="Normal"/>
    <n v="163"/>
    <n v="18.71"/>
    <x v="1"/>
    <x v="1"/>
  </r>
  <r>
    <x v="1"/>
    <n v="47"/>
    <n v="71.900000000000006"/>
    <n v="1.86"/>
    <n v="20.8"/>
    <n v="88.6"/>
    <s v="121/92"/>
    <n v="211"/>
    <n v="45"/>
    <n v="106"/>
    <x v="1"/>
    <s v="Y"/>
    <s v="Moderate"/>
    <s v="Y"/>
    <n v="186"/>
    <n v="0.47599999999999998"/>
    <n v="121"/>
    <n v="92"/>
    <s v="Hypertension Stage 2"/>
    <n v="136"/>
    <n v="16.43"/>
    <x v="1"/>
    <x v="1"/>
  </r>
  <r>
    <x v="1"/>
    <n v="47"/>
    <m/>
    <n v="1.88"/>
    <n v="29.1"/>
    <n v="78.400000000000006"/>
    <s v="119/99"/>
    <n v="213"/>
    <n v="54"/>
    <m/>
    <x v="0"/>
    <s v="Y"/>
    <s v="Moderate"/>
    <s v="Y"/>
    <n v="188"/>
    <n v="0.41699999999999998"/>
    <n v="119"/>
    <n v="99"/>
    <s v="Hypertension Stage 2"/>
    <n v="129"/>
    <n v="18.03"/>
    <x v="1"/>
    <x v="1"/>
  </r>
  <r>
    <x v="1"/>
    <n v="39"/>
    <n v="112.8"/>
    <n v="1.88"/>
    <n v="31.9"/>
    <n v="90.6"/>
    <s v="134/89"/>
    <n v="123"/>
    <n v="30"/>
    <n v="131"/>
    <x v="1"/>
    <s v="N"/>
    <s v="High"/>
    <s v="Y"/>
    <n v="188"/>
    <n v="0.48199999999999998"/>
    <n v="134"/>
    <n v="89"/>
    <s v="Hypertension Stage 1"/>
    <n v="63"/>
    <n v="15.54"/>
    <x v="1"/>
    <x v="1"/>
  </r>
  <r>
    <x v="0"/>
    <n v="36"/>
    <n v="81.2"/>
    <n v="1.75"/>
    <n v="26.5"/>
    <n v="74"/>
    <s v="141/76"/>
    <n v="225"/>
    <n v="31"/>
    <n v="124"/>
    <x v="1"/>
    <s v="N"/>
    <s v="Moderate"/>
    <s v="Y"/>
    <n v="175"/>
    <n v="0.42299999999999999"/>
    <n v="141"/>
    <m/>
    <s v="Hypertension Stage 2"/>
    <n v="164"/>
    <n v="16.850000000000001"/>
    <x v="1"/>
    <x v="1"/>
  </r>
  <r>
    <x v="0"/>
    <n v="50"/>
    <n v="73.900000000000006"/>
    <n v="1.75"/>
    <n v="24.1"/>
    <n v="95.8"/>
    <s v="145/71"/>
    <m/>
    <m/>
    <n v="144"/>
    <x v="1"/>
    <s v="N"/>
    <s v="High"/>
    <s v="Y"/>
    <n v="175"/>
    <n v="0.54700000000000004"/>
    <n v="145"/>
    <n v="71"/>
    <s v="Hypertension Stage 2"/>
    <n v="31"/>
    <n v="14.67"/>
    <x v="0"/>
    <x v="0"/>
  </r>
  <r>
    <x v="1"/>
    <n v="40"/>
    <n v="110.6"/>
    <n v="1.7"/>
    <n v="38.299999999999997"/>
    <n v="80.3"/>
    <s v="148/95"/>
    <n v="177"/>
    <n v="65"/>
    <n v="121"/>
    <x v="1"/>
    <s v="Y"/>
    <s v="Low"/>
    <s v="Y"/>
    <n v="170"/>
    <n v="0.47199999999999998"/>
    <n v="148"/>
    <n v="95"/>
    <s v="Hypertension Stage 2"/>
    <n v="82"/>
    <n v="20.6"/>
    <x v="1"/>
    <x v="1"/>
  </r>
  <r>
    <x v="0"/>
    <n v="52"/>
    <n v="107.8"/>
    <n v="1.78"/>
    <n v="34"/>
    <n v="103.5"/>
    <s v="111/69"/>
    <n v="179"/>
    <n v="73"/>
    <n v="132"/>
    <x v="0"/>
    <s v="N"/>
    <s v="Low"/>
    <s v="Y"/>
    <n v="178"/>
    <n v="0.58099999999999996"/>
    <n v="111"/>
    <n v="69"/>
    <s v="Normal"/>
    <n v="76"/>
    <n v="15.93"/>
    <x v="1"/>
    <x v="1"/>
  </r>
  <r>
    <x v="0"/>
    <n v="39"/>
    <n v="61.4"/>
    <n v="1.71"/>
    <n v="21"/>
    <n v="83.6"/>
    <s v="134/69"/>
    <n v="246"/>
    <n v="72"/>
    <n v="136"/>
    <x v="0"/>
    <s v="Y"/>
    <s v="High"/>
    <s v="Y"/>
    <m/>
    <n v="0.48899999999999999"/>
    <n v="134"/>
    <n v="69"/>
    <s v="Hypertension Stage 1"/>
    <n v="144"/>
    <n v="17.82"/>
    <x v="0"/>
    <x v="0"/>
  </r>
  <r>
    <x v="0"/>
    <n v="46"/>
    <m/>
    <n v="1.82"/>
    <n v="35.799999999999997"/>
    <n v="93.5"/>
    <s v="120/70"/>
    <n v="260"/>
    <n v="37"/>
    <n v="125"/>
    <x v="1"/>
    <s v="N"/>
    <s v="High"/>
    <s v="Y"/>
    <n v="182"/>
    <n v="0.51400000000000001"/>
    <n v="120"/>
    <n v="70"/>
    <s v="Elevated"/>
    <n v="193"/>
    <n v="18.36"/>
    <x v="1"/>
    <x v="1"/>
  </r>
  <r>
    <x v="1"/>
    <n v="39"/>
    <n v="80"/>
    <n v="1.64"/>
    <n v="29.7"/>
    <n v="103.6"/>
    <s v="114/70"/>
    <n v="299"/>
    <n v="46"/>
    <n v="148"/>
    <x v="0"/>
    <s v="N"/>
    <s v="Low"/>
    <s v="Y"/>
    <n v="164"/>
    <n v="0.63200000000000001"/>
    <n v="114"/>
    <n v="70"/>
    <s v="Normal"/>
    <n v="223"/>
    <n v="17.62"/>
    <x v="1"/>
    <x v="1"/>
  </r>
  <r>
    <x v="0"/>
    <n v="35"/>
    <n v="64.2"/>
    <n v="1.87"/>
    <n v="18.399999999999999"/>
    <n v="100.8"/>
    <s v="134/67"/>
    <n v="193"/>
    <n v="49"/>
    <n v="134"/>
    <x v="1"/>
    <s v="Y"/>
    <s v="Moderate"/>
    <s v="N"/>
    <n v="187"/>
    <n v="0.53900000000000003"/>
    <m/>
    <n v="67"/>
    <s v="Hypertension Stage 1"/>
    <n v="114"/>
    <n v="16.239999999999998"/>
    <x v="0"/>
    <x v="0"/>
  </r>
  <r>
    <x v="1"/>
    <n v="53"/>
    <n v="62.3"/>
    <n v="1.84"/>
    <n v="18.399999999999999"/>
    <n v="90.9"/>
    <s v="95/94"/>
    <n v="208"/>
    <n v="30"/>
    <n v="101"/>
    <x v="1"/>
    <s v="N"/>
    <s v="Low"/>
    <s v="Y"/>
    <n v="184"/>
    <n v="0.49399999999999999"/>
    <n v="95"/>
    <n v="94"/>
    <s v="Hypertension Stage 2"/>
    <n v="148"/>
    <n v="12.59"/>
    <x v="1"/>
    <x v="1"/>
  </r>
  <r>
    <x v="0"/>
    <n v="54"/>
    <n v="78.2"/>
    <n v="1.83"/>
    <n v="23.4"/>
    <n v="82.8"/>
    <s v="116/86"/>
    <n v="180"/>
    <n v="33"/>
    <n v="89"/>
    <x v="1"/>
    <s v="N"/>
    <s v="Moderate"/>
    <s v="Y"/>
    <n v="183"/>
    <n v="0.45200000000000001"/>
    <n v="116"/>
    <n v="86"/>
    <s v="Hypertension Stage 1"/>
    <n v="117"/>
    <n v="14.08"/>
    <x v="1"/>
    <x v="1"/>
  </r>
  <r>
    <x v="1"/>
    <n v="48"/>
    <n v="50.1"/>
    <n v="1.77"/>
    <n v="16"/>
    <n v="104.1"/>
    <s v="146/95"/>
    <n v="210"/>
    <n v="70"/>
    <n v="108"/>
    <x v="0"/>
    <s v="N"/>
    <s v="Low"/>
    <s v="Y"/>
    <n v="177"/>
    <n v="0.58799999999999997"/>
    <n v="146"/>
    <m/>
    <s v="Hypertension Stage 2"/>
    <n v="110"/>
    <m/>
    <x v="1"/>
    <x v="1"/>
  </r>
  <r>
    <x v="1"/>
    <n v="36"/>
    <n v="53.9"/>
    <n v="1.67"/>
    <n v="19.3"/>
    <n v="79.3"/>
    <s v="104/77"/>
    <n v="193"/>
    <n v="69"/>
    <n v="131"/>
    <x v="1"/>
    <s v="Y"/>
    <s v="Low"/>
    <s v="Y"/>
    <n v="167"/>
    <n v="0.47499999999999998"/>
    <n v="104"/>
    <n v="77"/>
    <s v="Normal"/>
    <n v="94"/>
    <n v="14.92"/>
    <x v="1"/>
    <x v="1"/>
  </r>
  <r>
    <x v="1"/>
    <n v="52"/>
    <n v="59"/>
    <n v="1.86"/>
    <n v="17.100000000000001"/>
    <n v="92"/>
    <s v="98/73"/>
    <n v="156"/>
    <m/>
    <n v="134"/>
    <x v="0"/>
    <s v="Y"/>
    <s v="Low"/>
    <s v="N"/>
    <n v="186"/>
    <n v="0.495"/>
    <n v="98"/>
    <n v="73"/>
    <s v="Normal"/>
    <n v="81"/>
    <n v="13.44"/>
    <x v="0"/>
    <x v="0"/>
  </r>
  <r>
    <x v="1"/>
    <n v="39"/>
    <n v="109.9"/>
    <n v="1.8"/>
    <n v="33.9"/>
    <n v="89.4"/>
    <s v="130/94"/>
    <n v="267"/>
    <n v="35"/>
    <n v="116"/>
    <x v="1"/>
    <s v="N"/>
    <s v="Low"/>
    <s v="Y"/>
    <n v="180"/>
    <n v="0.497"/>
    <n v="130"/>
    <n v="94"/>
    <s v="Hypertension Stage 1"/>
    <n v="202"/>
    <n v="18.62"/>
    <x v="1"/>
    <x v="1"/>
  </r>
  <r>
    <x v="1"/>
    <n v="38"/>
    <n v="109.2"/>
    <n v="1.87"/>
    <n v="31.2"/>
    <n v="81"/>
    <s v="129/61"/>
    <n v="159"/>
    <n v="51"/>
    <n v="123"/>
    <x v="0"/>
    <s v="N"/>
    <s v="High"/>
    <s v="Y"/>
    <n v="187"/>
    <n v="0.433"/>
    <n v="129"/>
    <n v="61"/>
    <s v="Elevated"/>
    <n v="78"/>
    <n v="15.87"/>
    <x v="0"/>
    <x v="0"/>
  </r>
  <r>
    <x v="1"/>
    <n v="38"/>
    <n v="58.8"/>
    <n v="1.79"/>
    <n v="18.399999999999999"/>
    <n v="93.6"/>
    <s v="112/85"/>
    <n v="201"/>
    <n v="57"/>
    <n v="103"/>
    <x v="1"/>
    <s v="N"/>
    <s v="Moderate"/>
    <s v="N"/>
    <n v="179"/>
    <n v="0.52300000000000002"/>
    <m/>
    <n v="85"/>
    <s v="Hypertension Stage 1"/>
    <n v="114"/>
    <n v="13.3"/>
    <x v="0"/>
    <x v="0"/>
  </r>
  <r>
    <x v="0"/>
    <n v="57"/>
    <n v="80"/>
    <n v="1.61"/>
    <n v="30.9"/>
    <n v="93"/>
    <s v="112/71"/>
    <n v="296"/>
    <n v="67"/>
    <n v="101"/>
    <x v="1"/>
    <s v="N"/>
    <s v="Low"/>
    <s v="N"/>
    <n v="161"/>
    <n v="0.57799999999999996"/>
    <n v="112"/>
    <n v="71"/>
    <s v="Normal"/>
    <n v="199"/>
    <n v="17.7"/>
    <x v="1"/>
    <x v="1"/>
  </r>
  <r>
    <x v="1"/>
    <n v="44"/>
    <n v="63.7"/>
    <n v="1.86"/>
    <m/>
    <n v="70.5"/>
    <s v="123/83"/>
    <n v="262"/>
    <n v="48"/>
    <n v="106"/>
    <x v="1"/>
    <s v="N"/>
    <s v="High"/>
    <s v="N"/>
    <n v="186"/>
    <n v="0.379"/>
    <n v="123"/>
    <n v="83"/>
    <s v="Hypertension Stage 1"/>
    <n v="184"/>
    <n v="15.07"/>
    <x v="0"/>
    <x v="0"/>
  </r>
  <r>
    <x v="0"/>
    <m/>
    <n v="65.8"/>
    <n v="1.9"/>
    <n v="18.2"/>
    <n v="102.8"/>
    <s v="116/89"/>
    <n v="136"/>
    <n v="35"/>
    <n v="128"/>
    <x v="0"/>
    <s v="N"/>
    <s v="Moderate"/>
    <s v="Y"/>
    <n v="190"/>
    <n v="0.54100000000000004"/>
    <n v="116"/>
    <n v="89"/>
    <s v="Hypertension Stage 1"/>
    <n v="71"/>
    <n v="12.16"/>
    <x v="0"/>
    <x v="0"/>
  </r>
  <r>
    <x v="0"/>
    <n v="46"/>
    <n v="96.9"/>
    <n v="1.81"/>
    <n v="29.6"/>
    <n v="77.599999999999994"/>
    <s v="122/91"/>
    <n v="167"/>
    <n v="49"/>
    <n v="111"/>
    <x v="1"/>
    <s v="N"/>
    <s v="High"/>
    <s v="Y"/>
    <n v="181"/>
    <n v="0.42899999999999999"/>
    <n v="122"/>
    <n v="91"/>
    <s v="Hypertension Stage 2"/>
    <n v="88"/>
    <n v="15.36"/>
    <x v="1"/>
    <x v="1"/>
  </r>
  <r>
    <x v="1"/>
    <n v="39"/>
    <n v="102.5"/>
    <n v="1.87"/>
    <n v="29.3"/>
    <n v="97.3"/>
    <s v="99/89"/>
    <n v="239"/>
    <n v="41"/>
    <n v="118"/>
    <x v="1"/>
    <s v="N"/>
    <s v="Moderate"/>
    <s v="N"/>
    <n v="187"/>
    <n v="0.52"/>
    <n v="99"/>
    <n v="89"/>
    <s v="Hypertension Stage 1"/>
    <m/>
    <n v="15.59"/>
    <x v="0"/>
    <x v="0"/>
  </r>
  <r>
    <x v="1"/>
    <n v="60"/>
    <m/>
    <n v="1.77"/>
    <n v="32.799999999999997"/>
    <n v="102.9"/>
    <s v="102/93"/>
    <n v="235"/>
    <n v="68"/>
    <n v="126"/>
    <x v="1"/>
    <s v="Y"/>
    <s v="High"/>
    <s v="N"/>
    <n v="177"/>
    <n v="0.58099999999999996"/>
    <n v="102"/>
    <n v="93"/>
    <s v="Hypertension Stage 2"/>
    <n v="137"/>
    <n v="18.36"/>
    <x v="1"/>
    <x v="1"/>
  </r>
  <r>
    <x v="0"/>
    <n v="58"/>
    <n v="111.7"/>
    <n v="1.88"/>
    <n v="31.6"/>
    <n v="107.3"/>
    <s v="126/66"/>
    <n v="290"/>
    <n v="46"/>
    <n v="148"/>
    <x v="0"/>
    <s v="N"/>
    <s v="High"/>
    <s v="Y"/>
    <n v="188"/>
    <m/>
    <n v="126"/>
    <m/>
    <s v="Elevated"/>
    <n v="214"/>
    <n v="18.420000000000002"/>
    <x v="1"/>
    <x v="1"/>
  </r>
  <r>
    <x v="1"/>
    <n v="51"/>
    <n v="116"/>
    <n v="1.64"/>
    <n v="43.1"/>
    <n v="80.3"/>
    <s v="93/78"/>
    <n v="252"/>
    <n v="49"/>
    <n v="119"/>
    <x v="1"/>
    <s v="Y"/>
    <s v="High"/>
    <s v="N"/>
    <m/>
    <n v="0.49"/>
    <n v="93"/>
    <n v="78"/>
    <s v="Normal"/>
    <n v="173"/>
    <n v="20.309999999999999"/>
    <x v="1"/>
    <x v="1"/>
  </r>
  <r>
    <x v="0"/>
    <n v="39"/>
    <n v="91"/>
    <n v="1.78"/>
    <n v="28.7"/>
    <n v="91"/>
    <s v="120/89"/>
    <n v="274"/>
    <n v="62"/>
    <n v="81"/>
    <x v="1"/>
    <s v="Y"/>
    <s v="High"/>
    <s v="Y"/>
    <n v="178"/>
    <m/>
    <n v="120"/>
    <n v="89"/>
    <s v="Hypertension Stage 1"/>
    <n v="182"/>
    <m/>
    <x v="1"/>
    <x v="1"/>
  </r>
  <r>
    <x v="0"/>
    <n v="42"/>
    <n v="106.3"/>
    <n v="1.84"/>
    <n v="31.4"/>
    <n v="97.5"/>
    <s v="149/66"/>
    <n v="203"/>
    <n v="75"/>
    <n v="146"/>
    <x v="0"/>
    <s v="Y"/>
    <s v="Low"/>
    <s v="N"/>
    <n v="184"/>
    <n v="0.53"/>
    <n v="149"/>
    <n v="66"/>
    <s v="Hypertension Stage 2"/>
    <m/>
    <n v="19.79"/>
    <x v="1"/>
    <x v="1"/>
  </r>
  <r>
    <x v="1"/>
    <n v="31"/>
    <n v="112.9"/>
    <n v="1.69"/>
    <n v="39.5"/>
    <n v="84.4"/>
    <s v="125/73"/>
    <n v="132"/>
    <n v="74"/>
    <n v="92"/>
    <x v="0"/>
    <s v="Y"/>
    <s v="Low"/>
    <s v="Y"/>
    <n v="169"/>
    <n v="0.499"/>
    <n v="125"/>
    <n v="73"/>
    <s v="Elevated"/>
    <n v="28"/>
    <n v="18.79"/>
    <x v="1"/>
    <x v="1"/>
  </r>
  <r>
    <x v="1"/>
    <n v="31"/>
    <n v="67.5"/>
    <n v="1.86"/>
    <n v="19.5"/>
    <n v="87.7"/>
    <s v="139/82"/>
    <n v="101"/>
    <n v="67"/>
    <n v="103"/>
    <x v="1"/>
    <s v="N"/>
    <s v="Low"/>
    <s v="Y"/>
    <n v="186"/>
    <n v="0.47199999999999998"/>
    <n v="139"/>
    <n v="82"/>
    <s v="Hypertension Stage 1"/>
    <m/>
    <n v="12.87"/>
    <x v="0"/>
    <x v="0"/>
  </r>
  <r>
    <x v="0"/>
    <n v="37"/>
    <n v="73.2"/>
    <n v="1.65"/>
    <n v="26.9"/>
    <n v="91"/>
    <s v="141/82"/>
    <n v="109"/>
    <n v="69"/>
    <n v="90"/>
    <x v="1"/>
    <s v="Y"/>
    <s v="Low"/>
    <s v="N"/>
    <n v="165"/>
    <n v="0.55200000000000005"/>
    <n v="141"/>
    <n v="82"/>
    <s v="Hypertension Stage 1"/>
    <n v="10"/>
    <n v="16.61"/>
    <x v="1"/>
    <x v="1"/>
  </r>
  <r>
    <x v="0"/>
    <m/>
    <n v="73.7"/>
    <n v="1.7"/>
    <n v="25.5"/>
    <n v="84.2"/>
    <s v="129/92"/>
    <n v="192"/>
    <n v="74"/>
    <n v="144"/>
    <x v="1"/>
    <s v="Y"/>
    <s v="Moderate"/>
    <s v="Y"/>
    <n v="170"/>
    <n v="0.495"/>
    <n v="129"/>
    <n v="92"/>
    <s v="Hypertension Stage 2"/>
    <n v="88"/>
    <n v="17.39"/>
    <x v="1"/>
    <x v="1"/>
  </r>
  <r>
    <x v="1"/>
    <n v="32"/>
    <n v="111.8"/>
    <m/>
    <n v="41.6"/>
    <n v="95.8"/>
    <s v="95/96"/>
    <n v="199"/>
    <n v="41"/>
    <n v="122"/>
    <x v="1"/>
    <s v="N"/>
    <s v="High"/>
    <s v="N"/>
    <m/>
    <n v="0.58399999999999996"/>
    <n v="95"/>
    <n v="96"/>
    <s v="Hypertension Stage 2"/>
    <n v="128"/>
    <n v="17.05"/>
    <x v="0"/>
    <x v="0"/>
  </r>
  <r>
    <x v="0"/>
    <n v="37"/>
    <n v="92.9"/>
    <n v="1.87"/>
    <n v="26.6"/>
    <n v="71.8"/>
    <s v="113/79"/>
    <n v="115"/>
    <n v="79"/>
    <n v="125"/>
    <x v="0"/>
    <s v="N"/>
    <s v="High"/>
    <s v="Y"/>
    <n v="187"/>
    <n v="0.38400000000000001"/>
    <n v="113"/>
    <n v="79"/>
    <s v="Normal"/>
    <n v="6"/>
    <n v="13.27"/>
    <x v="0"/>
    <x v="0"/>
  </r>
  <r>
    <x v="0"/>
    <n v="57"/>
    <n v="106.3"/>
    <n v="1.88"/>
    <n v="30.1"/>
    <n v="102.2"/>
    <s v="140/98"/>
    <m/>
    <n v="40"/>
    <n v="82"/>
    <x v="0"/>
    <s v="Y"/>
    <s v="High"/>
    <s v="N"/>
    <m/>
    <n v="0.54400000000000004"/>
    <n v="140"/>
    <n v="98"/>
    <s v="Hypertension Stage 2"/>
    <n v="74"/>
    <n v="17.899999999999999"/>
    <x v="0"/>
    <x v="0"/>
  </r>
  <r>
    <x v="0"/>
    <n v="56"/>
    <n v="50.4"/>
    <n v="1.61"/>
    <n v="19.399999999999999"/>
    <n v="97.3"/>
    <s v="106/73"/>
    <n v="104"/>
    <n v="39"/>
    <n v="117"/>
    <x v="0"/>
    <s v="Y"/>
    <s v="High"/>
    <s v="N"/>
    <n v="161"/>
    <n v="0.60399999999999998"/>
    <m/>
    <n v="73"/>
    <s v="Normal"/>
    <n v="35"/>
    <n v="13.26"/>
    <x v="0"/>
    <x v="0"/>
  </r>
  <r>
    <x v="1"/>
    <n v="60"/>
    <n v="110.4"/>
    <n v="1.68"/>
    <n v="39.1"/>
    <n v="102.1"/>
    <s v="115/94"/>
    <n v="113"/>
    <n v="59"/>
    <n v="136"/>
    <x v="1"/>
    <s v="Y"/>
    <s v="High"/>
    <s v="Y"/>
    <n v="168"/>
    <n v="0.60799999999999998"/>
    <n v="115"/>
    <m/>
    <s v="Hypertension Stage 2"/>
    <n v="24"/>
    <n v="17.829999999999998"/>
    <x v="1"/>
    <x v="1"/>
  </r>
  <r>
    <x v="0"/>
    <n v="54"/>
    <n v="51.8"/>
    <n v="1.61"/>
    <n v="20"/>
    <n v="73.5"/>
    <s v="143/89"/>
    <n v="209"/>
    <n v="41"/>
    <m/>
    <x v="1"/>
    <s v="Y"/>
    <s v="Moderate"/>
    <s v="Y"/>
    <n v="161"/>
    <n v="0.45700000000000002"/>
    <n v="143"/>
    <n v="89"/>
    <s v="Hypertension Stage 1"/>
    <n v="138"/>
    <n v="17.329999999999998"/>
    <x v="1"/>
    <x v="1"/>
  </r>
  <r>
    <x v="0"/>
    <n v="36"/>
    <n v="84.2"/>
    <n v="1.66"/>
    <n v="30.6"/>
    <n v="96.1"/>
    <s v="139/61"/>
    <n v="281"/>
    <n v="59"/>
    <n v="136"/>
    <x v="0"/>
    <s v="Y"/>
    <s v="High"/>
    <s v="N"/>
    <n v="166"/>
    <n v="0.57899999999999996"/>
    <n v="139"/>
    <n v="61"/>
    <s v="Hypertension Stage 1"/>
    <n v="192"/>
    <n v="20.69"/>
    <x v="0"/>
    <x v="0"/>
  </r>
  <r>
    <x v="1"/>
    <n v="58"/>
    <m/>
    <n v="1.87"/>
    <n v="33.799999999999997"/>
    <n v="99.6"/>
    <s v="113/91"/>
    <n v="106"/>
    <m/>
    <n v="115"/>
    <x v="1"/>
    <s v="Y"/>
    <s v="Low"/>
    <s v="N"/>
    <n v="187"/>
    <n v="0.53300000000000003"/>
    <m/>
    <n v="91"/>
    <s v="Hypertension Stage 2"/>
    <n v="33"/>
    <n v="16.53"/>
    <x v="1"/>
    <x v="1"/>
  </r>
  <r>
    <x v="0"/>
    <n v="40"/>
    <n v="86.8"/>
    <n v="1.81"/>
    <n v="26.5"/>
    <n v="101.6"/>
    <s v="92/66"/>
    <n v="128"/>
    <m/>
    <n v="140"/>
    <x v="0"/>
    <s v="N"/>
    <s v="High"/>
    <s v="Y"/>
    <m/>
    <n v="0.56100000000000005"/>
    <n v="92"/>
    <n v="66"/>
    <s v="Normal"/>
    <n v="49"/>
    <n v="12.46"/>
    <x v="0"/>
    <x v="0"/>
  </r>
  <r>
    <x v="0"/>
    <n v="55"/>
    <n v="82.4"/>
    <n v="1.6"/>
    <n v="32.200000000000003"/>
    <m/>
    <s v="115/75"/>
    <n v="175"/>
    <n v="73"/>
    <n v="148"/>
    <x v="0"/>
    <s v="N"/>
    <s v="Moderate"/>
    <s v="N"/>
    <n v="160"/>
    <m/>
    <n v="115"/>
    <n v="75"/>
    <s v="Normal"/>
    <m/>
    <n v="15.69"/>
    <x v="0"/>
    <x v="0"/>
  </r>
  <r>
    <x v="1"/>
    <n v="42"/>
    <n v="110.5"/>
    <n v="1.61"/>
    <n v="42.6"/>
    <n v="96.1"/>
    <s v="132/69"/>
    <n v="114"/>
    <n v="77"/>
    <n v="115"/>
    <x v="0"/>
    <s v="N"/>
    <s v="Moderate"/>
    <s v="Y"/>
    <m/>
    <n v="0.59699999999999998"/>
    <n v="132"/>
    <n v="69"/>
    <s v="Hypertension Stage 1"/>
    <n v="7"/>
    <n v="17.399999999999999"/>
    <x v="0"/>
    <x v="0"/>
  </r>
  <r>
    <x v="1"/>
    <n v="42"/>
    <n v="107.5"/>
    <n v="1.65"/>
    <n v="39.5"/>
    <n v="106.7"/>
    <s v="103/64"/>
    <n v="186"/>
    <n v="79"/>
    <n v="73"/>
    <x v="0"/>
    <s v="Y"/>
    <s v="High"/>
    <s v="Y"/>
    <n v="165"/>
    <n v="0.64700000000000002"/>
    <n v="103"/>
    <m/>
    <s v="Normal"/>
    <n v="77"/>
    <n v="18.77"/>
    <x v="0"/>
    <x v="0"/>
  </r>
  <r>
    <x v="1"/>
    <n v="35"/>
    <n v="107.8"/>
    <n v="1.82"/>
    <n v="32.5"/>
    <n v="87.8"/>
    <s v="97/71"/>
    <m/>
    <m/>
    <n v="103"/>
    <x v="1"/>
    <s v="Y"/>
    <s v="High"/>
    <s v="N"/>
    <n v="182"/>
    <n v="0.48199999999999998"/>
    <n v="97"/>
    <n v="71"/>
    <s v="Normal"/>
    <n v="39"/>
    <n v="15.87"/>
    <x v="0"/>
    <x v="0"/>
  </r>
  <r>
    <x v="0"/>
    <n v="51"/>
    <n v="86.9"/>
    <n v="1.76"/>
    <n v="28.1"/>
    <m/>
    <s v="96/78"/>
    <n v="179"/>
    <n v="37"/>
    <n v="96"/>
    <x v="0"/>
    <s v="Y"/>
    <s v="Low"/>
    <s v="N"/>
    <n v="176"/>
    <n v="0.53200000000000003"/>
    <n v="96"/>
    <n v="78"/>
    <s v="Normal"/>
    <n v="112"/>
    <n v="16"/>
    <x v="1"/>
    <x v="1"/>
  </r>
  <r>
    <x v="0"/>
    <n v="47"/>
    <n v="55.7"/>
    <n v="1.76"/>
    <n v="18"/>
    <n v="106.8"/>
    <s v="111/85"/>
    <n v="105"/>
    <n v="31"/>
    <n v="146"/>
    <x v="1"/>
    <s v="N"/>
    <s v="Low"/>
    <s v="Y"/>
    <n v="176"/>
    <n v="0.60699999999999998"/>
    <n v="111"/>
    <n v="85"/>
    <s v="Hypertension Stage 1"/>
    <n v="44"/>
    <n v="11.25"/>
    <x v="1"/>
    <x v="1"/>
  </r>
  <r>
    <x v="0"/>
    <n v="34"/>
    <n v="52.9"/>
    <n v="1.88"/>
    <n v="15"/>
    <n v="75.099999999999994"/>
    <s v="132/95"/>
    <n v="203"/>
    <n v="70"/>
    <n v="124"/>
    <x v="1"/>
    <s v="N"/>
    <s v="High"/>
    <s v="N"/>
    <n v="188"/>
    <n v="0.39900000000000002"/>
    <n v="132"/>
    <n v="95"/>
    <s v="Hypertension Stage 1"/>
    <n v="103"/>
    <n v="13.66"/>
    <x v="0"/>
    <x v="0"/>
  </r>
  <r>
    <x v="0"/>
    <n v="57"/>
    <n v="58.5"/>
    <n v="1.82"/>
    <n v="17.7"/>
    <n v="83.9"/>
    <s v="97/80"/>
    <m/>
    <n v="55"/>
    <n v="112"/>
    <x v="0"/>
    <s v="N"/>
    <s v="Moderate"/>
    <s v="N"/>
    <n v="182"/>
    <n v="0.46100000000000002"/>
    <n v="97"/>
    <n v="80"/>
    <s v="Hypertension Stage 1"/>
    <n v="206"/>
    <n v="14.21"/>
    <x v="0"/>
    <x v="0"/>
  </r>
  <r>
    <x v="0"/>
    <n v="39"/>
    <n v="65.7"/>
    <n v="1.81"/>
    <n v="20.100000000000001"/>
    <n v="102.4"/>
    <s v="92/96"/>
    <n v="297"/>
    <n v="65"/>
    <n v="115"/>
    <x v="0"/>
    <s v="Y"/>
    <s v="Low"/>
    <s v="Y"/>
    <m/>
    <n v="0.56599999999999995"/>
    <n v="92"/>
    <n v="96"/>
    <s v="Hypertension Stage 2"/>
    <n v="202"/>
    <n v="16.559999999999999"/>
    <x v="1"/>
    <x v="1"/>
  </r>
  <r>
    <x v="1"/>
    <n v="57"/>
    <n v="53.1"/>
    <n v="1.63"/>
    <n v="20"/>
    <n v="105.9"/>
    <s v="140/85"/>
    <n v="153"/>
    <n v="80"/>
    <n v="114"/>
    <x v="0"/>
    <s v="Y"/>
    <s v="Low"/>
    <s v="Y"/>
    <n v="163"/>
    <n v="0.65"/>
    <n v="140"/>
    <n v="85"/>
    <s v="Hypertension Stage 1"/>
    <n v="43"/>
    <m/>
    <x v="1"/>
    <x v="1"/>
  </r>
  <r>
    <x v="1"/>
    <n v="30"/>
    <n v="106.2"/>
    <n v="1.87"/>
    <n v="30.4"/>
    <n v="105.5"/>
    <s v="119/92"/>
    <n v="268"/>
    <n v="50"/>
    <n v="139"/>
    <x v="1"/>
    <s v="Y"/>
    <s v="Moderate"/>
    <s v="N"/>
    <n v="187"/>
    <n v="0.56399999999999995"/>
    <m/>
    <n v="92"/>
    <s v="Hypertension Stage 2"/>
    <n v="188"/>
    <n v="19.39"/>
    <x v="1"/>
    <x v="1"/>
  </r>
  <r>
    <x v="0"/>
    <n v="51"/>
    <n v="118.4"/>
    <n v="1.9"/>
    <n v="32.799999999999997"/>
    <n v="80.900000000000006"/>
    <s v="91/71"/>
    <n v="202"/>
    <n v="48"/>
    <n v="148"/>
    <x v="0"/>
    <s v="Y"/>
    <s v="High"/>
    <s v="N"/>
    <n v="190"/>
    <n v="0.42599999999999999"/>
    <n v="91"/>
    <n v="71"/>
    <s v="Normal"/>
    <n v="124"/>
    <n v="17.149999999999999"/>
    <x v="1"/>
    <x v="1"/>
  </r>
  <r>
    <x v="1"/>
    <n v="55"/>
    <n v="70.2"/>
    <n v="1.72"/>
    <n v="23.7"/>
    <n v="70"/>
    <s v="121/68"/>
    <n v="300"/>
    <n v="77"/>
    <n v="141"/>
    <x v="1"/>
    <s v="N"/>
    <s v="High"/>
    <s v="Y"/>
    <n v="172"/>
    <n v="0.40699999999999997"/>
    <n v="121"/>
    <m/>
    <s v="Elevated"/>
    <n v="193"/>
    <n v="16.79"/>
    <x v="1"/>
    <x v="1"/>
  </r>
  <r>
    <x v="0"/>
    <n v="46"/>
    <n v="76.099999999999994"/>
    <n v="1.88"/>
    <n v="21.5"/>
    <n v="98.2"/>
    <s v="98/90"/>
    <n v="149"/>
    <n v="64"/>
    <n v="105"/>
    <x v="1"/>
    <s v="N"/>
    <s v="Low"/>
    <s v="Y"/>
    <n v="188"/>
    <n v="0.52200000000000002"/>
    <n v="98"/>
    <n v="90"/>
    <s v="Hypertension Stage 2"/>
    <n v="55"/>
    <n v="12.18"/>
    <x v="1"/>
    <x v="1"/>
  </r>
  <r>
    <x v="0"/>
    <n v="57"/>
    <n v="104.8"/>
    <n v="1.84"/>
    <n v="31"/>
    <n v="104.6"/>
    <s v="150/97"/>
    <n v="192"/>
    <n v="78"/>
    <n v="106"/>
    <x v="1"/>
    <s v="Y"/>
    <s v="High"/>
    <s v="Y"/>
    <n v="184"/>
    <n v="0.56799999999999995"/>
    <n v="150"/>
    <n v="97"/>
    <s v="Hypertension Stage 2"/>
    <n v="84"/>
    <n v="19.54"/>
    <x v="1"/>
    <x v="1"/>
  </r>
  <r>
    <x v="1"/>
    <n v="35"/>
    <n v="50.4"/>
    <n v="1.67"/>
    <n v="18.100000000000001"/>
    <n v="108.8"/>
    <s v="133/71"/>
    <m/>
    <n v="39"/>
    <n v="144"/>
    <x v="1"/>
    <s v="N"/>
    <s v="Moderate"/>
    <s v="Y"/>
    <n v="167"/>
    <n v="0.65100000000000002"/>
    <n v="133"/>
    <n v="71"/>
    <s v="Hypertension Stage 1"/>
    <n v="188"/>
    <n v="15.41"/>
    <x v="1"/>
    <x v="1"/>
  </r>
  <r>
    <x v="1"/>
    <n v="51"/>
    <n v="113.8"/>
    <n v="1.8"/>
    <n v="35.1"/>
    <n v="109"/>
    <s v="127/80"/>
    <n v="237"/>
    <n v="40"/>
    <n v="129"/>
    <x v="1"/>
    <s v="Y"/>
    <s v="High"/>
    <s v="N"/>
    <n v="180"/>
    <n v="0.60599999999999998"/>
    <n v="127"/>
    <n v="80"/>
    <s v="Hypertension Stage 1"/>
    <n v="167"/>
    <n v="20.11"/>
    <x v="1"/>
    <x v="1"/>
  </r>
  <r>
    <x v="0"/>
    <n v="58"/>
    <n v="73.3"/>
    <n v="1.87"/>
    <m/>
    <n v="74.599999999999994"/>
    <s v="113/79"/>
    <n v="144"/>
    <n v="73"/>
    <n v="129"/>
    <x v="0"/>
    <s v="Y"/>
    <s v="Moderate"/>
    <s v="N"/>
    <n v="187"/>
    <n v="0.39900000000000002"/>
    <n v="113"/>
    <n v="79"/>
    <s v="Normal"/>
    <n v="41"/>
    <n v="14.73"/>
    <x v="0"/>
    <x v="0"/>
  </r>
  <r>
    <x v="0"/>
    <n v="36"/>
    <n v="78.400000000000006"/>
    <n v="1.89"/>
    <n v="21.9"/>
    <n v="106.4"/>
    <s v="143/75"/>
    <n v="295"/>
    <n v="36"/>
    <n v="77"/>
    <x v="1"/>
    <s v="Y"/>
    <s v="High"/>
    <s v="Y"/>
    <n v="189"/>
    <n v="0.56299999999999994"/>
    <n v="143"/>
    <n v="75"/>
    <s v="Hypertension Stage 2"/>
    <n v="229"/>
    <n v="19.43"/>
    <x v="1"/>
    <x v="1"/>
  </r>
  <r>
    <x v="1"/>
    <n v="34"/>
    <n v="103.8"/>
    <n v="1.84"/>
    <n v="30.7"/>
    <n v="82.1"/>
    <s v="123/87"/>
    <n v="267"/>
    <n v="68"/>
    <n v="75"/>
    <x v="0"/>
    <s v="N"/>
    <s v="Moderate"/>
    <s v="N"/>
    <n v="184"/>
    <n v="0.44600000000000001"/>
    <n v="123"/>
    <n v="87"/>
    <s v="Hypertension Stage 1"/>
    <n v="169"/>
    <n v="17.63"/>
    <x v="0"/>
    <x v="0"/>
  </r>
  <r>
    <x v="0"/>
    <n v="30"/>
    <n v="68"/>
    <n v="1.86"/>
    <n v="19.7"/>
    <n v="72.5"/>
    <s v="125/63"/>
    <n v="267"/>
    <n v="69"/>
    <n v="101"/>
    <x v="1"/>
    <s v="Y"/>
    <s v="Low"/>
    <s v="Y"/>
    <n v="186"/>
    <n v="0.39"/>
    <n v="125"/>
    <n v="63"/>
    <s v="Elevated"/>
    <n v="168"/>
    <n v="17.53"/>
    <x v="1"/>
    <x v="1"/>
  </r>
  <r>
    <x v="1"/>
    <n v="38"/>
    <n v="58.3"/>
    <n v="1.81"/>
    <n v="17.8"/>
    <n v="94.4"/>
    <s v="115/71"/>
    <n v="182"/>
    <n v="61"/>
    <n v="125"/>
    <x v="0"/>
    <s v="Y"/>
    <s v="Low"/>
    <s v="Y"/>
    <n v="181"/>
    <n v="0.52200000000000002"/>
    <m/>
    <n v="71"/>
    <s v="Normal"/>
    <n v="91"/>
    <n v="14.95"/>
    <x v="0"/>
    <x v="0"/>
  </r>
  <r>
    <x v="1"/>
    <n v="51"/>
    <n v="75.8"/>
    <n v="1.9"/>
    <n v="21"/>
    <n v="96.8"/>
    <s v="142/66"/>
    <n v="280"/>
    <n v="52"/>
    <n v="91"/>
    <x v="0"/>
    <s v="Y"/>
    <s v="Low"/>
    <s v="Y"/>
    <n v="190"/>
    <n v="0.50900000000000001"/>
    <n v="142"/>
    <n v="66"/>
    <s v="Hypertension Stage 2"/>
    <n v="198"/>
    <n v="18.899999999999999"/>
    <x v="1"/>
    <x v="1"/>
  </r>
  <r>
    <x v="0"/>
    <n v="35"/>
    <n v="66.599999999999994"/>
    <n v="1.75"/>
    <n v="21.7"/>
    <n v="109"/>
    <s v="124/66"/>
    <n v="160"/>
    <n v="73"/>
    <n v="114"/>
    <x v="1"/>
    <s v="N"/>
    <s v="High"/>
    <s v="N"/>
    <n v="175"/>
    <n v="0.623"/>
    <m/>
    <n v="66"/>
    <s v="Elevated"/>
    <n v="57"/>
    <n v="13.74"/>
    <x v="2"/>
    <x v="0"/>
  </r>
  <r>
    <x v="1"/>
    <m/>
    <n v="92.5"/>
    <n v="1.66"/>
    <n v="33.6"/>
    <n v="95.8"/>
    <s v="147/63"/>
    <n v="217"/>
    <n v="37"/>
    <n v="148"/>
    <x v="1"/>
    <s v="Y"/>
    <s v="Moderate"/>
    <s v="N"/>
    <n v="166"/>
    <n v="0.57699999999999996"/>
    <n v="147"/>
    <n v="63"/>
    <s v="Hypertension Stage 2"/>
    <n v="150"/>
    <n v="20.41"/>
    <x v="1"/>
    <x v="1"/>
  </r>
  <r>
    <x v="0"/>
    <n v="56"/>
    <n v="94"/>
    <n v="1.9"/>
    <n v="26"/>
    <n v="78.8"/>
    <s v="149/89"/>
    <n v="184"/>
    <n v="30"/>
    <n v="102"/>
    <x v="1"/>
    <s v="N"/>
    <s v="Moderate"/>
    <s v="Y"/>
    <n v="190"/>
    <n v="0.41499999999999998"/>
    <n v="149"/>
    <n v="89"/>
    <s v="Hypertension Stage 1"/>
    <n v="124"/>
    <n v="16.329999999999998"/>
    <x v="1"/>
    <x v="1"/>
  </r>
  <r>
    <x v="1"/>
    <n v="43"/>
    <n v="92.9"/>
    <n v="1.82"/>
    <n v="28"/>
    <n v="95.4"/>
    <s v="145/63"/>
    <n v="132"/>
    <n v="71"/>
    <n v="86"/>
    <x v="0"/>
    <s v="N"/>
    <s v="Low"/>
    <s v="N"/>
    <n v="182"/>
    <n v="0.52400000000000002"/>
    <n v="145"/>
    <n v="63"/>
    <s v="Hypertension Stage 2"/>
    <n v="31"/>
    <n v="15.49"/>
    <x v="0"/>
    <x v="0"/>
  </r>
  <r>
    <x v="1"/>
    <n v="49"/>
    <m/>
    <n v="1.82"/>
    <n v="16.2"/>
    <n v="82.2"/>
    <s v="136/95"/>
    <m/>
    <n v="32"/>
    <n v="124"/>
    <x v="1"/>
    <s v="N"/>
    <s v="High"/>
    <s v="N"/>
    <m/>
    <n v="0.45200000000000001"/>
    <n v="136"/>
    <n v="95"/>
    <s v="Hypertension Stage 1"/>
    <n v="136"/>
    <n v="14"/>
    <x v="0"/>
    <x v="0"/>
  </r>
  <r>
    <x v="0"/>
    <n v="36"/>
    <n v="51.9"/>
    <n v="1.67"/>
    <n v="18.600000000000001"/>
    <n v="101.2"/>
    <s v="103/80"/>
    <n v="225"/>
    <n v="58"/>
    <m/>
    <x v="1"/>
    <s v="N"/>
    <s v="High"/>
    <s v="N"/>
    <m/>
    <n v="0.60599999999999998"/>
    <n v="103"/>
    <n v="80"/>
    <s v="Hypertension Stage 1"/>
    <n v="137"/>
    <n v="13.37"/>
    <x v="0"/>
    <x v="0"/>
  </r>
  <r>
    <x v="0"/>
    <n v="44"/>
    <n v="65.8"/>
    <n v="1.89"/>
    <n v="18.399999999999999"/>
    <n v="109"/>
    <s v="107/64"/>
    <n v="271"/>
    <n v="33"/>
    <n v="147"/>
    <x v="1"/>
    <s v="Y"/>
    <s v="Low"/>
    <s v="Y"/>
    <n v="189"/>
    <n v="0.57699999999999996"/>
    <m/>
    <n v="64"/>
    <s v="Normal"/>
    <n v="208"/>
    <n v="16.45"/>
    <x v="1"/>
    <x v="1"/>
  </r>
  <r>
    <x v="1"/>
    <n v="35"/>
    <n v="83.6"/>
    <n v="1.7"/>
    <n v="28.9"/>
    <n v="101.8"/>
    <s v="141/81"/>
    <n v="118"/>
    <n v="58"/>
    <n v="91"/>
    <x v="0"/>
    <s v="N"/>
    <s v="High"/>
    <s v="Y"/>
    <n v="170"/>
    <n v="0.59899999999999998"/>
    <n v="141"/>
    <n v="81"/>
    <s v="Hypertension Stage 1"/>
    <n v="30"/>
    <n v="15.19"/>
    <x v="0"/>
    <x v="0"/>
  </r>
  <r>
    <x v="0"/>
    <n v="43"/>
    <n v="119.9"/>
    <n v="1.85"/>
    <m/>
    <m/>
    <s v="126/62"/>
    <n v="220"/>
    <n v="44"/>
    <n v="85"/>
    <x v="0"/>
    <s v="N"/>
    <s v="Moderate"/>
    <s v="Y"/>
    <n v="185"/>
    <n v="0.41399999999999998"/>
    <n v="126"/>
    <n v="62"/>
    <s v="Elevated"/>
    <n v="146"/>
    <n v="17.7"/>
    <x v="0"/>
    <x v="0"/>
  </r>
  <r>
    <x v="1"/>
    <n v="34"/>
    <n v="118.2"/>
    <n v="1.72"/>
    <n v="40"/>
    <n v="77.5"/>
    <s v="136/83"/>
    <n v="290"/>
    <n v="68"/>
    <n v="92"/>
    <x v="1"/>
    <s v="N"/>
    <s v="Low"/>
    <s v="N"/>
    <n v="172"/>
    <n v="0.45100000000000001"/>
    <n v="136"/>
    <n v="83"/>
    <s v="Hypertension Stage 1"/>
    <n v="192"/>
    <n v="20.6"/>
    <x v="1"/>
    <x v="1"/>
  </r>
  <r>
    <x v="1"/>
    <n v="48"/>
    <n v="116.5"/>
    <n v="1.81"/>
    <n v="35.6"/>
    <n v="107.9"/>
    <s v="135/87"/>
    <n v="270"/>
    <n v="32"/>
    <n v="135"/>
    <x v="0"/>
    <s v="Y"/>
    <s v="High"/>
    <s v="N"/>
    <n v="181"/>
    <n v="0.59599999999999997"/>
    <n v="135"/>
    <n v="87"/>
    <s v="Hypertension Stage 1"/>
    <n v="208"/>
    <n v="21.27"/>
    <x v="1"/>
    <x v="1"/>
  </r>
  <r>
    <x v="1"/>
    <n v="34"/>
    <n v="94.4"/>
    <n v="1.62"/>
    <n v="36"/>
    <n v="91"/>
    <s v="100/63"/>
    <n v="207"/>
    <n v="63"/>
    <n v="93"/>
    <x v="0"/>
    <s v="N"/>
    <s v="High"/>
    <s v="Y"/>
    <n v="162"/>
    <n v="0.56200000000000006"/>
    <n v="100"/>
    <n v="63"/>
    <s v="Normal"/>
    <n v="114"/>
    <n v="16.34"/>
    <x v="0"/>
    <x v="0"/>
  </r>
  <r>
    <x v="0"/>
    <n v="48"/>
    <n v="66.3"/>
    <n v="1.72"/>
    <n v="22.4"/>
    <n v="87"/>
    <s v="94/86"/>
    <n v="255"/>
    <n v="42"/>
    <n v="80"/>
    <x v="1"/>
    <s v="Y"/>
    <s v="High"/>
    <s v="N"/>
    <n v="172"/>
    <n v="0.50600000000000001"/>
    <n v="94"/>
    <n v="86"/>
    <s v="Hypertension Stage 1"/>
    <n v="183"/>
    <n v="16.28"/>
    <x v="1"/>
    <x v="1"/>
  </r>
  <r>
    <x v="0"/>
    <n v="33"/>
    <n v="66.400000000000006"/>
    <n v="1.7"/>
    <n v="23"/>
    <n v="84.7"/>
    <s v="102/62"/>
    <n v="204"/>
    <n v="71"/>
    <n v="150"/>
    <x v="0"/>
    <s v="N"/>
    <s v="Low"/>
    <s v="Y"/>
    <n v="170"/>
    <n v="0.498"/>
    <n v="102"/>
    <n v="62"/>
    <s v="Normal"/>
    <n v="103"/>
    <n v="13.78"/>
    <x v="0"/>
    <x v="0"/>
  </r>
  <r>
    <x v="0"/>
    <n v="46"/>
    <n v="91"/>
    <n v="1.84"/>
    <n v="26.9"/>
    <n v="99.6"/>
    <s v="135/76"/>
    <n v="185"/>
    <n v="74"/>
    <n v="123"/>
    <x v="0"/>
    <s v="Y"/>
    <s v="Low"/>
    <s v="N"/>
    <n v="184"/>
    <n v="0.54100000000000004"/>
    <n v="135"/>
    <n v="76"/>
    <s v="Hypertension Stage 1"/>
    <n v="81"/>
    <n v="17.829999999999998"/>
    <x v="1"/>
    <x v="1"/>
  </r>
  <r>
    <x v="1"/>
    <n v="60"/>
    <n v="113.4"/>
    <n v="1.79"/>
    <n v="35.4"/>
    <n v="72.900000000000006"/>
    <s v="103/96"/>
    <n v="230"/>
    <n v="42"/>
    <n v="145"/>
    <x v="1"/>
    <s v="N"/>
    <s v="Moderate"/>
    <s v="N"/>
    <n v="179"/>
    <n v="0.40699999999999997"/>
    <n v="103"/>
    <m/>
    <s v="Hypertension Stage 2"/>
    <n v="158"/>
    <n v="16.829999999999998"/>
    <x v="1"/>
    <x v="1"/>
  </r>
  <r>
    <x v="0"/>
    <n v="54"/>
    <n v="87.4"/>
    <n v="1.85"/>
    <n v="25.5"/>
    <n v="107.2"/>
    <s v="126/76"/>
    <n v="113"/>
    <n v="32"/>
    <n v="92"/>
    <x v="0"/>
    <s v="N"/>
    <s v="Low"/>
    <s v="N"/>
    <n v="185"/>
    <n v="0.57899999999999996"/>
    <n v="126"/>
    <n v="76"/>
    <s v="Elevated"/>
    <n v="51"/>
    <n v="13.66"/>
    <x v="1"/>
    <x v="1"/>
  </r>
  <r>
    <x v="1"/>
    <n v="34"/>
    <n v="119.6"/>
    <n v="1.75"/>
    <n v="39.1"/>
    <n v="105.6"/>
    <s v="90/82"/>
    <n v="234"/>
    <n v="79"/>
    <n v="109"/>
    <x v="0"/>
    <s v="Y"/>
    <s v="Moderate"/>
    <s v="Y"/>
    <n v="175"/>
    <n v="0.60299999999999998"/>
    <n v="90"/>
    <n v="82"/>
    <s v="Hypertension Stage 1"/>
    <n v="125"/>
    <n v="19"/>
    <x v="1"/>
    <x v="1"/>
  </r>
  <r>
    <x v="0"/>
    <n v="37"/>
    <n v="95"/>
    <n v="1.86"/>
    <n v="27.5"/>
    <n v="104.4"/>
    <s v="131/80"/>
    <n v="181"/>
    <n v="35"/>
    <n v="96"/>
    <x v="0"/>
    <s v="N"/>
    <s v="High"/>
    <s v="Y"/>
    <n v="186"/>
    <n v="0.56100000000000005"/>
    <n v="131"/>
    <n v="80"/>
    <s v="Hypertension Stage 1"/>
    <n v="116"/>
    <n v="15.67"/>
    <x v="0"/>
    <x v="0"/>
  </r>
  <r>
    <x v="0"/>
    <n v="54"/>
    <n v="73.900000000000006"/>
    <n v="1.82"/>
    <n v="22.3"/>
    <n v="72.7"/>
    <s v="94/81"/>
    <n v="247"/>
    <m/>
    <n v="107"/>
    <x v="1"/>
    <s v="Y"/>
    <s v="Low"/>
    <s v="N"/>
    <n v="182"/>
    <n v="0.39900000000000002"/>
    <n v="94"/>
    <n v="81"/>
    <s v="Hypertension Stage 1"/>
    <n v="140"/>
    <n v="16.100000000000001"/>
    <x v="1"/>
    <x v="1"/>
  </r>
  <r>
    <x v="0"/>
    <m/>
    <n v="100.6"/>
    <n v="1.6"/>
    <n v="39.299999999999997"/>
    <m/>
    <s v="91/66"/>
    <n v="298"/>
    <n v="60"/>
    <n v="76"/>
    <x v="1"/>
    <s v="N"/>
    <s v="Moderate"/>
    <s v="Y"/>
    <n v="160"/>
    <n v="0.54500000000000004"/>
    <n v="91"/>
    <n v="66"/>
    <s v="Normal"/>
    <n v="208"/>
    <n v="18.37"/>
    <x v="1"/>
    <x v="1"/>
  </r>
  <r>
    <x v="0"/>
    <n v="49"/>
    <n v="95.7"/>
    <n v="1.65"/>
    <n v="35.200000000000003"/>
    <n v="84.9"/>
    <s v="104/93"/>
    <n v="291"/>
    <n v="34"/>
    <n v="111"/>
    <x v="1"/>
    <s v="Y"/>
    <s v="Low"/>
    <s v="N"/>
    <n v="165"/>
    <n v="0.51500000000000001"/>
    <n v="104"/>
    <n v="93"/>
    <s v="Hypertension Stage 2"/>
    <n v="227"/>
    <n v="20.059999999999999"/>
    <x v="1"/>
    <x v="1"/>
  </r>
  <r>
    <x v="1"/>
    <n v="32"/>
    <n v="108"/>
    <n v="1.79"/>
    <n v="33.700000000000003"/>
    <n v="74.099999999999994"/>
    <s v="148/87"/>
    <n v="174"/>
    <n v="55"/>
    <n v="139"/>
    <x v="0"/>
    <s v="N"/>
    <s v="High"/>
    <s v="Y"/>
    <n v="179"/>
    <n v="0.41399999999999998"/>
    <n v="148"/>
    <m/>
    <s v="Hypertension Stage 1"/>
    <n v="89"/>
    <n v="17.62"/>
    <x v="0"/>
    <x v="0"/>
  </r>
  <r>
    <x v="1"/>
    <n v="58"/>
    <n v="85.5"/>
    <n v="1.83"/>
    <n v="25.5"/>
    <n v="102.1"/>
    <s v="98/60"/>
    <n v="111"/>
    <m/>
    <n v="124"/>
    <x v="1"/>
    <s v="Y"/>
    <s v="Low"/>
    <s v="Y"/>
    <n v="183"/>
    <n v="0.55800000000000005"/>
    <n v="98"/>
    <n v="60"/>
    <s v="Normal"/>
    <n v="48"/>
    <n v="14.22"/>
    <x v="1"/>
    <x v="1"/>
  </r>
  <r>
    <x v="1"/>
    <n v="52"/>
    <n v="83.6"/>
    <n v="1.64"/>
    <n v="31.1"/>
    <n v="98.2"/>
    <s v="120/94"/>
    <n v="109"/>
    <n v="78"/>
    <n v="107"/>
    <x v="0"/>
    <s v="N"/>
    <s v="Moderate"/>
    <s v="N"/>
    <n v="164"/>
    <n v="0.59899999999999998"/>
    <n v="120"/>
    <n v="94"/>
    <s v="Hypertension Stage 2"/>
    <n v="1"/>
    <n v="14.4"/>
    <x v="0"/>
    <x v="0"/>
  </r>
  <r>
    <x v="0"/>
    <n v="58"/>
    <n v="110.1"/>
    <n v="1.63"/>
    <n v="41.4"/>
    <n v="80.5"/>
    <s v="96/98"/>
    <m/>
    <n v="53"/>
    <n v="115"/>
    <x v="0"/>
    <s v="N"/>
    <s v="Moderate"/>
    <s v="Y"/>
    <n v="163"/>
    <n v="0.49399999999999999"/>
    <n v="96"/>
    <n v="98"/>
    <s v="Hypertension Stage 2"/>
    <n v="45"/>
    <n v="15.64"/>
    <x v="0"/>
    <x v="0"/>
  </r>
  <r>
    <x v="1"/>
    <n v="36"/>
    <n v="83.6"/>
    <n v="1.86"/>
    <n v="24.2"/>
    <n v="99.3"/>
    <s v="105/88"/>
    <n v="200"/>
    <n v="46"/>
    <n v="118"/>
    <x v="0"/>
    <s v="N"/>
    <s v="High"/>
    <s v="N"/>
    <n v="186"/>
    <n v="0.53400000000000003"/>
    <n v="105"/>
    <n v="88"/>
    <s v="Hypertension Stage 1"/>
    <n v="124"/>
    <n v="14.09"/>
    <x v="2"/>
    <x v="0"/>
  </r>
  <r>
    <x v="0"/>
    <n v="41"/>
    <n v="114.6"/>
    <n v="1.7"/>
    <m/>
    <n v="94"/>
    <s v="142/87"/>
    <m/>
    <n v="78"/>
    <n v="120"/>
    <x v="0"/>
    <s v="N"/>
    <s v="High"/>
    <s v="N"/>
    <n v="170"/>
    <n v="0.55300000000000005"/>
    <n v="142"/>
    <n v="87"/>
    <s v="Hypertension Stage 1"/>
    <n v="131"/>
    <n v="19.82"/>
    <x v="0"/>
    <x v="0"/>
  </r>
  <r>
    <x v="1"/>
    <n v="46"/>
    <n v="109"/>
    <n v="1.7"/>
    <m/>
    <n v="95.7"/>
    <s v="117/98"/>
    <n v="164"/>
    <n v="67"/>
    <n v="84"/>
    <x v="1"/>
    <s v="N"/>
    <s v="Moderate"/>
    <s v="N"/>
    <n v="170"/>
    <n v="0.56299999999999994"/>
    <n v="117"/>
    <n v="98"/>
    <s v="Hypertension Stage 2"/>
    <n v="67"/>
    <n v="16.670000000000002"/>
    <x v="0"/>
    <x v="0"/>
  </r>
  <r>
    <x v="0"/>
    <n v="40"/>
    <n v="112.9"/>
    <n v="1.85"/>
    <n v="33"/>
    <n v="90.9"/>
    <s v="133/94"/>
    <n v="153"/>
    <n v="36"/>
    <n v="133"/>
    <x v="1"/>
    <s v="N"/>
    <s v="Low"/>
    <s v="N"/>
    <n v="185"/>
    <n v="0.49099999999999999"/>
    <n v="133"/>
    <n v="94"/>
    <s v="Hypertension Stage 1"/>
    <n v="87"/>
    <n v="16.309999999999999"/>
    <x v="1"/>
    <x v="1"/>
  </r>
  <r>
    <x v="0"/>
    <n v="60"/>
    <n v="76.2"/>
    <n v="1.63"/>
    <n v="28.7"/>
    <n v="83.6"/>
    <s v="144/86"/>
    <n v="217"/>
    <n v="37"/>
    <n v="118"/>
    <x v="0"/>
    <s v="N"/>
    <s v="Moderate"/>
    <s v="N"/>
    <n v="163"/>
    <n v="0.51300000000000001"/>
    <n v="144"/>
    <n v="86"/>
    <s v="Hypertension Stage 1"/>
    <n v="150"/>
    <n v="17.28"/>
    <x v="1"/>
    <x v="1"/>
  </r>
  <r>
    <x v="0"/>
    <n v="47"/>
    <m/>
    <n v="1.81"/>
    <n v="17.399999999999999"/>
    <n v="90"/>
    <s v="102/86"/>
    <n v="148"/>
    <n v="52"/>
    <n v="130"/>
    <x v="0"/>
    <s v="Y"/>
    <s v="High"/>
    <s v="Y"/>
    <n v="181"/>
    <n v="0.497"/>
    <n v="102"/>
    <n v="86"/>
    <s v="Hypertension Stage 1"/>
    <n v="66"/>
    <n v="13.54"/>
    <x v="0"/>
    <x v="0"/>
  </r>
  <r>
    <x v="1"/>
    <n v="49"/>
    <n v="73.8"/>
    <n v="1.74"/>
    <n v="24.4"/>
    <n v="100.3"/>
    <s v="111/83"/>
    <n v="291"/>
    <n v="78"/>
    <n v="92"/>
    <x v="1"/>
    <s v="Y"/>
    <s v="High"/>
    <s v="Y"/>
    <n v="174"/>
    <n v="0.57599999999999996"/>
    <n v="111"/>
    <n v="83"/>
    <s v="Hypertension Stage 1"/>
    <n v="183"/>
    <m/>
    <x v="1"/>
    <x v="1"/>
  </r>
  <r>
    <x v="1"/>
    <n v="49"/>
    <n v="115.6"/>
    <n v="1.74"/>
    <n v="38.200000000000003"/>
    <n v="109.7"/>
    <s v="126/86"/>
    <n v="290"/>
    <n v="73"/>
    <n v="119"/>
    <x v="1"/>
    <s v="N"/>
    <s v="Low"/>
    <s v="Y"/>
    <n v="174"/>
    <n v="0.63"/>
    <n v="126"/>
    <n v="86"/>
    <s v="Hypertension Stage 1"/>
    <n v="187"/>
    <n v="19.739999999999998"/>
    <x v="1"/>
    <x v="1"/>
  </r>
  <r>
    <x v="0"/>
    <n v="58"/>
    <n v="98.3"/>
    <n v="1.9"/>
    <m/>
    <n v="86.9"/>
    <s v="112/84"/>
    <n v="168"/>
    <n v="74"/>
    <n v="78"/>
    <x v="0"/>
    <s v="N"/>
    <s v="High"/>
    <s v="Y"/>
    <n v="190"/>
    <n v="0.45700000000000002"/>
    <n v="112"/>
    <n v="84"/>
    <s v="Hypertension Stage 1"/>
    <n v="64"/>
    <n v="14.4"/>
    <x v="0"/>
    <x v="0"/>
  </r>
  <r>
    <x v="0"/>
    <n v="56"/>
    <n v="100.4"/>
    <n v="1.65"/>
    <n v="36.9"/>
    <n v="74.3"/>
    <s v="108/66"/>
    <n v="193"/>
    <n v="63"/>
    <n v="81"/>
    <x v="1"/>
    <s v="N"/>
    <s v="Moderate"/>
    <s v="Y"/>
    <n v="165"/>
    <n v="0.45"/>
    <n v="108"/>
    <n v="66"/>
    <s v="Normal"/>
    <n v="100"/>
    <n v="16.64"/>
    <x v="1"/>
    <x v="1"/>
  </r>
  <r>
    <x v="1"/>
    <n v="47"/>
    <n v="72.3"/>
    <n v="1.86"/>
    <n v="20.9"/>
    <n v="96.3"/>
    <s v="125/99"/>
    <n v="207"/>
    <n v="40"/>
    <n v="87"/>
    <x v="0"/>
    <s v="Y"/>
    <s v="Moderate"/>
    <s v="Y"/>
    <n v="186"/>
    <n v="0.51800000000000002"/>
    <n v="125"/>
    <n v="99"/>
    <s v="Hypertension Stage 2"/>
    <n v="137"/>
    <n v="16.57"/>
    <x v="1"/>
    <x v="1"/>
  </r>
  <r>
    <x v="1"/>
    <n v="54"/>
    <n v="58.9"/>
    <n v="1.73"/>
    <n v="19.7"/>
    <n v="101.4"/>
    <s v="119/88"/>
    <m/>
    <n v="35"/>
    <n v="118"/>
    <x v="1"/>
    <s v="Y"/>
    <s v="High"/>
    <s v="N"/>
    <n v="173"/>
    <n v="0.58599999999999997"/>
    <n v="119"/>
    <n v="88"/>
    <s v="Hypertension Stage 1"/>
    <n v="46"/>
    <n v="14.11"/>
    <x v="1"/>
    <x v="1"/>
  </r>
  <r>
    <x v="0"/>
    <n v="51"/>
    <n v="117.3"/>
    <n v="1.88"/>
    <m/>
    <n v="96.5"/>
    <s v="120/70"/>
    <n v="224"/>
    <m/>
    <n v="120"/>
    <x v="0"/>
    <s v="Y"/>
    <s v="High"/>
    <s v="N"/>
    <n v="188"/>
    <n v="0.51300000000000001"/>
    <n v="120"/>
    <m/>
    <s v="Elevated"/>
    <n v="114"/>
    <n v="19.12"/>
    <x v="1"/>
    <x v="1"/>
  </r>
  <r>
    <x v="0"/>
    <n v="55"/>
    <n v="111.9"/>
    <n v="1.81"/>
    <n v="34.200000000000003"/>
    <n v="95.2"/>
    <s v="132/71"/>
    <n v="129"/>
    <n v="78"/>
    <n v="131"/>
    <x v="1"/>
    <s v="Y"/>
    <s v="Moderate"/>
    <s v="Y"/>
    <n v="181"/>
    <n v="0.52600000000000002"/>
    <n v="132"/>
    <n v="71"/>
    <s v="Hypertension Stage 1"/>
    <n v="21"/>
    <n v="18.02"/>
    <x v="1"/>
    <x v="1"/>
  </r>
  <r>
    <x v="0"/>
    <m/>
    <n v="57.5"/>
    <n v="1.62"/>
    <n v="21.9"/>
    <n v="84.2"/>
    <s v="118/76"/>
    <n v="238"/>
    <n v="73"/>
    <n v="126"/>
    <x v="1"/>
    <s v="N"/>
    <s v="High"/>
    <s v="Y"/>
    <n v="162"/>
    <n v="0.52"/>
    <n v="118"/>
    <n v="76"/>
    <s v="Normal"/>
    <n v="135"/>
    <n v="15.04"/>
    <x v="1"/>
    <x v="1"/>
  </r>
  <r>
    <x v="1"/>
    <n v="49"/>
    <m/>
    <n v="1.69"/>
    <n v="39.4"/>
    <n v="102.6"/>
    <s v="110/77"/>
    <n v="121"/>
    <n v="77"/>
    <n v="88"/>
    <x v="0"/>
    <s v="Y"/>
    <s v="Low"/>
    <s v="N"/>
    <n v="169"/>
    <n v="0.60699999999999998"/>
    <n v="110"/>
    <n v="77"/>
    <s v="Normal"/>
    <n v="14"/>
    <n v="17.8"/>
    <x v="1"/>
    <x v="1"/>
  </r>
  <r>
    <x v="1"/>
    <n v="51"/>
    <n v="106.9"/>
    <n v="1.68"/>
    <n v="37.9"/>
    <n v="101.7"/>
    <s v="102/99"/>
    <n v="266"/>
    <n v="58"/>
    <n v="120"/>
    <x v="1"/>
    <s v="Y"/>
    <s v="Low"/>
    <s v="N"/>
    <n v="168"/>
    <n v="0.60499999999999998"/>
    <m/>
    <n v="99"/>
    <s v="Hypertension Stage 2"/>
    <n v="178"/>
    <n v="20"/>
    <x v="1"/>
    <x v="1"/>
  </r>
  <r>
    <x v="1"/>
    <n v="37"/>
    <m/>
    <n v="1.71"/>
    <n v="31.3"/>
    <n v="104.2"/>
    <s v="130/89"/>
    <n v="193"/>
    <n v="63"/>
    <m/>
    <x v="0"/>
    <s v="Y"/>
    <s v="High"/>
    <s v="Y"/>
    <n v="171"/>
    <n v="0.60899999999999999"/>
    <n v="130"/>
    <n v="89"/>
    <s v="Hypertension Stage 1"/>
    <n v="100"/>
    <n v="18.62"/>
    <x v="0"/>
    <x v="0"/>
  </r>
  <r>
    <x v="0"/>
    <n v="42"/>
    <n v="85.9"/>
    <n v="1.8"/>
    <n v="26.5"/>
    <n v="89.7"/>
    <s v="141/78"/>
    <n v="271"/>
    <n v="49"/>
    <n v="124"/>
    <x v="1"/>
    <s v="N"/>
    <s v="Moderate"/>
    <s v="Y"/>
    <n v="180"/>
    <n v="0.498"/>
    <n v="141"/>
    <n v="78"/>
    <s v="Hypertension Stage 2"/>
    <n v="192"/>
    <n v="17.77"/>
    <x v="1"/>
    <x v="1"/>
  </r>
  <r>
    <x v="0"/>
    <n v="60"/>
    <n v="51.8"/>
    <n v="1.67"/>
    <n v="18.600000000000001"/>
    <n v="87.8"/>
    <s v="95/94"/>
    <n v="198"/>
    <n v="53"/>
    <n v="117"/>
    <x v="0"/>
    <s v="Y"/>
    <s v="High"/>
    <s v="N"/>
    <n v="167"/>
    <n v="0.52600000000000002"/>
    <n v="95"/>
    <n v="94"/>
    <s v="Hypertension Stage 2"/>
    <n v="115"/>
    <n v="14.43"/>
    <x v="0"/>
    <x v="0"/>
  </r>
  <r>
    <x v="0"/>
    <n v="50"/>
    <n v="87.5"/>
    <n v="1.69"/>
    <n v="30.6"/>
    <n v="84.1"/>
    <s v="110/81"/>
    <n v="217"/>
    <n v="42"/>
    <n v="93"/>
    <x v="1"/>
    <s v="N"/>
    <s v="Moderate"/>
    <s v="Y"/>
    <n v="169"/>
    <n v="0.498"/>
    <n v="110"/>
    <n v="81"/>
    <s v="Hypertension Stage 1"/>
    <n v="145"/>
    <n v="15.96"/>
    <x v="1"/>
    <x v="1"/>
  </r>
  <r>
    <x v="0"/>
    <n v="48"/>
    <n v="117.8"/>
    <n v="1.86"/>
    <n v="34.1"/>
    <n v="73.3"/>
    <s v="116/91"/>
    <n v="100"/>
    <n v="69"/>
    <n v="150"/>
    <x v="0"/>
    <s v="N"/>
    <s v="Low"/>
    <s v="N"/>
    <n v="186"/>
    <n v="0.39400000000000002"/>
    <n v="116"/>
    <n v="91"/>
    <s v="Hypertension Stage 2"/>
    <n v="1"/>
    <n v="14.62"/>
    <x v="0"/>
    <x v="0"/>
  </r>
  <r>
    <x v="1"/>
    <n v="57"/>
    <n v="117.4"/>
    <n v="1.82"/>
    <n v="35.4"/>
    <n v="104.5"/>
    <s v="109/76"/>
    <n v="181"/>
    <n v="66"/>
    <n v="101"/>
    <x v="0"/>
    <s v="Y"/>
    <s v="High"/>
    <s v="Y"/>
    <n v="182"/>
    <n v="0.57399999999999995"/>
    <n v="109"/>
    <n v="76"/>
    <s v="Normal"/>
    <n v="85"/>
    <n v="18.149999999999999"/>
    <x v="1"/>
    <x v="1"/>
  </r>
  <r>
    <x v="0"/>
    <n v="47"/>
    <n v="57.2"/>
    <n v="1.74"/>
    <n v="18.899999999999999"/>
    <n v="87.3"/>
    <s v="112/97"/>
    <n v="231"/>
    <n v="59"/>
    <n v="77"/>
    <x v="1"/>
    <s v="N"/>
    <s v="High"/>
    <s v="Y"/>
    <n v="174"/>
    <n v="0.502"/>
    <n v="112"/>
    <n v="97"/>
    <s v="Hypertension Stage 2"/>
    <n v="142"/>
    <n v="14"/>
    <x v="1"/>
    <x v="1"/>
  </r>
  <r>
    <x v="0"/>
    <n v="38"/>
    <n v="72.7"/>
    <n v="1.77"/>
    <n v="23.2"/>
    <n v="82.2"/>
    <s v="142/73"/>
    <n v="263"/>
    <n v="73"/>
    <n v="109"/>
    <x v="0"/>
    <s v="Y"/>
    <s v="Moderate"/>
    <s v="Y"/>
    <n v="177"/>
    <n v="0.46400000000000002"/>
    <n v="142"/>
    <n v="73"/>
    <s v="Hypertension Stage 2"/>
    <n v="160"/>
    <n v="19"/>
    <x v="0"/>
    <x v="0"/>
  </r>
  <r>
    <x v="0"/>
    <n v="52"/>
    <n v="97.8"/>
    <m/>
    <n v="31.6"/>
    <n v="94.8"/>
    <s v="124/92"/>
    <n v="216"/>
    <n v="50"/>
    <n v="101"/>
    <x v="0"/>
    <s v="Y"/>
    <s v="High"/>
    <s v="N"/>
    <n v="176"/>
    <n v="0.53900000000000003"/>
    <n v="124"/>
    <n v="92"/>
    <s v="Hypertension Stage 2"/>
    <n v="136"/>
    <n v="18.84"/>
    <x v="1"/>
    <x v="1"/>
  </r>
  <r>
    <x v="1"/>
    <n v="41"/>
    <n v="59"/>
    <n v="1.74"/>
    <n v="19.5"/>
    <m/>
    <s v="91/81"/>
    <n v="200"/>
    <n v="58"/>
    <n v="104"/>
    <x v="1"/>
    <s v="Y"/>
    <s v="Low"/>
    <s v="N"/>
    <n v="174"/>
    <n v="0.62"/>
    <n v="91"/>
    <n v="81"/>
    <s v="Hypertension Stage 1"/>
    <n v="112"/>
    <n v="14.45"/>
    <x v="0"/>
    <x v="0"/>
  </r>
  <r>
    <x v="1"/>
    <n v="30"/>
    <n v="70.900000000000006"/>
    <n v="1.82"/>
    <n v="21.4"/>
    <n v="94.3"/>
    <s v="148/85"/>
    <n v="254"/>
    <n v="46"/>
    <n v="89"/>
    <x v="0"/>
    <s v="Y"/>
    <s v="High"/>
    <s v="N"/>
    <n v="182"/>
    <n v="0.51800000000000002"/>
    <n v="148"/>
    <m/>
    <s v="Hypertension Stage 1"/>
    <n v="178"/>
    <n v="18.760000000000002"/>
    <x v="0"/>
    <x v="0"/>
  </r>
  <r>
    <x v="0"/>
    <n v="33"/>
    <n v="64.099999999999994"/>
    <n v="1.86"/>
    <n v="18.5"/>
    <m/>
    <s v="130/99"/>
    <n v="253"/>
    <n v="46"/>
    <n v="103"/>
    <x v="0"/>
    <s v="N"/>
    <s v="Low"/>
    <s v="N"/>
    <n v="186"/>
    <n v="0.45600000000000002"/>
    <n v="130"/>
    <n v="99"/>
    <s v="Hypertension Stage 1"/>
    <n v="177"/>
    <n v="15.26"/>
    <x v="0"/>
    <x v="0"/>
  </r>
  <r>
    <x v="0"/>
    <n v="54"/>
    <n v="53.3"/>
    <n v="1.84"/>
    <n v="15.7"/>
    <n v="107.3"/>
    <s v="142/72"/>
    <n v="157"/>
    <n v="47"/>
    <n v="75"/>
    <x v="1"/>
    <s v="Y"/>
    <s v="Low"/>
    <s v="Y"/>
    <n v="184"/>
    <n v="0.58299999999999996"/>
    <n v="142"/>
    <n v="72"/>
    <s v="Hypertension Stage 2"/>
    <n v="80"/>
    <n v="15.38"/>
    <x v="1"/>
    <x v="1"/>
  </r>
  <r>
    <x v="0"/>
    <n v="35"/>
    <n v="54.5"/>
    <n v="1.83"/>
    <n v="16.3"/>
    <n v="77.400000000000006"/>
    <s v="119/83"/>
    <n v="189"/>
    <n v="30"/>
    <n v="92"/>
    <x v="1"/>
    <s v="N"/>
    <s v="Moderate"/>
    <s v="N"/>
    <n v="183"/>
    <n v="0.42299999999999999"/>
    <n v="119"/>
    <n v="83"/>
    <s v="Hypertension Stage 1"/>
    <n v="129"/>
    <n v="12.99"/>
    <x v="0"/>
    <x v="0"/>
  </r>
  <r>
    <x v="1"/>
    <n v="41"/>
    <n v="64.5"/>
    <n v="1.84"/>
    <n v="19.100000000000001"/>
    <n v="78.400000000000006"/>
    <s v="118/100"/>
    <n v="163"/>
    <n v="79"/>
    <n v="143"/>
    <x v="0"/>
    <s v="N"/>
    <s v="High"/>
    <s v="Y"/>
    <n v="184"/>
    <n v="0.42599999999999999"/>
    <n v="118"/>
    <n v="100"/>
    <s v="Hypertension Stage 2"/>
    <n v="54"/>
    <n v="12.98"/>
    <x v="2"/>
    <x v="0"/>
  </r>
  <r>
    <x v="0"/>
    <n v="49"/>
    <n v="100.4"/>
    <n v="1.68"/>
    <n v="35.6"/>
    <n v="94.7"/>
    <s v="147/74"/>
    <n v="261"/>
    <n v="65"/>
    <n v="96"/>
    <x v="0"/>
    <s v="Y"/>
    <s v="Low"/>
    <s v="N"/>
    <n v="168"/>
    <n v="0.56399999999999995"/>
    <n v="147"/>
    <n v="74"/>
    <s v="Hypertension Stage 2"/>
    <n v="166"/>
    <n v="21.69"/>
    <x v="1"/>
    <x v="1"/>
  </r>
  <r>
    <x v="0"/>
    <n v="45"/>
    <n v="109.1"/>
    <n v="1.7"/>
    <n v="37.799999999999997"/>
    <n v="104.3"/>
    <s v="142/76"/>
    <n v="296"/>
    <n v="78"/>
    <n v="132"/>
    <x v="1"/>
    <s v="N"/>
    <s v="Low"/>
    <s v="Y"/>
    <n v="170"/>
    <n v="0.61399999999999999"/>
    <n v="142"/>
    <n v="76"/>
    <s v="Hypertension Stage 2"/>
    <n v="188"/>
    <n v="20.58"/>
    <x v="1"/>
    <x v="1"/>
  </r>
  <r>
    <x v="1"/>
    <n v="48"/>
    <n v="100.6"/>
    <n v="1.66"/>
    <n v="36.5"/>
    <n v="107.8"/>
    <s v="127/93"/>
    <n v="257"/>
    <n v="56"/>
    <n v="150"/>
    <x v="0"/>
    <s v="N"/>
    <s v="Moderate"/>
    <s v="N"/>
    <n v="166"/>
    <n v="0.64900000000000002"/>
    <n v="127"/>
    <n v="93"/>
    <s v="Hypertension Stage 2"/>
    <n v="171"/>
    <n v="18.79"/>
    <x v="0"/>
    <x v="0"/>
  </r>
  <r>
    <x v="0"/>
    <n v="30"/>
    <n v="60.5"/>
    <n v="1.87"/>
    <n v="17.3"/>
    <n v="80"/>
    <s v="91/70"/>
    <n v="179"/>
    <n v="38"/>
    <n v="144"/>
    <x v="1"/>
    <s v="Y"/>
    <s v="Moderate"/>
    <s v="Y"/>
    <n v="187"/>
    <m/>
    <n v="91"/>
    <n v="70"/>
    <s v="Normal"/>
    <n v="111"/>
    <n v="13.59"/>
    <x v="1"/>
    <x v="1"/>
  </r>
  <r>
    <x v="0"/>
    <n v="46"/>
    <n v="112.3"/>
    <n v="1.73"/>
    <n v="37.5"/>
    <n v="87.9"/>
    <s v="116/87"/>
    <n v="207"/>
    <n v="66"/>
    <n v="138"/>
    <x v="1"/>
    <s v="Y"/>
    <s v="Low"/>
    <s v="N"/>
    <n v="173"/>
    <n v="0.50800000000000001"/>
    <n v="116"/>
    <n v="87"/>
    <s v="Hypertension Stage 1"/>
    <m/>
    <n v="19.440000000000001"/>
    <x v="1"/>
    <x v="1"/>
  </r>
  <r>
    <x v="0"/>
    <n v="49"/>
    <n v="92.3"/>
    <n v="1.69"/>
    <n v="32.299999999999997"/>
    <n v="107.1"/>
    <s v="147/79"/>
    <n v="230"/>
    <n v="70"/>
    <n v="74"/>
    <x v="1"/>
    <s v="N"/>
    <s v="Low"/>
    <s v="N"/>
    <n v="169"/>
    <n v="0.63400000000000001"/>
    <n v="147"/>
    <n v="79"/>
    <s v="Hypertension Stage 2"/>
    <n v="130"/>
    <n v="18.41"/>
    <x v="1"/>
    <x v="1"/>
  </r>
  <r>
    <x v="1"/>
    <n v="47"/>
    <m/>
    <n v="1.86"/>
    <n v="33.9"/>
    <n v="99.5"/>
    <s v="97/72"/>
    <n v="218"/>
    <m/>
    <n v="108"/>
    <x v="1"/>
    <s v="N"/>
    <s v="Low"/>
    <s v="N"/>
    <n v="186"/>
    <n v="0.53500000000000003"/>
    <n v="97"/>
    <n v="72"/>
    <s v="Normal"/>
    <n v="152"/>
    <n v="15.99"/>
    <x v="1"/>
    <x v="1"/>
  </r>
  <r>
    <x v="0"/>
    <n v="40"/>
    <n v="115.2"/>
    <n v="1.66"/>
    <n v="41.8"/>
    <n v="75.2"/>
    <s v="119/72"/>
    <n v="300"/>
    <n v="40"/>
    <n v="146"/>
    <x v="0"/>
    <s v="N"/>
    <s v="Moderate"/>
    <s v="Y"/>
    <n v="166"/>
    <n v="0.45300000000000001"/>
    <n v="119"/>
    <n v="72"/>
    <s v="Normal"/>
    <n v="230"/>
    <m/>
    <x v="0"/>
    <x v="0"/>
  </r>
  <r>
    <x v="0"/>
    <n v="50"/>
    <n v="72.8"/>
    <n v="1.79"/>
    <n v="22.7"/>
    <n v="76.8"/>
    <s v="119/81"/>
    <n v="276"/>
    <n v="36"/>
    <n v="75"/>
    <x v="1"/>
    <s v="N"/>
    <s v="Moderate"/>
    <s v="Y"/>
    <n v="179"/>
    <n v="0.42899999999999999"/>
    <n v="119"/>
    <n v="81"/>
    <s v="Hypertension Stage 1"/>
    <n v="210"/>
    <n v="16.010000000000002"/>
    <x v="1"/>
    <x v="1"/>
  </r>
  <r>
    <x v="1"/>
    <m/>
    <n v="70.900000000000006"/>
    <n v="1.8"/>
    <n v="21.9"/>
    <n v="88"/>
    <s v="137/91"/>
    <n v="271"/>
    <n v="67"/>
    <n v="150"/>
    <x v="0"/>
    <s v="Y"/>
    <s v="Low"/>
    <s v="Y"/>
    <n v="180"/>
    <n v="0.48899999999999999"/>
    <n v="137"/>
    <n v="91"/>
    <s v="Hypertension Stage 1"/>
    <n v="174"/>
    <n v="18.649999999999999"/>
    <x v="1"/>
    <x v="1"/>
  </r>
  <r>
    <x v="0"/>
    <n v="44"/>
    <n v="58.1"/>
    <n v="1.78"/>
    <m/>
    <n v="98.9"/>
    <s v="93/61"/>
    <n v="173"/>
    <n v="36"/>
    <n v="130"/>
    <x v="1"/>
    <s v="Y"/>
    <s v="Low"/>
    <s v="Y"/>
    <n v="178"/>
    <n v="0.55600000000000005"/>
    <n v="93"/>
    <m/>
    <s v="Normal"/>
    <n v="107"/>
    <n v="13.77"/>
    <x v="1"/>
    <x v="1"/>
  </r>
  <r>
    <x v="1"/>
    <n v="47"/>
    <n v="54.6"/>
    <n v="1.68"/>
    <n v="19.3"/>
    <n v="99.6"/>
    <s v="134/72"/>
    <n v="172"/>
    <n v="36"/>
    <n v="150"/>
    <x v="1"/>
    <s v="Y"/>
    <s v="Low"/>
    <s v="Y"/>
    <n v="168"/>
    <n v="0.59299999999999997"/>
    <n v="134"/>
    <n v="72"/>
    <s v="Hypertension Stage 1"/>
    <n v="106"/>
    <n v="16"/>
    <x v="1"/>
    <x v="1"/>
  </r>
  <r>
    <x v="1"/>
    <n v="53"/>
    <n v="75.7"/>
    <n v="1.7"/>
    <n v="26.2"/>
    <n v="91"/>
    <s v="103/69"/>
    <n v="280"/>
    <n v="52"/>
    <n v="72"/>
    <x v="0"/>
    <s v="Y"/>
    <s v="Moderate"/>
    <s v="Y"/>
    <n v="170"/>
    <m/>
    <n v="103"/>
    <n v="69"/>
    <s v="Normal"/>
    <n v="198"/>
    <n v="17.989999999999998"/>
    <x v="1"/>
    <x v="1"/>
  </r>
  <r>
    <x v="0"/>
    <n v="51"/>
    <n v="116.2"/>
    <n v="1.89"/>
    <n v="32.5"/>
    <n v="81.3"/>
    <s v="118/84"/>
    <n v="108"/>
    <n v="43"/>
    <n v="103"/>
    <x v="0"/>
    <s v="Y"/>
    <s v="High"/>
    <s v="Y"/>
    <n v="189"/>
    <n v="0.43"/>
    <m/>
    <n v="84"/>
    <s v="Hypertension Stage 1"/>
    <n v="35"/>
    <n v="16.559999999999999"/>
    <x v="1"/>
    <x v="1"/>
  </r>
  <r>
    <x v="1"/>
    <n v="33"/>
    <n v="116.5"/>
    <n v="1.63"/>
    <n v="43.8"/>
    <n v="86.7"/>
    <s v="150/80"/>
    <n v="281"/>
    <n v="66"/>
    <n v="130"/>
    <x v="1"/>
    <s v="Y"/>
    <s v="Low"/>
    <s v="N"/>
    <n v="163"/>
    <n v="0.53200000000000003"/>
    <n v="150"/>
    <n v="80"/>
    <s v="Hypertension Stage 1"/>
    <n v="185"/>
    <n v="23.88"/>
    <x v="1"/>
    <x v="1"/>
  </r>
  <r>
    <x v="1"/>
    <n v="39"/>
    <n v="62.3"/>
    <n v="1.89"/>
    <n v="17.399999999999999"/>
    <n v="96.8"/>
    <s v="125/64"/>
    <n v="256"/>
    <n v="60"/>
    <n v="93"/>
    <x v="1"/>
    <s v="Y"/>
    <s v="Low"/>
    <s v="Y"/>
    <n v="189"/>
    <n v="0.51200000000000001"/>
    <n v="125"/>
    <n v="64"/>
    <s v="Elevated"/>
    <n v="166"/>
    <n v="16.850000000000001"/>
    <x v="1"/>
    <x v="1"/>
  </r>
  <r>
    <x v="0"/>
    <n v="48"/>
    <n v="59.4"/>
    <n v="1.88"/>
    <n v="16.8"/>
    <n v="91.2"/>
    <s v="102/84"/>
    <n v="214"/>
    <n v="69"/>
    <n v="77"/>
    <x v="0"/>
    <s v="N"/>
    <s v="Low"/>
    <s v="Y"/>
    <n v="188"/>
    <n v="0.48499999999999999"/>
    <n v="102"/>
    <n v="84"/>
    <s v="Hypertension Stage 1"/>
    <n v="115"/>
    <n v="12.74"/>
    <x v="1"/>
    <x v="1"/>
  </r>
  <r>
    <x v="0"/>
    <n v="40"/>
    <m/>
    <n v="1.71"/>
    <n v="20.5"/>
    <n v="101.5"/>
    <s v="117/86"/>
    <n v="127"/>
    <n v="34"/>
    <n v="88"/>
    <x v="1"/>
    <s v="Y"/>
    <s v="Low"/>
    <s v="N"/>
    <n v="171"/>
    <n v="0.59399999999999997"/>
    <n v="117"/>
    <n v="86"/>
    <s v="Hypertension Stage 1"/>
    <n v="63"/>
    <n v="14.49"/>
    <x v="1"/>
    <x v="1"/>
  </r>
  <r>
    <x v="0"/>
    <m/>
    <n v="86.2"/>
    <n v="1.72"/>
    <n v="29.1"/>
    <n v="109.5"/>
    <s v="112/79"/>
    <n v="282"/>
    <n v="53"/>
    <n v="107"/>
    <x v="1"/>
    <s v="Y"/>
    <s v="Moderate"/>
    <s v="N"/>
    <n v="172"/>
    <n v="0.63700000000000001"/>
    <n v="112"/>
    <n v="79"/>
    <s v="Normal"/>
    <m/>
    <n v="19.059999999999999"/>
    <x v="1"/>
    <x v="1"/>
  </r>
  <r>
    <x v="0"/>
    <n v="43"/>
    <m/>
    <n v="1.62"/>
    <n v="30.7"/>
    <n v="89.4"/>
    <s v="120/100"/>
    <n v="209"/>
    <n v="66"/>
    <n v="111"/>
    <x v="0"/>
    <s v="N"/>
    <s v="High"/>
    <s v="N"/>
    <n v="162"/>
    <n v="0.55200000000000005"/>
    <n v="120"/>
    <m/>
    <s v="Hypertension Stage 2"/>
    <n v="113"/>
    <n v="16.32"/>
    <x v="0"/>
    <x v="0"/>
  </r>
  <r>
    <x v="1"/>
    <m/>
    <n v="52.8"/>
    <n v="1.8"/>
    <n v="16.3"/>
    <n v="77.3"/>
    <s v="113/96"/>
    <n v="167"/>
    <n v="32"/>
    <n v="135"/>
    <x v="0"/>
    <s v="Y"/>
    <s v="Low"/>
    <s v="N"/>
    <n v="180"/>
    <n v="0.42899999999999999"/>
    <n v="113"/>
    <n v="96"/>
    <s v="Hypertension Stage 2"/>
    <n v="105"/>
    <n v="14.25"/>
    <x v="0"/>
    <x v="0"/>
  </r>
  <r>
    <x v="1"/>
    <n v="41"/>
    <n v="92"/>
    <n v="1.77"/>
    <n v="29.4"/>
    <n v="98.6"/>
    <s v="113/87"/>
    <n v="256"/>
    <n v="49"/>
    <n v="75"/>
    <x v="0"/>
    <s v="N"/>
    <s v="High"/>
    <s v="Y"/>
    <n v="177"/>
    <n v="0.55700000000000005"/>
    <m/>
    <n v="87"/>
    <s v="Hypertension Stage 1"/>
    <n v="177"/>
    <n v="16.649999999999999"/>
    <x v="0"/>
    <x v="0"/>
  </r>
  <r>
    <x v="1"/>
    <n v="32"/>
    <n v="106.7"/>
    <n v="1.85"/>
    <n v="31.2"/>
    <n v="72.599999999999994"/>
    <s v="102/74"/>
    <n v="100"/>
    <n v="55"/>
    <n v="95"/>
    <x v="1"/>
    <s v="Y"/>
    <s v="Moderate"/>
    <s v="Y"/>
    <n v="185"/>
    <n v="0.39200000000000002"/>
    <n v="102"/>
    <n v="74"/>
    <s v="Normal"/>
    <n v="15"/>
    <n v="15.34"/>
    <x v="1"/>
    <x v="1"/>
  </r>
  <r>
    <x v="0"/>
    <n v="43"/>
    <n v="62.2"/>
    <n v="1.66"/>
    <n v="22.6"/>
    <n v="93.9"/>
    <s v="118/84"/>
    <n v="164"/>
    <n v="38"/>
    <n v="88"/>
    <x v="0"/>
    <s v="Y"/>
    <s v="High"/>
    <s v="Y"/>
    <n v="166"/>
    <n v="0.56599999999999995"/>
    <n v="118"/>
    <n v="84"/>
    <s v="Hypertension Stage 1"/>
    <n v="96"/>
    <n v="15.7"/>
    <x v="0"/>
    <x v="0"/>
  </r>
  <r>
    <x v="0"/>
    <n v="37"/>
    <n v="99.6"/>
    <n v="1.8"/>
    <n v="30.7"/>
    <n v="102.4"/>
    <s v="120/97"/>
    <n v="232"/>
    <n v="73"/>
    <m/>
    <x v="0"/>
    <s v="N"/>
    <s v="Low"/>
    <s v="N"/>
    <n v="180"/>
    <n v="0.56899999999999995"/>
    <n v="120"/>
    <n v="97"/>
    <s v="Hypertension Stage 2"/>
    <n v="129"/>
    <n v="16.78"/>
    <x v="0"/>
    <x v="0"/>
  </r>
  <r>
    <x v="0"/>
    <n v="59"/>
    <n v="52.4"/>
    <n v="1.66"/>
    <n v="19"/>
    <n v="95.6"/>
    <s v="93/73"/>
    <n v="103"/>
    <n v="37"/>
    <n v="144"/>
    <x v="1"/>
    <s v="Y"/>
    <s v="Low"/>
    <s v="Y"/>
    <m/>
    <n v="0.57599999999999996"/>
    <n v="93"/>
    <n v="73"/>
    <s v="Normal"/>
    <n v="36"/>
    <m/>
    <x v="1"/>
    <x v="1"/>
  </r>
  <r>
    <x v="1"/>
    <n v="35"/>
    <n v="118.4"/>
    <n v="1.76"/>
    <n v="38.200000000000003"/>
    <n v="74.400000000000006"/>
    <s v="96/71"/>
    <n v="162"/>
    <n v="32"/>
    <n v="107"/>
    <x v="1"/>
    <s v="Y"/>
    <s v="High"/>
    <s v="N"/>
    <n v="176"/>
    <n v="0.42299999999999999"/>
    <n v="96"/>
    <n v="71"/>
    <s v="Normal"/>
    <n v="100"/>
    <n v="17.68"/>
    <x v="1"/>
    <x v="1"/>
  </r>
  <r>
    <x v="1"/>
    <n v="34"/>
    <n v="60.4"/>
    <n v="1.81"/>
    <n v="18.399999999999999"/>
    <n v="94.6"/>
    <s v="136/67"/>
    <n v="268"/>
    <n v="56"/>
    <n v="85"/>
    <x v="1"/>
    <s v="N"/>
    <s v="High"/>
    <s v="N"/>
    <n v="181"/>
    <n v="0.52300000000000002"/>
    <n v="136"/>
    <n v="67"/>
    <s v="Hypertension Stage 1"/>
    <n v="182"/>
    <n v="15.84"/>
    <x v="0"/>
    <x v="0"/>
  </r>
  <r>
    <x v="1"/>
    <n v="57"/>
    <n v="109.7"/>
    <n v="1.73"/>
    <n v="36.700000000000003"/>
    <m/>
    <s v="94/85"/>
    <n v="142"/>
    <n v="32"/>
    <n v="114"/>
    <x v="0"/>
    <s v="Y"/>
    <s v="Low"/>
    <s v="Y"/>
    <n v="173"/>
    <n v="0.436"/>
    <n v="94"/>
    <n v="85"/>
    <s v="Hypertension Stage 1"/>
    <n v="80"/>
    <n v="16.88"/>
    <x v="1"/>
    <x v="1"/>
  </r>
  <r>
    <x v="0"/>
    <n v="32"/>
    <n v="110.3"/>
    <n v="1.7"/>
    <n v="38.200000000000003"/>
    <n v="73.5"/>
    <s v="112/63"/>
    <n v="290"/>
    <n v="78"/>
    <m/>
    <x v="1"/>
    <s v="Y"/>
    <s v="Low"/>
    <s v="N"/>
    <n v="170"/>
    <n v="0.432"/>
    <n v="112"/>
    <n v="63"/>
    <s v="Normal"/>
    <n v="182"/>
    <n v="21.04"/>
    <x v="1"/>
    <x v="1"/>
  </r>
  <r>
    <x v="0"/>
    <n v="42"/>
    <n v="109.2"/>
    <n v="1.86"/>
    <n v="31.6"/>
    <n v="91"/>
    <s v="146/74"/>
    <n v="277"/>
    <n v="30"/>
    <n v="107"/>
    <x v="0"/>
    <s v="N"/>
    <s v="High"/>
    <s v="N"/>
    <n v="186"/>
    <n v="0.48899999999999999"/>
    <n v="146"/>
    <n v="74"/>
    <s v="Hypertension Stage 2"/>
    <n v="217"/>
    <n v="19.16"/>
    <x v="0"/>
    <x v="0"/>
  </r>
  <r>
    <x v="0"/>
    <n v="57"/>
    <n v="118.9"/>
    <n v="1.89"/>
    <n v="33.299999999999997"/>
    <n v="76.7"/>
    <s v="147/74"/>
    <n v="193"/>
    <n v="43"/>
    <n v="81"/>
    <x v="1"/>
    <s v="N"/>
    <s v="Moderate"/>
    <s v="N"/>
    <n v="189"/>
    <n v="0.40600000000000003"/>
    <n v="147"/>
    <n v="74"/>
    <s v="Hypertension Stage 2"/>
    <n v="120"/>
    <n v="17.87"/>
    <x v="0"/>
    <x v="0"/>
  </r>
  <r>
    <x v="1"/>
    <n v="35"/>
    <n v="63"/>
    <n v="1.76"/>
    <n v="20.3"/>
    <n v="91.9"/>
    <s v="139/89"/>
    <n v="187"/>
    <n v="74"/>
    <n v="146"/>
    <x v="1"/>
    <s v="N"/>
    <s v="Moderate"/>
    <s v="Y"/>
    <n v="176"/>
    <n v="0.52200000000000002"/>
    <n v="139"/>
    <n v="89"/>
    <s v="Hypertension Stage 1"/>
    <n v="83"/>
    <n v="14.75"/>
    <x v="0"/>
    <x v="0"/>
  </r>
  <r>
    <x v="0"/>
    <n v="47"/>
    <n v="77.2"/>
    <n v="1.61"/>
    <n v="29.8"/>
    <n v="86.9"/>
    <s v="129/88"/>
    <n v="276"/>
    <n v="78"/>
    <n v="86"/>
    <x v="0"/>
    <s v="N"/>
    <s v="Low"/>
    <s v="Y"/>
    <n v="161"/>
    <n v="0.54"/>
    <n v="129"/>
    <n v="88"/>
    <s v="Hypertension Stage 1"/>
    <n v="168"/>
    <n v="17.93"/>
    <x v="1"/>
    <x v="1"/>
  </r>
  <r>
    <x v="1"/>
    <n v="55"/>
    <n v="52.9"/>
    <n v="1.69"/>
    <n v="18.5"/>
    <m/>
    <s v="106/66"/>
    <n v="170"/>
    <n v="59"/>
    <n v="130"/>
    <x v="0"/>
    <s v="Y"/>
    <s v="High"/>
    <s v="Y"/>
    <n v="169"/>
    <n v="0.45600000000000002"/>
    <n v="106"/>
    <n v="66"/>
    <s v="Normal"/>
    <n v="81"/>
    <n v="14.4"/>
    <x v="0"/>
    <x v="0"/>
  </r>
  <r>
    <x v="1"/>
    <n v="32"/>
    <n v="75.8"/>
    <n v="1.9"/>
    <n v="21"/>
    <n v="104"/>
    <s v="138/81"/>
    <n v="239"/>
    <n v="47"/>
    <n v="116"/>
    <x v="1"/>
    <s v="Y"/>
    <s v="Low"/>
    <s v="Y"/>
    <n v="190"/>
    <n v="0.54700000000000004"/>
    <n v="138"/>
    <n v="81"/>
    <s v="Hypertension Stage 1"/>
    <n v="162"/>
    <n v="17.88"/>
    <x v="1"/>
    <x v="1"/>
  </r>
  <r>
    <x v="0"/>
    <m/>
    <n v="76.3"/>
    <n v="1.63"/>
    <n v="28.7"/>
    <n v="71.400000000000006"/>
    <s v="91/80"/>
    <n v="183"/>
    <n v="50"/>
    <n v="84"/>
    <x v="1"/>
    <s v="N"/>
    <s v="Moderate"/>
    <s v="Y"/>
    <n v="163"/>
    <n v="0.438"/>
    <n v="91"/>
    <n v="80"/>
    <s v="Hypertension Stage 1"/>
    <n v="103"/>
    <n v="13.95"/>
    <x v="1"/>
    <x v="1"/>
  </r>
  <r>
    <x v="1"/>
    <n v="34"/>
    <n v="55"/>
    <n v="1.73"/>
    <m/>
    <n v="78.8"/>
    <s v="140/88"/>
    <n v="174"/>
    <n v="56"/>
    <n v="95"/>
    <x v="1"/>
    <s v="N"/>
    <s v="Low"/>
    <s v="Y"/>
    <n v="173"/>
    <n v="0.45500000000000002"/>
    <n v="140"/>
    <n v="88"/>
    <s v="Hypertension Stage 1"/>
    <n v="88"/>
    <n v="14.16"/>
    <x v="0"/>
    <x v="0"/>
  </r>
  <r>
    <x v="0"/>
    <n v="43"/>
    <n v="59.6"/>
    <n v="1.78"/>
    <n v="18.8"/>
    <n v="70.3"/>
    <s v="128/94"/>
    <m/>
    <n v="34"/>
    <n v="84"/>
    <x v="1"/>
    <s v="Y"/>
    <s v="High"/>
    <s v="N"/>
    <n v="178"/>
    <n v="0.39500000000000002"/>
    <n v="128"/>
    <n v="94"/>
    <s v="Hypertension Stage 2"/>
    <n v="172"/>
    <n v="16.88"/>
    <x v="1"/>
    <x v="1"/>
  </r>
  <r>
    <x v="0"/>
    <n v="31"/>
    <n v="94.7"/>
    <n v="1.7"/>
    <n v="32.799999999999997"/>
    <n v="90.1"/>
    <s v="115/60"/>
    <n v="105"/>
    <n v="31"/>
    <n v="79"/>
    <x v="1"/>
    <s v="Y"/>
    <s v="Low"/>
    <s v="N"/>
    <n v="170"/>
    <n v="0.53"/>
    <n v="115"/>
    <n v="60"/>
    <s v="Normal"/>
    <n v="44"/>
    <n v="16.41"/>
    <x v="1"/>
    <x v="1"/>
  </r>
  <r>
    <x v="1"/>
    <n v="52"/>
    <n v="105.5"/>
    <n v="1.88"/>
    <n v="29.8"/>
    <n v="90.4"/>
    <s v="102/82"/>
    <n v="241"/>
    <n v="67"/>
    <n v="134"/>
    <x v="1"/>
    <s v="N"/>
    <s v="Low"/>
    <s v="N"/>
    <n v="188"/>
    <n v="0.48099999999999998"/>
    <n v="102"/>
    <n v="82"/>
    <s v="Hypertension Stage 1"/>
    <n v="144"/>
    <n v="15.88"/>
    <x v="1"/>
    <x v="1"/>
  </r>
  <r>
    <x v="1"/>
    <n v="55"/>
    <n v="84.6"/>
    <n v="1.77"/>
    <n v="27"/>
    <n v="79.599999999999994"/>
    <s v="101/96"/>
    <n v="273"/>
    <n v="33"/>
    <n v="100"/>
    <x v="1"/>
    <s v="N"/>
    <s v="High"/>
    <s v="N"/>
    <n v="177"/>
    <n v="0.45"/>
    <n v="101"/>
    <n v="96"/>
    <s v="Hypertension Stage 2"/>
    <n v="210"/>
    <n v="15.91"/>
    <x v="1"/>
    <x v="1"/>
  </r>
  <r>
    <x v="0"/>
    <n v="31"/>
    <n v="105.5"/>
    <n v="1.77"/>
    <n v="33.700000000000003"/>
    <n v="77.900000000000006"/>
    <s v="142/67"/>
    <n v="134"/>
    <n v="63"/>
    <n v="85"/>
    <x v="0"/>
    <s v="N"/>
    <s v="High"/>
    <s v="Y"/>
    <n v="177"/>
    <n v="0.44"/>
    <n v="142"/>
    <n v="67"/>
    <s v="Hypertension Stage 2"/>
    <n v="41"/>
    <n v="16.52"/>
    <x v="0"/>
    <x v="0"/>
  </r>
  <r>
    <x v="1"/>
    <n v="43"/>
    <n v="83.6"/>
    <n v="1.88"/>
    <n v="23.7"/>
    <n v="91"/>
    <s v="106/92"/>
    <n v="245"/>
    <n v="38"/>
    <n v="138"/>
    <x v="1"/>
    <s v="Y"/>
    <s v="Low"/>
    <s v="Y"/>
    <n v="188"/>
    <n v="0.48399999999999999"/>
    <n v="106"/>
    <n v="92"/>
    <s v="Hypertension Stage 2"/>
    <n v="177"/>
    <n v="16.940000000000001"/>
    <x v="1"/>
    <x v="1"/>
  </r>
  <r>
    <x v="0"/>
    <n v="31"/>
    <n v="119.5"/>
    <n v="1.61"/>
    <n v="46.1"/>
    <n v="82.7"/>
    <s v="145/93"/>
    <n v="252"/>
    <n v="58"/>
    <n v="93"/>
    <x v="0"/>
    <s v="Y"/>
    <s v="High"/>
    <s v="N"/>
    <n v="161"/>
    <n v="0.51400000000000001"/>
    <n v="145"/>
    <n v="93"/>
    <s v="Hypertension Stage 2"/>
    <n v="164"/>
    <n v="23.51"/>
    <x v="0"/>
    <x v="0"/>
  </r>
  <r>
    <x v="1"/>
    <n v="40"/>
    <n v="56.4"/>
    <n v="1.85"/>
    <n v="16.5"/>
    <n v="84.2"/>
    <s v="144/85"/>
    <n v="155"/>
    <n v="53"/>
    <n v="104"/>
    <x v="0"/>
    <s v="N"/>
    <s v="Moderate"/>
    <s v="Y"/>
    <n v="185"/>
    <n v="0.45500000000000002"/>
    <n v="144"/>
    <n v="85"/>
    <s v="Hypertension Stage 1"/>
    <n v="72"/>
    <n v="13.6"/>
    <x v="2"/>
    <x v="0"/>
  </r>
  <r>
    <x v="0"/>
    <n v="41"/>
    <n v="97"/>
    <n v="1.87"/>
    <n v="27.7"/>
    <n v="97.4"/>
    <s v="143/100"/>
    <n v="147"/>
    <n v="73"/>
    <n v="92"/>
    <x v="0"/>
    <s v="Y"/>
    <s v="Low"/>
    <s v="N"/>
    <n v="187"/>
    <n v="0.52100000000000002"/>
    <m/>
    <n v="100"/>
    <s v="Hypertension Stage 2"/>
    <n v="44"/>
    <n v="17.63"/>
    <x v="0"/>
    <x v="0"/>
  </r>
  <r>
    <x v="1"/>
    <n v="50"/>
    <n v="74.7"/>
    <n v="1.66"/>
    <n v="27.1"/>
    <n v="71.900000000000006"/>
    <s v="92/60"/>
    <n v="119"/>
    <n v="46"/>
    <n v="104"/>
    <x v="0"/>
    <s v="Y"/>
    <s v="High"/>
    <s v="Y"/>
    <n v="166"/>
    <n v="0.433"/>
    <n v="92"/>
    <n v="60"/>
    <s v="Normal"/>
    <n v="43"/>
    <n v="14.4"/>
    <x v="1"/>
    <x v="1"/>
  </r>
  <r>
    <x v="0"/>
    <n v="34"/>
    <n v="85.3"/>
    <n v="1.65"/>
    <n v="31.3"/>
    <n v="80.8"/>
    <s v="104/85"/>
    <n v="233"/>
    <n v="55"/>
    <n v="137"/>
    <x v="1"/>
    <s v="Y"/>
    <s v="Moderate"/>
    <s v="Y"/>
    <n v="165"/>
    <n v="0.49"/>
    <n v="104"/>
    <n v="85"/>
    <s v="Hypertension Stage 1"/>
    <n v="148"/>
    <n v="18.12"/>
    <x v="1"/>
    <x v="1"/>
  </r>
  <r>
    <x v="1"/>
    <n v="35"/>
    <m/>
    <n v="1.71"/>
    <n v="31.2"/>
    <n v="88.1"/>
    <s v="140/66"/>
    <n v="218"/>
    <m/>
    <n v="137"/>
    <x v="1"/>
    <s v="N"/>
    <s v="Moderate"/>
    <s v="Y"/>
    <n v="171"/>
    <n v="0.51500000000000001"/>
    <n v="140"/>
    <n v="66"/>
    <s v="Hypertension Stage 2"/>
    <n v="138"/>
    <n v="17.600000000000001"/>
    <x v="1"/>
    <x v="1"/>
  </r>
  <r>
    <x v="0"/>
    <n v="54"/>
    <n v="109.4"/>
    <n v="1.83"/>
    <n v="32.700000000000003"/>
    <n v="88.5"/>
    <s v="127/84"/>
    <n v="150"/>
    <n v="46"/>
    <n v="78"/>
    <x v="1"/>
    <s v="Y"/>
    <s v="Moderate"/>
    <s v="Y"/>
    <n v="183"/>
    <n v="0.48399999999999999"/>
    <n v="127"/>
    <n v="84"/>
    <s v="Hypertension Stage 1"/>
    <n v="74"/>
    <n v="17.89"/>
    <x v="1"/>
    <x v="1"/>
  </r>
  <r>
    <x v="1"/>
    <m/>
    <n v="98.7"/>
    <n v="1.63"/>
    <n v="37.1"/>
    <n v="89.7"/>
    <s v="139/93"/>
    <n v="158"/>
    <n v="64"/>
    <n v="131"/>
    <x v="1"/>
    <s v="Y"/>
    <s v="Moderate"/>
    <s v="Y"/>
    <n v="163"/>
    <n v="0.55000000000000004"/>
    <n v="139"/>
    <n v="93"/>
    <s v="Hypertension Stage 1"/>
    <n v="64"/>
    <n v="19.53"/>
    <x v="1"/>
    <x v="1"/>
  </r>
  <r>
    <x v="0"/>
    <n v="39"/>
    <n v="116.3"/>
    <n v="1.72"/>
    <n v="39.299999999999997"/>
    <n v="91.8"/>
    <s v="148/100"/>
    <n v="143"/>
    <n v="31"/>
    <n v="101"/>
    <x v="1"/>
    <s v="Y"/>
    <s v="Low"/>
    <s v="Y"/>
    <n v="172"/>
    <n v="0.53400000000000003"/>
    <n v="148"/>
    <n v="100"/>
    <s v="Hypertension Stage 2"/>
    <n v="82"/>
    <n v="20.12"/>
    <x v="1"/>
    <x v="1"/>
  </r>
  <r>
    <x v="0"/>
    <n v="42"/>
    <n v="89.7"/>
    <n v="1.7"/>
    <n v="31"/>
    <n v="83.5"/>
    <s v="146/91"/>
    <n v="217"/>
    <n v="66"/>
    <n v="132"/>
    <x v="0"/>
    <s v="Y"/>
    <s v="High"/>
    <s v="Y"/>
    <n v="170"/>
    <n v="0.49099999999999999"/>
    <n v="146"/>
    <n v="91"/>
    <s v="Hypertension Stage 2"/>
    <n v="121"/>
    <n v="19.84"/>
    <x v="1"/>
    <x v="1"/>
  </r>
  <r>
    <x v="1"/>
    <n v="48"/>
    <n v="95.7"/>
    <n v="1.61"/>
    <n v="36.9"/>
    <n v="98.4"/>
    <s v="114/63"/>
    <n v="114"/>
    <n v="47"/>
    <m/>
    <x v="0"/>
    <s v="N"/>
    <s v="Moderate"/>
    <s v="Y"/>
    <n v="161"/>
    <n v="0.61099999999999999"/>
    <n v="114"/>
    <n v="63"/>
    <s v="Normal"/>
    <n v="37"/>
    <n v="15.36"/>
    <x v="0"/>
    <x v="0"/>
  </r>
  <r>
    <x v="1"/>
    <n v="40"/>
    <n v="59.8"/>
    <n v="1.78"/>
    <n v="18.899999999999999"/>
    <n v="77.3"/>
    <s v="107/75"/>
    <n v="147"/>
    <n v="78"/>
    <n v="123"/>
    <x v="1"/>
    <s v="N"/>
    <s v="High"/>
    <s v="Y"/>
    <n v="178"/>
    <n v="0.434"/>
    <n v="107"/>
    <n v="75"/>
    <s v="Normal"/>
    <n v="39"/>
    <n v="12.07"/>
    <x v="0"/>
    <x v="0"/>
  </r>
  <r>
    <x v="1"/>
    <n v="48"/>
    <n v="59.5"/>
    <n v="1.82"/>
    <n v="18"/>
    <n v="89.6"/>
    <s v="119/70"/>
    <n v="136"/>
    <n v="68"/>
    <n v="148"/>
    <x v="0"/>
    <s v="N"/>
    <s v="High"/>
    <s v="N"/>
    <n v="182"/>
    <n v="0.49199999999999999"/>
    <n v="119"/>
    <n v="70"/>
    <s v="Normal"/>
    <n v="38"/>
    <n v="12.27"/>
    <x v="2"/>
    <x v="0"/>
  </r>
  <r>
    <x v="0"/>
    <n v="36"/>
    <m/>
    <n v="1.71"/>
    <n v="17.8"/>
    <n v="103.4"/>
    <s v="106/88"/>
    <n v="215"/>
    <n v="43"/>
    <n v="110"/>
    <x v="0"/>
    <s v="N"/>
    <s v="Low"/>
    <s v="N"/>
    <n v="171"/>
    <n v="0.60499999999999998"/>
    <n v="106"/>
    <n v="88"/>
    <s v="Hypertension Stage 1"/>
    <m/>
    <n v="13.16"/>
    <x v="0"/>
    <x v="0"/>
  </r>
  <r>
    <x v="1"/>
    <n v="36"/>
    <m/>
    <n v="1.78"/>
    <n v="29"/>
    <n v="79.8"/>
    <s v="116/70"/>
    <n v="146"/>
    <n v="64"/>
    <n v="71"/>
    <x v="0"/>
    <s v="Y"/>
    <s v="Low"/>
    <s v="Y"/>
    <n v="178"/>
    <n v="0.44800000000000001"/>
    <n v="116"/>
    <n v="70"/>
    <s v="Normal"/>
    <n v="52"/>
    <n v="16.52"/>
    <x v="1"/>
    <x v="1"/>
  </r>
  <r>
    <x v="0"/>
    <n v="51"/>
    <n v="104.2"/>
    <n v="1.64"/>
    <n v="38.700000000000003"/>
    <n v="82.9"/>
    <s v="118/97"/>
    <n v="134"/>
    <m/>
    <n v="91"/>
    <x v="0"/>
    <s v="N"/>
    <s v="High"/>
    <s v="Y"/>
    <n v="164"/>
    <n v="0.505"/>
    <n v="118"/>
    <n v="97"/>
    <s v="Hypertension Stage 2"/>
    <n v="74"/>
    <n v="16.32"/>
    <x v="1"/>
    <x v="1"/>
  </r>
  <r>
    <x v="1"/>
    <n v="48"/>
    <n v="76.8"/>
    <n v="1.64"/>
    <n v="28.6"/>
    <n v="90.2"/>
    <s v="128/66"/>
    <n v="168"/>
    <n v="80"/>
    <n v="117"/>
    <x v="1"/>
    <s v="N"/>
    <s v="High"/>
    <s v="N"/>
    <n v="164"/>
    <n v="0.55000000000000004"/>
    <n v="128"/>
    <n v="66"/>
    <s v="Elevated"/>
    <n v="58"/>
    <n v="15.48"/>
    <x v="0"/>
    <x v="0"/>
  </r>
  <r>
    <x v="0"/>
    <n v="49"/>
    <n v="97.2"/>
    <n v="1.66"/>
    <n v="35.299999999999997"/>
    <n v="103.4"/>
    <s v="121/66"/>
    <n v="203"/>
    <n v="64"/>
    <n v="102"/>
    <x v="1"/>
    <s v="N"/>
    <s v="High"/>
    <s v="Y"/>
    <n v="166"/>
    <n v="0.623"/>
    <n v="121"/>
    <n v="66"/>
    <s v="Elevated"/>
    <n v="109"/>
    <n v="17.170000000000002"/>
    <x v="1"/>
    <x v="1"/>
  </r>
  <r>
    <x v="0"/>
    <n v="33"/>
    <n v="74.7"/>
    <m/>
    <n v="27.4"/>
    <n v="93.3"/>
    <s v="113/89"/>
    <n v="111"/>
    <n v="36"/>
    <n v="99"/>
    <x v="1"/>
    <s v="N"/>
    <s v="Moderate"/>
    <s v="Y"/>
    <n v="165"/>
    <n v="0.56499999999999995"/>
    <n v="113"/>
    <n v="89"/>
    <s v="Hypertension Stage 1"/>
    <n v="45"/>
    <n v="13.35"/>
    <x v="1"/>
    <x v="1"/>
  </r>
  <r>
    <x v="1"/>
    <n v="37"/>
    <n v="116.7"/>
    <n v="1.87"/>
    <n v="33.4"/>
    <n v="107.6"/>
    <s v="131/69"/>
    <n v="215"/>
    <n v="33"/>
    <n v="70"/>
    <x v="0"/>
    <s v="Y"/>
    <s v="Moderate"/>
    <s v="N"/>
    <n v="187"/>
    <n v="0.57499999999999996"/>
    <n v="131"/>
    <n v="69"/>
    <s v="Hypertension Stage 1"/>
    <n v="152"/>
    <n v="19.53"/>
    <x v="1"/>
    <x v="1"/>
  </r>
  <r>
    <x v="0"/>
    <n v="58"/>
    <n v="59.3"/>
    <n v="1.75"/>
    <n v="19.399999999999999"/>
    <n v="104.4"/>
    <s v="119/63"/>
    <n v="275"/>
    <n v="47"/>
    <n v="95"/>
    <x v="1"/>
    <s v="Y"/>
    <s v="High"/>
    <s v="Y"/>
    <n v="175"/>
    <n v="0.59699999999999998"/>
    <n v="119"/>
    <n v="63"/>
    <s v="Normal"/>
    <n v="198"/>
    <n v="17.329999999999998"/>
    <x v="1"/>
    <x v="1"/>
  </r>
  <r>
    <x v="1"/>
    <n v="47"/>
    <n v="68.7"/>
    <n v="1.64"/>
    <n v="25.5"/>
    <n v="75.5"/>
    <s v="116/72"/>
    <n v="164"/>
    <n v="44"/>
    <m/>
    <x v="0"/>
    <s v="Y"/>
    <s v="Low"/>
    <s v="N"/>
    <n v="164"/>
    <n v="0.46"/>
    <n v="116"/>
    <n v="72"/>
    <s v="Normal"/>
    <n v="90"/>
    <n v="16.18"/>
    <x v="1"/>
    <x v="1"/>
  </r>
  <r>
    <x v="0"/>
    <n v="30"/>
    <n v="116.4"/>
    <n v="1.64"/>
    <n v="43.3"/>
    <n v="109.4"/>
    <s v="124/65"/>
    <n v="198"/>
    <n v="39"/>
    <n v="148"/>
    <x v="1"/>
    <s v="Y"/>
    <s v="High"/>
    <s v="Y"/>
    <n v="164"/>
    <n v="0.66700000000000004"/>
    <n v="124"/>
    <m/>
    <s v="Elevated"/>
    <n v="129"/>
    <n v="20.82"/>
    <x v="1"/>
    <x v="1"/>
  </r>
  <r>
    <x v="1"/>
    <n v="50"/>
    <n v="119.1"/>
    <n v="1.66"/>
    <n v="43.2"/>
    <m/>
    <s v="101/65"/>
    <n v="247"/>
    <n v="67"/>
    <n v="100"/>
    <x v="1"/>
    <s v="Y"/>
    <s v="Moderate"/>
    <s v="Y"/>
    <m/>
    <n v="0.495"/>
    <n v="101"/>
    <n v="65"/>
    <s v="Normal"/>
    <n v="150"/>
    <n v="20.63"/>
    <x v="1"/>
    <x v="1"/>
  </r>
  <r>
    <x v="1"/>
    <n v="34"/>
    <n v="86"/>
    <n v="1.71"/>
    <n v="29.4"/>
    <n v="88.4"/>
    <s v="115/90"/>
    <n v="209"/>
    <n v="38"/>
    <n v="148"/>
    <x v="0"/>
    <s v="N"/>
    <s v="Moderate"/>
    <s v="Y"/>
    <n v="171"/>
    <m/>
    <n v="115"/>
    <n v="90"/>
    <s v="Hypertension Stage 2"/>
    <n v="141"/>
    <n v="15.81"/>
    <x v="1"/>
    <x v="1"/>
  </r>
  <r>
    <x v="1"/>
    <n v="37"/>
    <n v="78.099999999999994"/>
    <n v="1.85"/>
    <n v="22.8"/>
    <n v="74.2"/>
    <s v="100/76"/>
    <n v="118"/>
    <n v="70"/>
    <n v="72"/>
    <x v="0"/>
    <s v="Y"/>
    <s v="Moderate"/>
    <s v="N"/>
    <m/>
    <n v="0.40100000000000002"/>
    <n v="100"/>
    <n v="76"/>
    <s v="Normal"/>
    <n v="18"/>
    <n v="13.92"/>
    <x v="2"/>
    <x v="0"/>
  </r>
  <r>
    <x v="1"/>
    <n v="45"/>
    <m/>
    <n v="1.72"/>
    <n v="36.299999999999997"/>
    <m/>
    <s v="113/79"/>
    <n v="104"/>
    <n v="33"/>
    <n v="126"/>
    <x v="0"/>
    <s v="N"/>
    <s v="Low"/>
    <s v="N"/>
    <n v="172"/>
    <n v="0.54800000000000004"/>
    <n v="113"/>
    <n v="79"/>
    <s v="Normal"/>
    <n v="41"/>
    <n v="14.99"/>
    <x v="0"/>
    <x v="0"/>
  </r>
  <r>
    <x v="0"/>
    <n v="42"/>
    <n v="70.2"/>
    <n v="1.8"/>
    <m/>
    <n v="93.4"/>
    <s v="134/85"/>
    <n v="208"/>
    <n v="32"/>
    <n v="148"/>
    <x v="1"/>
    <s v="N"/>
    <s v="Low"/>
    <s v="N"/>
    <n v="180"/>
    <n v="0.51900000000000002"/>
    <n v="134"/>
    <n v="85"/>
    <s v="Hypertension Stage 1"/>
    <m/>
    <n v="15.2"/>
    <x v="1"/>
    <x v="1"/>
  </r>
  <r>
    <x v="0"/>
    <n v="37"/>
    <n v="83.2"/>
    <n v="1.71"/>
    <n v="28.5"/>
    <n v="94.4"/>
    <s v="106/94"/>
    <n v="223"/>
    <n v="48"/>
    <n v="70"/>
    <x v="1"/>
    <s v="Y"/>
    <s v="Low"/>
    <s v="Y"/>
    <n v="171"/>
    <n v="0.55200000000000005"/>
    <n v="106"/>
    <n v="94"/>
    <s v="Hypertension Stage 2"/>
    <n v="145"/>
    <n v="17.46"/>
    <x v="1"/>
    <x v="1"/>
  </r>
  <r>
    <x v="0"/>
    <n v="36"/>
    <n v="58.4"/>
    <n v="1.87"/>
    <n v="16.7"/>
    <n v="71.2"/>
    <s v="142/96"/>
    <n v="143"/>
    <m/>
    <n v="134"/>
    <x v="0"/>
    <s v="Y"/>
    <s v="Low"/>
    <s v="Y"/>
    <n v="187"/>
    <n v="0.38100000000000001"/>
    <m/>
    <n v="96"/>
    <s v="Hypertension Stage 2"/>
    <n v="44"/>
    <n v="15.3"/>
    <x v="0"/>
    <x v="0"/>
  </r>
  <r>
    <x v="0"/>
    <n v="52"/>
    <n v="89.7"/>
    <n v="1.88"/>
    <n v="25.4"/>
    <n v="107.5"/>
    <s v="145/92"/>
    <n v="142"/>
    <m/>
    <n v="96"/>
    <x v="1"/>
    <s v="Y"/>
    <s v="Low"/>
    <s v="Y"/>
    <n v="188"/>
    <n v="0.57199999999999995"/>
    <n v="145"/>
    <n v="92"/>
    <s v="Hypertension Stage 2"/>
    <n v="42"/>
    <n v="17.170000000000002"/>
    <x v="1"/>
    <x v="1"/>
  </r>
  <r>
    <x v="0"/>
    <n v="38"/>
    <n v="112.4"/>
    <n v="1.69"/>
    <n v="39.4"/>
    <n v="101.2"/>
    <s v="139/77"/>
    <n v="209"/>
    <n v="40"/>
    <n v="98"/>
    <x v="0"/>
    <s v="N"/>
    <s v="High"/>
    <s v="N"/>
    <n v="169"/>
    <n v="0.59899999999999998"/>
    <n v="139"/>
    <n v="77"/>
    <s v="Hypertension Stage 1"/>
    <n v="139"/>
    <n v="19.010000000000002"/>
    <x v="0"/>
    <x v="0"/>
  </r>
  <r>
    <x v="1"/>
    <n v="50"/>
    <n v="56.5"/>
    <n v="1.83"/>
    <n v="16.899999999999999"/>
    <n v="86.9"/>
    <s v="118/95"/>
    <n v="262"/>
    <n v="35"/>
    <m/>
    <x v="0"/>
    <s v="Y"/>
    <s v="Moderate"/>
    <s v="N"/>
    <n v="183"/>
    <n v="0.47499999999999998"/>
    <n v="118"/>
    <n v="95"/>
    <s v="Hypertension Stage 2"/>
    <n v="197"/>
    <n v="16.52"/>
    <x v="1"/>
    <x v="1"/>
  </r>
  <r>
    <x v="0"/>
    <n v="42"/>
    <n v="94.5"/>
    <n v="1.64"/>
    <n v="35.1"/>
    <n v="77.099999999999994"/>
    <s v="119/95"/>
    <n v="104"/>
    <n v="36"/>
    <n v="144"/>
    <x v="1"/>
    <s v="Y"/>
    <s v="High"/>
    <s v="Y"/>
    <n v="164"/>
    <n v="0.47"/>
    <n v="119"/>
    <n v="95"/>
    <s v="Hypertension Stage 2"/>
    <n v="38"/>
    <n v="17.05"/>
    <x v="1"/>
    <x v="1"/>
  </r>
  <r>
    <x v="1"/>
    <n v="33"/>
    <n v="86.2"/>
    <n v="1.86"/>
    <n v="24.9"/>
    <n v="88"/>
    <s v="139/98"/>
    <n v="219"/>
    <n v="65"/>
    <n v="104"/>
    <x v="1"/>
    <s v="N"/>
    <s v="Low"/>
    <s v="N"/>
    <n v="186"/>
    <n v="0.47299999999999998"/>
    <n v="139"/>
    <n v="98"/>
    <s v="Hypertension Stage 1"/>
    <n v="124"/>
    <n v="16.309999999999999"/>
    <x v="0"/>
    <x v="0"/>
  </r>
  <r>
    <x v="1"/>
    <n v="33"/>
    <n v="114"/>
    <n v="1.75"/>
    <n v="37.200000000000003"/>
    <n v="76.7"/>
    <s v="105/95"/>
    <n v="197"/>
    <n v="77"/>
    <n v="122"/>
    <x v="1"/>
    <s v="Y"/>
    <s v="Moderate"/>
    <s v="Y"/>
    <n v="175"/>
    <n v="0.438"/>
    <n v="105"/>
    <n v="95"/>
    <s v="Hypertension Stage 2"/>
    <n v="90"/>
    <n v="18.63"/>
    <x v="1"/>
    <x v="1"/>
  </r>
  <r>
    <x v="1"/>
    <n v="41"/>
    <n v="105.4"/>
    <n v="1.88"/>
    <n v="29.8"/>
    <n v="108.1"/>
    <s v="125/88"/>
    <n v="195"/>
    <n v="69"/>
    <n v="141"/>
    <x v="0"/>
    <s v="Y"/>
    <s v="Moderate"/>
    <s v="N"/>
    <n v="188"/>
    <n v="0.57499999999999996"/>
    <n v="125"/>
    <n v="88"/>
    <s v="Hypertension Stage 1"/>
    <n v="96"/>
    <n v="18.11"/>
    <x v="0"/>
    <x v="0"/>
  </r>
  <r>
    <x v="1"/>
    <m/>
    <n v="77.7"/>
    <n v="1.63"/>
    <n v="29.2"/>
    <n v="90.7"/>
    <s v="120/96"/>
    <n v="258"/>
    <n v="74"/>
    <n v="109"/>
    <x v="0"/>
    <s v="Y"/>
    <s v="High"/>
    <s v="Y"/>
    <n v="163"/>
    <n v="0.55600000000000005"/>
    <n v="120"/>
    <n v="96"/>
    <s v="Hypertension Stage 2"/>
    <n v="154"/>
    <n v="19"/>
    <x v="1"/>
    <x v="1"/>
  </r>
  <r>
    <x v="1"/>
    <n v="41"/>
    <n v="62.2"/>
    <n v="1.82"/>
    <n v="18.8"/>
    <n v="107.5"/>
    <s v="131/81"/>
    <n v="241"/>
    <n v="47"/>
    <n v="79"/>
    <x v="0"/>
    <s v="N"/>
    <s v="Low"/>
    <s v="Y"/>
    <n v="182"/>
    <n v="0.59099999999999997"/>
    <n v="131"/>
    <n v="81"/>
    <s v="Hypertension Stage 1"/>
    <n v="164"/>
    <n v="15.13"/>
    <x v="0"/>
    <x v="0"/>
  </r>
  <r>
    <x v="1"/>
    <n v="47"/>
    <n v="77.5"/>
    <n v="1.75"/>
    <n v="25.3"/>
    <n v="86.2"/>
    <s v="139/81"/>
    <n v="129"/>
    <n v="66"/>
    <n v="119"/>
    <x v="1"/>
    <s v="Y"/>
    <s v="High"/>
    <s v="Y"/>
    <n v="175"/>
    <m/>
    <n v="139"/>
    <m/>
    <s v="Hypertension Stage 1"/>
    <n v="33"/>
    <n v="16.59"/>
    <x v="1"/>
    <x v="1"/>
  </r>
  <r>
    <x v="0"/>
    <n v="51"/>
    <n v="58.1"/>
    <n v="1.71"/>
    <n v="19.899999999999999"/>
    <n v="98.9"/>
    <s v="98/83"/>
    <n v="226"/>
    <n v="64"/>
    <n v="99"/>
    <x v="1"/>
    <s v="N"/>
    <s v="High"/>
    <s v="N"/>
    <n v="171"/>
    <n v="0.57799999999999996"/>
    <n v="98"/>
    <n v="83"/>
    <s v="Hypertension Stage 1"/>
    <n v="132"/>
    <n v="13.4"/>
    <x v="0"/>
    <x v="0"/>
  </r>
  <r>
    <x v="0"/>
    <n v="47"/>
    <n v="97.2"/>
    <n v="1.81"/>
    <n v="29.7"/>
    <n v="74.8"/>
    <s v="131/95"/>
    <n v="137"/>
    <n v="39"/>
    <n v="113"/>
    <x v="0"/>
    <s v="N"/>
    <s v="Moderate"/>
    <s v="N"/>
    <n v="181"/>
    <n v="0.41299999999999998"/>
    <n v="131"/>
    <n v="95"/>
    <s v="Hypertension Stage 1"/>
    <n v="68"/>
    <n v="15.23"/>
    <x v="0"/>
    <x v="0"/>
  </r>
  <r>
    <x v="0"/>
    <n v="33"/>
    <n v="63.2"/>
    <n v="1.65"/>
    <m/>
    <n v="98.2"/>
    <s v="131/67"/>
    <n v="286"/>
    <m/>
    <n v="128"/>
    <x v="0"/>
    <s v="N"/>
    <s v="Low"/>
    <s v="Y"/>
    <n v="165"/>
    <n v="0.59499999999999997"/>
    <n v="131"/>
    <n v="67"/>
    <s v="Hypertension Stage 1"/>
    <n v="212"/>
    <n v="16.91"/>
    <x v="0"/>
    <x v="0"/>
  </r>
  <r>
    <x v="0"/>
    <n v="44"/>
    <n v="66"/>
    <n v="1.69"/>
    <n v="23.1"/>
    <n v="91.2"/>
    <s v="123/89"/>
    <n v="126"/>
    <n v="50"/>
    <n v="79"/>
    <x v="0"/>
    <s v="Y"/>
    <s v="High"/>
    <s v="Y"/>
    <n v="169"/>
    <n v="0.54"/>
    <n v="123"/>
    <n v="89"/>
    <s v="Hypertension Stage 1"/>
    <n v="46"/>
    <n v="15.29"/>
    <x v="0"/>
    <x v="0"/>
  </r>
  <r>
    <x v="1"/>
    <n v="45"/>
    <n v="117.2"/>
    <n v="1.87"/>
    <n v="33.5"/>
    <n v="102.7"/>
    <s v="147/77"/>
    <n v="143"/>
    <n v="74"/>
    <n v="86"/>
    <x v="0"/>
    <s v="Y"/>
    <s v="High"/>
    <s v="Y"/>
    <n v="187"/>
    <n v="0.54900000000000004"/>
    <n v="147"/>
    <n v="77"/>
    <s v="Hypertension Stage 2"/>
    <n v="39"/>
    <n v="18.91"/>
    <x v="0"/>
    <x v="0"/>
  </r>
  <r>
    <x v="1"/>
    <n v="36"/>
    <n v="52.8"/>
    <n v="1.64"/>
    <n v="19.600000000000001"/>
    <n v="74.2"/>
    <s v="139/78"/>
    <n v="225"/>
    <n v="76"/>
    <n v="86"/>
    <x v="0"/>
    <s v="N"/>
    <s v="Low"/>
    <s v="Y"/>
    <n v="164"/>
    <n v="0.45200000000000001"/>
    <n v="139"/>
    <n v="78"/>
    <s v="Hypertension Stage 1"/>
    <n v="119"/>
    <n v="15.37"/>
    <x v="0"/>
    <x v="0"/>
  </r>
  <r>
    <x v="0"/>
    <n v="41"/>
    <n v="104.3"/>
    <n v="1.86"/>
    <n v="30.1"/>
    <n v="84.3"/>
    <s v="125/61"/>
    <m/>
    <n v="64"/>
    <n v="119"/>
    <x v="0"/>
    <s v="N"/>
    <s v="Moderate"/>
    <s v="Y"/>
    <n v="186"/>
    <n v="0.45300000000000001"/>
    <n v="125"/>
    <n v="61"/>
    <s v="Elevated"/>
    <m/>
    <n v="17.71"/>
    <x v="0"/>
    <x v="0"/>
  </r>
  <r>
    <x v="0"/>
    <n v="37"/>
    <n v="100"/>
    <n v="1.75"/>
    <m/>
    <n v="91.6"/>
    <s v="131/100"/>
    <n v="128"/>
    <n v="36"/>
    <n v="131"/>
    <x v="0"/>
    <s v="Y"/>
    <s v="Moderate"/>
    <s v="Y"/>
    <n v="175"/>
    <m/>
    <n v="131"/>
    <n v="100"/>
    <s v="Hypertension Stage 1"/>
    <n v="62"/>
    <n v="17.649999999999999"/>
    <x v="1"/>
    <x v="1"/>
  </r>
  <r>
    <x v="0"/>
    <n v="58"/>
    <n v="51.6"/>
    <n v="1.73"/>
    <n v="17.2"/>
    <n v="79.7"/>
    <s v="103/83"/>
    <n v="151"/>
    <n v="71"/>
    <n v="88"/>
    <x v="1"/>
    <s v="N"/>
    <s v="High"/>
    <s v="Y"/>
    <n v="173"/>
    <n v="0.46100000000000002"/>
    <n v="103"/>
    <n v="83"/>
    <s v="Hypertension Stage 1"/>
    <n v="50"/>
    <n v="11.61"/>
    <x v="0"/>
    <x v="0"/>
  </r>
  <r>
    <x v="0"/>
    <n v="38"/>
    <n v="58.6"/>
    <n v="1.72"/>
    <n v="19.8"/>
    <n v="102"/>
    <s v="117/92"/>
    <n v="102"/>
    <n v="78"/>
    <n v="141"/>
    <x v="0"/>
    <s v="N"/>
    <s v="High"/>
    <s v="N"/>
    <m/>
    <n v="0.59299999999999997"/>
    <n v="117"/>
    <n v="92"/>
    <s v="Hypertension Stage 2"/>
    <n v="-6"/>
    <m/>
    <x v="2"/>
    <x v="0"/>
  </r>
  <r>
    <x v="1"/>
    <m/>
    <n v="117.8"/>
    <n v="1.8"/>
    <n v="36.4"/>
    <n v="95"/>
    <s v="130/75"/>
    <n v="298"/>
    <n v="41"/>
    <n v="149"/>
    <x v="0"/>
    <s v="Y"/>
    <s v="Low"/>
    <s v="Y"/>
    <n v="180"/>
    <n v="0.52800000000000002"/>
    <m/>
    <n v="75"/>
    <s v="Hypertension Stage 1"/>
    <n v="227"/>
    <n v="21.74"/>
    <x v="1"/>
    <x v="1"/>
  </r>
  <r>
    <x v="0"/>
    <n v="56"/>
    <n v="110"/>
    <n v="1.89"/>
    <n v="30.8"/>
    <n v="97"/>
    <s v="97/79"/>
    <n v="264"/>
    <n v="44"/>
    <n v="108"/>
    <x v="0"/>
    <s v="Y"/>
    <s v="Moderate"/>
    <s v="Y"/>
    <n v="189"/>
    <n v="0.51300000000000001"/>
    <n v="97"/>
    <n v="79"/>
    <s v="Normal"/>
    <n v="190"/>
    <n v="18.29"/>
    <x v="1"/>
    <x v="1"/>
  </r>
  <r>
    <x v="0"/>
    <n v="34"/>
    <n v="66.8"/>
    <n v="1.71"/>
    <n v="22.8"/>
    <n v="87.7"/>
    <s v="120/100"/>
    <n v="235"/>
    <n v="58"/>
    <n v="85"/>
    <x v="0"/>
    <s v="Y"/>
    <s v="Low"/>
    <s v="Y"/>
    <n v="171"/>
    <n v="0.51300000000000001"/>
    <n v="120"/>
    <n v="100"/>
    <s v="Hypertension Stage 2"/>
    <n v="147"/>
    <n v="17.260000000000002"/>
    <x v="1"/>
    <x v="1"/>
  </r>
  <r>
    <x v="0"/>
    <n v="59"/>
    <n v="60.6"/>
    <n v="1.75"/>
    <n v="19.8"/>
    <n v="78.099999999999994"/>
    <s v="130/98"/>
    <n v="153"/>
    <n v="58"/>
    <n v="144"/>
    <x v="0"/>
    <s v="Y"/>
    <s v="Low"/>
    <s v="Y"/>
    <n v="175"/>
    <n v="0.44600000000000001"/>
    <n v="130"/>
    <n v="98"/>
    <s v="Hypertension Stage 1"/>
    <n v="65"/>
    <n v="15.52"/>
    <x v="1"/>
    <x v="1"/>
  </r>
  <r>
    <x v="1"/>
    <n v="58"/>
    <n v="109.5"/>
    <n v="1.79"/>
    <n v="34.200000000000003"/>
    <n v="103.4"/>
    <s v="117/81"/>
    <n v="109"/>
    <m/>
    <n v="92"/>
    <x v="1"/>
    <s v="Y"/>
    <s v="High"/>
    <s v="N"/>
    <n v="179"/>
    <n v="0.57799999999999996"/>
    <n v="117"/>
    <n v="81"/>
    <s v="Hypertension Stage 1"/>
    <n v="31"/>
    <n v="16.87"/>
    <x v="1"/>
    <x v="1"/>
  </r>
  <r>
    <x v="0"/>
    <n v="51"/>
    <n v="112.1"/>
    <n v="1.81"/>
    <n v="34.200000000000003"/>
    <n v="100.2"/>
    <s v="103/85"/>
    <n v="289"/>
    <n v="43"/>
    <m/>
    <x v="0"/>
    <s v="N"/>
    <s v="Moderate"/>
    <s v="N"/>
    <n v="181"/>
    <n v="0.55400000000000005"/>
    <n v="103"/>
    <n v="85"/>
    <s v="Hypertension Stage 1"/>
    <n v="216"/>
    <n v="17.77"/>
    <x v="0"/>
    <x v="0"/>
  </r>
  <r>
    <x v="1"/>
    <n v="41"/>
    <n v="59.2"/>
    <n v="1.65"/>
    <m/>
    <n v="90.4"/>
    <s v="150/98"/>
    <n v="114"/>
    <n v="56"/>
    <n v="134"/>
    <x v="1"/>
    <s v="N"/>
    <s v="High"/>
    <s v="Y"/>
    <n v="165"/>
    <n v="0.54800000000000004"/>
    <n v="150"/>
    <n v="98"/>
    <s v="Hypertension Stage 2"/>
    <n v="28"/>
    <n v="14.12"/>
    <x v="0"/>
    <x v="0"/>
  </r>
  <r>
    <x v="0"/>
    <n v="32"/>
    <n v="73.3"/>
    <n v="1.61"/>
    <n v="28.3"/>
    <n v="101.2"/>
    <s v="136/80"/>
    <n v="260"/>
    <n v="78"/>
    <n v="74"/>
    <x v="0"/>
    <s v="Y"/>
    <s v="Moderate"/>
    <s v="N"/>
    <n v="161"/>
    <m/>
    <n v="136"/>
    <n v="80"/>
    <s v="Hypertension Stage 1"/>
    <n v="152"/>
    <n v="19.66"/>
    <x v="0"/>
    <x v="0"/>
  </r>
  <r>
    <x v="1"/>
    <n v="41"/>
    <n v="110.9"/>
    <n v="1.74"/>
    <n v="36.6"/>
    <n v="92.8"/>
    <s v="114/89"/>
    <n v="125"/>
    <n v="70"/>
    <n v="85"/>
    <x v="1"/>
    <s v="Y"/>
    <s v="Low"/>
    <s v="N"/>
    <n v="174"/>
    <n v="0.53300000000000003"/>
    <n v="114"/>
    <n v="89"/>
    <s v="Hypertension Stage 1"/>
    <n v="25"/>
    <n v="17.52"/>
    <x v="1"/>
    <x v="1"/>
  </r>
  <r>
    <x v="0"/>
    <n v="35"/>
    <n v="50.1"/>
    <n v="1.8"/>
    <n v="15.5"/>
    <n v="89"/>
    <s v="127/74"/>
    <n v="262"/>
    <n v="54"/>
    <n v="121"/>
    <x v="0"/>
    <s v="N"/>
    <s v="Low"/>
    <s v="Y"/>
    <n v="180"/>
    <n v="0.49399999999999999"/>
    <n v="127"/>
    <n v="74"/>
    <s v="Elevated"/>
    <n v="178"/>
    <n v="14.69"/>
    <x v="0"/>
    <x v="0"/>
  </r>
  <r>
    <x v="1"/>
    <n v="36"/>
    <n v="58.7"/>
    <n v="1.74"/>
    <m/>
    <n v="98.7"/>
    <s v="102/79"/>
    <n v="159"/>
    <n v="74"/>
    <n v="139"/>
    <x v="0"/>
    <s v="Y"/>
    <s v="High"/>
    <s v="N"/>
    <n v="174"/>
    <n v="0.56699999999999995"/>
    <n v="102"/>
    <n v="79"/>
    <s v="Normal"/>
    <n v="55"/>
    <n v="14.16"/>
    <x v="2"/>
    <x v="0"/>
  </r>
  <r>
    <x v="1"/>
    <n v="53"/>
    <n v="87.9"/>
    <n v="1.75"/>
    <n v="28.7"/>
    <n v="89.9"/>
    <s v="140/72"/>
    <n v="230"/>
    <n v="34"/>
    <n v="112"/>
    <x v="0"/>
    <s v="N"/>
    <s v="Moderate"/>
    <s v="Y"/>
    <m/>
    <n v="0.51400000000000001"/>
    <n v="140"/>
    <n v="72"/>
    <s v="Hypertension Stage 2"/>
    <n v="166"/>
    <n v="17.34"/>
    <x v="1"/>
    <x v="1"/>
  </r>
  <r>
    <x v="1"/>
    <n v="50"/>
    <n v="52.1"/>
    <n v="1.79"/>
    <n v="16.3"/>
    <n v="73.7"/>
    <s v="118/97"/>
    <n v="296"/>
    <n v="54"/>
    <n v="106"/>
    <x v="1"/>
    <s v="N"/>
    <s v="Low"/>
    <s v="N"/>
    <n v="179"/>
    <n v="0.41199999999999998"/>
    <n v="118"/>
    <n v="97"/>
    <s v="Hypertension Stage 2"/>
    <n v="212"/>
    <n v="15.08"/>
    <x v="1"/>
    <x v="1"/>
  </r>
  <r>
    <x v="0"/>
    <n v="30"/>
    <m/>
    <n v="1.65"/>
    <n v="36.700000000000003"/>
    <n v="108.1"/>
    <s v="130/81"/>
    <n v="101"/>
    <n v="31"/>
    <n v="83"/>
    <x v="0"/>
    <s v="Y"/>
    <s v="Moderate"/>
    <s v="N"/>
    <n v="165"/>
    <n v="0.65500000000000003"/>
    <n v="130"/>
    <n v="81"/>
    <s v="Hypertension Stage 1"/>
    <n v="40"/>
    <n v="17.86"/>
    <x v="0"/>
    <x v="0"/>
  </r>
  <r>
    <x v="0"/>
    <n v="59"/>
    <n v="85.6"/>
    <n v="1.89"/>
    <n v="24"/>
    <n v="89.1"/>
    <s v="91/69"/>
    <n v="243"/>
    <n v="79"/>
    <n v="104"/>
    <x v="1"/>
    <s v="N"/>
    <s v="High"/>
    <s v="N"/>
    <n v="189"/>
    <n v="0.47099999999999997"/>
    <m/>
    <n v="69"/>
    <s v="Normal"/>
    <n v="134"/>
    <n v="14.21"/>
    <x v="0"/>
    <x v="0"/>
  </r>
  <r>
    <x v="1"/>
    <n v="39"/>
    <n v="95.5"/>
    <n v="1.61"/>
    <m/>
    <n v="107.5"/>
    <s v="121/61"/>
    <n v="294"/>
    <n v="34"/>
    <n v="125"/>
    <x v="0"/>
    <s v="N"/>
    <s v="Low"/>
    <s v="N"/>
    <n v="161"/>
    <n v="0.66800000000000004"/>
    <n v="121"/>
    <n v="61"/>
    <s v="Elevated"/>
    <n v="230"/>
    <n v="19.29"/>
    <x v="1"/>
    <x v="1"/>
  </r>
  <r>
    <x v="0"/>
    <n v="35"/>
    <n v="71.3"/>
    <n v="1.72"/>
    <n v="24.1"/>
    <n v="82.2"/>
    <s v="113/77"/>
    <n v="106"/>
    <n v="39"/>
    <n v="95"/>
    <x v="1"/>
    <s v="N"/>
    <s v="High"/>
    <s v="N"/>
    <n v="172"/>
    <n v="0.47799999999999998"/>
    <n v="113"/>
    <m/>
    <s v="Normal"/>
    <n v="37"/>
    <n v="12.59"/>
    <x v="0"/>
    <x v="0"/>
  </r>
  <r>
    <x v="1"/>
    <n v="31"/>
    <n v="64.2"/>
    <n v="1.84"/>
    <m/>
    <n v="75.5"/>
    <s v="131/79"/>
    <n v="294"/>
    <n v="74"/>
    <n v="74"/>
    <x v="0"/>
    <s v="Y"/>
    <s v="Moderate"/>
    <s v="Y"/>
    <n v="184"/>
    <n v="0.41"/>
    <n v="131"/>
    <n v="79"/>
    <s v="Hypertension Stage 1"/>
    <n v="190"/>
    <n v="18.23"/>
    <x v="0"/>
    <x v="0"/>
  </r>
  <r>
    <x v="1"/>
    <n v="33"/>
    <n v="105.1"/>
    <n v="1.83"/>
    <n v="31.4"/>
    <n v="78.099999999999994"/>
    <s v="119/97"/>
    <n v="146"/>
    <n v="70"/>
    <m/>
    <x v="0"/>
    <s v="N"/>
    <s v="Moderate"/>
    <s v="Y"/>
    <n v="183"/>
    <n v="0.42699999999999999"/>
    <n v="119"/>
    <n v="97"/>
    <s v="Hypertension Stage 2"/>
    <n v="46"/>
    <n v="15.15"/>
    <x v="0"/>
    <x v="0"/>
  </r>
  <r>
    <x v="0"/>
    <n v="55"/>
    <n v="81.5"/>
    <n v="1.8"/>
    <n v="25.2"/>
    <n v="104.6"/>
    <s v="133/87"/>
    <n v="149"/>
    <n v="40"/>
    <n v="140"/>
    <x v="1"/>
    <s v="Y"/>
    <s v="High"/>
    <s v="N"/>
    <n v="180"/>
    <n v="0.58099999999999996"/>
    <n v="133"/>
    <n v="87"/>
    <s v="Hypertension Stage 1"/>
    <n v="79"/>
    <n v="16.670000000000002"/>
    <x v="1"/>
    <x v="1"/>
  </r>
  <r>
    <x v="1"/>
    <n v="50"/>
    <n v="57"/>
    <n v="1.79"/>
    <n v="17.8"/>
    <n v="86.4"/>
    <s v="109/84"/>
    <n v="269"/>
    <n v="48"/>
    <n v="70"/>
    <x v="0"/>
    <s v="Y"/>
    <s v="Low"/>
    <s v="Y"/>
    <n v="179"/>
    <n v="0.48299999999999998"/>
    <n v="109"/>
    <n v="84"/>
    <s v="Hypertension Stage 1"/>
    <n v="191"/>
    <n v="16.39"/>
    <x v="1"/>
    <x v="1"/>
  </r>
  <r>
    <x v="1"/>
    <n v="36"/>
    <n v="71.099999999999994"/>
    <n v="1.87"/>
    <n v="20.3"/>
    <n v="81.599999999999994"/>
    <s v="126/91"/>
    <n v="289"/>
    <n v="31"/>
    <n v="92"/>
    <x v="1"/>
    <s v="Y"/>
    <s v="Moderate"/>
    <s v="N"/>
    <n v="187"/>
    <n v="0.436"/>
    <n v="126"/>
    <n v="91"/>
    <s v="Hypertension Stage 2"/>
    <n v="228"/>
    <n v="18.14"/>
    <x v="1"/>
    <x v="1"/>
  </r>
  <r>
    <x v="0"/>
    <n v="48"/>
    <n v="106.4"/>
    <n v="1.73"/>
    <n v="35.6"/>
    <n v="108"/>
    <s v="128/67"/>
    <n v="181"/>
    <n v="56"/>
    <n v="96"/>
    <x v="0"/>
    <s v="N"/>
    <s v="Moderate"/>
    <s v="Y"/>
    <n v="173"/>
    <n v="0.624"/>
    <n v="128"/>
    <n v="67"/>
    <s v="Elevated"/>
    <n v="95"/>
    <n v="17.14"/>
    <x v="0"/>
    <x v="0"/>
  </r>
  <r>
    <x v="0"/>
    <n v="51"/>
    <n v="118.8"/>
    <n v="1.88"/>
    <n v="33.6"/>
    <n v="89.9"/>
    <s v="117/92"/>
    <n v="150"/>
    <n v="53"/>
    <n v="85"/>
    <x v="1"/>
    <s v="N"/>
    <s v="High"/>
    <s v="Y"/>
    <n v="188"/>
    <n v="0.47799999999999998"/>
    <n v="117"/>
    <n v="92"/>
    <s v="Hypertension Stage 2"/>
    <n v="67"/>
    <n v="15.57"/>
    <x v="1"/>
    <x v="1"/>
  </r>
  <r>
    <x v="0"/>
    <n v="44"/>
    <n v="105.8"/>
    <n v="1.8"/>
    <n v="32.700000000000003"/>
    <n v="99.1"/>
    <s v="91/98"/>
    <n v="244"/>
    <n v="36"/>
    <n v="146"/>
    <x v="1"/>
    <s v="N"/>
    <s v="Moderate"/>
    <s v="N"/>
    <n v="180"/>
    <n v="0.55100000000000005"/>
    <n v="91"/>
    <n v="98"/>
    <s v="Hypertension Stage 2"/>
    <n v="178"/>
    <n v="15.97"/>
    <x v="1"/>
    <x v="1"/>
  </r>
  <r>
    <x v="0"/>
    <n v="52"/>
    <n v="69.2"/>
    <n v="1.82"/>
    <n v="20.9"/>
    <n v="104.5"/>
    <s v="105/72"/>
    <n v="254"/>
    <n v="46"/>
    <n v="117"/>
    <x v="0"/>
    <s v="Y"/>
    <s v="Low"/>
    <s v="N"/>
    <n v="182"/>
    <n v="0.57399999999999995"/>
    <n v="105"/>
    <n v="72"/>
    <s v="Normal"/>
    <n v="178"/>
    <n v="16.510000000000002"/>
    <x v="1"/>
    <x v="1"/>
  </r>
  <r>
    <x v="0"/>
    <n v="34"/>
    <n v="108"/>
    <n v="1.72"/>
    <n v="36.5"/>
    <n v="101.1"/>
    <s v="134/60"/>
    <n v="130"/>
    <n v="52"/>
    <n v="98"/>
    <x v="0"/>
    <s v="N"/>
    <s v="High"/>
    <s v="N"/>
    <n v="172"/>
    <n v="0.58799999999999997"/>
    <n v="134"/>
    <n v="60"/>
    <s v="Hypertension Stage 1"/>
    <n v="48"/>
    <n v="16.600000000000001"/>
    <x v="2"/>
    <x v="0"/>
  </r>
  <r>
    <x v="0"/>
    <n v="35"/>
    <n v="58"/>
    <n v="1.63"/>
    <n v="21.8"/>
    <n v="78.2"/>
    <s v="95/100"/>
    <n v="262"/>
    <n v="54"/>
    <n v="139"/>
    <x v="1"/>
    <s v="Y"/>
    <s v="High"/>
    <s v="Y"/>
    <n v="163"/>
    <n v="0.48"/>
    <n v="95"/>
    <n v="100"/>
    <s v="Hypertension Stage 2"/>
    <n v="178"/>
    <n v="16.350000000000001"/>
    <x v="1"/>
    <x v="1"/>
  </r>
  <r>
    <x v="0"/>
    <n v="37"/>
    <n v="116.9"/>
    <n v="1.85"/>
    <n v="34.200000000000003"/>
    <n v="96.7"/>
    <s v="96/65"/>
    <n v="198"/>
    <n v="77"/>
    <n v="108"/>
    <x v="1"/>
    <s v="N"/>
    <s v="Low"/>
    <s v="N"/>
    <n v="185"/>
    <n v="0.52300000000000002"/>
    <n v="96"/>
    <n v="65"/>
    <s v="Normal"/>
    <n v="91"/>
    <m/>
    <x v="0"/>
    <x v="0"/>
  </r>
  <r>
    <x v="0"/>
    <n v="37"/>
    <n v="105.4"/>
    <m/>
    <n v="38.200000000000003"/>
    <n v="73.900000000000006"/>
    <s v="129/87"/>
    <n v="175"/>
    <n v="44"/>
    <n v="72"/>
    <x v="1"/>
    <s v="N"/>
    <s v="Moderate"/>
    <s v="Y"/>
    <n v="166"/>
    <n v="0.44500000000000001"/>
    <n v="129"/>
    <n v="87"/>
    <s v="Hypertension Stage 1"/>
    <n v="101"/>
    <m/>
    <x v="0"/>
    <x v="0"/>
  </r>
  <r>
    <x v="1"/>
    <n v="44"/>
    <n v="98.7"/>
    <n v="1.71"/>
    <n v="33.799999999999997"/>
    <n v="85.3"/>
    <s v="137/91"/>
    <n v="192"/>
    <n v="37"/>
    <n v="76"/>
    <x v="0"/>
    <s v="Y"/>
    <s v="Moderate"/>
    <s v="N"/>
    <n v="171"/>
    <n v="0.499"/>
    <n v="137"/>
    <n v="91"/>
    <s v="Hypertension Stage 1"/>
    <n v="125"/>
    <n v="19.45"/>
    <x v="0"/>
    <x v="0"/>
  </r>
  <r>
    <x v="1"/>
    <n v="46"/>
    <n v="61.8"/>
    <n v="1.67"/>
    <n v="22.2"/>
    <n v="91.8"/>
    <s v="112/61"/>
    <n v="154"/>
    <n v="46"/>
    <n v="121"/>
    <x v="1"/>
    <s v="N"/>
    <s v="High"/>
    <s v="Y"/>
    <n v="167"/>
    <n v="0.55000000000000004"/>
    <n v="112"/>
    <n v="61"/>
    <s v="Normal"/>
    <n v="78"/>
    <n v="13.12"/>
    <x v="0"/>
    <x v="0"/>
  </r>
  <r>
    <x v="0"/>
    <n v="43"/>
    <n v="57.1"/>
    <m/>
    <n v="16.5"/>
    <n v="78.599999999999994"/>
    <s v="104/66"/>
    <m/>
    <m/>
    <n v="137"/>
    <x v="1"/>
    <s v="N"/>
    <s v="Low"/>
    <s v="N"/>
    <n v="186"/>
    <n v="0.42299999999999999"/>
    <m/>
    <n v="66"/>
    <s v="Normal"/>
    <n v="101"/>
    <n v="12.04"/>
    <x v="0"/>
    <x v="0"/>
  </r>
  <r>
    <x v="1"/>
    <n v="32"/>
    <n v="74.8"/>
    <n v="1.69"/>
    <n v="26.2"/>
    <n v="102.5"/>
    <s v="148/98"/>
    <n v="207"/>
    <n v="80"/>
    <n v="124"/>
    <x v="0"/>
    <s v="Y"/>
    <s v="High"/>
    <s v="N"/>
    <n v="169"/>
    <n v="0.60699999999999998"/>
    <n v="148"/>
    <n v="98"/>
    <s v="Hypertension Stage 2"/>
    <n v="97"/>
    <n v="18.78"/>
    <x v="0"/>
    <x v="0"/>
  </r>
  <r>
    <x v="0"/>
    <n v="31"/>
    <n v="89.2"/>
    <n v="1.87"/>
    <n v="25.5"/>
    <n v="72.5"/>
    <s v="115/72"/>
    <n v="229"/>
    <n v="41"/>
    <n v="70"/>
    <x v="1"/>
    <s v="Y"/>
    <s v="High"/>
    <s v="N"/>
    <n v="187"/>
    <n v="0.38800000000000001"/>
    <n v="115"/>
    <n v="72"/>
    <s v="Normal"/>
    <n v="158"/>
    <m/>
    <x v="1"/>
    <x v="1"/>
  </r>
  <r>
    <x v="0"/>
    <n v="50"/>
    <n v="63.4"/>
    <n v="1.63"/>
    <n v="23.9"/>
    <n v="76.3"/>
    <s v="125/87"/>
    <n v="141"/>
    <n v="39"/>
    <n v="88"/>
    <x v="1"/>
    <s v="N"/>
    <s v="Low"/>
    <s v="Y"/>
    <n v="163"/>
    <n v="0.46800000000000003"/>
    <n v="125"/>
    <n v="87"/>
    <s v="Hypertension Stage 1"/>
    <n v="72"/>
    <n v="13.85"/>
    <x v="1"/>
    <x v="1"/>
  </r>
  <r>
    <x v="1"/>
    <n v="32"/>
    <n v="65.2"/>
    <n v="1.76"/>
    <n v="21"/>
    <n v="72.599999999999994"/>
    <s v="141/69"/>
    <n v="147"/>
    <n v="46"/>
    <m/>
    <x v="0"/>
    <s v="N"/>
    <s v="Low"/>
    <s v="N"/>
    <n v="176"/>
    <n v="0.41199999999999998"/>
    <n v="141"/>
    <n v="69"/>
    <s v="Hypertension Stage 2"/>
    <n v="71"/>
    <n v="14.19"/>
    <x v="2"/>
    <x v="0"/>
  </r>
  <r>
    <x v="0"/>
    <n v="55"/>
    <n v="91.8"/>
    <n v="1.66"/>
    <n v="33.299999999999997"/>
    <n v="88.7"/>
    <s v="132/65"/>
    <n v="171"/>
    <n v="41"/>
    <n v="89"/>
    <x v="0"/>
    <s v="N"/>
    <s v="Low"/>
    <s v="Y"/>
    <n v="166"/>
    <n v="0.53400000000000003"/>
    <n v="132"/>
    <n v="65"/>
    <s v="Hypertension Stage 1"/>
    <n v="100"/>
    <n v="16.68"/>
    <x v="1"/>
    <x v="1"/>
  </r>
  <r>
    <x v="1"/>
    <n v="60"/>
    <n v="69.2"/>
    <n v="1.9"/>
    <n v="19.2"/>
    <n v="88.5"/>
    <s v="123/72"/>
    <n v="121"/>
    <n v="44"/>
    <n v="124"/>
    <x v="1"/>
    <s v="Y"/>
    <s v="Moderate"/>
    <s v="N"/>
    <n v="190"/>
    <n v="0.46600000000000003"/>
    <n v="123"/>
    <n v="72"/>
    <s v="Elevated"/>
    <n v="47"/>
    <m/>
    <x v="0"/>
    <x v="0"/>
  </r>
  <r>
    <x v="0"/>
    <n v="33"/>
    <n v="89.4"/>
    <n v="1.61"/>
    <n v="34.5"/>
    <n v="97.6"/>
    <s v="142/61"/>
    <n v="214"/>
    <n v="54"/>
    <n v="145"/>
    <x v="1"/>
    <s v="Y"/>
    <s v="Moderate"/>
    <s v="N"/>
    <n v="161"/>
    <n v="0.60599999999999998"/>
    <n v="142"/>
    <n v="61"/>
    <s v="Hypertension Stage 2"/>
    <n v="130"/>
    <n v="20.28"/>
    <x v="1"/>
    <x v="1"/>
  </r>
  <r>
    <x v="1"/>
    <n v="33"/>
    <n v="74"/>
    <n v="1.76"/>
    <n v="23.9"/>
    <n v="77.400000000000006"/>
    <s v="118/86"/>
    <n v="165"/>
    <n v="71"/>
    <n v="90"/>
    <x v="0"/>
    <s v="N"/>
    <s v="High"/>
    <s v="Y"/>
    <n v="176"/>
    <n v="0.44"/>
    <n v="118"/>
    <m/>
    <s v="Hypertension Stage 1"/>
    <n v="64"/>
    <n v="13.98"/>
    <x v="2"/>
    <x v="0"/>
  </r>
  <r>
    <x v="1"/>
    <n v="36"/>
    <n v="116.9"/>
    <n v="1.74"/>
    <n v="38.6"/>
    <n v="89.3"/>
    <s v="126/73"/>
    <n v="103"/>
    <n v="41"/>
    <n v="148"/>
    <x v="0"/>
    <s v="N"/>
    <s v="Moderate"/>
    <s v="Y"/>
    <n v="174"/>
    <n v="0.51300000000000001"/>
    <n v="126"/>
    <n v="73"/>
    <s v="Elevated"/>
    <n v="32"/>
    <n v="16.079999999999998"/>
    <x v="0"/>
    <x v="0"/>
  </r>
  <r>
    <x v="0"/>
    <n v="32"/>
    <m/>
    <n v="1.62"/>
    <n v="40.6"/>
    <n v="98.2"/>
    <s v="113/98"/>
    <n v="255"/>
    <n v="59"/>
    <n v="78"/>
    <x v="0"/>
    <s v="N"/>
    <s v="Low"/>
    <s v="Y"/>
    <n v="162"/>
    <n v="0.60599999999999998"/>
    <n v="113"/>
    <n v="98"/>
    <s v="Hypertension Stage 2"/>
    <n v="166"/>
    <n v="18.87"/>
    <x v="1"/>
    <x v="1"/>
  </r>
  <r>
    <x v="0"/>
    <n v="37"/>
    <n v="50.5"/>
    <n v="1.72"/>
    <n v="17.100000000000001"/>
    <n v="76.3"/>
    <s v="146/89"/>
    <n v="274"/>
    <n v="54"/>
    <n v="84"/>
    <x v="0"/>
    <s v="N"/>
    <s v="Low"/>
    <s v="N"/>
    <n v="172"/>
    <n v="0.44400000000000001"/>
    <n v="146"/>
    <n v="89"/>
    <s v="Hypertension Stage 1"/>
    <n v="190"/>
    <n v="16.2"/>
    <x v="0"/>
    <x v="0"/>
  </r>
  <r>
    <x v="1"/>
    <n v="54"/>
    <n v="89.5"/>
    <n v="1.86"/>
    <n v="25.9"/>
    <n v="73.8"/>
    <s v="107/83"/>
    <n v="298"/>
    <n v="37"/>
    <n v="71"/>
    <x v="1"/>
    <s v="Y"/>
    <s v="High"/>
    <s v="N"/>
    <n v="186"/>
    <n v="0.39700000000000002"/>
    <n v="107"/>
    <n v="83"/>
    <s v="Hypertension Stage 1"/>
    <n v="231"/>
    <n v="18.489999999999998"/>
    <x v="1"/>
    <x v="1"/>
  </r>
  <r>
    <x v="0"/>
    <n v="60"/>
    <n v="113.2"/>
    <n v="1.73"/>
    <n v="37.799999999999997"/>
    <n v="82.1"/>
    <s v="137/89"/>
    <n v="216"/>
    <n v="61"/>
    <n v="115"/>
    <x v="1"/>
    <s v="Y"/>
    <s v="Moderate"/>
    <s v="Y"/>
    <m/>
    <n v="0.47499999999999998"/>
    <n v="137"/>
    <n v="89"/>
    <s v="Hypertension Stage 1"/>
    <n v="125"/>
    <n v="20.73"/>
    <x v="1"/>
    <x v="1"/>
  </r>
  <r>
    <x v="1"/>
    <n v="53"/>
    <n v="57.8"/>
    <n v="1.74"/>
    <n v="19.100000000000001"/>
    <n v="89"/>
    <s v="119/68"/>
    <n v="222"/>
    <n v="52"/>
    <n v="137"/>
    <x v="0"/>
    <s v="N"/>
    <s v="Low"/>
    <s v="Y"/>
    <n v="174"/>
    <n v="0.51100000000000001"/>
    <n v="119"/>
    <n v="68"/>
    <s v="Normal"/>
    <n v="140"/>
    <n v="14.21"/>
    <x v="1"/>
    <x v="1"/>
  </r>
  <r>
    <x v="0"/>
    <n v="31"/>
    <n v="87.7"/>
    <n v="1.89"/>
    <n v="24.6"/>
    <n v="92.6"/>
    <s v="105/93"/>
    <n v="263"/>
    <n v="52"/>
    <n v="126"/>
    <x v="1"/>
    <s v="Y"/>
    <s v="Low"/>
    <s v="Y"/>
    <n v="189"/>
    <m/>
    <n v="105"/>
    <n v="93"/>
    <s v="Hypertension Stage 2"/>
    <n v="181"/>
    <n v="17.43"/>
    <x v="1"/>
    <x v="1"/>
  </r>
  <r>
    <x v="1"/>
    <n v="32"/>
    <n v="57.7"/>
    <n v="1.86"/>
    <n v="16.7"/>
    <n v="84.3"/>
    <s v="107/66"/>
    <m/>
    <n v="79"/>
    <n v="150"/>
    <x v="1"/>
    <s v="N"/>
    <s v="High"/>
    <s v="Y"/>
    <n v="186"/>
    <n v="0.45300000000000001"/>
    <n v="107"/>
    <n v="66"/>
    <s v="Normal"/>
    <m/>
    <n v="13.45"/>
    <x v="0"/>
    <x v="0"/>
  </r>
  <r>
    <x v="1"/>
    <n v="46"/>
    <n v="70.400000000000006"/>
    <n v="1.9"/>
    <n v="19.5"/>
    <n v="71.5"/>
    <s v="95/86"/>
    <n v="281"/>
    <n v="58"/>
    <n v="113"/>
    <x v="0"/>
    <s v="N"/>
    <s v="High"/>
    <s v="N"/>
    <n v="190"/>
    <n v="0.376"/>
    <n v="95"/>
    <n v="86"/>
    <s v="Hypertension Stage 1"/>
    <n v="193"/>
    <n v="14.27"/>
    <x v="0"/>
    <x v="0"/>
  </r>
  <r>
    <x v="0"/>
    <n v="55"/>
    <n v="67.400000000000006"/>
    <n v="1.87"/>
    <n v="19.3"/>
    <m/>
    <s v="94/81"/>
    <n v="177"/>
    <n v="51"/>
    <n v="93"/>
    <x v="1"/>
    <s v="N"/>
    <s v="High"/>
    <s v="N"/>
    <n v="187"/>
    <n v="0.52200000000000002"/>
    <n v="94"/>
    <n v="81"/>
    <s v="Hypertension Stage 1"/>
    <n v="96"/>
    <n v="12.1"/>
    <x v="0"/>
    <x v="0"/>
  </r>
  <r>
    <x v="1"/>
    <n v="40"/>
    <n v="84.4"/>
    <n v="1.76"/>
    <n v="27.2"/>
    <n v="102.8"/>
    <s v="127/89"/>
    <m/>
    <n v="60"/>
    <n v="129"/>
    <x v="1"/>
    <s v="Y"/>
    <s v="High"/>
    <s v="N"/>
    <n v="176"/>
    <n v="0.58399999999999996"/>
    <n v="127"/>
    <n v="89"/>
    <s v="Hypertension Stage 1"/>
    <n v="56"/>
    <n v="16.71"/>
    <x v="0"/>
    <x v="0"/>
  </r>
  <r>
    <x v="1"/>
    <m/>
    <n v="92"/>
    <n v="1.84"/>
    <n v="27.2"/>
    <n v="89.5"/>
    <s v="136/77"/>
    <n v="247"/>
    <n v="61"/>
    <n v="103"/>
    <x v="1"/>
    <s v="N"/>
    <s v="Low"/>
    <s v="N"/>
    <m/>
    <n v="0.48599999999999999"/>
    <n v="136"/>
    <n v="77"/>
    <s v="Hypertension Stage 1"/>
    <n v="156"/>
    <n v="17.18"/>
    <x v="1"/>
    <x v="1"/>
  </r>
  <r>
    <x v="1"/>
    <n v="56"/>
    <n v="110.6"/>
    <n v="1.85"/>
    <n v="32.299999999999997"/>
    <n v="70.8"/>
    <s v="118/68"/>
    <n v="115"/>
    <n v="40"/>
    <n v="72"/>
    <x v="1"/>
    <s v="N"/>
    <s v="High"/>
    <s v="N"/>
    <n v="185"/>
    <n v="0.38300000000000001"/>
    <m/>
    <n v="68"/>
    <s v="Normal"/>
    <n v="45"/>
    <n v="14.66"/>
    <x v="0"/>
    <x v="0"/>
  </r>
  <r>
    <x v="1"/>
    <n v="41"/>
    <n v="72.8"/>
    <n v="1.76"/>
    <n v="23.5"/>
    <n v="76.3"/>
    <s v="130/66"/>
    <n v="118"/>
    <n v="63"/>
    <n v="109"/>
    <x v="1"/>
    <s v="N"/>
    <s v="Moderate"/>
    <s v="N"/>
    <n v="176"/>
    <n v="0.434"/>
    <n v="130"/>
    <n v="66"/>
    <s v="Hypertension Stage 1"/>
    <n v="25"/>
    <n v="13.56"/>
    <x v="2"/>
    <x v="0"/>
  </r>
  <r>
    <x v="1"/>
    <n v="49"/>
    <n v="61.1"/>
    <n v="1.63"/>
    <n v="23"/>
    <n v="91.5"/>
    <s v="98/85"/>
    <n v="111"/>
    <n v="73"/>
    <n v="113"/>
    <x v="1"/>
    <s v="Y"/>
    <s v="High"/>
    <s v="Y"/>
    <n v="163"/>
    <n v="0.56100000000000005"/>
    <n v="98"/>
    <n v="85"/>
    <s v="Hypertension Stage 1"/>
    <n v="8"/>
    <n v="13.72"/>
    <x v="1"/>
    <x v="1"/>
  </r>
  <r>
    <x v="0"/>
    <m/>
    <n v="85.6"/>
    <n v="1.66"/>
    <n v="31.1"/>
    <n v="83.6"/>
    <s v="103/99"/>
    <n v="222"/>
    <n v="66"/>
    <n v="99"/>
    <x v="1"/>
    <s v="Y"/>
    <s v="High"/>
    <s v="N"/>
    <n v="166"/>
    <n v="0.504"/>
    <n v="103"/>
    <n v="99"/>
    <s v="Hypertension Stage 2"/>
    <n v="126"/>
    <m/>
    <x v="1"/>
    <x v="1"/>
  </r>
  <r>
    <x v="0"/>
    <n v="47"/>
    <n v="82.2"/>
    <n v="1.87"/>
    <n v="23.5"/>
    <m/>
    <s v="113/69"/>
    <n v="217"/>
    <n v="34"/>
    <n v="103"/>
    <x v="1"/>
    <s v="Y"/>
    <s v="Low"/>
    <s v="N"/>
    <n v="187"/>
    <n v="0.48699999999999999"/>
    <n v="113"/>
    <n v="69"/>
    <s v="Normal"/>
    <n v="153"/>
    <n v="16.690000000000001"/>
    <x v="1"/>
    <x v="1"/>
  </r>
  <r>
    <x v="0"/>
    <n v="56"/>
    <n v="113.9"/>
    <n v="1.89"/>
    <n v="31.9"/>
    <m/>
    <s v="129/82"/>
    <n v="239"/>
    <n v="61"/>
    <n v="90"/>
    <x v="0"/>
    <s v="Y"/>
    <s v="High"/>
    <s v="Y"/>
    <n v="189"/>
    <n v="0.40400000000000003"/>
    <n v="129"/>
    <n v="82"/>
    <s v="Hypertension Stage 1"/>
    <n v="148"/>
    <n v="19.61"/>
    <x v="1"/>
    <x v="1"/>
  </r>
  <r>
    <x v="0"/>
    <m/>
    <n v="86.8"/>
    <n v="1.67"/>
    <n v="31.1"/>
    <n v="71.599999999999994"/>
    <s v="120/69"/>
    <n v="105"/>
    <n v="53"/>
    <n v="97"/>
    <x v="1"/>
    <s v="Y"/>
    <s v="High"/>
    <s v="Y"/>
    <n v="167"/>
    <n v="0.42899999999999999"/>
    <n v="120"/>
    <n v="69"/>
    <s v="Elevated"/>
    <n v="22"/>
    <n v="16.32"/>
    <x v="1"/>
    <x v="1"/>
  </r>
  <r>
    <x v="1"/>
    <n v="32"/>
    <n v="53.1"/>
    <n v="1.69"/>
    <n v="18.600000000000001"/>
    <n v="82.9"/>
    <s v="124/73"/>
    <n v="192"/>
    <n v="76"/>
    <n v="103"/>
    <x v="0"/>
    <s v="N"/>
    <s v="Moderate"/>
    <s v="N"/>
    <n v="169"/>
    <n v="0.49099999999999999"/>
    <m/>
    <n v="73"/>
    <s v="Elevated"/>
    <n v="86"/>
    <n v="13.76"/>
    <x v="2"/>
    <x v="0"/>
  </r>
  <r>
    <x v="0"/>
    <n v="55"/>
    <n v="79.7"/>
    <n v="1.78"/>
    <n v="25.2"/>
    <n v="86.9"/>
    <s v="140/62"/>
    <n v="248"/>
    <n v="36"/>
    <n v="73"/>
    <x v="1"/>
    <s v="Y"/>
    <s v="Moderate"/>
    <s v="Y"/>
    <n v="178"/>
    <n v="0.48799999999999999"/>
    <n v="140"/>
    <n v="62"/>
    <s v="Hypertension Stage 2"/>
    <n v="182"/>
    <n v="19"/>
    <x v="1"/>
    <x v="1"/>
  </r>
  <r>
    <x v="1"/>
    <n v="34"/>
    <n v="115.8"/>
    <n v="1.61"/>
    <n v="44.7"/>
    <n v="81.3"/>
    <s v="120/89"/>
    <n v="232"/>
    <n v="64"/>
    <n v="89"/>
    <x v="0"/>
    <s v="Y"/>
    <s v="Moderate"/>
    <s v="Y"/>
    <n v="161"/>
    <n v="0.505"/>
    <n v="120"/>
    <n v="89"/>
    <s v="Hypertension Stage 1"/>
    <n v="138"/>
    <n v="21.58"/>
    <x v="1"/>
    <x v="1"/>
  </r>
  <r>
    <x v="0"/>
    <n v="34"/>
    <n v="111.3"/>
    <n v="1.63"/>
    <n v="41.9"/>
    <n v="94.9"/>
    <s v="124/73"/>
    <n v="224"/>
    <n v="41"/>
    <n v="78"/>
    <x v="1"/>
    <s v="Y"/>
    <s v="Moderate"/>
    <s v="N"/>
    <m/>
    <n v="0.58199999999999996"/>
    <n v="124"/>
    <n v="73"/>
    <s v="Elevated"/>
    <n v="153"/>
    <n v="21.06"/>
    <x v="1"/>
    <x v="1"/>
  </r>
  <r>
    <x v="0"/>
    <n v="41"/>
    <n v="91.8"/>
    <n v="1.76"/>
    <n v="29.6"/>
    <n v="71"/>
    <s v="148/67"/>
    <n v="256"/>
    <n v="73"/>
    <n v="134"/>
    <x v="1"/>
    <s v="Y"/>
    <s v="Low"/>
    <s v="N"/>
    <n v="176"/>
    <n v="0.40300000000000002"/>
    <n v="148"/>
    <n v="67"/>
    <s v="Hypertension Stage 2"/>
    <n v="153"/>
    <n v="20.440000000000001"/>
    <x v="1"/>
    <x v="1"/>
  </r>
  <r>
    <x v="1"/>
    <n v="47"/>
    <n v="117"/>
    <m/>
    <n v="40.5"/>
    <n v="81.3"/>
    <s v="122/74"/>
    <n v="238"/>
    <n v="67"/>
    <n v="96"/>
    <x v="1"/>
    <s v="N"/>
    <s v="High"/>
    <s v="Y"/>
    <n v="170"/>
    <n v="0.47799999999999998"/>
    <n v="122"/>
    <n v="74"/>
    <s v="Elevated"/>
    <n v="141"/>
    <n v="18.96"/>
    <x v="1"/>
    <x v="1"/>
  </r>
  <r>
    <x v="1"/>
    <n v="32"/>
    <n v="110.5"/>
    <n v="1.76"/>
    <n v="35.700000000000003"/>
    <n v="87.5"/>
    <s v="119/74"/>
    <n v="150"/>
    <n v="44"/>
    <n v="136"/>
    <x v="1"/>
    <s v="N"/>
    <s v="Moderate"/>
    <s v="Y"/>
    <n v="176"/>
    <n v="0.497"/>
    <n v="119"/>
    <n v="74"/>
    <s v="Normal"/>
    <n v="76"/>
    <n v="16.09"/>
    <x v="0"/>
    <x v="0"/>
  </r>
  <r>
    <x v="1"/>
    <n v="40"/>
    <m/>
    <n v="1.63"/>
    <n v="41.6"/>
    <n v="108.7"/>
    <s v="122/73"/>
    <n v="273"/>
    <m/>
    <n v="71"/>
    <x v="1"/>
    <s v="Y"/>
    <s v="Moderate"/>
    <s v="Y"/>
    <n v="163"/>
    <n v="0.66700000000000004"/>
    <n v="122"/>
    <n v="73"/>
    <s v="Elevated"/>
    <n v="172"/>
    <n v="21.88"/>
    <x v="1"/>
    <x v="1"/>
  </r>
  <r>
    <x v="0"/>
    <n v="43"/>
    <n v="115.5"/>
    <n v="1.88"/>
    <n v="32.700000000000003"/>
    <n v="74.5"/>
    <s v="131/68"/>
    <n v="232"/>
    <n v="62"/>
    <n v="142"/>
    <x v="1"/>
    <s v="Y"/>
    <s v="High"/>
    <s v="N"/>
    <n v="188"/>
    <n v="0.39600000000000002"/>
    <n v="131"/>
    <n v="68"/>
    <s v="Hypertension Stage 1"/>
    <n v="140"/>
    <n v="19.73"/>
    <x v="1"/>
    <x v="1"/>
  </r>
  <r>
    <x v="1"/>
    <n v="49"/>
    <n v="68.2"/>
    <n v="1.87"/>
    <n v="19.5"/>
    <n v="79.3"/>
    <s v="107/100"/>
    <n v="175"/>
    <n v="56"/>
    <n v="139"/>
    <x v="0"/>
    <s v="N"/>
    <s v="Moderate"/>
    <s v="Y"/>
    <n v="187"/>
    <n v="0.42399999999999999"/>
    <n v="107"/>
    <n v="100"/>
    <s v="Hypertension Stage 2"/>
    <n v="89"/>
    <n v="12.75"/>
    <x v="0"/>
    <x v="0"/>
  </r>
  <r>
    <x v="1"/>
    <n v="60"/>
    <n v="113.3"/>
    <n v="1.81"/>
    <n v="34.6"/>
    <n v="83.7"/>
    <s v="95/82"/>
    <n v="177"/>
    <n v="44"/>
    <n v="74"/>
    <x v="0"/>
    <s v="Y"/>
    <s v="Moderate"/>
    <s v="N"/>
    <n v="181"/>
    <n v="0.46200000000000002"/>
    <m/>
    <n v="82"/>
    <s v="Hypertension Stage 1"/>
    <n v="103"/>
    <n v="17.21"/>
    <x v="0"/>
    <x v="0"/>
  </r>
  <r>
    <x v="0"/>
    <n v="34"/>
    <n v="67.2"/>
    <n v="1.82"/>
    <n v="20.3"/>
    <n v="109.5"/>
    <s v="96/60"/>
    <n v="290"/>
    <n v="66"/>
    <n v="96"/>
    <x v="1"/>
    <s v="Y"/>
    <s v="Moderate"/>
    <s v="N"/>
    <n v="182"/>
    <n v="0.60199999999999998"/>
    <n v="96"/>
    <n v="60"/>
    <s v="Normal"/>
    <n v="194"/>
    <n v="16.66"/>
    <x v="0"/>
    <x v="0"/>
  </r>
  <r>
    <x v="1"/>
    <n v="30"/>
    <n v="78"/>
    <n v="1.71"/>
    <n v="26.7"/>
    <n v="102.1"/>
    <s v="122/73"/>
    <n v="275"/>
    <m/>
    <n v="108"/>
    <x v="0"/>
    <s v="N"/>
    <s v="High"/>
    <s v="N"/>
    <n v="171"/>
    <n v="0.59699999999999998"/>
    <n v="122"/>
    <n v="73"/>
    <s v="Elevated"/>
    <n v="168"/>
    <n v="16.940000000000001"/>
    <x v="0"/>
    <x v="0"/>
  </r>
  <r>
    <x v="1"/>
    <n v="42"/>
    <n v="115.8"/>
    <n v="1.74"/>
    <n v="38.200000000000003"/>
    <n v="88.8"/>
    <s v="143/82"/>
    <n v="249"/>
    <n v="66"/>
    <n v="92"/>
    <x v="1"/>
    <s v="Y"/>
    <s v="Moderate"/>
    <s v="N"/>
    <n v="174"/>
    <n v="0.51"/>
    <n v="143"/>
    <n v="82"/>
    <s v="Hypertension Stage 1"/>
    <n v="153"/>
    <n v="21.77"/>
    <x v="1"/>
    <x v="1"/>
  </r>
  <r>
    <x v="1"/>
    <n v="37"/>
    <n v="112.7"/>
    <n v="1.64"/>
    <n v="41.9"/>
    <n v="76.099999999999994"/>
    <s v="98/92"/>
    <n v="189"/>
    <n v="68"/>
    <n v="111"/>
    <x v="1"/>
    <s v="Y"/>
    <s v="High"/>
    <s v="Y"/>
    <n v="164"/>
    <n v="0.46400000000000002"/>
    <n v="98"/>
    <n v="92"/>
    <s v="Hypertension Stage 2"/>
    <n v="91"/>
    <n v="19.059999999999999"/>
    <x v="1"/>
    <x v="1"/>
  </r>
  <r>
    <x v="1"/>
    <n v="48"/>
    <n v="117.8"/>
    <n v="1.85"/>
    <n v="34.4"/>
    <n v="93.3"/>
    <s v="110/76"/>
    <n v="141"/>
    <n v="42"/>
    <n v="106"/>
    <x v="0"/>
    <s v="N"/>
    <s v="Low"/>
    <s v="N"/>
    <n v="185"/>
    <n v="0.504"/>
    <m/>
    <n v="76"/>
    <s v="Normal"/>
    <m/>
    <n v="15.2"/>
    <x v="0"/>
    <x v="0"/>
  </r>
  <r>
    <x v="0"/>
    <n v="60"/>
    <n v="116.2"/>
    <m/>
    <n v="36.700000000000003"/>
    <n v="97.8"/>
    <s v="112/80"/>
    <n v="188"/>
    <n v="52"/>
    <n v="97"/>
    <x v="1"/>
    <s v="N"/>
    <s v="Moderate"/>
    <s v="N"/>
    <m/>
    <n v="0.54900000000000004"/>
    <n v="112"/>
    <n v="80"/>
    <s v="Hypertension Stage 1"/>
    <n v="106"/>
    <n v="16.7"/>
    <x v="0"/>
    <x v="0"/>
  </r>
  <r>
    <x v="1"/>
    <n v="44"/>
    <n v="97.8"/>
    <n v="1.89"/>
    <n v="27.4"/>
    <n v="91.9"/>
    <s v="129/61"/>
    <n v="166"/>
    <n v="61"/>
    <n v="143"/>
    <x v="1"/>
    <s v="Y"/>
    <s v="Moderate"/>
    <s v="Y"/>
    <n v="189"/>
    <n v="0.48599999999999999"/>
    <n v="129"/>
    <n v="61"/>
    <s v="Elevated"/>
    <n v="75"/>
    <n v="17.25"/>
    <x v="1"/>
    <x v="1"/>
  </r>
  <r>
    <x v="0"/>
    <n v="58"/>
    <n v="115"/>
    <n v="1.81"/>
    <n v="35.1"/>
    <n v="107.1"/>
    <s v="139/76"/>
    <n v="293"/>
    <n v="68"/>
    <n v="124"/>
    <x v="1"/>
    <s v="Y"/>
    <s v="Low"/>
    <s v="N"/>
    <n v="181"/>
    <n v="0.59199999999999997"/>
    <n v="139"/>
    <m/>
    <s v="Hypertension Stage 1"/>
    <n v="195"/>
    <n v="21.83"/>
    <x v="1"/>
    <x v="1"/>
  </r>
  <r>
    <x v="1"/>
    <n v="60"/>
    <n v="78.599999999999994"/>
    <n v="1.8"/>
    <n v="24.3"/>
    <n v="105.7"/>
    <s v="130/71"/>
    <n v="141"/>
    <n v="37"/>
    <n v="80"/>
    <x v="1"/>
    <s v="N"/>
    <s v="Low"/>
    <s v="N"/>
    <m/>
    <n v="0.58699999999999997"/>
    <n v="130"/>
    <n v="71"/>
    <s v="Hypertension Stage 1"/>
    <n v="74"/>
    <n v="14.18"/>
    <x v="1"/>
    <x v="1"/>
  </r>
  <r>
    <x v="0"/>
    <n v="46"/>
    <n v="74.5"/>
    <n v="1.81"/>
    <n v="22.7"/>
    <n v="79"/>
    <s v="129/80"/>
    <n v="231"/>
    <m/>
    <n v="97"/>
    <x v="0"/>
    <s v="N"/>
    <s v="Moderate"/>
    <s v="Y"/>
    <n v="181"/>
    <n v="0.436"/>
    <n v="129"/>
    <n v="80"/>
    <s v="Hypertension Stage 1"/>
    <n v="132"/>
    <n v="15.61"/>
    <x v="0"/>
    <x v="0"/>
  </r>
  <r>
    <x v="0"/>
    <n v="44"/>
    <n v="81.7"/>
    <n v="1.61"/>
    <n v="31.5"/>
    <n v="70.8"/>
    <s v="148/65"/>
    <n v="140"/>
    <n v="70"/>
    <n v="108"/>
    <x v="0"/>
    <s v="Y"/>
    <s v="Low"/>
    <s v="Y"/>
    <n v="161"/>
    <n v="0.44"/>
    <n v="148"/>
    <n v="65"/>
    <s v="Hypertension Stage 2"/>
    <n v="40"/>
    <n v="18.5"/>
    <x v="1"/>
    <x v="1"/>
  </r>
  <r>
    <x v="0"/>
    <n v="58"/>
    <n v="88.6"/>
    <n v="1.67"/>
    <n v="31.8"/>
    <n v="95.3"/>
    <s v="90/74"/>
    <n v="133"/>
    <n v="80"/>
    <n v="73"/>
    <x v="1"/>
    <s v="Y"/>
    <s v="High"/>
    <s v="Y"/>
    <n v="167"/>
    <n v="0.57099999999999995"/>
    <n v="90"/>
    <n v="74"/>
    <s v="Normal"/>
    <n v="23"/>
    <n v="15.52"/>
    <x v="1"/>
    <x v="1"/>
  </r>
  <r>
    <x v="1"/>
    <n v="41"/>
    <n v="92.4"/>
    <n v="1.8"/>
    <n v="28.5"/>
    <n v="78.8"/>
    <s v="101/77"/>
    <n v="135"/>
    <n v="67"/>
    <n v="123"/>
    <x v="1"/>
    <s v="Y"/>
    <s v="Low"/>
    <s v="N"/>
    <n v="180"/>
    <n v="0.438"/>
    <n v="101"/>
    <n v="77"/>
    <s v="Normal"/>
    <n v="38"/>
    <n v="15.45"/>
    <x v="1"/>
    <x v="1"/>
  </r>
  <r>
    <x v="1"/>
    <n v="31"/>
    <n v="119.7"/>
    <n v="1.61"/>
    <n v="46.2"/>
    <m/>
    <s v="127/70"/>
    <n v="280"/>
    <n v="80"/>
    <n v="136"/>
    <x v="1"/>
    <s v="N"/>
    <s v="Moderate"/>
    <s v="Y"/>
    <n v="161"/>
    <n v="0.55300000000000005"/>
    <n v="127"/>
    <n v="70"/>
    <s v="Elevated"/>
    <n v="170"/>
    <n v="21.19"/>
    <x v="1"/>
    <x v="1"/>
  </r>
  <r>
    <x v="1"/>
    <n v="53"/>
    <n v="112.7"/>
    <m/>
    <n v="37.200000000000003"/>
    <n v="104.1"/>
    <s v="132/83"/>
    <n v="126"/>
    <n v="30"/>
    <n v="74"/>
    <x v="1"/>
    <s v="N"/>
    <s v="Low"/>
    <s v="N"/>
    <n v="174"/>
    <n v="0.59799999999999998"/>
    <n v="132"/>
    <n v="83"/>
    <s v="Hypertension Stage 1"/>
    <n v="66"/>
    <n v="16.559999999999999"/>
    <x v="1"/>
    <x v="1"/>
  </r>
  <r>
    <x v="1"/>
    <n v="45"/>
    <n v="105.6"/>
    <n v="1.81"/>
    <n v="32.200000000000003"/>
    <n v="100.6"/>
    <s v="111/97"/>
    <n v="201"/>
    <n v="36"/>
    <n v="77"/>
    <x v="1"/>
    <s v="Y"/>
    <s v="Low"/>
    <s v="N"/>
    <n v="181"/>
    <n v="0.55600000000000005"/>
    <n v="111"/>
    <n v="97"/>
    <s v="Hypertension Stage 2"/>
    <n v="135"/>
    <n v="18.010000000000002"/>
    <x v="1"/>
    <x v="1"/>
  </r>
  <r>
    <x v="0"/>
    <n v="50"/>
    <n v="99.4"/>
    <n v="1.67"/>
    <n v="35.6"/>
    <n v="96.3"/>
    <s v="144/81"/>
    <n v="256"/>
    <n v="30"/>
    <n v="107"/>
    <x v="1"/>
    <s v="N"/>
    <s v="Moderate"/>
    <s v="N"/>
    <n v="167"/>
    <n v="0.57699999999999996"/>
    <n v="144"/>
    <n v="81"/>
    <s v="Hypertension Stage 1"/>
    <n v="196"/>
    <n v="19.440000000000001"/>
    <x v="1"/>
    <x v="1"/>
  </r>
  <r>
    <x v="1"/>
    <n v="49"/>
    <n v="118.3"/>
    <n v="1.89"/>
    <n v="33.1"/>
    <n v="96.2"/>
    <s v="130/68"/>
    <n v="240"/>
    <n v="61"/>
    <n v="86"/>
    <x v="0"/>
    <s v="N"/>
    <s v="Moderate"/>
    <s v="N"/>
    <n v="189"/>
    <n v="0.50900000000000001"/>
    <n v="130"/>
    <n v="68"/>
    <s v="Hypertension Stage 1"/>
    <n v="149"/>
    <m/>
    <x v="0"/>
    <x v="0"/>
  </r>
  <r>
    <x v="0"/>
    <n v="54"/>
    <n v="74.599999999999994"/>
    <n v="1.86"/>
    <n v="21.6"/>
    <n v="103.6"/>
    <s v="102/73"/>
    <n v="279"/>
    <n v="38"/>
    <n v="146"/>
    <x v="0"/>
    <s v="N"/>
    <s v="Low"/>
    <s v="Y"/>
    <n v="186"/>
    <n v="0.55700000000000005"/>
    <n v="102"/>
    <n v="73"/>
    <s v="Normal"/>
    <m/>
    <n v="15"/>
    <x v="1"/>
    <x v="1"/>
  </r>
  <r>
    <x v="1"/>
    <n v="35"/>
    <n v="86.5"/>
    <n v="1.8"/>
    <n v="26.7"/>
    <n v="96.6"/>
    <s v="118/78"/>
    <n v="284"/>
    <n v="39"/>
    <n v="77"/>
    <x v="1"/>
    <s v="N"/>
    <s v="High"/>
    <s v="N"/>
    <n v="180"/>
    <n v="0.53700000000000003"/>
    <n v="118"/>
    <n v="78"/>
    <s v="Normal"/>
    <n v="215"/>
    <n v="16.920000000000002"/>
    <x v="1"/>
    <x v="1"/>
  </r>
  <r>
    <x v="0"/>
    <n v="37"/>
    <n v="54.9"/>
    <n v="1.63"/>
    <n v="20.7"/>
    <n v="75.2"/>
    <s v="118/81"/>
    <n v="114"/>
    <n v="38"/>
    <n v="110"/>
    <x v="1"/>
    <s v="Y"/>
    <s v="Low"/>
    <s v="N"/>
    <n v="163"/>
    <n v="0.46100000000000002"/>
    <m/>
    <n v="81"/>
    <s v="Hypertension Stage 1"/>
    <n v="46"/>
    <m/>
    <x v="1"/>
    <x v="1"/>
  </r>
  <r>
    <x v="0"/>
    <n v="34"/>
    <n v="61.1"/>
    <n v="1.75"/>
    <n v="20"/>
    <n v="71.599999999999994"/>
    <s v="108/100"/>
    <n v="277"/>
    <n v="40"/>
    <n v="97"/>
    <x v="1"/>
    <s v="N"/>
    <s v="Moderate"/>
    <s v="N"/>
    <n v="175"/>
    <n v="0.40899999999999997"/>
    <n v="108"/>
    <n v="100"/>
    <s v="Hypertension Stage 2"/>
    <n v="207"/>
    <n v="14.94"/>
    <x v="0"/>
    <x v="0"/>
  </r>
  <r>
    <x v="0"/>
    <n v="34"/>
    <n v="67.7"/>
    <n v="1.81"/>
    <m/>
    <n v="79.8"/>
    <s v="135/91"/>
    <n v="235"/>
    <n v="31"/>
    <n v="147"/>
    <x v="1"/>
    <s v="N"/>
    <s v="Low"/>
    <s v="N"/>
    <n v="181"/>
    <n v="0.441"/>
    <m/>
    <n v="91"/>
    <s v="Hypertension Stage 1"/>
    <n v="174"/>
    <n v="15.59"/>
    <x v="1"/>
    <x v="1"/>
  </r>
  <r>
    <x v="0"/>
    <n v="36"/>
    <n v="60.2"/>
    <n v="1.68"/>
    <n v="21.3"/>
    <n v="104.7"/>
    <s v="111/87"/>
    <n v="289"/>
    <n v="68"/>
    <n v="116"/>
    <x v="1"/>
    <s v="N"/>
    <s v="Moderate"/>
    <s v="N"/>
    <n v="168"/>
    <n v="0.623"/>
    <n v="111"/>
    <n v="87"/>
    <s v="Hypertension Stage 1"/>
    <n v="191"/>
    <n v="15.59"/>
    <x v="0"/>
    <x v="0"/>
  </r>
  <r>
    <x v="0"/>
    <n v="43"/>
    <n v="72"/>
    <n v="1.67"/>
    <n v="25.8"/>
    <n v="84.9"/>
    <s v="92/69"/>
    <n v="190"/>
    <n v="67"/>
    <n v="144"/>
    <x v="1"/>
    <s v="N"/>
    <s v="Moderate"/>
    <s v="N"/>
    <n v="167"/>
    <n v="0.50800000000000001"/>
    <n v="92"/>
    <n v="69"/>
    <s v="Normal"/>
    <n v="93"/>
    <n v="13.56"/>
    <x v="0"/>
    <x v="0"/>
  </r>
  <r>
    <x v="1"/>
    <n v="55"/>
    <n v="85"/>
    <n v="1.75"/>
    <n v="27.8"/>
    <n v="79.400000000000006"/>
    <s v="94/71"/>
    <n v="240"/>
    <n v="32"/>
    <m/>
    <x v="0"/>
    <s v="Y"/>
    <s v="Low"/>
    <s v="Y"/>
    <n v="175"/>
    <n v="0.45400000000000001"/>
    <n v="94"/>
    <n v="71"/>
    <s v="Normal"/>
    <n v="178"/>
    <n v="17.059999999999999"/>
    <x v="1"/>
    <x v="1"/>
  </r>
  <r>
    <x v="0"/>
    <n v="41"/>
    <n v="80"/>
    <n v="1.63"/>
    <n v="30.1"/>
    <n v="84.5"/>
    <s v="119/73"/>
    <n v="250"/>
    <n v="34"/>
    <n v="122"/>
    <x v="0"/>
    <s v="N"/>
    <s v="Moderate"/>
    <s v="N"/>
    <n v="163"/>
    <n v="0.51800000000000002"/>
    <n v="119"/>
    <n v="73"/>
    <s v="Normal"/>
    <n v="186"/>
    <n v="16.97"/>
    <x v="0"/>
    <x v="0"/>
  </r>
  <r>
    <x v="1"/>
    <n v="39"/>
    <n v="70.900000000000006"/>
    <n v="1.85"/>
    <n v="20.7"/>
    <n v="73.2"/>
    <s v="127/86"/>
    <n v="172"/>
    <n v="34"/>
    <n v="133"/>
    <x v="1"/>
    <s v="Y"/>
    <s v="High"/>
    <s v="Y"/>
    <n v="185"/>
    <n v="0.39600000000000002"/>
    <n v="127"/>
    <n v="86"/>
    <s v="Hypertension Stage 1"/>
    <n v="108"/>
    <n v="15.93"/>
    <x v="1"/>
    <x v="1"/>
  </r>
  <r>
    <x v="0"/>
    <m/>
    <n v="79.599999999999994"/>
    <n v="1.88"/>
    <n v="22.5"/>
    <n v="97"/>
    <s v="114/85"/>
    <n v="194"/>
    <n v="76"/>
    <n v="90"/>
    <x v="1"/>
    <s v="N"/>
    <s v="Moderate"/>
    <s v="N"/>
    <n v="188"/>
    <n v="0.51600000000000001"/>
    <n v="114"/>
    <n v="85"/>
    <s v="Hypertension Stage 1"/>
    <m/>
    <n v="14.08"/>
    <x v="0"/>
    <x v="0"/>
  </r>
  <r>
    <x v="1"/>
    <n v="58"/>
    <n v="117.8"/>
    <n v="1.66"/>
    <n v="42.7"/>
    <n v="103.3"/>
    <s v="113/73"/>
    <n v="249"/>
    <n v="71"/>
    <n v="122"/>
    <x v="1"/>
    <s v="N"/>
    <s v="Low"/>
    <s v="N"/>
    <n v="166"/>
    <n v="0.622"/>
    <n v="113"/>
    <n v="73"/>
    <s v="Normal"/>
    <n v="148"/>
    <n v="19.170000000000002"/>
    <x v="1"/>
    <x v="1"/>
  </r>
  <r>
    <x v="0"/>
    <n v="35"/>
    <n v="116.2"/>
    <n v="1.83"/>
    <n v="34.700000000000003"/>
    <n v="108.4"/>
    <s v="119/66"/>
    <n v="220"/>
    <n v="62"/>
    <n v="135"/>
    <x v="0"/>
    <s v="Y"/>
    <s v="Moderate"/>
    <s v="N"/>
    <n v="183"/>
    <n v="0.59199999999999997"/>
    <n v="119"/>
    <n v="66"/>
    <s v="Normal"/>
    <n v="128"/>
    <n v="19.29"/>
    <x v="0"/>
    <x v="0"/>
  </r>
  <r>
    <x v="0"/>
    <n v="41"/>
    <n v="103.9"/>
    <n v="1.9"/>
    <n v="28.8"/>
    <n v="82.4"/>
    <s v="142/93"/>
    <n v="110"/>
    <m/>
    <n v="127"/>
    <x v="1"/>
    <s v="Y"/>
    <s v="Moderate"/>
    <s v="Y"/>
    <n v="190"/>
    <n v="0.434"/>
    <n v="142"/>
    <n v="93"/>
    <s v="Hypertension Stage 2"/>
    <n v="18"/>
    <n v="17.059999999999999"/>
    <x v="1"/>
    <x v="1"/>
  </r>
  <r>
    <x v="1"/>
    <n v="51"/>
    <n v="50.5"/>
    <n v="1.66"/>
    <n v="18.3"/>
    <n v="108"/>
    <s v="148/73"/>
    <n v="208"/>
    <n v="40"/>
    <n v="80"/>
    <x v="1"/>
    <s v="Y"/>
    <s v="Moderate"/>
    <s v="Y"/>
    <n v="166"/>
    <n v="0.65100000000000002"/>
    <n v="148"/>
    <n v="73"/>
    <s v="Hypertension Stage 2"/>
    <n v="138"/>
    <n v="17.22"/>
    <x v="1"/>
    <x v="1"/>
  </r>
  <r>
    <x v="1"/>
    <m/>
    <n v="55.6"/>
    <n v="1.83"/>
    <n v="16.600000000000001"/>
    <n v="104.8"/>
    <s v="126/95"/>
    <n v="289"/>
    <n v="58"/>
    <n v="135"/>
    <x v="1"/>
    <s v="N"/>
    <s v="High"/>
    <s v="N"/>
    <n v="183"/>
    <n v="0.57299999999999995"/>
    <n v="126"/>
    <n v="95"/>
    <s v="Hypertension Stage 2"/>
    <n v="201"/>
    <n v="15.4"/>
    <x v="0"/>
    <x v="0"/>
  </r>
  <r>
    <x v="0"/>
    <n v="52"/>
    <n v="98.9"/>
    <n v="1.78"/>
    <n v="31.2"/>
    <n v="86.4"/>
    <s v="138/84"/>
    <n v="277"/>
    <n v="36"/>
    <n v="88"/>
    <x v="1"/>
    <s v="Y"/>
    <s v="Moderate"/>
    <s v="Y"/>
    <n v="178"/>
    <n v="0.48499999999999999"/>
    <n v="138"/>
    <n v="84"/>
    <s v="Hypertension Stage 1"/>
    <n v="211"/>
    <n v="20.68"/>
    <x v="1"/>
    <x v="1"/>
  </r>
  <r>
    <x v="1"/>
    <n v="51"/>
    <n v="72.8"/>
    <n v="1.81"/>
    <n v="22.2"/>
    <m/>
    <s v="126/82"/>
    <n v="101"/>
    <n v="78"/>
    <n v="76"/>
    <x v="0"/>
    <s v="N"/>
    <s v="Moderate"/>
    <s v="Y"/>
    <n v="181"/>
    <n v="0.50800000000000001"/>
    <n v="126"/>
    <n v="82"/>
    <s v="Hypertension Stage 1"/>
    <n v="-7"/>
    <n v="12.76"/>
    <x v="0"/>
    <x v="0"/>
  </r>
  <r>
    <x v="0"/>
    <n v="49"/>
    <n v="85.8"/>
    <n v="1.78"/>
    <n v="27.1"/>
    <n v="76.900000000000006"/>
    <s v="121/67"/>
    <n v="136"/>
    <n v="31"/>
    <n v="125"/>
    <x v="0"/>
    <s v="Y"/>
    <s v="Moderate"/>
    <s v="N"/>
    <n v="178"/>
    <n v="0.432"/>
    <n v="121"/>
    <n v="67"/>
    <s v="Elevated"/>
    <n v="75"/>
    <n v="16.190000000000001"/>
    <x v="1"/>
    <x v="1"/>
  </r>
  <r>
    <x v="0"/>
    <n v="37"/>
    <m/>
    <n v="1.87"/>
    <n v="25.9"/>
    <n v="87.6"/>
    <s v="113/75"/>
    <n v="252"/>
    <n v="79"/>
    <n v="133"/>
    <x v="1"/>
    <s v="Y"/>
    <s v="High"/>
    <s v="Y"/>
    <n v="187"/>
    <n v="0.46800000000000003"/>
    <n v="113"/>
    <n v="75"/>
    <s v="Normal"/>
    <n v="143"/>
    <n v="17.87"/>
    <x v="1"/>
    <x v="1"/>
  </r>
  <r>
    <x v="0"/>
    <n v="60"/>
    <n v="71.3"/>
    <n v="1.68"/>
    <n v="25.3"/>
    <n v="95.3"/>
    <s v="92/70"/>
    <n v="271"/>
    <n v="59"/>
    <n v="93"/>
    <x v="1"/>
    <s v="Y"/>
    <s v="High"/>
    <s v="Y"/>
    <n v="168"/>
    <m/>
    <n v="92"/>
    <n v="70"/>
    <s v="Normal"/>
    <n v="182"/>
    <n v="17.079999999999998"/>
    <x v="1"/>
    <x v="1"/>
  </r>
  <r>
    <x v="0"/>
    <n v="31"/>
    <n v="94.5"/>
    <n v="1.82"/>
    <n v="28.5"/>
    <n v="74.599999999999994"/>
    <s v="90/79"/>
    <n v="115"/>
    <m/>
    <n v="144"/>
    <x v="1"/>
    <s v="Y"/>
    <s v="Moderate"/>
    <s v="N"/>
    <n v="182"/>
    <n v="0.41"/>
    <n v="90"/>
    <n v="79"/>
    <s v="Normal"/>
    <n v="13"/>
    <n v="14.5"/>
    <x v="0"/>
    <x v="0"/>
  </r>
  <r>
    <x v="0"/>
    <n v="36"/>
    <n v="62.1"/>
    <n v="1.76"/>
    <n v="20"/>
    <n v="70.599999999999994"/>
    <s v="126/89"/>
    <n v="226"/>
    <n v="63"/>
    <n v="107"/>
    <x v="1"/>
    <s v="N"/>
    <s v="High"/>
    <s v="N"/>
    <n v="176"/>
    <n v="0.40100000000000002"/>
    <n v="126"/>
    <n v="89"/>
    <s v="Hypertension Stage 1"/>
    <n v="133"/>
    <m/>
    <x v="0"/>
    <x v="0"/>
  </r>
  <r>
    <x v="1"/>
    <n v="58"/>
    <n v="56"/>
    <n v="1.82"/>
    <n v="16.899999999999999"/>
    <n v="104.2"/>
    <s v="132/78"/>
    <n v="144"/>
    <n v="43"/>
    <n v="98"/>
    <x v="1"/>
    <s v="N"/>
    <s v="Low"/>
    <s v="Y"/>
    <n v="182"/>
    <m/>
    <n v="132"/>
    <n v="78"/>
    <s v="Hypertension Stage 1"/>
    <n v="71"/>
    <n v="12.86"/>
    <x v="1"/>
    <x v="1"/>
  </r>
  <r>
    <x v="0"/>
    <n v="53"/>
    <n v="68.599999999999994"/>
    <n v="1.89"/>
    <n v="19.2"/>
    <n v="88.2"/>
    <s v="121/67"/>
    <n v="199"/>
    <n v="73"/>
    <n v="129"/>
    <x v="0"/>
    <s v="Y"/>
    <s v="High"/>
    <s v="N"/>
    <n v="189"/>
    <n v="0.46700000000000003"/>
    <n v="121"/>
    <n v="67"/>
    <s v="Elevated"/>
    <n v="96"/>
    <n v="15.87"/>
    <x v="0"/>
    <x v="0"/>
  </r>
  <r>
    <x v="0"/>
    <n v="49"/>
    <n v="51.7"/>
    <n v="1.63"/>
    <n v="19.5"/>
    <n v="105.1"/>
    <s v="137/64"/>
    <n v="135"/>
    <n v="77"/>
    <n v="125"/>
    <x v="0"/>
    <s v="Y"/>
    <s v="Moderate"/>
    <s v="Y"/>
    <n v="163"/>
    <n v="0.64500000000000002"/>
    <n v="137"/>
    <n v="64"/>
    <s v="Hypertension Stage 1"/>
    <n v="28"/>
    <n v="15.45"/>
    <x v="0"/>
    <x v="0"/>
  </r>
  <r>
    <x v="1"/>
    <n v="50"/>
    <n v="95.4"/>
    <n v="1.87"/>
    <n v="27.3"/>
    <n v="94.4"/>
    <s v="130/66"/>
    <m/>
    <n v="56"/>
    <n v="128"/>
    <x v="1"/>
    <s v="N"/>
    <s v="High"/>
    <s v="Y"/>
    <n v="187"/>
    <n v="0.505"/>
    <n v="130"/>
    <n v="66"/>
    <s v="Hypertension Stage 1"/>
    <n v="24"/>
    <n v="14.16"/>
    <x v="1"/>
    <x v="1"/>
  </r>
  <r>
    <x v="0"/>
    <n v="35"/>
    <m/>
    <n v="1.71"/>
    <n v="29"/>
    <n v="92.8"/>
    <s v="149/69"/>
    <n v="151"/>
    <n v="42"/>
    <n v="99"/>
    <x v="0"/>
    <s v="N"/>
    <s v="High"/>
    <s v="Y"/>
    <n v="171"/>
    <n v="0.54300000000000004"/>
    <n v="149"/>
    <n v="69"/>
    <s v="Hypertension Stage 2"/>
    <n v="79"/>
    <n v="16.27"/>
    <x v="0"/>
    <x v="0"/>
  </r>
  <r>
    <x v="0"/>
    <n v="56"/>
    <n v="111.3"/>
    <n v="1.82"/>
    <n v="33.6"/>
    <n v="79.5"/>
    <s v="110/86"/>
    <n v="296"/>
    <n v="62"/>
    <n v="137"/>
    <x v="0"/>
    <s v="Y"/>
    <s v="Moderate"/>
    <s v="N"/>
    <n v="182"/>
    <n v="0.437"/>
    <n v="110"/>
    <n v="86"/>
    <s v="Hypertension Stage 1"/>
    <n v="204"/>
    <n v="20.14"/>
    <x v="1"/>
    <x v="1"/>
  </r>
  <r>
    <x v="0"/>
    <n v="35"/>
    <n v="100.7"/>
    <n v="1.83"/>
    <n v="30.1"/>
    <n v="108.8"/>
    <s v="143/64"/>
    <n v="162"/>
    <n v="57"/>
    <n v="90"/>
    <x v="1"/>
    <s v="N"/>
    <s v="Moderate"/>
    <s v="N"/>
    <n v="183"/>
    <n v="0.59499999999999997"/>
    <n v="143"/>
    <n v="64"/>
    <s v="Hypertension Stage 2"/>
    <n v="75"/>
    <m/>
    <x v="0"/>
    <x v="0"/>
  </r>
  <r>
    <x v="1"/>
    <n v="55"/>
    <n v="110.5"/>
    <n v="1.73"/>
    <n v="36.9"/>
    <m/>
    <s v="118/72"/>
    <n v="196"/>
    <n v="39"/>
    <n v="98"/>
    <x v="1"/>
    <s v="N"/>
    <s v="High"/>
    <s v="Y"/>
    <n v="173"/>
    <n v="0.441"/>
    <n v="118"/>
    <n v="72"/>
    <s v="Normal"/>
    <n v="127"/>
    <m/>
    <x v="1"/>
    <x v="1"/>
  </r>
  <r>
    <x v="0"/>
    <n v="40"/>
    <n v="101.7"/>
    <n v="1.82"/>
    <n v="30.7"/>
    <n v="77.099999999999994"/>
    <s v="125/80"/>
    <n v="172"/>
    <n v="42"/>
    <n v="135"/>
    <x v="0"/>
    <s v="N"/>
    <s v="Low"/>
    <s v="N"/>
    <n v="182"/>
    <n v="0.42399999999999999"/>
    <n v="125"/>
    <n v="80"/>
    <s v="Hypertension Stage 1"/>
    <n v="100"/>
    <n v="15.83"/>
    <x v="0"/>
    <x v="0"/>
  </r>
  <r>
    <x v="0"/>
    <n v="37"/>
    <n v="95.7"/>
    <n v="1.76"/>
    <n v="30.9"/>
    <n v="102.8"/>
    <s v="93/71"/>
    <n v="256"/>
    <n v="47"/>
    <n v="102"/>
    <x v="0"/>
    <s v="Y"/>
    <s v="Low"/>
    <s v="N"/>
    <m/>
    <n v="0.58399999999999996"/>
    <n v="93"/>
    <m/>
    <s v="Normal"/>
    <n v="179"/>
    <n v="17.95"/>
    <x v="1"/>
    <x v="1"/>
  </r>
  <r>
    <x v="0"/>
    <n v="60"/>
    <n v="104.2"/>
    <n v="1.7"/>
    <n v="36.1"/>
    <n v="73.7"/>
    <s v="150/67"/>
    <n v="155"/>
    <n v="59"/>
    <n v="115"/>
    <x v="1"/>
    <s v="Y"/>
    <s v="Low"/>
    <s v="N"/>
    <n v="170"/>
    <n v="0.434"/>
    <n v="150"/>
    <n v="67"/>
    <s v="Hypertension Stage 2"/>
    <n v="66"/>
    <n v="19.82"/>
    <x v="1"/>
    <x v="1"/>
  </r>
  <r>
    <x v="1"/>
    <n v="45"/>
    <n v="62.1"/>
    <n v="1.8"/>
    <n v="19.2"/>
    <n v="84.1"/>
    <s v="117/60"/>
    <n v="141"/>
    <n v="45"/>
    <n v="117"/>
    <x v="1"/>
    <s v="Y"/>
    <s v="High"/>
    <s v="N"/>
    <n v="180"/>
    <n v="0.46700000000000003"/>
    <n v="117"/>
    <n v="60"/>
    <s v="Normal"/>
    <n v="66"/>
    <n v="14.51"/>
    <x v="0"/>
    <x v="0"/>
  </r>
  <r>
    <x v="1"/>
    <n v="44"/>
    <n v="97.8"/>
    <n v="1.63"/>
    <n v="36.799999999999997"/>
    <n v="104"/>
    <s v="141/68"/>
    <n v="155"/>
    <n v="55"/>
    <n v="142"/>
    <x v="1"/>
    <s v="Y"/>
    <s v="Moderate"/>
    <s v="N"/>
    <n v="163"/>
    <m/>
    <n v="141"/>
    <n v="68"/>
    <s v="Hypertension Stage 2"/>
    <n v="70"/>
    <n v="19.510000000000002"/>
    <x v="0"/>
    <x v="0"/>
  </r>
  <r>
    <x v="0"/>
    <m/>
    <n v="54.7"/>
    <n v="1.82"/>
    <n v="16.5"/>
    <n v="83.2"/>
    <s v="150/81"/>
    <n v="193"/>
    <n v="61"/>
    <n v="133"/>
    <x v="1"/>
    <s v="Y"/>
    <s v="High"/>
    <s v="N"/>
    <m/>
    <n v="0.45700000000000002"/>
    <n v="150"/>
    <n v="81"/>
    <s v="Hypertension Stage 1"/>
    <n v="102"/>
    <n v="16.66"/>
    <x v="0"/>
    <x v="0"/>
  </r>
  <r>
    <x v="1"/>
    <n v="53"/>
    <n v="62.7"/>
    <n v="1.6"/>
    <n v="24.5"/>
    <n v="73.7"/>
    <s v="131/73"/>
    <n v="172"/>
    <n v="73"/>
    <n v="142"/>
    <x v="1"/>
    <s v="Y"/>
    <s v="High"/>
    <s v="Y"/>
    <n v="160"/>
    <n v="0.46100000000000002"/>
    <m/>
    <n v="73"/>
    <s v="Hypertension Stage 1"/>
    <n v="69"/>
    <n v="16.89"/>
    <x v="1"/>
    <x v="1"/>
  </r>
  <r>
    <x v="0"/>
    <n v="30"/>
    <n v="68.599999999999994"/>
    <n v="1.73"/>
    <n v="22.9"/>
    <n v="86.7"/>
    <s v="142/66"/>
    <n v="142"/>
    <n v="59"/>
    <n v="94"/>
    <x v="0"/>
    <s v="Y"/>
    <s v="High"/>
    <s v="N"/>
    <n v="173"/>
    <n v="0.501"/>
    <n v="142"/>
    <n v="66"/>
    <s v="Hypertension Stage 2"/>
    <n v="53"/>
    <n v="16.52"/>
    <x v="2"/>
    <x v="0"/>
  </r>
  <r>
    <x v="1"/>
    <n v="50"/>
    <n v="95.3"/>
    <n v="1.9"/>
    <n v="26.4"/>
    <n v="90"/>
    <s v="125/90"/>
    <n v="205"/>
    <n v="38"/>
    <n v="82"/>
    <x v="0"/>
    <s v="Y"/>
    <s v="Moderate"/>
    <s v="N"/>
    <n v="190"/>
    <n v="0.47399999999999998"/>
    <n v="125"/>
    <n v="90"/>
    <s v="Hypertension Stage 2"/>
    <n v="137"/>
    <n v="17.63"/>
    <x v="1"/>
    <x v="1"/>
  </r>
  <r>
    <x v="1"/>
    <n v="31"/>
    <n v="65.5"/>
    <n v="1.8"/>
    <n v="20.2"/>
    <n v="79.2"/>
    <s v="124/61"/>
    <n v="266"/>
    <n v="60"/>
    <n v="111"/>
    <x v="1"/>
    <s v="Y"/>
    <s v="Low"/>
    <s v="N"/>
    <n v="180"/>
    <n v="0.44"/>
    <n v="124"/>
    <n v="61"/>
    <s v="Elevated"/>
    <n v="176"/>
    <n v="17.559999999999999"/>
    <x v="1"/>
    <x v="1"/>
  </r>
  <r>
    <x v="1"/>
    <n v="43"/>
    <n v="110.9"/>
    <n v="1.83"/>
    <n v="33.1"/>
    <n v="90.5"/>
    <s v="129/61"/>
    <n v="160"/>
    <m/>
    <n v="144"/>
    <x v="0"/>
    <s v="Y"/>
    <s v="Moderate"/>
    <s v="N"/>
    <n v="183"/>
    <m/>
    <n v="129"/>
    <n v="61"/>
    <s v="Elevated"/>
    <n v="62"/>
    <n v="18.27"/>
    <x v="0"/>
    <x v="0"/>
  </r>
  <r>
    <x v="1"/>
    <n v="55"/>
    <n v="75.3"/>
    <n v="1.66"/>
    <n v="27.3"/>
    <n v="76.3"/>
    <s v="134/90"/>
    <n v="122"/>
    <n v="51"/>
    <n v="81"/>
    <x v="1"/>
    <s v="Y"/>
    <s v="Moderate"/>
    <s v="Y"/>
    <n v="166"/>
    <n v="0.46"/>
    <n v="134"/>
    <n v="90"/>
    <s v="Hypertension Stage 1"/>
    <n v="41"/>
    <m/>
    <x v="1"/>
    <x v="1"/>
  </r>
  <r>
    <x v="0"/>
    <n v="31"/>
    <n v="92.3"/>
    <n v="1.72"/>
    <n v="31.2"/>
    <n v="94"/>
    <s v="108/71"/>
    <n v="182"/>
    <n v="60"/>
    <n v="73"/>
    <x v="0"/>
    <s v="N"/>
    <s v="Moderate"/>
    <s v="N"/>
    <n v="172"/>
    <n v="0.54700000000000004"/>
    <n v="108"/>
    <n v="71"/>
    <s v="Normal"/>
    <n v="92"/>
    <n v="15.28"/>
    <x v="2"/>
    <x v="0"/>
  </r>
  <r>
    <x v="0"/>
    <n v="42"/>
    <n v="69.099999999999994"/>
    <m/>
    <n v="19.600000000000001"/>
    <m/>
    <s v="92/95"/>
    <n v="263"/>
    <n v="74"/>
    <n v="94"/>
    <x v="0"/>
    <s v="N"/>
    <s v="Low"/>
    <s v="N"/>
    <n v="188"/>
    <n v="0.54500000000000004"/>
    <n v="92"/>
    <n v="95"/>
    <s v="Hypertension Stage 2"/>
    <m/>
    <n v="13.78"/>
    <x v="0"/>
    <x v="0"/>
  </r>
  <r>
    <x v="1"/>
    <n v="50"/>
    <n v="119"/>
    <n v="1.64"/>
    <n v="44.2"/>
    <n v="70.900000000000006"/>
    <s v="126/77"/>
    <n v="188"/>
    <n v="68"/>
    <n v="113"/>
    <x v="1"/>
    <s v="Y"/>
    <s v="Moderate"/>
    <s v="Y"/>
    <n v="164"/>
    <n v="0.432"/>
    <n v="126"/>
    <n v="77"/>
    <s v="Elevated"/>
    <n v="90"/>
    <m/>
    <x v="1"/>
    <x v="1"/>
  </r>
  <r>
    <x v="0"/>
    <n v="42"/>
    <n v="114.2"/>
    <n v="1.89"/>
    <n v="32"/>
    <n v="84.4"/>
    <s v="109/91"/>
    <n v="153"/>
    <n v="68"/>
    <n v="137"/>
    <x v="0"/>
    <s v="Y"/>
    <s v="High"/>
    <s v="Y"/>
    <n v="189"/>
    <n v="0.44700000000000001"/>
    <n v="109"/>
    <n v="91"/>
    <s v="Hypertension Stage 2"/>
    <n v="55"/>
    <n v="16.91"/>
    <x v="0"/>
    <x v="0"/>
  </r>
  <r>
    <x v="1"/>
    <n v="56"/>
    <m/>
    <n v="1.79"/>
    <n v="22.7"/>
    <n v="104.8"/>
    <s v="150/97"/>
    <n v="295"/>
    <n v="57"/>
    <n v="93"/>
    <x v="0"/>
    <s v="Y"/>
    <s v="Moderate"/>
    <s v="N"/>
    <n v="179"/>
    <n v="0.58499999999999996"/>
    <n v="150"/>
    <n v="97"/>
    <s v="Hypertension Stage 2"/>
    <n v="208"/>
    <n v="19.940000000000001"/>
    <x v="0"/>
    <x v="0"/>
  </r>
  <r>
    <x v="1"/>
    <n v="54"/>
    <n v="53.1"/>
    <n v="1.73"/>
    <n v="17.7"/>
    <n v="103.3"/>
    <s v="137/65"/>
    <m/>
    <n v="71"/>
    <n v="106"/>
    <x v="1"/>
    <s v="N"/>
    <s v="Moderate"/>
    <s v="N"/>
    <n v="173"/>
    <n v="0.59699999999999998"/>
    <n v="137"/>
    <n v="65"/>
    <s v="Hypertension Stage 1"/>
    <n v="56"/>
    <n v="13.53"/>
    <x v="0"/>
    <x v="0"/>
  </r>
  <r>
    <x v="1"/>
    <m/>
    <n v="94.9"/>
    <n v="1.67"/>
    <n v="34"/>
    <n v="98.6"/>
    <s v="150/86"/>
    <n v="234"/>
    <m/>
    <n v="148"/>
    <x v="1"/>
    <s v="N"/>
    <s v="Moderate"/>
    <s v="Y"/>
    <n v="167"/>
    <n v="0.59"/>
    <n v="150"/>
    <n v="86"/>
    <s v="Hypertension Stage 1"/>
    <n v="136"/>
    <n v="18.98"/>
    <x v="1"/>
    <x v="1"/>
  </r>
  <r>
    <x v="0"/>
    <n v="48"/>
    <n v="88.9"/>
    <n v="1.88"/>
    <n v="25.2"/>
    <n v="97.9"/>
    <s v="110/72"/>
    <n v="234"/>
    <n v="63"/>
    <n v="96"/>
    <x v="1"/>
    <s v="Y"/>
    <s v="Moderate"/>
    <s v="N"/>
    <n v="188"/>
    <n v="0.52100000000000002"/>
    <n v="110"/>
    <n v="72"/>
    <s v="Normal"/>
    <n v="141"/>
    <n v="17.22"/>
    <x v="1"/>
    <x v="1"/>
  </r>
  <r>
    <x v="1"/>
    <n v="44"/>
    <n v="86.5"/>
    <n v="1.67"/>
    <n v="31"/>
    <n v="81.400000000000006"/>
    <s v="101/73"/>
    <n v="103"/>
    <n v="58"/>
    <n v="79"/>
    <x v="1"/>
    <s v="Y"/>
    <s v="Moderate"/>
    <s v="Y"/>
    <n v="167"/>
    <n v="0.48699999999999999"/>
    <n v="101"/>
    <n v="73"/>
    <s v="Normal"/>
    <n v="15"/>
    <n v="15.31"/>
    <x v="1"/>
    <x v="1"/>
  </r>
  <r>
    <x v="1"/>
    <n v="42"/>
    <n v="104.5"/>
    <n v="1.66"/>
    <n v="37.9"/>
    <n v="90.2"/>
    <s v="123/62"/>
    <n v="125"/>
    <n v="32"/>
    <n v="134"/>
    <x v="1"/>
    <s v="Y"/>
    <s v="High"/>
    <s v="Y"/>
    <n v="166"/>
    <n v="0.54300000000000004"/>
    <n v="123"/>
    <n v="62"/>
    <s v="Elevated"/>
    <n v="63"/>
    <n v="18.23"/>
    <x v="1"/>
    <x v="1"/>
  </r>
  <r>
    <x v="0"/>
    <n v="49"/>
    <n v="58.5"/>
    <n v="1.72"/>
    <n v="19.8"/>
    <n v="90.1"/>
    <s v="150/79"/>
    <n v="131"/>
    <n v="62"/>
    <n v="150"/>
    <x v="1"/>
    <s v="N"/>
    <s v="Moderate"/>
    <s v="N"/>
    <n v="172"/>
    <n v="0.52400000000000002"/>
    <n v="150"/>
    <n v="79"/>
    <s v="Hypertension Stage 2"/>
    <n v="39"/>
    <n v="14.08"/>
    <x v="0"/>
    <x v="0"/>
  </r>
  <r>
    <x v="0"/>
    <n v="54"/>
    <n v="119.8"/>
    <n v="1.62"/>
    <n v="45.6"/>
    <n v="103.9"/>
    <s v="129/98"/>
    <n v="185"/>
    <n v="38"/>
    <n v="85"/>
    <x v="1"/>
    <s v="N"/>
    <s v="Low"/>
    <s v="Y"/>
    <n v="162"/>
    <n v="0.64100000000000001"/>
    <n v="129"/>
    <n v="98"/>
    <s v="Hypertension Stage 2"/>
    <n v="117"/>
    <n v="19.27"/>
    <x v="1"/>
    <x v="1"/>
  </r>
  <r>
    <x v="1"/>
    <n v="49"/>
    <m/>
    <n v="1.63"/>
    <n v="23.1"/>
    <n v="93.8"/>
    <s v="144/91"/>
    <n v="191"/>
    <n v="79"/>
    <n v="117"/>
    <x v="1"/>
    <s v="Y"/>
    <s v="Moderate"/>
    <s v="Y"/>
    <n v="163"/>
    <n v="0.57499999999999996"/>
    <n v="144"/>
    <m/>
    <s v="Hypertension Stage 2"/>
    <n v="82"/>
    <n v="17.64"/>
    <x v="1"/>
    <x v="1"/>
  </r>
  <r>
    <x v="0"/>
    <n v="52"/>
    <n v="50.2"/>
    <n v="1.65"/>
    <n v="18.399999999999999"/>
    <n v="80.099999999999994"/>
    <s v="108/73"/>
    <n v="257"/>
    <n v="78"/>
    <n v="104"/>
    <x v="0"/>
    <s v="N"/>
    <s v="Low"/>
    <s v="Y"/>
    <n v="165"/>
    <n v="0.48499999999999999"/>
    <n v="108"/>
    <n v="73"/>
    <s v="Normal"/>
    <n v="149"/>
    <n v="14.22"/>
    <x v="1"/>
    <x v="1"/>
  </r>
  <r>
    <x v="1"/>
    <n v="54"/>
    <n v="114.1"/>
    <n v="1.61"/>
    <n v="44"/>
    <n v="107.2"/>
    <s v="134/88"/>
    <n v="279"/>
    <n v="49"/>
    <n v="75"/>
    <x v="1"/>
    <s v="N"/>
    <s v="Low"/>
    <s v="N"/>
    <n v="161"/>
    <n v="0.66600000000000004"/>
    <n v="134"/>
    <n v="88"/>
    <s v="Hypertension Stage 1"/>
    <n v="200"/>
    <n v="21.08"/>
    <x v="1"/>
    <x v="1"/>
  </r>
  <r>
    <x v="0"/>
    <n v="51"/>
    <m/>
    <n v="1.64"/>
    <n v="27.4"/>
    <n v="75"/>
    <s v="149/92"/>
    <n v="235"/>
    <m/>
    <n v="146"/>
    <x v="1"/>
    <s v="N"/>
    <s v="Low"/>
    <s v="Y"/>
    <n v="164"/>
    <n v="0.45700000000000002"/>
    <n v="149"/>
    <n v="92"/>
    <s v="Hypertension Stage 2"/>
    <n v="128"/>
    <n v="17.63"/>
    <x v="1"/>
    <x v="1"/>
  </r>
  <r>
    <x v="0"/>
    <n v="45"/>
    <n v="107.4"/>
    <n v="1.63"/>
    <n v="40.4"/>
    <n v="102.3"/>
    <s v="140/77"/>
    <n v="247"/>
    <n v="52"/>
    <n v="82"/>
    <x v="1"/>
    <s v="N"/>
    <s v="High"/>
    <s v="Y"/>
    <n v="163"/>
    <n v="0.628"/>
    <n v="140"/>
    <n v="77"/>
    <s v="Hypertension Stage 2"/>
    <n v="165"/>
    <n v="20.02"/>
    <x v="1"/>
    <x v="1"/>
  </r>
  <r>
    <x v="1"/>
    <n v="43"/>
    <n v="111.9"/>
    <n v="1.81"/>
    <n v="34.200000000000003"/>
    <n v="75.900000000000006"/>
    <s v="142/88"/>
    <n v="136"/>
    <n v="66"/>
    <m/>
    <x v="1"/>
    <s v="N"/>
    <s v="Moderate"/>
    <s v="N"/>
    <n v="181"/>
    <n v="0.41899999999999998"/>
    <n v="142"/>
    <n v="88"/>
    <s v="Hypertension Stage 1"/>
    <n v="40"/>
    <n v="16.66"/>
    <x v="0"/>
    <x v="0"/>
  </r>
  <r>
    <x v="0"/>
    <n v="37"/>
    <n v="75.2"/>
    <n v="1.8"/>
    <n v="23.2"/>
    <m/>
    <s v="108/67"/>
    <n v="187"/>
    <n v="49"/>
    <n v="113"/>
    <x v="1"/>
    <s v="N"/>
    <s v="Moderate"/>
    <s v="Y"/>
    <n v="180"/>
    <n v="0.59799999999999998"/>
    <n v="108"/>
    <n v="67"/>
    <s v="Normal"/>
    <n v="108"/>
    <m/>
    <x v="0"/>
    <x v="0"/>
  </r>
  <r>
    <x v="1"/>
    <n v="50"/>
    <n v="65.5"/>
    <n v="1.63"/>
    <n v="24.7"/>
    <n v="74.599999999999994"/>
    <s v="123/99"/>
    <n v="166"/>
    <n v="41"/>
    <n v="107"/>
    <x v="1"/>
    <s v="Y"/>
    <s v="Moderate"/>
    <s v="N"/>
    <n v="163"/>
    <n v="0.45800000000000002"/>
    <n v="123"/>
    <n v="99"/>
    <s v="Hypertension Stage 2"/>
    <n v="95"/>
    <n v="16.41"/>
    <x v="0"/>
    <x v="0"/>
  </r>
  <r>
    <x v="0"/>
    <n v="55"/>
    <n v="115.3"/>
    <m/>
    <n v="32.299999999999997"/>
    <n v="85.6"/>
    <s v="113/98"/>
    <n v="192"/>
    <n v="55"/>
    <n v="83"/>
    <x v="0"/>
    <s v="Y"/>
    <s v="Low"/>
    <s v="Y"/>
    <m/>
    <n v="0.45300000000000001"/>
    <n v="113"/>
    <n v="98"/>
    <s v="Hypertension Stage 2"/>
    <n v="107"/>
    <n v="17.95"/>
    <x v="1"/>
    <x v="1"/>
  </r>
  <r>
    <x v="0"/>
    <n v="48"/>
    <n v="106.8"/>
    <n v="1.79"/>
    <n v="33.299999999999997"/>
    <n v="93.2"/>
    <s v="110/64"/>
    <n v="150"/>
    <n v="61"/>
    <n v="91"/>
    <x v="0"/>
    <s v="Y"/>
    <s v="Moderate"/>
    <s v="N"/>
    <n v="179"/>
    <n v="0.52100000000000002"/>
    <n v="110"/>
    <n v="64"/>
    <s v="Normal"/>
    <n v="59"/>
    <n v="17.16"/>
    <x v="0"/>
    <x v="0"/>
  </r>
  <r>
    <x v="1"/>
    <n v="48"/>
    <n v="71.099999999999994"/>
    <n v="1.74"/>
    <n v="23.5"/>
    <n v="71.7"/>
    <s v="99/62"/>
    <n v="226"/>
    <n v="66"/>
    <n v="114"/>
    <x v="0"/>
    <s v="N"/>
    <s v="Low"/>
    <s v="Y"/>
    <n v="174"/>
    <n v="0.41199999999999998"/>
    <n v="99"/>
    <n v="62"/>
    <s v="Normal"/>
    <n v="130"/>
    <n v="14.17"/>
    <x v="1"/>
    <x v="1"/>
  </r>
  <r>
    <x v="1"/>
    <n v="43"/>
    <n v="73.5"/>
    <n v="1.62"/>
    <n v="28"/>
    <n v="86.7"/>
    <s v="111/87"/>
    <n v="200"/>
    <n v="62"/>
    <n v="100"/>
    <x v="0"/>
    <s v="N"/>
    <s v="High"/>
    <s v="N"/>
    <n v="162"/>
    <n v="0.53500000000000003"/>
    <n v="111"/>
    <n v="87"/>
    <s v="Hypertension Stage 1"/>
    <n v="108"/>
    <n v="15.15"/>
    <x v="2"/>
    <x v="0"/>
  </r>
  <r>
    <x v="1"/>
    <n v="49"/>
    <n v="51.6"/>
    <n v="1.77"/>
    <n v="16.5"/>
    <n v="91.7"/>
    <s v="98/65"/>
    <n v="289"/>
    <n v="62"/>
    <n v="83"/>
    <x v="0"/>
    <s v="Y"/>
    <s v="Moderate"/>
    <s v="Y"/>
    <n v="177"/>
    <n v="0.51800000000000002"/>
    <n v="98"/>
    <n v="65"/>
    <s v="Normal"/>
    <n v="197"/>
    <n v="15.98"/>
    <x v="1"/>
    <x v="1"/>
  </r>
  <r>
    <x v="0"/>
    <m/>
    <n v="73.400000000000006"/>
    <n v="1.65"/>
    <n v="27"/>
    <n v="78.099999999999994"/>
    <s v="90/74"/>
    <n v="135"/>
    <n v="60"/>
    <n v="150"/>
    <x v="0"/>
    <s v="N"/>
    <s v="High"/>
    <s v="N"/>
    <n v="165"/>
    <n v="0.47299999999999998"/>
    <n v="90"/>
    <n v="74"/>
    <s v="Normal"/>
    <n v="45"/>
    <n v="12.6"/>
    <x v="2"/>
    <x v="0"/>
  </r>
  <r>
    <x v="0"/>
    <n v="40"/>
    <n v="107.5"/>
    <n v="1.63"/>
    <n v="40.5"/>
    <n v="87.3"/>
    <s v="104/70"/>
    <n v="289"/>
    <n v="41"/>
    <n v="80"/>
    <x v="0"/>
    <s v="Y"/>
    <s v="High"/>
    <s v="N"/>
    <n v="163"/>
    <n v="0.53600000000000003"/>
    <n v="104"/>
    <n v="70"/>
    <s v="Normal"/>
    <m/>
    <n v="21.08"/>
    <x v="0"/>
    <x v="0"/>
  </r>
  <r>
    <x v="1"/>
    <n v="37"/>
    <n v="67.900000000000006"/>
    <n v="1.61"/>
    <n v="26.2"/>
    <n v="79.3"/>
    <s v="147/71"/>
    <n v="122"/>
    <n v="74"/>
    <n v="95"/>
    <x v="1"/>
    <s v="Y"/>
    <s v="Low"/>
    <s v="Y"/>
    <n v="161"/>
    <n v="0.49299999999999999"/>
    <n v="147"/>
    <n v="71"/>
    <s v="Hypertension Stage 2"/>
    <m/>
    <n v="17.03"/>
    <x v="1"/>
    <x v="1"/>
  </r>
  <r>
    <x v="0"/>
    <n v="40"/>
    <n v="63.2"/>
    <n v="1.89"/>
    <n v="17.7"/>
    <n v="73.099999999999994"/>
    <s v="95/90"/>
    <n v="252"/>
    <n v="63"/>
    <n v="130"/>
    <x v="0"/>
    <s v="Y"/>
    <s v="Moderate"/>
    <s v="N"/>
    <n v="189"/>
    <n v="0.38700000000000001"/>
    <n v="95"/>
    <n v="90"/>
    <s v="Hypertension Stage 2"/>
    <n v="159"/>
    <n v="15.33"/>
    <x v="0"/>
    <x v="0"/>
  </r>
  <r>
    <x v="1"/>
    <n v="53"/>
    <n v="108"/>
    <n v="1.89"/>
    <n v="30.2"/>
    <n v="86"/>
    <s v="141/62"/>
    <n v="261"/>
    <n v="68"/>
    <n v="109"/>
    <x v="0"/>
    <s v="N"/>
    <s v="Low"/>
    <s v="Y"/>
    <n v="189"/>
    <n v="0.45500000000000002"/>
    <n v="141"/>
    <n v="62"/>
    <s v="Hypertension Stage 2"/>
    <n v="163"/>
    <n v="18.309999999999999"/>
    <x v="1"/>
    <x v="1"/>
  </r>
  <r>
    <x v="0"/>
    <n v="32"/>
    <n v="54"/>
    <n v="1.63"/>
    <n v="20.3"/>
    <n v="108.3"/>
    <s v="103/63"/>
    <n v="288"/>
    <n v="62"/>
    <n v="76"/>
    <x v="0"/>
    <s v="N"/>
    <s v="Low"/>
    <s v="N"/>
    <n v="163"/>
    <n v="0.66400000000000003"/>
    <n v="103"/>
    <n v="63"/>
    <s v="Normal"/>
    <n v="196"/>
    <n v="14.97"/>
    <x v="0"/>
    <x v="0"/>
  </r>
  <r>
    <x v="1"/>
    <n v="47"/>
    <n v="61.2"/>
    <n v="1.7"/>
    <n v="21.2"/>
    <n v="92.6"/>
    <s v="98/89"/>
    <n v="209"/>
    <n v="65"/>
    <n v="121"/>
    <x v="1"/>
    <s v="Y"/>
    <s v="Moderate"/>
    <s v="N"/>
    <n v="170"/>
    <n v="0.54500000000000004"/>
    <n v="98"/>
    <n v="89"/>
    <s v="Hypertension Stage 1"/>
    <n v="114"/>
    <m/>
    <x v="1"/>
    <x v="1"/>
  </r>
  <r>
    <x v="0"/>
    <n v="46"/>
    <n v="67.3"/>
    <n v="1.86"/>
    <n v="19.5"/>
    <n v="82.6"/>
    <s v="130/93"/>
    <n v="279"/>
    <n v="73"/>
    <n v="82"/>
    <x v="1"/>
    <s v="Y"/>
    <s v="Moderate"/>
    <s v="N"/>
    <n v="186"/>
    <n v="0.44400000000000001"/>
    <n v="130"/>
    <n v="93"/>
    <s v="Hypertension Stage 1"/>
    <n v="176"/>
    <n v="17.98"/>
    <x v="1"/>
    <x v="1"/>
  </r>
  <r>
    <x v="1"/>
    <n v="42"/>
    <n v="116.5"/>
    <n v="1.62"/>
    <n v="44.4"/>
    <n v="103.3"/>
    <s v="139/62"/>
    <n v="113"/>
    <n v="62"/>
    <n v="110"/>
    <x v="0"/>
    <s v="Y"/>
    <s v="Low"/>
    <s v="N"/>
    <n v="162"/>
    <n v="0.63800000000000001"/>
    <n v="139"/>
    <n v="62"/>
    <s v="Hypertension Stage 1"/>
    <n v="21"/>
    <n v="20.09"/>
    <x v="0"/>
    <x v="0"/>
  </r>
  <r>
    <x v="0"/>
    <m/>
    <n v="118.5"/>
    <n v="1.77"/>
    <n v="37.799999999999997"/>
    <n v="91.7"/>
    <s v="121/84"/>
    <n v="185"/>
    <n v="30"/>
    <n v="123"/>
    <x v="0"/>
    <s v="Y"/>
    <s v="Low"/>
    <s v="N"/>
    <n v="177"/>
    <n v="0.51800000000000002"/>
    <n v="121"/>
    <n v="84"/>
    <s v="Hypertension Stage 1"/>
    <n v="125"/>
    <n v="19.309999999999999"/>
    <x v="1"/>
    <x v="1"/>
  </r>
  <r>
    <x v="1"/>
    <n v="41"/>
    <n v="66.8"/>
    <n v="1.68"/>
    <n v="23.7"/>
    <n v="76.2"/>
    <s v="136/78"/>
    <n v="204"/>
    <n v="55"/>
    <n v="75"/>
    <x v="0"/>
    <s v="Y"/>
    <s v="Low"/>
    <s v="N"/>
    <n v="168"/>
    <n v="0.45400000000000001"/>
    <m/>
    <n v="78"/>
    <s v="Hypertension Stage 1"/>
    <n v="119"/>
    <n v="17.62"/>
    <x v="0"/>
    <x v="0"/>
  </r>
  <r>
    <x v="1"/>
    <n v="39"/>
    <n v="102.5"/>
    <n v="1.84"/>
    <n v="30.3"/>
    <n v="84"/>
    <s v="134/60"/>
    <n v="292"/>
    <n v="38"/>
    <m/>
    <x v="0"/>
    <s v="N"/>
    <s v="Moderate"/>
    <s v="N"/>
    <n v="184"/>
    <n v="0.45700000000000002"/>
    <n v="134"/>
    <n v="60"/>
    <s v="Hypertension Stage 1"/>
    <n v="224"/>
    <n v="18.600000000000001"/>
    <x v="0"/>
    <x v="0"/>
  </r>
  <r>
    <x v="1"/>
    <n v="56"/>
    <n v="111.6"/>
    <n v="1.81"/>
    <n v="34.1"/>
    <n v="86"/>
    <s v="102/100"/>
    <n v="161"/>
    <n v="69"/>
    <n v="145"/>
    <x v="1"/>
    <s v="Y"/>
    <s v="Moderate"/>
    <s v="N"/>
    <n v="181"/>
    <n v="0.47499999999999998"/>
    <n v="102"/>
    <n v="100"/>
    <s v="Hypertension Stage 2"/>
    <n v="62"/>
    <n v="17.14"/>
    <x v="1"/>
    <x v="1"/>
  </r>
  <r>
    <x v="0"/>
    <n v="38"/>
    <n v="95.6"/>
    <n v="1.9"/>
    <n v="26.5"/>
    <n v="102.6"/>
    <s v="124/98"/>
    <n v="192"/>
    <n v="37"/>
    <n v="70"/>
    <x v="1"/>
    <s v="Y"/>
    <s v="Moderate"/>
    <s v="Y"/>
    <n v="190"/>
    <m/>
    <n v="124"/>
    <n v="98"/>
    <s v="Hypertension Stage 2"/>
    <n v="125"/>
    <n v="17.34"/>
    <x v="1"/>
    <x v="1"/>
  </r>
  <r>
    <x v="1"/>
    <n v="32"/>
    <n v="58.9"/>
    <n v="1.74"/>
    <n v="19.5"/>
    <n v="107.1"/>
    <s v="123/83"/>
    <m/>
    <n v="37"/>
    <n v="123"/>
    <x v="1"/>
    <s v="N"/>
    <s v="Low"/>
    <s v="N"/>
    <n v="174"/>
    <n v="0.61599999999999999"/>
    <n v="123"/>
    <n v="83"/>
    <s v="Hypertension Stage 1"/>
    <n v="202"/>
    <n v="15.43"/>
    <x v="1"/>
    <x v="1"/>
  </r>
  <r>
    <x v="1"/>
    <n v="32"/>
    <n v="68.900000000000006"/>
    <n v="1.85"/>
    <n v="20.100000000000001"/>
    <n v="85.8"/>
    <s v="111/73"/>
    <n v="151"/>
    <n v="35"/>
    <n v="136"/>
    <x v="1"/>
    <s v="Y"/>
    <s v="Moderate"/>
    <s v="N"/>
    <n v="185"/>
    <m/>
    <n v="111"/>
    <n v="73"/>
    <s v="Normal"/>
    <m/>
    <n v="14.59"/>
    <x v="0"/>
    <x v="0"/>
  </r>
  <r>
    <x v="0"/>
    <n v="41"/>
    <n v="94.3"/>
    <n v="1.72"/>
    <n v="31.9"/>
    <n v="76.599999999999994"/>
    <s v="144/92"/>
    <n v="166"/>
    <n v="44"/>
    <n v="139"/>
    <x v="0"/>
    <s v="N"/>
    <s v="High"/>
    <s v="N"/>
    <n v="172"/>
    <n v="0.44500000000000001"/>
    <m/>
    <n v="92"/>
    <s v="Hypertension Stage 2"/>
    <n v="92"/>
    <n v="16.899999999999999"/>
    <x v="2"/>
    <x v="0"/>
  </r>
  <r>
    <x v="1"/>
    <n v="54"/>
    <n v="119.2"/>
    <n v="1.68"/>
    <n v="42.2"/>
    <n v="79.2"/>
    <s v="114/88"/>
    <n v="265"/>
    <n v="70"/>
    <n v="109"/>
    <x v="0"/>
    <s v="Y"/>
    <s v="Moderate"/>
    <s v="Y"/>
    <n v="168"/>
    <m/>
    <n v="114"/>
    <n v="88"/>
    <s v="Hypertension Stage 1"/>
    <n v="165"/>
    <n v="21.44"/>
    <x v="1"/>
    <x v="1"/>
  </r>
  <r>
    <x v="1"/>
    <n v="52"/>
    <n v="57.9"/>
    <n v="1.67"/>
    <n v="20.8"/>
    <n v="101.4"/>
    <s v="140/98"/>
    <n v="265"/>
    <n v="46"/>
    <n v="86"/>
    <x v="0"/>
    <s v="N"/>
    <s v="High"/>
    <s v="Y"/>
    <n v="167"/>
    <n v="0.60699999999999998"/>
    <n v="140"/>
    <n v="98"/>
    <s v="Hypertension Stage 2"/>
    <n v="189"/>
    <n v="16.46"/>
    <x v="0"/>
    <x v="0"/>
  </r>
  <r>
    <x v="0"/>
    <n v="37"/>
    <n v="119"/>
    <n v="1.73"/>
    <n v="39.799999999999997"/>
    <n v="86.2"/>
    <s v="127/87"/>
    <n v="215"/>
    <n v="30"/>
    <n v="94"/>
    <x v="0"/>
    <s v="Y"/>
    <s v="High"/>
    <s v="N"/>
    <n v="173"/>
    <n v="0.498"/>
    <m/>
    <n v="87"/>
    <s v="Hypertension Stage 1"/>
    <n v="155"/>
    <n v="20.61"/>
    <x v="1"/>
    <x v="1"/>
  </r>
  <r>
    <x v="0"/>
    <n v="57"/>
    <n v="54.2"/>
    <n v="1.85"/>
    <n v="15.8"/>
    <n v="88.6"/>
    <s v="137/88"/>
    <n v="251"/>
    <n v="69"/>
    <n v="76"/>
    <x v="0"/>
    <s v="N"/>
    <s v="High"/>
    <s v="N"/>
    <n v="185"/>
    <n v="0.47899999999999998"/>
    <n v="137"/>
    <n v="88"/>
    <s v="Hypertension Stage 1"/>
    <n v="152"/>
    <n v="15.03"/>
    <x v="0"/>
    <x v="0"/>
  </r>
  <r>
    <x v="0"/>
    <n v="55"/>
    <n v="69.2"/>
    <m/>
    <n v="19.600000000000001"/>
    <n v="77.5"/>
    <s v="90/63"/>
    <n v="279"/>
    <n v="68"/>
    <n v="90"/>
    <x v="1"/>
    <s v="N"/>
    <s v="Moderate"/>
    <s v="Y"/>
    <n v="188"/>
    <n v="0.41199999999999998"/>
    <m/>
    <n v="63"/>
    <s v="Normal"/>
    <n v="181"/>
    <n v="14"/>
    <x v="1"/>
    <x v="1"/>
  </r>
  <r>
    <x v="0"/>
    <n v="42"/>
    <n v="116.2"/>
    <n v="1.65"/>
    <n v="42.7"/>
    <n v="89.4"/>
    <s v="139/96"/>
    <n v="205"/>
    <n v="68"/>
    <n v="80"/>
    <x v="1"/>
    <s v="Y"/>
    <s v="High"/>
    <s v="Y"/>
    <n v="165"/>
    <n v="0.54200000000000004"/>
    <n v="139"/>
    <n v="96"/>
    <s v="Hypertension Stage 1"/>
    <n v="107"/>
    <n v="21.59"/>
    <x v="1"/>
    <x v="1"/>
  </r>
  <r>
    <x v="0"/>
    <n v="47"/>
    <n v="90.7"/>
    <n v="1.7"/>
    <n v="31.4"/>
    <n v="77.599999999999994"/>
    <s v="103/63"/>
    <n v="141"/>
    <n v="68"/>
    <n v="79"/>
    <x v="0"/>
    <s v="Y"/>
    <s v="Low"/>
    <s v="N"/>
    <n v="170"/>
    <n v="0.45600000000000002"/>
    <n v="103"/>
    <m/>
    <s v="Normal"/>
    <n v="43"/>
    <n v="16.25"/>
    <x v="1"/>
    <x v="1"/>
  </r>
  <r>
    <x v="0"/>
    <n v="37"/>
    <n v="86.7"/>
    <n v="1.62"/>
    <n v="33"/>
    <n v="88.5"/>
    <s v="113/77"/>
    <n v="250"/>
    <n v="36"/>
    <n v="104"/>
    <x v="0"/>
    <s v="Y"/>
    <s v="High"/>
    <s v="Y"/>
    <n v="162"/>
    <n v="0.54600000000000004"/>
    <n v="113"/>
    <n v="77"/>
    <s v="Normal"/>
    <n v="184"/>
    <n v="19.25"/>
    <x v="1"/>
    <x v="1"/>
  </r>
  <r>
    <x v="1"/>
    <n v="42"/>
    <n v="75.099999999999994"/>
    <n v="1.89"/>
    <n v="21"/>
    <n v="104.3"/>
    <s v="112/93"/>
    <n v="111"/>
    <n v="42"/>
    <n v="95"/>
    <x v="0"/>
    <s v="Y"/>
    <s v="Low"/>
    <s v="N"/>
    <n v="189"/>
    <n v="0.55200000000000005"/>
    <n v="112"/>
    <n v="93"/>
    <s v="Hypertension Stage 2"/>
    <n v="39"/>
    <n v="14.02"/>
    <x v="0"/>
    <x v="0"/>
  </r>
  <r>
    <x v="1"/>
    <m/>
    <n v="64.900000000000006"/>
    <n v="1.83"/>
    <n v="19.399999999999999"/>
    <n v="99.8"/>
    <s v="96/93"/>
    <n v="173"/>
    <n v="65"/>
    <n v="101"/>
    <x v="0"/>
    <s v="N"/>
    <s v="High"/>
    <s v="N"/>
    <n v="183"/>
    <n v="0.54500000000000004"/>
    <n v="96"/>
    <n v="93"/>
    <s v="Hypertension Stage 2"/>
    <n v="78"/>
    <n v="12.14"/>
    <x v="2"/>
    <x v="0"/>
  </r>
  <r>
    <x v="0"/>
    <n v="47"/>
    <n v="79.099999999999994"/>
    <n v="1.81"/>
    <n v="24.1"/>
    <n v="76.400000000000006"/>
    <s v="118/97"/>
    <n v="147"/>
    <n v="70"/>
    <n v="83"/>
    <x v="1"/>
    <s v="Y"/>
    <s v="Low"/>
    <s v="Y"/>
    <n v="181"/>
    <n v="0.42199999999999999"/>
    <n v="118"/>
    <n v="97"/>
    <s v="Hypertension Stage 2"/>
    <n v="47"/>
    <n v="15.66"/>
    <x v="1"/>
    <x v="1"/>
  </r>
  <r>
    <x v="1"/>
    <n v="38"/>
    <n v="103.6"/>
    <n v="1.83"/>
    <n v="30.9"/>
    <n v="78.599999999999994"/>
    <s v="94/78"/>
    <m/>
    <n v="79"/>
    <n v="75"/>
    <x v="0"/>
    <s v="N"/>
    <s v="Moderate"/>
    <s v="N"/>
    <n v="183"/>
    <n v="0.43"/>
    <n v="94"/>
    <n v="78"/>
    <s v="Normal"/>
    <n v="55"/>
    <n v="14.16"/>
    <x v="2"/>
    <x v="0"/>
  </r>
  <r>
    <x v="0"/>
    <n v="46"/>
    <n v="88.1"/>
    <n v="1.63"/>
    <n v="33.200000000000003"/>
    <n v="98.7"/>
    <s v="95/81"/>
    <n v="166"/>
    <n v="78"/>
    <n v="103"/>
    <x v="1"/>
    <s v="Y"/>
    <s v="Low"/>
    <s v="Y"/>
    <m/>
    <n v="0.60599999999999998"/>
    <n v="95"/>
    <n v="81"/>
    <s v="Hypertension Stage 1"/>
    <n v="58"/>
    <n v="16.71"/>
    <x v="1"/>
    <x v="1"/>
  </r>
  <r>
    <x v="0"/>
    <n v="30"/>
    <n v="80"/>
    <n v="1.86"/>
    <n v="23.1"/>
    <n v="93.5"/>
    <s v="110/98"/>
    <n v="143"/>
    <n v="60"/>
    <n v="139"/>
    <x v="1"/>
    <s v="N"/>
    <s v="High"/>
    <s v="Y"/>
    <n v="186"/>
    <n v="0.503"/>
    <n v="110"/>
    <n v="98"/>
    <s v="Hypertension Stage 2"/>
    <n v="53"/>
    <n v="12.98"/>
    <x v="0"/>
    <x v="0"/>
  </r>
  <r>
    <x v="1"/>
    <n v="52"/>
    <n v="55"/>
    <m/>
    <n v="18.8"/>
    <n v="108.6"/>
    <s v="132/76"/>
    <n v="183"/>
    <n v="53"/>
    <n v="115"/>
    <x v="0"/>
    <s v="Y"/>
    <s v="Moderate"/>
    <s v="Y"/>
    <n v="171"/>
    <n v="0.63500000000000001"/>
    <n v="132"/>
    <n v="76"/>
    <s v="Hypertension Stage 1"/>
    <n v="100"/>
    <n v="16.02"/>
    <x v="0"/>
    <x v="0"/>
  </r>
  <r>
    <x v="0"/>
    <n v="30"/>
    <n v="110.4"/>
    <n v="1.71"/>
    <n v="37.799999999999997"/>
    <n v="99"/>
    <s v="116/95"/>
    <n v="265"/>
    <n v="65"/>
    <n v="124"/>
    <x v="1"/>
    <s v="Y"/>
    <s v="Moderate"/>
    <s v="Y"/>
    <n v="171"/>
    <n v="0.57899999999999996"/>
    <n v="116"/>
    <m/>
    <s v="Hypertension Stage 2"/>
    <n v="170"/>
    <n v="20.66"/>
    <x v="1"/>
    <x v="1"/>
  </r>
  <r>
    <x v="1"/>
    <n v="52"/>
    <n v="59.5"/>
    <n v="1.74"/>
    <n v="19.7"/>
    <m/>
    <s v="107/80"/>
    <n v="183"/>
    <n v="63"/>
    <n v="85"/>
    <x v="0"/>
    <s v="N"/>
    <s v="Moderate"/>
    <s v="Y"/>
    <n v="174"/>
    <n v="0.499"/>
    <n v="107"/>
    <n v="80"/>
    <s v="Hypertension Stage 1"/>
    <n v="90"/>
    <n v="12.95"/>
    <x v="0"/>
    <x v="0"/>
  </r>
  <r>
    <x v="1"/>
    <n v="31"/>
    <n v="82.5"/>
    <n v="1.74"/>
    <n v="27.2"/>
    <n v="81.7"/>
    <s v="136/92"/>
    <n v="200"/>
    <n v="52"/>
    <n v="108"/>
    <x v="1"/>
    <s v="Y"/>
    <s v="Low"/>
    <s v="N"/>
    <n v="174"/>
    <n v="0.47"/>
    <n v="136"/>
    <n v="92"/>
    <s v="Hypertension Stage 1"/>
    <n v="118"/>
    <n v="18.239999999999998"/>
    <x v="1"/>
    <x v="1"/>
  </r>
  <r>
    <x v="1"/>
    <n v="45"/>
    <n v="91.3"/>
    <n v="1.87"/>
    <n v="26.1"/>
    <n v="80"/>
    <s v="102/61"/>
    <n v="271"/>
    <n v="31"/>
    <n v="126"/>
    <x v="1"/>
    <s v="Y"/>
    <s v="High"/>
    <s v="N"/>
    <n v="187"/>
    <n v="0.42799999999999999"/>
    <n v="102"/>
    <n v="61"/>
    <s v="Normal"/>
    <n v="210"/>
    <n v="17.739999999999998"/>
    <x v="1"/>
    <x v="1"/>
  </r>
  <r>
    <x v="0"/>
    <n v="46"/>
    <n v="93.4"/>
    <n v="1.63"/>
    <n v="35.200000000000003"/>
    <n v="77.599999999999994"/>
    <s v="116/65"/>
    <n v="297"/>
    <n v="48"/>
    <n v="147"/>
    <x v="1"/>
    <s v="N"/>
    <s v="High"/>
    <s v="Y"/>
    <n v="163"/>
    <n v="0.47599999999999998"/>
    <n v="116"/>
    <n v="65"/>
    <s v="Normal"/>
    <n v="219"/>
    <n v="18.78"/>
    <x v="1"/>
    <x v="1"/>
  </r>
  <r>
    <x v="0"/>
    <n v="46"/>
    <n v="63.7"/>
    <n v="1.84"/>
    <m/>
    <n v="89.7"/>
    <s v="92/62"/>
    <n v="155"/>
    <n v="41"/>
    <n v="105"/>
    <x v="0"/>
    <s v="Y"/>
    <s v="Low"/>
    <s v="Y"/>
    <n v="184"/>
    <n v="0.48699999999999999"/>
    <n v="92"/>
    <n v="62"/>
    <s v="Normal"/>
    <n v="84"/>
    <m/>
    <x v="1"/>
    <x v="1"/>
  </r>
  <r>
    <x v="0"/>
    <n v="56"/>
    <m/>
    <n v="1.73"/>
    <n v="33.4"/>
    <n v="93.8"/>
    <s v="145/79"/>
    <n v="208"/>
    <n v="61"/>
    <n v="79"/>
    <x v="0"/>
    <s v="N"/>
    <s v="Moderate"/>
    <s v="N"/>
    <n v="173"/>
    <n v="0.54200000000000004"/>
    <n v="145"/>
    <n v="79"/>
    <s v="Hypertension Stage 2"/>
    <n v="117"/>
    <n v="18.09"/>
    <x v="0"/>
    <x v="0"/>
  </r>
  <r>
    <x v="1"/>
    <m/>
    <n v="99.4"/>
    <n v="1.61"/>
    <n v="38.299999999999997"/>
    <n v="99.4"/>
    <s v="95/93"/>
    <n v="191"/>
    <n v="71"/>
    <n v="125"/>
    <x v="0"/>
    <s v="Y"/>
    <s v="Low"/>
    <s v="N"/>
    <n v="161"/>
    <n v="0.61699999999999999"/>
    <m/>
    <n v="93"/>
    <s v="Hypertension Stage 2"/>
    <n v="90"/>
    <n v="18.23"/>
    <x v="0"/>
    <x v="0"/>
  </r>
  <r>
    <x v="0"/>
    <n v="35"/>
    <n v="67.5"/>
    <n v="1.73"/>
    <n v="22.6"/>
    <n v="91.9"/>
    <s v="144/63"/>
    <n v="286"/>
    <n v="54"/>
    <n v="112"/>
    <x v="1"/>
    <s v="N"/>
    <s v="Low"/>
    <s v="N"/>
    <n v="173"/>
    <n v="0.53100000000000003"/>
    <n v="144"/>
    <n v="63"/>
    <s v="Hypertension Stage 2"/>
    <n v="202"/>
    <n v="17.440000000000001"/>
    <x v="0"/>
    <x v="0"/>
  </r>
  <r>
    <x v="1"/>
    <n v="46"/>
    <n v="99.5"/>
    <n v="1.89"/>
    <n v="27.9"/>
    <n v="83.7"/>
    <s v="116/91"/>
    <n v="105"/>
    <n v="33"/>
    <n v="134"/>
    <x v="0"/>
    <s v="N"/>
    <s v="Low"/>
    <s v="N"/>
    <n v="189"/>
    <n v="0.443"/>
    <n v="116"/>
    <n v="91"/>
    <s v="Hypertension Stage 2"/>
    <n v="42"/>
    <n v="13.48"/>
    <x v="1"/>
    <x v="1"/>
  </r>
  <r>
    <x v="0"/>
    <n v="34"/>
    <n v="70.599999999999994"/>
    <n v="1.66"/>
    <n v="25.6"/>
    <n v="86.1"/>
    <s v="116/85"/>
    <n v="187"/>
    <n v="65"/>
    <n v="75"/>
    <x v="1"/>
    <s v="Y"/>
    <s v="Low"/>
    <s v="Y"/>
    <n v="166"/>
    <n v="0.51900000000000002"/>
    <n v="116"/>
    <n v="85"/>
    <s v="Hypertension Stage 1"/>
    <n v="92"/>
    <n v="16.66"/>
    <x v="1"/>
    <x v="1"/>
  </r>
  <r>
    <x v="1"/>
    <n v="32"/>
    <n v="119.2"/>
    <n v="1.65"/>
    <n v="43.8"/>
    <n v="85"/>
    <s v="144/96"/>
    <n v="205"/>
    <n v="80"/>
    <n v="121"/>
    <x v="1"/>
    <s v="N"/>
    <s v="Moderate"/>
    <s v="N"/>
    <n v="165"/>
    <n v="0.51500000000000001"/>
    <n v="144"/>
    <n v="96"/>
    <s v="Hypertension Stage 2"/>
    <n v="95"/>
    <n v="20.059999999999999"/>
    <x v="0"/>
    <x v="0"/>
  </r>
  <r>
    <x v="1"/>
    <n v="40"/>
    <n v="82.7"/>
    <n v="1.9"/>
    <n v="22.9"/>
    <n v="95.7"/>
    <s v="107/88"/>
    <n v="119"/>
    <n v="37"/>
    <n v="146"/>
    <x v="1"/>
    <s v="N"/>
    <s v="Moderate"/>
    <s v="N"/>
    <n v="190"/>
    <n v="0.504"/>
    <n v="107"/>
    <n v="88"/>
    <s v="Hypertension Stage 1"/>
    <n v="52"/>
    <n v="12.31"/>
    <x v="0"/>
    <x v="0"/>
  </r>
  <r>
    <x v="0"/>
    <n v="34"/>
    <n v="87.5"/>
    <n v="1.73"/>
    <n v="29.2"/>
    <n v="99.9"/>
    <s v="118/96"/>
    <n v="135"/>
    <n v="72"/>
    <n v="110"/>
    <x v="0"/>
    <s v="N"/>
    <s v="Low"/>
    <s v="Y"/>
    <n v="173"/>
    <n v="0.57699999999999996"/>
    <n v="118"/>
    <n v="96"/>
    <s v="Hypertension Stage 2"/>
    <n v="33"/>
    <n v="14.44"/>
    <x v="0"/>
    <x v="0"/>
  </r>
  <r>
    <x v="0"/>
    <n v="56"/>
    <n v="56.3"/>
    <n v="1.62"/>
    <n v="21.5"/>
    <n v="84.5"/>
    <s v="136/75"/>
    <n v="131"/>
    <n v="61"/>
    <n v="73"/>
    <x v="0"/>
    <s v="N"/>
    <s v="Low"/>
    <s v="Y"/>
    <n v="162"/>
    <n v="0.52200000000000002"/>
    <n v="136"/>
    <n v="75"/>
    <s v="Hypertension Stage 1"/>
    <n v="40"/>
    <n v="13.72"/>
    <x v="0"/>
    <x v="0"/>
  </r>
  <r>
    <x v="0"/>
    <n v="46"/>
    <n v="81.599999999999994"/>
    <n v="1.88"/>
    <n v="23.1"/>
    <n v="80.2"/>
    <s v="117/83"/>
    <n v="130"/>
    <n v="69"/>
    <n v="83"/>
    <x v="1"/>
    <s v="Y"/>
    <s v="High"/>
    <s v="N"/>
    <n v="188"/>
    <m/>
    <n v="117"/>
    <n v="83"/>
    <s v="Hypertension Stage 1"/>
    <n v="31"/>
    <m/>
    <x v="0"/>
    <x v="0"/>
  </r>
  <r>
    <x v="1"/>
    <n v="43"/>
    <n v="117.9"/>
    <n v="1.9"/>
    <n v="32.700000000000003"/>
    <n v="93.1"/>
    <s v="127/99"/>
    <n v="293"/>
    <n v="69"/>
    <n v="125"/>
    <x v="0"/>
    <s v="N"/>
    <s v="Moderate"/>
    <s v="Y"/>
    <m/>
    <n v="0.49"/>
    <n v="127"/>
    <n v="99"/>
    <s v="Hypertension Stage 2"/>
    <n v="194"/>
    <n v="18.75"/>
    <x v="0"/>
    <x v="0"/>
  </r>
  <r>
    <x v="0"/>
    <n v="43"/>
    <n v="114.2"/>
    <m/>
    <n v="40.9"/>
    <n v="91.1"/>
    <s v="146/60"/>
    <n v="263"/>
    <n v="70"/>
    <n v="78"/>
    <x v="1"/>
    <s v="Y"/>
    <s v="Low"/>
    <s v="N"/>
    <n v="167"/>
    <n v="0.54600000000000004"/>
    <n v="146"/>
    <n v="60"/>
    <s v="Hypertension Stage 2"/>
    <n v="163"/>
    <n v="22.74"/>
    <x v="1"/>
    <x v="1"/>
  </r>
  <r>
    <x v="1"/>
    <n v="32"/>
    <n v="111.1"/>
    <n v="1.72"/>
    <n v="37.6"/>
    <n v="86.9"/>
    <s v="138/68"/>
    <n v="246"/>
    <n v="61"/>
    <n v="98"/>
    <x v="1"/>
    <s v="N"/>
    <s v="Low"/>
    <s v="N"/>
    <n v="172"/>
    <n v="0.505"/>
    <n v="138"/>
    <n v="68"/>
    <s v="Hypertension Stage 1"/>
    <n v="155"/>
    <n v="19.34"/>
    <x v="1"/>
    <x v="1"/>
  </r>
  <r>
    <x v="0"/>
    <n v="48"/>
    <n v="102.2"/>
    <n v="1.83"/>
    <n v="30.5"/>
    <n v="109.1"/>
    <s v="118/67"/>
    <n v="191"/>
    <n v="37"/>
    <n v="99"/>
    <x v="1"/>
    <s v="Y"/>
    <s v="Low"/>
    <s v="Y"/>
    <n v="183"/>
    <n v="0.59599999999999997"/>
    <n v="118"/>
    <n v="67"/>
    <s v="Normal"/>
    <n v="124"/>
    <n v="17.82"/>
    <x v="1"/>
    <x v="1"/>
  </r>
  <r>
    <x v="1"/>
    <n v="42"/>
    <n v="60.3"/>
    <n v="1.78"/>
    <n v="19"/>
    <n v="108.4"/>
    <s v="128/60"/>
    <n v="123"/>
    <n v="35"/>
    <n v="101"/>
    <x v="1"/>
    <s v="N"/>
    <s v="High"/>
    <s v="N"/>
    <n v="178"/>
    <n v="0.60899999999999999"/>
    <n v="128"/>
    <n v="60"/>
    <s v="Elevated"/>
    <n v="58"/>
    <n v="12.66"/>
    <x v="0"/>
    <x v="0"/>
  </r>
  <r>
    <x v="1"/>
    <n v="36"/>
    <n v="68.099999999999994"/>
    <n v="1.76"/>
    <n v="22"/>
    <n v="80.099999999999994"/>
    <s v="111/77"/>
    <n v="202"/>
    <n v="59"/>
    <n v="91"/>
    <x v="1"/>
    <s v="N"/>
    <s v="Low"/>
    <s v="N"/>
    <n v="176"/>
    <n v="0.45500000000000002"/>
    <n v="111"/>
    <n v="77"/>
    <s v="Normal"/>
    <n v="113"/>
    <n v="13.99"/>
    <x v="0"/>
    <x v="0"/>
  </r>
  <r>
    <x v="0"/>
    <n v="43"/>
    <n v="58"/>
    <n v="1.85"/>
    <n v="16.899999999999999"/>
    <n v="74.599999999999994"/>
    <s v="102/92"/>
    <n v="218"/>
    <n v="78"/>
    <n v="88"/>
    <x v="0"/>
    <s v="N"/>
    <s v="Moderate"/>
    <s v="N"/>
    <n v="185"/>
    <n v="0.40300000000000002"/>
    <n v="102"/>
    <n v="92"/>
    <s v="Hypertension Stage 2"/>
    <n v="110"/>
    <m/>
    <x v="2"/>
    <x v="0"/>
  </r>
  <r>
    <x v="0"/>
    <n v="50"/>
    <n v="90.8"/>
    <n v="1.86"/>
    <n v="26.2"/>
    <n v="71.099999999999994"/>
    <s v="141/70"/>
    <n v="100"/>
    <m/>
    <n v="121"/>
    <x v="0"/>
    <s v="N"/>
    <s v="Low"/>
    <s v="N"/>
    <n v="186"/>
    <n v="0.38200000000000001"/>
    <n v="141"/>
    <n v="70"/>
    <s v="Hypertension Stage 2"/>
    <n v="28"/>
    <n v="14.29"/>
    <x v="0"/>
    <x v="0"/>
  </r>
  <r>
    <x v="1"/>
    <n v="59"/>
    <n v="70.5"/>
    <n v="1.61"/>
    <n v="27.2"/>
    <n v="107.3"/>
    <s v="122/94"/>
    <n v="219"/>
    <n v="71"/>
    <n v="140"/>
    <x v="1"/>
    <s v="N"/>
    <s v="Low"/>
    <s v="Y"/>
    <n v="161"/>
    <n v="0.66600000000000004"/>
    <n v="122"/>
    <n v="94"/>
    <s v="Hypertension Stage 2"/>
    <n v="118"/>
    <n v="15.92"/>
    <x v="1"/>
    <x v="1"/>
  </r>
  <r>
    <x v="1"/>
    <n v="34"/>
    <n v="110.9"/>
    <n v="1.71"/>
    <n v="37.9"/>
    <n v="70.5"/>
    <s v="127/77"/>
    <n v="298"/>
    <n v="63"/>
    <n v="120"/>
    <x v="0"/>
    <s v="Y"/>
    <s v="Low"/>
    <s v="N"/>
    <n v="171"/>
    <n v="0.41199999999999998"/>
    <n v="127"/>
    <n v="77"/>
    <s v="Elevated"/>
    <n v="205"/>
    <n v="21.89"/>
    <x v="1"/>
    <x v="1"/>
  </r>
  <r>
    <x v="1"/>
    <n v="52"/>
    <m/>
    <n v="1.83"/>
    <n v="17.100000000000001"/>
    <n v="79.400000000000006"/>
    <s v="132/77"/>
    <n v="245"/>
    <n v="55"/>
    <n v="148"/>
    <x v="0"/>
    <s v="N"/>
    <s v="Low"/>
    <s v="Y"/>
    <n v="183"/>
    <n v="0.434"/>
    <n v="132"/>
    <n v="77"/>
    <s v="Hypertension Stage 1"/>
    <n v="160"/>
    <n v="14.92"/>
    <x v="1"/>
    <x v="1"/>
  </r>
  <r>
    <x v="1"/>
    <n v="36"/>
    <n v="62.1"/>
    <n v="1.73"/>
    <n v="20.7"/>
    <n v="82"/>
    <s v="91/91"/>
    <n v="150"/>
    <n v="34"/>
    <m/>
    <x v="0"/>
    <s v="N"/>
    <s v="Moderate"/>
    <s v="N"/>
    <n v="173"/>
    <n v="0.47399999999999998"/>
    <n v="91"/>
    <n v="91"/>
    <s v="Hypertension Stage 2"/>
    <n v="86"/>
    <n v="11.69"/>
    <x v="2"/>
    <x v="0"/>
  </r>
  <r>
    <x v="1"/>
    <n v="33"/>
    <n v="108.7"/>
    <n v="1.86"/>
    <m/>
    <n v="96.9"/>
    <s v="130/95"/>
    <n v="250"/>
    <n v="47"/>
    <n v="106"/>
    <x v="0"/>
    <s v="N"/>
    <s v="Low"/>
    <s v="Y"/>
    <m/>
    <n v="0.52100000000000002"/>
    <n v="130"/>
    <m/>
    <s v="Hypertension Stage 1"/>
    <n v="173"/>
    <n v="17.78"/>
    <x v="1"/>
    <x v="1"/>
  </r>
  <r>
    <x v="0"/>
    <n v="59"/>
    <n v="91.2"/>
    <n v="1.89"/>
    <n v="25.5"/>
    <n v="106.5"/>
    <s v="95/89"/>
    <n v="286"/>
    <n v="30"/>
    <m/>
    <x v="1"/>
    <s v="N"/>
    <s v="High"/>
    <s v="Y"/>
    <n v="189"/>
    <n v="0.56299999999999994"/>
    <n v="95"/>
    <n v="89"/>
    <s v="Hypertension Stage 1"/>
    <n v="226"/>
    <m/>
    <x v="1"/>
    <x v="1"/>
  </r>
  <r>
    <x v="1"/>
    <n v="52"/>
    <n v="83.2"/>
    <n v="1.86"/>
    <n v="24"/>
    <n v="108.2"/>
    <s v="143/81"/>
    <n v="129"/>
    <n v="42"/>
    <n v="83"/>
    <x v="0"/>
    <s v="N"/>
    <s v="Moderate"/>
    <s v="N"/>
    <n v="186"/>
    <n v="0.58199999999999996"/>
    <n v="143"/>
    <n v="81"/>
    <s v="Hypertension Stage 1"/>
    <n v="57"/>
    <n v="14.53"/>
    <x v="2"/>
    <x v="0"/>
  </r>
  <r>
    <x v="1"/>
    <n v="50"/>
    <n v="87.4"/>
    <n v="1.77"/>
    <n v="27.9"/>
    <n v="79.2"/>
    <s v="94/69"/>
    <n v="287"/>
    <n v="35"/>
    <n v="117"/>
    <x v="0"/>
    <s v="Y"/>
    <s v="Moderate"/>
    <s v="N"/>
    <n v="177"/>
    <n v="0.44700000000000001"/>
    <n v="94"/>
    <n v="69"/>
    <s v="Normal"/>
    <n v="222"/>
    <m/>
    <x v="1"/>
    <x v="1"/>
  </r>
  <r>
    <x v="1"/>
    <n v="41"/>
    <n v="52.1"/>
    <n v="1.65"/>
    <n v="19.100000000000001"/>
    <n v="81.2"/>
    <s v="102/62"/>
    <n v="119"/>
    <n v="54"/>
    <n v="97"/>
    <x v="1"/>
    <s v="N"/>
    <s v="High"/>
    <s v="Y"/>
    <n v="165"/>
    <n v="0.49199999999999999"/>
    <n v="102"/>
    <n v="62"/>
    <s v="Normal"/>
    <n v="35"/>
    <n v="11.3"/>
    <x v="0"/>
    <x v="0"/>
  </r>
  <r>
    <x v="1"/>
    <n v="47"/>
    <n v="109.3"/>
    <n v="1.67"/>
    <n v="39.200000000000003"/>
    <n v="96.2"/>
    <s v="141/63"/>
    <n v="109"/>
    <n v="30"/>
    <n v="130"/>
    <x v="0"/>
    <s v="N"/>
    <s v="Low"/>
    <s v="N"/>
    <n v="167"/>
    <n v="0.57599999999999996"/>
    <n v="141"/>
    <n v="63"/>
    <s v="Hypertension Stage 2"/>
    <n v="49"/>
    <n v="17.07"/>
    <x v="1"/>
    <x v="1"/>
  </r>
  <r>
    <x v="0"/>
    <n v="56"/>
    <n v="67.099999999999994"/>
    <n v="1.85"/>
    <n v="19.600000000000001"/>
    <n v="96.8"/>
    <s v="111/72"/>
    <n v="184"/>
    <n v="40"/>
    <n v="82"/>
    <x v="0"/>
    <s v="N"/>
    <s v="High"/>
    <s v="Y"/>
    <n v="185"/>
    <n v="0.52300000000000002"/>
    <n v="111"/>
    <n v="72"/>
    <s v="Normal"/>
    <n v="114"/>
    <n v="13.15"/>
    <x v="0"/>
    <x v="0"/>
  </r>
  <r>
    <x v="0"/>
    <n v="45"/>
    <n v="64.3"/>
    <n v="1.89"/>
    <n v="18"/>
    <n v="108.6"/>
    <s v="100/91"/>
    <n v="261"/>
    <n v="55"/>
    <n v="82"/>
    <x v="0"/>
    <s v="N"/>
    <s v="High"/>
    <s v="Y"/>
    <n v="189"/>
    <n v="0.57499999999999996"/>
    <m/>
    <n v="91"/>
    <s v="Hypertension Stage 2"/>
    <n v="176"/>
    <n v="13.82"/>
    <x v="0"/>
    <x v="0"/>
  </r>
  <r>
    <x v="1"/>
    <n v="52"/>
    <n v="72.599999999999994"/>
    <n v="1.83"/>
    <n v="21.7"/>
    <n v="96.7"/>
    <s v="121/65"/>
    <n v="126"/>
    <n v="57"/>
    <n v="97"/>
    <x v="0"/>
    <s v="Y"/>
    <s v="Moderate"/>
    <s v="N"/>
    <n v="183"/>
    <n v="0.52800000000000002"/>
    <n v="121"/>
    <n v="65"/>
    <s v="Elevated"/>
    <n v="39"/>
    <n v="14.91"/>
    <x v="0"/>
    <x v="0"/>
  </r>
  <r>
    <x v="1"/>
    <n v="44"/>
    <n v="54.6"/>
    <n v="1.84"/>
    <n v="16.100000000000001"/>
    <n v="110"/>
    <s v="147/79"/>
    <n v="277"/>
    <n v="67"/>
    <n v="87"/>
    <x v="1"/>
    <s v="N"/>
    <s v="Low"/>
    <s v="Y"/>
    <n v="184"/>
    <n v="0.59799999999999998"/>
    <n v="147"/>
    <n v="79"/>
    <s v="Hypertension Stage 2"/>
    <n v="180"/>
    <n v="16.11"/>
    <x v="1"/>
    <x v="1"/>
  </r>
  <r>
    <x v="0"/>
    <n v="31"/>
    <n v="87"/>
    <n v="1.66"/>
    <n v="31.6"/>
    <n v="91.5"/>
    <s v="139/81"/>
    <n v="207"/>
    <n v="56"/>
    <n v="82"/>
    <x v="0"/>
    <s v="N"/>
    <s v="Low"/>
    <s v="Y"/>
    <n v="166"/>
    <n v="0.55100000000000005"/>
    <n v="139"/>
    <n v="81"/>
    <s v="Hypertension Stage 1"/>
    <n v="121"/>
    <n v="17.41"/>
    <x v="1"/>
    <x v="1"/>
  </r>
  <r>
    <x v="1"/>
    <n v="33"/>
    <n v="94.7"/>
    <n v="1.79"/>
    <m/>
    <n v="89.8"/>
    <s v="119/60"/>
    <n v="248"/>
    <n v="50"/>
    <n v="130"/>
    <x v="1"/>
    <s v="Y"/>
    <s v="Moderate"/>
    <s v="N"/>
    <n v="179"/>
    <n v="0.502"/>
    <n v="119"/>
    <n v="60"/>
    <s v="Normal"/>
    <n v="168"/>
    <m/>
    <x v="1"/>
    <x v="1"/>
  </r>
  <r>
    <x v="1"/>
    <n v="53"/>
    <n v="101.3"/>
    <n v="1.73"/>
    <n v="33.799999999999997"/>
    <n v="86.5"/>
    <s v="114/86"/>
    <n v="132"/>
    <n v="80"/>
    <n v="128"/>
    <x v="0"/>
    <s v="N"/>
    <s v="High"/>
    <s v="Y"/>
    <n v="173"/>
    <n v="0.5"/>
    <n v="114"/>
    <n v="86"/>
    <s v="Hypertension Stage 1"/>
    <n v="22"/>
    <n v="15.1"/>
    <x v="0"/>
    <x v="0"/>
  </r>
  <r>
    <x v="0"/>
    <n v="57"/>
    <n v="60"/>
    <n v="1.7"/>
    <n v="20.8"/>
    <n v="88.8"/>
    <s v="114/73"/>
    <n v="237"/>
    <n v="78"/>
    <n v="90"/>
    <x v="0"/>
    <s v="N"/>
    <s v="Low"/>
    <s v="N"/>
    <n v="170"/>
    <n v="0.52200000000000002"/>
    <n v="114"/>
    <n v="73"/>
    <s v="Normal"/>
    <n v="129"/>
    <n v="14.6"/>
    <x v="0"/>
    <x v="0"/>
  </r>
  <r>
    <x v="1"/>
    <n v="43"/>
    <n v="70"/>
    <n v="1.74"/>
    <n v="23.1"/>
    <n v="95.9"/>
    <s v="99/70"/>
    <n v="184"/>
    <n v="44"/>
    <n v="80"/>
    <x v="1"/>
    <s v="Y"/>
    <s v="Low"/>
    <s v="Y"/>
    <n v="174"/>
    <n v="0.55100000000000005"/>
    <n v="99"/>
    <n v="70"/>
    <s v="Normal"/>
    <m/>
    <n v="15.25"/>
    <x v="1"/>
    <x v="1"/>
  </r>
  <r>
    <x v="0"/>
    <n v="58"/>
    <n v="103.5"/>
    <n v="1.79"/>
    <n v="32.299999999999997"/>
    <n v="101"/>
    <s v="123/76"/>
    <n v="270"/>
    <n v="39"/>
    <n v="84"/>
    <x v="1"/>
    <s v="Y"/>
    <s v="High"/>
    <s v="Y"/>
    <n v="179"/>
    <n v="0.56399999999999995"/>
    <n v="123"/>
    <n v="76"/>
    <s v="Elevated"/>
    <n v="201"/>
    <n v="20.010000000000002"/>
    <x v="1"/>
    <x v="1"/>
  </r>
  <r>
    <x v="1"/>
    <n v="56"/>
    <n v="55.4"/>
    <n v="1.87"/>
    <n v="15.8"/>
    <n v="99.1"/>
    <s v="124/78"/>
    <n v="209"/>
    <n v="38"/>
    <n v="81"/>
    <x v="0"/>
    <s v="N"/>
    <s v="High"/>
    <s v="N"/>
    <n v="187"/>
    <n v="0.53"/>
    <n v="124"/>
    <n v="78"/>
    <s v="Elevated"/>
    <n v="141"/>
    <n v="13.54"/>
    <x v="0"/>
    <x v="0"/>
  </r>
  <r>
    <x v="0"/>
    <n v="34"/>
    <n v="89.8"/>
    <n v="1.69"/>
    <m/>
    <n v="88.3"/>
    <s v="109/61"/>
    <n v="174"/>
    <m/>
    <n v="140"/>
    <x v="0"/>
    <s v="N"/>
    <s v="Moderate"/>
    <s v="N"/>
    <n v="169"/>
    <n v="0.52200000000000002"/>
    <n v="109"/>
    <n v="61"/>
    <s v="Normal"/>
    <n v="108"/>
    <n v="15.21"/>
    <x v="0"/>
    <x v="0"/>
  </r>
  <r>
    <x v="1"/>
    <n v="34"/>
    <n v="66.400000000000006"/>
    <n v="1.88"/>
    <n v="18.8"/>
    <n v="106.3"/>
    <s v="104/64"/>
    <n v="283"/>
    <n v="65"/>
    <n v="97"/>
    <x v="0"/>
    <s v="Y"/>
    <s v="High"/>
    <s v="N"/>
    <n v="188"/>
    <n v="0.56499999999999995"/>
    <n v="104"/>
    <n v="64"/>
    <s v="Normal"/>
    <n v="188"/>
    <n v="16.62"/>
    <x v="0"/>
    <x v="0"/>
  </r>
  <r>
    <x v="0"/>
    <n v="53"/>
    <n v="50.7"/>
    <n v="1.73"/>
    <n v="16.899999999999999"/>
    <n v="94"/>
    <s v="127/84"/>
    <n v="160"/>
    <n v="57"/>
    <n v="77"/>
    <x v="1"/>
    <s v="Y"/>
    <s v="High"/>
    <s v="N"/>
    <n v="173"/>
    <n v="0.54300000000000004"/>
    <n v="127"/>
    <n v="84"/>
    <s v="Hypertension Stage 1"/>
    <n v="73"/>
    <n v="14.93"/>
    <x v="0"/>
    <x v="0"/>
  </r>
  <r>
    <x v="1"/>
    <n v="59"/>
    <n v="98.9"/>
    <n v="1.67"/>
    <n v="35.5"/>
    <n v="108.7"/>
    <s v="104/95"/>
    <n v="216"/>
    <n v="45"/>
    <n v="87"/>
    <x v="0"/>
    <s v="Y"/>
    <s v="Low"/>
    <s v="N"/>
    <n v="167"/>
    <n v="0.65100000000000002"/>
    <n v="104"/>
    <n v="95"/>
    <s v="Hypertension Stage 2"/>
    <n v="141"/>
    <n v="18.62"/>
    <x v="1"/>
    <x v="1"/>
  </r>
  <r>
    <x v="0"/>
    <n v="38"/>
    <n v="76.400000000000006"/>
    <n v="1.63"/>
    <n v="28.8"/>
    <n v="91.6"/>
    <s v="98/86"/>
    <n v="119"/>
    <n v="48"/>
    <n v="71"/>
    <x v="1"/>
    <s v="Y"/>
    <s v="High"/>
    <s v="N"/>
    <n v="163"/>
    <m/>
    <n v="98"/>
    <n v="86"/>
    <s v="Hypertension Stage 1"/>
    <n v="41"/>
    <n v="15.04"/>
    <x v="0"/>
    <x v="0"/>
  </r>
  <r>
    <x v="1"/>
    <n v="42"/>
    <n v="55.9"/>
    <n v="1.71"/>
    <n v="19.100000000000001"/>
    <n v="105.8"/>
    <s v="131/66"/>
    <n v="296"/>
    <n v="43"/>
    <n v="111"/>
    <x v="1"/>
    <s v="Y"/>
    <s v="High"/>
    <s v="Y"/>
    <n v="171"/>
    <n v="0.61899999999999999"/>
    <n v="131"/>
    <n v="66"/>
    <s v="Hypertension Stage 1"/>
    <n v="223"/>
    <n v="18.29"/>
    <x v="1"/>
    <x v="1"/>
  </r>
  <r>
    <x v="1"/>
    <n v="55"/>
    <n v="55.8"/>
    <n v="1.79"/>
    <n v="17.399999999999999"/>
    <n v="73"/>
    <s v="146/65"/>
    <n v="258"/>
    <n v="54"/>
    <n v="85"/>
    <x v="1"/>
    <s v="N"/>
    <s v="Low"/>
    <s v="N"/>
    <n v="179"/>
    <n v="0.40799999999999997"/>
    <n v="146"/>
    <n v="65"/>
    <s v="Hypertension Stage 2"/>
    <n v="174"/>
    <n v="15.94"/>
    <x v="1"/>
    <x v="1"/>
  </r>
  <r>
    <x v="1"/>
    <n v="57"/>
    <n v="105.1"/>
    <n v="1.81"/>
    <n v="32.1"/>
    <n v="81"/>
    <s v="113/95"/>
    <n v="234"/>
    <n v="58"/>
    <n v="74"/>
    <x v="0"/>
    <s v="Y"/>
    <s v="Low"/>
    <s v="N"/>
    <n v="181"/>
    <n v="0.44800000000000001"/>
    <n v="113"/>
    <n v="95"/>
    <s v="Hypertension Stage 2"/>
    <n v="146"/>
    <n v="18.75"/>
    <x v="1"/>
    <x v="1"/>
  </r>
  <r>
    <x v="1"/>
    <n v="51"/>
    <n v="56.9"/>
    <n v="1.7"/>
    <n v="19.7"/>
    <n v="75.3"/>
    <s v="141/71"/>
    <n v="109"/>
    <n v="32"/>
    <n v="122"/>
    <x v="0"/>
    <s v="Y"/>
    <s v="High"/>
    <s v="N"/>
    <n v="170"/>
    <n v="0.443"/>
    <m/>
    <n v="71"/>
    <s v="Hypertension Stage 2"/>
    <n v="47"/>
    <n v="15.17"/>
    <x v="0"/>
    <x v="0"/>
  </r>
  <r>
    <x v="0"/>
    <n v="57"/>
    <n v="77.2"/>
    <n v="1.82"/>
    <n v="23.3"/>
    <n v="99.2"/>
    <s v="130/61"/>
    <n v="118"/>
    <n v="43"/>
    <n v="120"/>
    <x v="1"/>
    <s v="N"/>
    <s v="Moderate"/>
    <s v="N"/>
    <n v="182"/>
    <n v="0.54500000000000004"/>
    <n v="130"/>
    <n v="61"/>
    <s v="Hypertension Stage 1"/>
    <n v="45"/>
    <n v="13.52"/>
    <x v="0"/>
    <x v="0"/>
  </r>
  <r>
    <x v="0"/>
    <n v="34"/>
    <n v="118.8"/>
    <n v="1.61"/>
    <n v="45.8"/>
    <n v="102"/>
    <s v="118/67"/>
    <n v="236"/>
    <n v="59"/>
    <m/>
    <x v="1"/>
    <s v="Y"/>
    <s v="Low"/>
    <s v="Y"/>
    <n v="161"/>
    <m/>
    <n v="118"/>
    <n v="67"/>
    <s v="Normal"/>
    <n v="147"/>
    <n v="21.78"/>
    <x v="1"/>
    <x v="1"/>
  </r>
  <r>
    <x v="1"/>
    <n v="36"/>
    <n v="61.2"/>
    <n v="1.62"/>
    <n v="23.3"/>
    <n v="97.2"/>
    <s v="140/67"/>
    <n v="219"/>
    <n v="78"/>
    <m/>
    <x v="0"/>
    <s v="N"/>
    <s v="Moderate"/>
    <s v="Y"/>
    <n v="162"/>
    <n v="0.6"/>
    <n v="140"/>
    <n v="67"/>
    <s v="Hypertension Stage 2"/>
    <m/>
    <n v="16.04"/>
    <x v="0"/>
    <x v="0"/>
  </r>
  <r>
    <x v="0"/>
    <n v="42"/>
    <n v="84.6"/>
    <m/>
    <n v="30.3"/>
    <n v="77.900000000000006"/>
    <s v="104/62"/>
    <n v="236"/>
    <n v="70"/>
    <n v="126"/>
    <x v="0"/>
    <s v="Y"/>
    <s v="High"/>
    <s v="Y"/>
    <n v="167"/>
    <n v="0.46600000000000003"/>
    <n v="104"/>
    <n v="62"/>
    <s v="Normal"/>
    <n v="136"/>
    <n v="17.98"/>
    <x v="1"/>
    <x v="1"/>
  </r>
  <r>
    <x v="0"/>
    <n v="35"/>
    <n v="109.1"/>
    <n v="1.81"/>
    <n v="33.299999999999997"/>
    <n v="91.9"/>
    <s v="127/71"/>
    <n v="120"/>
    <n v="56"/>
    <n v="149"/>
    <x v="0"/>
    <s v="N"/>
    <s v="High"/>
    <s v="N"/>
    <n v="181"/>
    <n v="0.50800000000000001"/>
    <n v="127"/>
    <n v="71"/>
    <s v="Elevated"/>
    <n v="34"/>
    <n v="15.41"/>
    <x v="2"/>
    <x v="0"/>
  </r>
  <r>
    <x v="0"/>
    <m/>
    <n v="110.2"/>
    <n v="1.77"/>
    <n v="35.200000000000003"/>
    <n v="102"/>
    <s v="92/100"/>
    <n v="247"/>
    <n v="67"/>
    <n v="106"/>
    <x v="1"/>
    <s v="N"/>
    <s v="High"/>
    <s v="Y"/>
    <n v="177"/>
    <n v="0.57599999999999996"/>
    <n v="92"/>
    <n v="100"/>
    <s v="Hypertension Stage 2"/>
    <n v="150"/>
    <n v="16.579999999999998"/>
    <x v="1"/>
    <x v="1"/>
  </r>
  <r>
    <x v="1"/>
    <n v="48"/>
    <n v="67.099999999999994"/>
    <n v="1.77"/>
    <n v="21.4"/>
    <n v="98"/>
    <s v="126/100"/>
    <n v="268"/>
    <n v="47"/>
    <n v="79"/>
    <x v="0"/>
    <s v="N"/>
    <s v="Low"/>
    <s v="Y"/>
    <m/>
    <n v="0.55400000000000005"/>
    <m/>
    <n v="100"/>
    <s v="Hypertension Stage 2"/>
    <n v="191"/>
    <n v="15.94"/>
    <x v="1"/>
    <x v="1"/>
  </r>
  <r>
    <x v="0"/>
    <m/>
    <n v="111.6"/>
    <n v="1.75"/>
    <n v="36.4"/>
    <n v="85.1"/>
    <s v="131/62"/>
    <n v="265"/>
    <n v="66"/>
    <n v="127"/>
    <x v="0"/>
    <s v="N"/>
    <s v="High"/>
    <s v="N"/>
    <n v="175"/>
    <n v="0.48599999999999999"/>
    <n v="131"/>
    <n v="62"/>
    <s v="Hypertension Stage 1"/>
    <n v="169"/>
    <n v="19.13"/>
    <x v="0"/>
    <x v="0"/>
  </r>
  <r>
    <x v="1"/>
    <n v="53"/>
    <n v="90.2"/>
    <n v="1.61"/>
    <n v="34.799999999999997"/>
    <n v="85.3"/>
    <s v="136/76"/>
    <n v="300"/>
    <n v="33"/>
    <n v="84"/>
    <x v="0"/>
    <s v="Y"/>
    <s v="Moderate"/>
    <s v="Y"/>
    <m/>
    <n v="0.53"/>
    <n v="136"/>
    <m/>
    <s v="Hypertension Stage 1"/>
    <n v="237"/>
    <n v="21.76"/>
    <x v="1"/>
    <x v="1"/>
  </r>
  <r>
    <x v="0"/>
    <n v="52"/>
    <n v="67"/>
    <n v="1.88"/>
    <n v="19"/>
    <n v="108.1"/>
    <s v="122/97"/>
    <n v="300"/>
    <n v="49"/>
    <n v="148"/>
    <x v="0"/>
    <s v="N"/>
    <s v="Low"/>
    <s v="N"/>
    <n v="188"/>
    <n v="0.57499999999999996"/>
    <n v="122"/>
    <n v="97"/>
    <s v="Hypertension Stage 2"/>
    <n v="221"/>
    <n v="15.9"/>
    <x v="0"/>
    <x v="0"/>
  </r>
  <r>
    <x v="1"/>
    <n v="45"/>
    <n v="96.8"/>
    <n v="1.86"/>
    <n v="28"/>
    <n v="71.400000000000006"/>
    <s v="112/75"/>
    <n v="230"/>
    <n v="57"/>
    <n v="91"/>
    <x v="1"/>
    <s v="Y"/>
    <s v="High"/>
    <s v="N"/>
    <m/>
    <n v="0.38400000000000001"/>
    <n v="112"/>
    <n v="75"/>
    <s v="Normal"/>
    <n v="143"/>
    <n v="17.8"/>
    <x v="1"/>
    <x v="1"/>
  </r>
  <r>
    <x v="1"/>
    <n v="42"/>
    <n v="59.4"/>
    <n v="1.89"/>
    <n v="16.600000000000001"/>
    <n v="94.4"/>
    <s v="125/61"/>
    <n v="228"/>
    <n v="71"/>
    <n v="147"/>
    <x v="0"/>
    <s v="Y"/>
    <s v="High"/>
    <s v="N"/>
    <n v="189"/>
    <n v="0.499"/>
    <n v="125"/>
    <m/>
    <s v="Elevated"/>
    <n v="127"/>
    <n v="16.13"/>
    <x v="0"/>
    <x v="0"/>
  </r>
  <r>
    <x v="0"/>
    <n v="42"/>
    <n v="93.5"/>
    <n v="1.76"/>
    <n v="30.2"/>
    <n v="92.1"/>
    <s v="102/64"/>
    <n v="290"/>
    <n v="39"/>
    <n v="78"/>
    <x v="1"/>
    <s v="Y"/>
    <s v="Low"/>
    <s v="N"/>
    <n v="176"/>
    <n v="0.52300000000000002"/>
    <n v="102"/>
    <n v="64"/>
    <s v="Normal"/>
    <n v="221"/>
    <n v="18.940000000000001"/>
    <x v="1"/>
    <x v="1"/>
  </r>
  <r>
    <x v="0"/>
    <n v="58"/>
    <n v="72.3"/>
    <n v="1.74"/>
    <n v="23.9"/>
    <n v="91.6"/>
    <s v="99/90"/>
    <n v="208"/>
    <n v="63"/>
    <n v="114"/>
    <x v="0"/>
    <s v="N"/>
    <s v="High"/>
    <s v="N"/>
    <n v="174"/>
    <n v="0.52600000000000002"/>
    <n v="99"/>
    <n v="90"/>
    <s v="Hypertension Stage 2"/>
    <n v="115"/>
    <n v="13.89"/>
    <x v="0"/>
    <x v="0"/>
  </r>
  <r>
    <x v="0"/>
    <n v="48"/>
    <n v="60.8"/>
    <n v="1.68"/>
    <n v="21.5"/>
    <n v="82.5"/>
    <s v="133/76"/>
    <n v="173"/>
    <n v="56"/>
    <n v="122"/>
    <x v="0"/>
    <s v="N"/>
    <s v="Moderate"/>
    <s v="Y"/>
    <n v="168"/>
    <n v="0.49099999999999999"/>
    <n v="133"/>
    <n v="76"/>
    <s v="Hypertension Stage 1"/>
    <n v="87"/>
    <n v="14.41"/>
    <x v="0"/>
    <x v="0"/>
  </r>
  <r>
    <x v="1"/>
    <n v="54"/>
    <n v="111"/>
    <n v="1.78"/>
    <n v="35"/>
    <n v="100"/>
    <s v="117/74"/>
    <n v="247"/>
    <n v="41"/>
    <n v="136"/>
    <x v="0"/>
    <s v="Y"/>
    <s v="Moderate"/>
    <s v="N"/>
    <n v="178"/>
    <n v="0.56200000000000006"/>
    <n v="117"/>
    <n v="74"/>
    <s v="Normal"/>
    <n v="176"/>
    <n v="19.79"/>
    <x v="1"/>
    <x v="1"/>
  </r>
  <r>
    <x v="0"/>
    <n v="59"/>
    <n v="103"/>
    <n v="1.8"/>
    <n v="31.8"/>
    <n v="94.4"/>
    <s v="139/68"/>
    <n v="107"/>
    <n v="42"/>
    <n v="124"/>
    <x v="0"/>
    <s v="N"/>
    <s v="Low"/>
    <s v="Y"/>
    <n v="180"/>
    <n v="0.52400000000000002"/>
    <n v="139"/>
    <n v="68"/>
    <s v="Hypertension Stage 1"/>
    <n v="35"/>
    <n v="15.45"/>
    <x v="1"/>
    <x v="1"/>
  </r>
  <r>
    <x v="1"/>
    <n v="33"/>
    <n v="95.7"/>
    <m/>
    <n v="35.200000000000003"/>
    <n v="72.099999999999994"/>
    <s v="140/62"/>
    <n v="118"/>
    <n v="45"/>
    <n v="91"/>
    <x v="1"/>
    <s v="Y"/>
    <s v="Moderate"/>
    <s v="Y"/>
    <n v="165"/>
    <m/>
    <n v="140"/>
    <n v="62"/>
    <s v="Hypertension Stage 2"/>
    <n v="43"/>
    <n v="18.399999999999999"/>
    <x v="1"/>
    <x v="1"/>
  </r>
  <r>
    <x v="0"/>
    <n v="34"/>
    <n v="64.599999999999994"/>
    <n v="1.62"/>
    <n v="24.6"/>
    <n v="92.8"/>
    <s v="90/70"/>
    <n v="106"/>
    <n v="43"/>
    <n v="114"/>
    <x v="1"/>
    <s v="Y"/>
    <s v="Moderate"/>
    <s v="N"/>
    <n v="162"/>
    <n v="0.57299999999999995"/>
    <n v="90"/>
    <n v="70"/>
    <s v="Normal"/>
    <n v="33"/>
    <n v="13.54"/>
    <x v="0"/>
    <x v="0"/>
  </r>
  <r>
    <x v="1"/>
    <m/>
    <n v="56.2"/>
    <n v="1.89"/>
    <n v="15.7"/>
    <n v="74.599999999999994"/>
    <s v="146/65"/>
    <n v="131"/>
    <n v="45"/>
    <n v="93"/>
    <x v="0"/>
    <s v="Y"/>
    <s v="Low"/>
    <s v="Y"/>
    <n v="189"/>
    <n v="0.39500000000000002"/>
    <n v="146"/>
    <n v="65"/>
    <s v="Hypertension Stage 2"/>
    <n v="56"/>
    <n v="15.06"/>
    <x v="0"/>
    <x v="0"/>
  </r>
  <r>
    <x v="0"/>
    <n v="30"/>
    <n v="65.2"/>
    <n v="1.71"/>
    <n v="22.3"/>
    <n v="86"/>
    <s v="97/67"/>
    <n v="229"/>
    <n v="68"/>
    <m/>
    <x v="0"/>
    <s v="Y"/>
    <s v="Low"/>
    <s v="Y"/>
    <n v="171"/>
    <n v="0.503"/>
    <n v="97"/>
    <n v="67"/>
    <s v="Normal"/>
    <n v="131"/>
    <n v="15.89"/>
    <x v="1"/>
    <x v="1"/>
  </r>
  <r>
    <x v="0"/>
    <n v="37"/>
    <m/>
    <n v="1.69"/>
    <n v="35.5"/>
    <n v="77.8"/>
    <s v="126/99"/>
    <n v="126"/>
    <n v="57"/>
    <n v="88"/>
    <x v="1"/>
    <s v="Y"/>
    <s v="Moderate"/>
    <s v="Y"/>
    <n v="169"/>
    <m/>
    <n v="126"/>
    <n v="99"/>
    <s v="Hypertension Stage 2"/>
    <n v="39"/>
    <n v="17.920000000000002"/>
    <x v="1"/>
    <x v="1"/>
  </r>
  <r>
    <x v="1"/>
    <n v="39"/>
    <n v="77.900000000000006"/>
    <n v="1.72"/>
    <n v="26.3"/>
    <n v="95.9"/>
    <s v="120/91"/>
    <n v="208"/>
    <n v="66"/>
    <n v="103"/>
    <x v="0"/>
    <s v="Y"/>
    <s v="Moderate"/>
    <s v="N"/>
    <n v="172"/>
    <n v="0.55800000000000005"/>
    <n v="120"/>
    <n v="91"/>
    <s v="Hypertension Stage 2"/>
    <n v="112"/>
    <n v="17.420000000000002"/>
    <x v="0"/>
    <x v="0"/>
  </r>
  <r>
    <x v="1"/>
    <n v="48"/>
    <n v="107.2"/>
    <n v="1.61"/>
    <n v="41.4"/>
    <n v="80.8"/>
    <s v="113/77"/>
    <n v="152"/>
    <n v="80"/>
    <n v="134"/>
    <x v="1"/>
    <s v="N"/>
    <s v="Moderate"/>
    <s v="N"/>
    <n v="161"/>
    <n v="0.502"/>
    <n v="113"/>
    <m/>
    <s v="Normal"/>
    <n v="42"/>
    <n v="16.97"/>
    <x v="0"/>
    <x v="0"/>
  </r>
  <r>
    <x v="1"/>
    <n v="60"/>
    <n v="86.5"/>
    <n v="1.6"/>
    <n v="33.799999999999997"/>
    <n v="70.7"/>
    <s v="119/65"/>
    <n v="181"/>
    <n v="47"/>
    <n v="129"/>
    <x v="0"/>
    <s v="N"/>
    <s v="High"/>
    <s v="N"/>
    <n v="160"/>
    <n v="0.442"/>
    <n v="119"/>
    <n v="65"/>
    <s v="Normal"/>
    <n v="104"/>
    <n v="16.329999999999998"/>
    <x v="0"/>
    <x v="0"/>
  </r>
  <r>
    <x v="1"/>
    <m/>
    <n v="73.2"/>
    <n v="1.62"/>
    <n v="27.9"/>
    <n v="70.2"/>
    <s v="115/100"/>
    <m/>
    <n v="34"/>
    <n v="104"/>
    <x v="1"/>
    <s v="Y"/>
    <s v="High"/>
    <s v="N"/>
    <n v="162"/>
    <n v="0.433"/>
    <n v="115"/>
    <n v="100"/>
    <s v="Hypertension Stage 2"/>
    <n v="160"/>
    <n v="17.809999999999999"/>
    <x v="1"/>
    <x v="1"/>
  </r>
  <r>
    <x v="1"/>
    <n v="44"/>
    <n v="113"/>
    <n v="1.7"/>
    <n v="39.1"/>
    <n v="82.6"/>
    <s v="113/70"/>
    <n v="270"/>
    <n v="44"/>
    <n v="103"/>
    <x v="1"/>
    <s v="Y"/>
    <s v="High"/>
    <s v="N"/>
    <n v="170"/>
    <n v="0.48599999999999999"/>
    <n v="113"/>
    <n v="70"/>
    <s v="Normal"/>
    <n v="196"/>
    <n v="20.87"/>
    <x v="1"/>
    <x v="1"/>
  </r>
  <r>
    <x v="1"/>
    <n v="40"/>
    <n v="120"/>
    <m/>
    <n v="35.4"/>
    <n v="100.9"/>
    <s v="94/68"/>
    <n v="223"/>
    <n v="62"/>
    <n v="84"/>
    <x v="1"/>
    <s v="Y"/>
    <s v="Moderate"/>
    <s v="Y"/>
    <n v="184"/>
    <n v="0.54800000000000004"/>
    <n v="94"/>
    <n v="68"/>
    <s v="Normal"/>
    <n v="131"/>
    <n v="18.239999999999998"/>
    <x v="1"/>
    <x v="1"/>
  </r>
  <r>
    <x v="0"/>
    <n v="56"/>
    <n v="114"/>
    <n v="1.66"/>
    <n v="41.4"/>
    <n v="73.900000000000006"/>
    <s v="111/97"/>
    <n v="120"/>
    <n v="34"/>
    <n v="93"/>
    <x v="1"/>
    <s v="N"/>
    <s v="High"/>
    <s v="N"/>
    <n v="166"/>
    <n v="0.44500000000000001"/>
    <n v="111"/>
    <n v="97"/>
    <s v="Hypertension Stage 2"/>
    <n v="56"/>
    <n v="16.23"/>
    <x v="1"/>
    <x v="1"/>
  </r>
  <r>
    <x v="1"/>
    <n v="59"/>
    <n v="82.7"/>
    <n v="1.84"/>
    <n v="24.4"/>
    <n v="100.2"/>
    <s v="145/65"/>
    <n v="158"/>
    <n v="75"/>
    <n v="107"/>
    <x v="1"/>
    <s v="N"/>
    <s v="Moderate"/>
    <s v="N"/>
    <n v="184"/>
    <n v="0.54500000000000004"/>
    <n v="145"/>
    <n v="65"/>
    <s v="Hypertension Stage 2"/>
    <n v="53"/>
    <n v="15.29"/>
    <x v="0"/>
    <x v="0"/>
  </r>
  <r>
    <x v="0"/>
    <m/>
    <n v="110.5"/>
    <m/>
    <n v="42.6"/>
    <n v="76.900000000000006"/>
    <s v="133/95"/>
    <n v="173"/>
    <n v="55"/>
    <n v="99"/>
    <x v="0"/>
    <s v="N"/>
    <s v="Moderate"/>
    <s v="Y"/>
    <n v="161"/>
    <n v="0.47799999999999998"/>
    <n v="133"/>
    <n v="95"/>
    <s v="Hypertension Stage 1"/>
    <n v="88"/>
    <n v="18.63"/>
    <x v="0"/>
    <x v="0"/>
  </r>
  <r>
    <x v="1"/>
    <n v="44"/>
    <n v="60.1"/>
    <n v="1.87"/>
    <n v="17.2"/>
    <n v="106.6"/>
    <s v="149/60"/>
    <n v="182"/>
    <n v="54"/>
    <n v="70"/>
    <x v="0"/>
    <s v="Y"/>
    <s v="High"/>
    <s v="Y"/>
    <n v="187"/>
    <n v="0.56999999999999995"/>
    <n v="149"/>
    <n v="60"/>
    <s v="Hypertension Stage 2"/>
    <n v="98"/>
    <n v="16.53"/>
    <x v="0"/>
    <x v="0"/>
  </r>
  <r>
    <x v="1"/>
    <n v="55"/>
    <n v="109.8"/>
    <n v="1.81"/>
    <n v="33.5"/>
    <n v="101.1"/>
    <s v="102/95"/>
    <n v="265"/>
    <n v="76"/>
    <n v="121"/>
    <x v="0"/>
    <s v="Y"/>
    <s v="High"/>
    <s v="N"/>
    <n v="181"/>
    <n v="0.55900000000000005"/>
    <n v="102"/>
    <n v="95"/>
    <s v="Hypertension Stage 2"/>
    <n v="159"/>
    <n v="19.100000000000001"/>
    <x v="1"/>
    <x v="1"/>
  </r>
  <r>
    <x v="0"/>
    <n v="45"/>
    <n v="111.4"/>
    <n v="1.89"/>
    <n v="31.2"/>
    <n v="101.8"/>
    <s v="132/84"/>
    <n v="266"/>
    <n v="44"/>
    <n v="113"/>
    <x v="1"/>
    <s v="N"/>
    <s v="Low"/>
    <s v="Y"/>
    <n v="189"/>
    <n v="0.53900000000000003"/>
    <n v="132"/>
    <n v="84"/>
    <s v="Hypertension Stage 1"/>
    <n v="192"/>
    <n v="18.16"/>
    <x v="1"/>
    <x v="1"/>
  </r>
  <r>
    <x v="0"/>
    <n v="31"/>
    <n v="54.3"/>
    <n v="1.69"/>
    <n v="19"/>
    <n v="78"/>
    <s v="135/83"/>
    <n v="124"/>
    <n v="61"/>
    <n v="124"/>
    <x v="1"/>
    <s v="Y"/>
    <s v="Low"/>
    <s v="N"/>
    <n v="169"/>
    <n v="0.46200000000000002"/>
    <n v="135"/>
    <n v="83"/>
    <s v="Hypertension Stage 1"/>
    <n v="33"/>
    <n v="15.03"/>
    <x v="0"/>
    <x v="0"/>
  </r>
  <r>
    <x v="1"/>
    <n v="33"/>
    <n v="88.4"/>
    <n v="1.86"/>
    <n v="25.6"/>
    <n v="90.1"/>
    <s v="116/69"/>
    <n v="268"/>
    <n v="68"/>
    <n v="88"/>
    <x v="1"/>
    <s v="N"/>
    <s v="Low"/>
    <s v="N"/>
    <n v="186"/>
    <n v="0.48399999999999999"/>
    <n v="116"/>
    <n v="69"/>
    <s v="Normal"/>
    <n v="170"/>
    <n v="16.28"/>
    <x v="1"/>
    <x v="1"/>
  </r>
  <r>
    <x v="0"/>
    <n v="52"/>
    <n v="94"/>
    <n v="1.71"/>
    <n v="32.1"/>
    <n v="90.6"/>
    <s v="90/82"/>
    <n v="108"/>
    <m/>
    <n v="89"/>
    <x v="0"/>
    <s v="N"/>
    <s v="High"/>
    <s v="N"/>
    <n v="171"/>
    <n v="0.53"/>
    <n v="90"/>
    <n v="82"/>
    <s v="Hypertension Stage 1"/>
    <n v="24"/>
    <n v="13.08"/>
    <x v="0"/>
    <x v="0"/>
  </r>
  <r>
    <x v="0"/>
    <n v="50"/>
    <n v="83.8"/>
    <n v="1.76"/>
    <n v="27.1"/>
    <n v="106.5"/>
    <s v="131/75"/>
    <n v="280"/>
    <n v="52"/>
    <n v="135"/>
    <x v="1"/>
    <s v="Y"/>
    <s v="High"/>
    <s v="N"/>
    <n v="176"/>
    <n v="0.60499999999999998"/>
    <n v="131"/>
    <n v="75"/>
    <s v="Hypertension Stage 1"/>
    <n v="198"/>
    <n v="19.57"/>
    <x v="1"/>
    <x v="1"/>
  </r>
  <r>
    <x v="0"/>
    <n v="34"/>
    <n v="104.2"/>
    <n v="1.88"/>
    <n v="29.5"/>
    <n v="83.7"/>
    <s v="138/76"/>
    <n v="140"/>
    <n v="63"/>
    <n v="92"/>
    <x v="1"/>
    <s v="Y"/>
    <s v="Moderate"/>
    <s v="Y"/>
    <n v="188"/>
    <m/>
    <n v="138"/>
    <n v="76"/>
    <s v="Hypertension Stage 1"/>
    <n v="47"/>
    <n v="17.600000000000001"/>
    <x v="1"/>
    <x v="1"/>
  </r>
  <r>
    <x v="0"/>
    <n v="56"/>
    <m/>
    <n v="1.85"/>
    <n v="22.7"/>
    <n v="99.6"/>
    <s v="130/77"/>
    <n v="203"/>
    <n v="35"/>
    <n v="122"/>
    <x v="1"/>
    <s v="Y"/>
    <s v="Low"/>
    <s v="Y"/>
    <n v="185"/>
    <n v="0.53800000000000003"/>
    <n v="130"/>
    <n v="77"/>
    <s v="Hypertension Stage 1"/>
    <n v="138"/>
    <n v="17.100000000000001"/>
    <x v="1"/>
    <x v="1"/>
  </r>
  <r>
    <x v="0"/>
    <n v="39"/>
    <n v="118.4"/>
    <n v="1.74"/>
    <n v="39.1"/>
    <n v="74.3"/>
    <s v="101/92"/>
    <n v="213"/>
    <n v="49"/>
    <n v="140"/>
    <x v="0"/>
    <s v="Y"/>
    <s v="Moderate"/>
    <s v="Y"/>
    <n v="174"/>
    <n v="0.42699999999999999"/>
    <n v="101"/>
    <n v="92"/>
    <s v="Hypertension Stage 2"/>
    <n v="134"/>
    <n v="19.13"/>
    <x v="1"/>
    <x v="1"/>
  </r>
  <r>
    <x v="1"/>
    <n v="48"/>
    <n v="114.5"/>
    <n v="1.9"/>
    <n v="31.7"/>
    <n v="80"/>
    <s v="144/99"/>
    <n v="201"/>
    <n v="46"/>
    <n v="135"/>
    <x v="1"/>
    <s v="Y"/>
    <s v="Low"/>
    <s v="Y"/>
    <n v="190"/>
    <n v="0.42099999999999999"/>
    <n v="144"/>
    <n v="99"/>
    <s v="Hypertension Stage 2"/>
    <n v="125"/>
    <n v="19.559999999999999"/>
    <x v="1"/>
    <x v="1"/>
  </r>
  <r>
    <x v="0"/>
    <n v="52"/>
    <n v="85.2"/>
    <n v="1.66"/>
    <n v="30.9"/>
    <n v="89.7"/>
    <s v="106/77"/>
    <n v="250"/>
    <m/>
    <n v="135"/>
    <x v="1"/>
    <s v="Y"/>
    <s v="High"/>
    <s v="N"/>
    <n v="166"/>
    <n v="0.54"/>
    <n v="106"/>
    <n v="77"/>
    <s v="Normal"/>
    <n v="156"/>
    <n v="18.48"/>
    <x v="1"/>
    <x v="1"/>
  </r>
  <r>
    <x v="0"/>
    <n v="41"/>
    <m/>
    <n v="1.7"/>
    <n v="22.5"/>
    <n v="75.2"/>
    <s v="139/60"/>
    <n v="190"/>
    <n v="33"/>
    <n v="90"/>
    <x v="1"/>
    <s v="Y"/>
    <s v="Low"/>
    <s v="Y"/>
    <n v="170"/>
    <n v="0.442"/>
    <n v="139"/>
    <n v="60"/>
    <s v="Hypertension Stage 1"/>
    <n v="127"/>
    <n v="17.25"/>
    <x v="1"/>
    <x v="1"/>
  </r>
  <r>
    <x v="0"/>
    <n v="58"/>
    <n v="117"/>
    <n v="1.89"/>
    <n v="32.799999999999997"/>
    <n v="80.599999999999994"/>
    <s v="112/93"/>
    <n v="135"/>
    <n v="43"/>
    <n v="128"/>
    <x v="1"/>
    <s v="Y"/>
    <s v="Moderate"/>
    <s v="N"/>
    <n v="189"/>
    <n v="0.42599999999999999"/>
    <m/>
    <n v="93"/>
    <s v="Hypertension Stage 2"/>
    <n v="62"/>
    <n v="16.86"/>
    <x v="1"/>
    <x v="1"/>
  </r>
  <r>
    <x v="1"/>
    <n v="44"/>
    <n v="105.4"/>
    <n v="1.83"/>
    <n v="31.5"/>
    <n v="109.7"/>
    <s v="142/84"/>
    <n v="230"/>
    <n v="73"/>
    <n v="128"/>
    <x v="0"/>
    <s v="Y"/>
    <s v="Low"/>
    <s v="N"/>
    <n v="183"/>
    <n v="0.59899999999999998"/>
    <n v="142"/>
    <n v="84"/>
    <s v="Hypertension Stage 1"/>
    <n v="127"/>
    <n v="20"/>
    <x v="1"/>
    <x v="1"/>
  </r>
  <r>
    <x v="1"/>
    <n v="36"/>
    <n v="55.4"/>
    <n v="1.86"/>
    <n v="16"/>
    <n v="86.2"/>
    <s v="93/63"/>
    <n v="109"/>
    <n v="50"/>
    <n v="143"/>
    <x v="1"/>
    <s v="Y"/>
    <s v="Moderate"/>
    <s v="N"/>
    <n v="186"/>
    <n v="0.46300000000000002"/>
    <n v="93"/>
    <n v="63"/>
    <s v="Normal"/>
    <n v="29"/>
    <n v="12.03"/>
    <x v="0"/>
    <x v="0"/>
  </r>
  <r>
    <x v="0"/>
    <n v="53"/>
    <n v="105.5"/>
    <n v="1.71"/>
    <n v="36.1"/>
    <n v="83.1"/>
    <s v="104/70"/>
    <n v="280"/>
    <n v="63"/>
    <m/>
    <x v="1"/>
    <s v="Y"/>
    <s v="Moderate"/>
    <s v="Y"/>
    <n v="171"/>
    <n v="0.48599999999999999"/>
    <n v="104"/>
    <n v="70"/>
    <s v="Normal"/>
    <n v="187"/>
    <n v="20.02"/>
    <x v="1"/>
    <x v="1"/>
  </r>
  <r>
    <x v="0"/>
    <n v="46"/>
    <n v="73.2"/>
    <n v="1.8"/>
    <n v="22.6"/>
    <n v="79.3"/>
    <s v="126/81"/>
    <n v="135"/>
    <n v="71"/>
    <n v="117"/>
    <x v="1"/>
    <s v="Y"/>
    <s v="Low"/>
    <s v="N"/>
    <n v="180"/>
    <n v="0.441"/>
    <n v="126"/>
    <n v="81"/>
    <s v="Hypertension Stage 1"/>
    <m/>
    <n v="15.52"/>
    <x v="1"/>
    <x v="1"/>
  </r>
  <r>
    <x v="1"/>
    <n v="56"/>
    <n v="66"/>
    <n v="1.82"/>
    <n v="19.899999999999999"/>
    <n v="80.5"/>
    <s v="148/94"/>
    <n v="159"/>
    <n v="73"/>
    <n v="71"/>
    <x v="1"/>
    <s v="Y"/>
    <s v="Low"/>
    <s v="N"/>
    <n v="182"/>
    <n v="0.442"/>
    <n v="148"/>
    <n v="94"/>
    <s v="Hypertension Stage 2"/>
    <n v="56"/>
    <n v="16.559999999999999"/>
    <x v="1"/>
    <x v="1"/>
  </r>
  <r>
    <x v="1"/>
    <n v="47"/>
    <n v="51.6"/>
    <n v="1.68"/>
    <n v="18.3"/>
    <n v="71.8"/>
    <s v="106/92"/>
    <n v="137"/>
    <n v="37"/>
    <n v="105"/>
    <x v="0"/>
    <s v="N"/>
    <s v="Moderate"/>
    <s v="Y"/>
    <n v="168"/>
    <n v="0.42699999999999999"/>
    <n v="106"/>
    <n v="92"/>
    <s v="Hypertension Stage 2"/>
    <n v="70"/>
    <n v="11.7"/>
    <x v="0"/>
    <x v="0"/>
  </r>
  <r>
    <x v="0"/>
    <n v="55"/>
    <m/>
    <n v="1.65"/>
    <n v="21.4"/>
    <n v="92.6"/>
    <s v="107/89"/>
    <n v="179"/>
    <n v="75"/>
    <n v="139"/>
    <x v="1"/>
    <s v="N"/>
    <s v="Moderate"/>
    <s v="N"/>
    <n v="165"/>
    <n v="0.56100000000000005"/>
    <n v="107"/>
    <n v="89"/>
    <s v="Hypertension Stage 1"/>
    <n v="74"/>
    <n v="13.21"/>
    <x v="0"/>
    <x v="0"/>
  </r>
  <r>
    <x v="0"/>
    <n v="60"/>
    <n v="54.3"/>
    <n v="1.81"/>
    <n v="16.600000000000001"/>
    <n v="99.1"/>
    <s v="133/65"/>
    <n v="187"/>
    <n v="78"/>
    <n v="80"/>
    <x v="0"/>
    <s v="Y"/>
    <s v="High"/>
    <s v="N"/>
    <n v="181"/>
    <n v="0.54800000000000004"/>
    <n v="133"/>
    <n v="65"/>
    <s v="Hypertension Stage 1"/>
    <n v="79"/>
    <n v="15.71"/>
    <x v="0"/>
    <x v="0"/>
  </r>
  <r>
    <x v="0"/>
    <n v="37"/>
    <n v="79"/>
    <n v="1.74"/>
    <m/>
    <n v="92.4"/>
    <s v="147/85"/>
    <n v="212"/>
    <n v="73"/>
    <n v="90"/>
    <x v="1"/>
    <s v="N"/>
    <s v="Moderate"/>
    <s v="N"/>
    <n v="174"/>
    <n v="0.53100000000000003"/>
    <n v="147"/>
    <n v="85"/>
    <s v="Hypertension Stage 1"/>
    <m/>
    <n v="16.809999999999999"/>
    <x v="0"/>
    <x v="0"/>
  </r>
  <r>
    <x v="1"/>
    <n v="51"/>
    <n v="85.9"/>
    <n v="1.78"/>
    <n v="27.1"/>
    <n v="87.2"/>
    <s v="144/70"/>
    <n v="189"/>
    <n v="44"/>
    <n v="100"/>
    <x v="0"/>
    <s v="N"/>
    <s v="Low"/>
    <s v="N"/>
    <n v="178"/>
    <n v="0.49"/>
    <n v="144"/>
    <n v="70"/>
    <s v="Hypertension Stage 2"/>
    <m/>
    <n v="16.399999999999999"/>
    <x v="0"/>
    <x v="0"/>
  </r>
  <r>
    <x v="1"/>
    <n v="31"/>
    <n v="60.3"/>
    <n v="1.7"/>
    <n v="20.9"/>
    <n v="70.099999999999994"/>
    <s v="141/96"/>
    <n v="253"/>
    <n v="38"/>
    <n v="119"/>
    <x v="1"/>
    <s v="N"/>
    <s v="Moderate"/>
    <s v="Y"/>
    <n v="170"/>
    <n v="0.41199999999999998"/>
    <n v="141"/>
    <n v="96"/>
    <s v="Hypertension Stage 2"/>
    <n v="185"/>
    <n v="16.29"/>
    <x v="1"/>
    <x v="1"/>
  </r>
  <r>
    <x v="0"/>
    <n v="49"/>
    <n v="60.5"/>
    <n v="1.64"/>
    <n v="22.5"/>
    <n v="76.400000000000006"/>
    <s v="104/80"/>
    <n v="178"/>
    <n v="78"/>
    <n v="124"/>
    <x v="0"/>
    <s v="N"/>
    <s v="Moderate"/>
    <s v="Y"/>
    <n v="164"/>
    <n v="0.46600000000000003"/>
    <n v="104"/>
    <n v="80"/>
    <s v="Hypertension Stage 1"/>
    <n v="70"/>
    <n v="13.26"/>
    <x v="0"/>
    <x v="0"/>
  </r>
  <r>
    <x v="0"/>
    <n v="48"/>
    <n v="82.9"/>
    <n v="1.89"/>
    <n v="23.2"/>
    <n v="84.4"/>
    <s v="129/60"/>
    <n v="109"/>
    <n v="70"/>
    <n v="108"/>
    <x v="0"/>
    <s v="Y"/>
    <s v="High"/>
    <s v="Y"/>
    <n v="189"/>
    <n v="0.44700000000000001"/>
    <n v="129"/>
    <n v="60"/>
    <s v="Elevated"/>
    <n v="9"/>
    <n v="15.27"/>
    <x v="0"/>
    <x v="0"/>
  </r>
  <r>
    <x v="0"/>
    <n v="48"/>
    <n v="103.2"/>
    <n v="1.75"/>
    <n v="33.700000000000003"/>
    <n v="75.5"/>
    <s v="146/99"/>
    <n v="256"/>
    <n v="38"/>
    <n v="104"/>
    <x v="0"/>
    <s v="N"/>
    <s v="Low"/>
    <s v="Y"/>
    <m/>
    <n v="0.43099999999999999"/>
    <n v="146"/>
    <n v="99"/>
    <s v="Hypertension Stage 2"/>
    <n v="188"/>
    <n v="19.16"/>
    <x v="1"/>
    <x v="1"/>
  </r>
  <r>
    <x v="0"/>
    <n v="40"/>
    <n v="74.400000000000006"/>
    <n v="1.88"/>
    <n v="21.1"/>
    <n v="91.1"/>
    <s v="90/97"/>
    <n v="176"/>
    <n v="73"/>
    <n v="98"/>
    <x v="1"/>
    <s v="N"/>
    <s v="Low"/>
    <s v="N"/>
    <n v="188"/>
    <n v="0.48499999999999999"/>
    <n v="90"/>
    <n v="97"/>
    <s v="Hypertension Stage 2"/>
    <n v="73"/>
    <n v="12.24"/>
    <x v="0"/>
    <x v="0"/>
  </r>
  <r>
    <x v="0"/>
    <n v="31"/>
    <n v="93.2"/>
    <n v="1.63"/>
    <n v="35.1"/>
    <n v="95.5"/>
    <s v="139/91"/>
    <m/>
    <n v="57"/>
    <n v="123"/>
    <x v="1"/>
    <s v="N"/>
    <s v="Moderate"/>
    <s v="Y"/>
    <n v="163"/>
    <n v="0.58599999999999997"/>
    <m/>
    <n v="91"/>
    <s v="Hypertension Stage 1"/>
    <n v="180"/>
    <n v="19.309999999999999"/>
    <x v="1"/>
    <x v="1"/>
  </r>
  <r>
    <x v="1"/>
    <n v="57"/>
    <n v="74.900000000000006"/>
    <n v="1.81"/>
    <n v="22.9"/>
    <n v="72.099999999999994"/>
    <s v="121/93"/>
    <n v="258"/>
    <n v="53"/>
    <n v="109"/>
    <x v="1"/>
    <s v="N"/>
    <s v="High"/>
    <s v="Y"/>
    <n v="181"/>
    <n v="0.39800000000000002"/>
    <n v="121"/>
    <n v="93"/>
    <s v="Hypertension Stage 2"/>
    <n v="175"/>
    <n v="15.79"/>
    <x v="1"/>
    <x v="1"/>
  </r>
  <r>
    <x v="0"/>
    <n v="33"/>
    <n v="57.9"/>
    <n v="1.73"/>
    <n v="19.3"/>
    <n v="84.7"/>
    <s v="126/86"/>
    <n v="111"/>
    <n v="57"/>
    <n v="124"/>
    <x v="1"/>
    <s v="N"/>
    <s v="Low"/>
    <s v="N"/>
    <m/>
    <m/>
    <n v="126"/>
    <n v="86"/>
    <s v="Hypertension Stage 1"/>
    <n v="24"/>
    <n v="12.38"/>
    <x v="0"/>
    <x v="0"/>
  </r>
  <r>
    <x v="0"/>
    <n v="47"/>
    <n v="82.7"/>
    <n v="1.63"/>
    <n v="31.1"/>
    <n v="82.1"/>
    <s v="132/65"/>
    <n v="158"/>
    <n v="78"/>
    <n v="91"/>
    <x v="0"/>
    <s v="Y"/>
    <s v="High"/>
    <s v="Y"/>
    <n v="163"/>
    <n v="0.504"/>
    <m/>
    <n v="65"/>
    <s v="Hypertension Stage 1"/>
    <n v="50"/>
    <n v="17.98"/>
    <x v="1"/>
    <x v="1"/>
  </r>
  <r>
    <x v="1"/>
    <n v="60"/>
    <n v="91.2"/>
    <n v="1.68"/>
    <n v="32.299999999999997"/>
    <n v="73.2"/>
    <s v="124/80"/>
    <n v="249"/>
    <n v="60"/>
    <n v="147"/>
    <x v="0"/>
    <s v="N"/>
    <s v="Moderate"/>
    <s v="N"/>
    <n v="168"/>
    <n v="0.436"/>
    <n v="124"/>
    <m/>
    <s v="Hypertension Stage 1"/>
    <n v="159"/>
    <n v="17.64"/>
    <x v="0"/>
    <x v="0"/>
  </r>
  <r>
    <x v="0"/>
    <n v="53"/>
    <n v="115.2"/>
    <n v="1.74"/>
    <n v="38"/>
    <n v="88.1"/>
    <s v="146/80"/>
    <n v="100"/>
    <n v="32"/>
    <n v="72"/>
    <x v="0"/>
    <s v="Y"/>
    <s v="Low"/>
    <s v="Y"/>
    <n v="174"/>
    <n v="0.50600000000000001"/>
    <n v="146"/>
    <n v="80"/>
    <s v="Hypertension Stage 1"/>
    <n v="38"/>
    <n v="18.899999999999999"/>
    <x v="1"/>
    <x v="1"/>
  </r>
  <r>
    <x v="0"/>
    <n v="44"/>
    <n v="96.3"/>
    <n v="1.74"/>
    <n v="31.8"/>
    <n v="91.3"/>
    <s v="93/95"/>
    <n v="109"/>
    <n v="53"/>
    <n v="129"/>
    <x v="0"/>
    <s v="Y"/>
    <s v="High"/>
    <s v="Y"/>
    <n v="174"/>
    <n v="0.52500000000000002"/>
    <n v="93"/>
    <n v="95"/>
    <s v="Hypertension Stage 2"/>
    <n v="26"/>
    <n v="15.19"/>
    <x v="0"/>
    <x v="0"/>
  </r>
  <r>
    <x v="1"/>
    <n v="37"/>
    <n v="102.6"/>
    <n v="1.74"/>
    <n v="33.9"/>
    <n v="103.5"/>
    <s v="134/68"/>
    <n v="127"/>
    <n v="60"/>
    <n v="138"/>
    <x v="0"/>
    <s v="Y"/>
    <s v="High"/>
    <s v="N"/>
    <n v="174"/>
    <m/>
    <n v="134"/>
    <n v="68"/>
    <s v="Hypertension Stage 1"/>
    <n v="37"/>
    <n v="18.02"/>
    <x v="0"/>
    <x v="0"/>
  </r>
  <r>
    <x v="0"/>
    <n v="60"/>
    <m/>
    <n v="1.79"/>
    <n v="26.1"/>
    <n v="99.2"/>
    <s v="121/100"/>
    <n v="245"/>
    <n v="37"/>
    <n v="72"/>
    <x v="1"/>
    <s v="N"/>
    <s v="Moderate"/>
    <s v="N"/>
    <n v="179"/>
    <n v="0.55400000000000005"/>
    <n v="121"/>
    <n v="100"/>
    <s v="Hypertension Stage 2"/>
    <m/>
    <n v="16.170000000000002"/>
    <x v="1"/>
    <x v="1"/>
  </r>
  <r>
    <x v="1"/>
    <n v="31"/>
    <n v="51"/>
    <n v="1.63"/>
    <n v="19.2"/>
    <n v="95.4"/>
    <s v="92/60"/>
    <n v="121"/>
    <n v="46"/>
    <n v="143"/>
    <x v="1"/>
    <s v="N"/>
    <s v="High"/>
    <s v="N"/>
    <n v="163"/>
    <n v="0.58499999999999996"/>
    <n v="92"/>
    <n v="60"/>
    <s v="Normal"/>
    <n v="45"/>
    <n v="10.86"/>
    <x v="2"/>
    <x v="0"/>
  </r>
  <r>
    <x v="0"/>
    <n v="33"/>
    <n v="116.9"/>
    <n v="1.89"/>
    <n v="32.700000000000003"/>
    <n v="93.6"/>
    <s v="131/62"/>
    <n v="110"/>
    <n v="74"/>
    <n v="108"/>
    <x v="1"/>
    <s v="Y"/>
    <s v="High"/>
    <s v="N"/>
    <n v="189"/>
    <n v="0.495"/>
    <n v="131"/>
    <n v="62"/>
    <s v="Hypertension Stage 1"/>
    <m/>
    <n v="17.29"/>
    <x v="0"/>
    <x v="0"/>
  </r>
  <r>
    <x v="1"/>
    <n v="38"/>
    <m/>
    <n v="1.89"/>
    <n v="15.3"/>
    <n v="99.9"/>
    <s v="134/88"/>
    <n v="206"/>
    <n v="79"/>
    <n v="105"/>
    <x v="0"/>
    <s v="N"/>
    <s v="High"/>
    <s v="Y"/>
    <n v="189"/>
    <n v="0.52900000000000003"/>
    <n v="134"/>
    <n v="88"/>
    <s v="Hypertension Stage 1"/>
    <n v="97"/>
    <n v="13.88"/>
    <x v="0"/>
    <x v="0"/>
  </r>
  <r>
    <x v="0"/>
    <n v="39"/>
    <n v="106.7"/>
    <n v="1.65"/>
    <n v="39.200000000000003"/>
    <n v="106.5"/>
    <s v="106/69"/>
    <n v="201"/>
    <n v="76"/>
    <n v="127"/>
    <x v="0"/>
    <s v="N"/>
    <s v="High"/>
    <s v="N"/>
    <n v="165"/>
    <n v="0.64500000000000002"/>
    <n v="106"/>
    <n v="69"/>
    <s v="Normal"/>
    <n v="95"/>
    <n v="17.16"/>
    <x v="0"/>
    <x v="0"/>
  </r>
  <r>
    <x v="0"/>
    <n v="49"/>
    <n v="62.7"/>
    <n v="1.63"/>
    <n v="23.6"/>
    <n v="93.9"/>
    <s v="110/86"/>
    <n v="252"/>
    <n v="42"/>
    <n v="114"/>
    <x v="1"/>
    <s v="Y"/>
    <s v="Low"/>
    <s v="Y"/>
    <n v="163"/>
    <n v="0.57599999999999996"/>
    <n v="110"/>
    <n v="86"/>
    <s v="Hypertension Stage 1"/>
    <n v="180"/>
    <n v="17.260000000000002"/>
    <x v="1"/>
    <x v="1"/>
  </r>
  <r>
    <x v="0"/>
    <n v="40"/>
    <n v="98.1"/>
    <n v="1.84"/>
    <m/>
    <n v="73.3"/>
    <s v="143/95"/>
    <n v="235"/>
    <n v="75"/>
    <n v="100"/>
    <x v="0"/>
    <s v="Y"/>
    <s v="Low"/>
    <s v="Y"/>
    <n v="184"/>
    <n v="0.39800000000000002"/>
    <n v="143"/>
    <n v="95"/>
    <s v="Hypertension Stage 2"/>
    <n v="130"/>
    <n v="19.649999999999999"/>
    <x v="1"/>
    <x v="1"/>
  </r>
  <r>
    <x v="0"/>
    <n v="36"/>
    <m/>
    <n v="1.76"/>
    <n v="19.7"/>
    <n v="88"/>
    <s v="98/88"/>
    <m/>
    <n v="44"/>
    <m/>
    <x v="1"/>
    <s v="Y"/>
    <s v="Moderate"/>
    <s v="Y"/>
    <n v="176"/>
    <n v="0.5"/>
    <n v="98"/>
    <n v="88"/>
    <s v="Hypertension Stage 1"/>
    <n v="177"/>
    <n v="15.86"/>
    <x v="1"/>
    <x v="1"/>
  </r>
  <r>
    <x v="1"/>
    <n v="32"/>
    <n v="94.9"/>
    <n v="1.84"/>
    <n v="28"/>
    <n v="79.3"/>
    <s v="143/66"/>
    <n v="206"/>
    <n v="46"/>
    <n v="122"/>
    <x v="1"/>
    <s v="N"/>
    <s v="Low"/>
    <s v="N"/>
    <n v="184"/>
    <n v="0.43099999999999999"/>
    <n v="143"/>
    <n v="66"/>
    <s v="Hypertension Stage 2"/>
    <n v="130"/>
    <n v="16.87"/>
    <x v="1"/>
    <x v="1"/>
  </r>
  <r>
    <x v="1"/>
    <n v="40"/>
    <n v="76.900000000000006"/>
    <n v="1.64"/>
    <n v="28.6"/>
    <n v="101.5"/>
    <s v="101/79"/>
    <n v="181"/>
    <n v="63"/>
    <n v="144"/>
    <x v="1"/>
    <s v="N"/>
    <s v="Low"/>
    <s v="N"/>
    <n v="164"/>
    <n v="0.61899999999999999"/>
    <n v="101"/>
    <n v="79"/>
    <s v="Normal"/>
    <n v="88"/>
    <n v="14.39"/>
    <x v="0"/>
    <x v="0"/>
  </r>
  <r>
    <x v="1"/>
    <n v="55"/>
    <n v="83"/>
    <n v="1.61"/>
    <n v="32"/>
    <n v="77.7"/>
    <s v="116/66"/>
    <n v="210"/>
    <n v="32"/>
    <n v="100"/>
    <x v="1"/>
    <s v="N"/>
    <s v="High"/>
    <s v="Y"/>
    <n v="161"/>
    <n v="0.48299999999999998"/>
    <n v="116"/>
    <n v="66"/>
    <s v="Normal"/>
    <m/>
    <n v="16.399999999999999"/>
    <x v="1"/>
    <x v="1"/>
  </r>
  <r>
    <x v="0"/>
    <n v="36"/>
    <n v="83.1"/>
    <n v="1.81"/>
    <n v="25.4"/>
    <n v="99.9"/>
    <s v="106/92"/>
    <n v="167"/>
    <n v="42"/>
    <n v="87"/>
    <x v="1"/>
    <s v="Y"/>
    <s v="Moderate"/>
    <s v="N"/>
    <n v="181"/>
    <n v="0.55200000000000005"/>
    <n v="106"/>
    <n v="92"/>
    <s v="Hypertension Stage 2"/>
    <n v="95"/>
    <n v="15.72"/>
    <x v="0"/>
    <x v="0"/>
  </r>
  <r>
    <x v="0"/>
    <n v="41"/>
    <n v="102.7"/>
    <n v="1.61"/>
    <n v="39.6"/>
    <n v="107.3"/>
    <s v="95/88"/>
    <n v="188"/>
    <n v="56"/>
    <n v="86"/>
    <x v="1"/>
    <s v="Y"/>
    <s v="High"/>
    <s v="Y"/>
    <n v="161"/>
    <n v="0.66600000000000004"/>
    <n v="95"/>
    <n v="88"/>
    <s v="Hypertension Stage 1"/>
    <n v="102"/>
    <n v="18.43"/>
    <x v="1"/>
    <x v="1"/>
  </r>
  <r>
    <x v="1"/>
    <m/>
    <n v="81.2"/>
    <n v="1.84"/>
    <n v="24"/>
    <n v="86.1"/>
    <s v="131/84"/>
    <n v="223"/>
    <n v="38"/>
    <n v="81"/>
    <x v="0"/>
    <s v="Y"/>
    <s v="Low"/>
    <s v="Y"/>
    <n v="184"/>
    <n v="0.46800000000000003"/>
    <n v="131"/>
    <n v="84"/>
    <s v="Hypertension Stage 1"/>
    <n v="155"/>
    <n v="17.809999999999999"/>
    <x v="1"/>
    <x v="1"/>
  </r>
  <r>
    <x v="0"/>
    <n v="59"/>
    <n v="54.1"/>
    <m/>
    <n v="16"/>
    <n v="102.1"/>
    <s v="101/86"/>
    <n v="150"/>
    <n v="57"/>
    <n v="100"/>
    <x v="1"/>
    <s v="N"/>
    <s v="Moderate"/>
    <s v="Y"/>
    <n v="184"/>
    <n v="0.55500000000000005"/>
    <n v="101"/>
    <n v="86"/>
    <s v="Hypertension Stage 1"/>
    <n v="63"/>
    <n v="11.25"/>
    <x v="0"/>
    <x v="0"/>
  </r>
  <r>
    <x v="0"/>
    <m/>
    <n v="93.7"/>
    <n v="1.75"/>
    <n v="30.6"/>
    <n v="78.8"/>
    <s v="134/81"/>
    <n v="119"/>
    <n v="41"/>
    <n v="96"/>
    <x v="1"/>
    <s v="N"/>
    <s v="High"/>
    <s v="N"/>
    <n v="175"/>
    <n v="0.45"/>
    <n v="134"/>
    <n v="81"/>
    <s v="Hypertension Stage 1"/>
    <m/>
    <n v="15.2"/>
    <x v="0"/>
    <x v="0"/>
  </r>
  <r>
    <x v="1"/>
    <n v="56"/>
    <n v="84.1"/>
    <n v="1.76"/>
    <n v="27.2"/>
    <n v="83.4"/>
    <s v="130/65"/>
    <n v="111"/>
    <n v="61"/>
    <n v="113"/>
    <x v="0"/>
    <s v="N"/>
    <s v="Low"/>
    <s v="N"/>
    <n v="176"/>
    <n v="0.47399999999999998"/>
    <n v="130"/>
    <n v="65"/>
    <s v="Hypertension Stage 1"/>
    <n v="20"/>
    <n v="14.16"/>
    <x v="0"/>
    <x v="0"/>
  </r>
  <r>
    <x v="0"/>
    <n v="47"/>
    <n v="112.2"/>
    <n v="1.69"/>
    <n v="39.299999999999997"/>
    <n v="75.3"/>
    <s v="138/61"/>
    <n v="285"/>
    <n v="60"/>
    <n v="99"/>
    <x v="1"/>
    <s v="N"/>
    <s v="Low"/>
    <s v="Y"/>
    <n v="169"/>
    <n v="0.44600000000000001"/>
    <n v="138"/>
    <n v="61"/>
    <s v="Hypertension Stage 1"/>
    <n v="195"/>
    <n v="20.46"/>
    <x v="1"/>
    <x v="1"/>
  </r>
  <r>
    <x v="1"/>
    <n v="37"/>
    <n v="109.6"/>
    <n v="1.83"/>
    <m/>
    <n v="90.1"/>
    <s v="146/90"/>
    <m/>
    <m/>
    <n v="86"/>
    <x v="0"/>
    <s v="Y"/>
    <s v="Low"/>
    <s v="Y"/>
    <n v="183"/>
    <n v="0.49199999999999999"/>
    <m/>
    <n v="90"/>
    <s v="Hypertension Stage 2"/>
    <n v="128"/>
    <n v="20.14"/>
    <x v="1"/>
    <x v="1"/>
  </r>
  <r>
    <x v="0"/>
    <n v="57"/>
    <n v="54.2"/>
    <n v="1.87"/>
    <n v="15.5"/>
    <n v="89.8"/>
    <s v="92/94"/>
    <n v="245"/>
    <n v="36"/>
    <n v="99"/>
    <x v="0"/>
    <s v="Y"/>
    <s v="Low"/>
    <s v="Y"/>
    <n v="187"/>
    <n v="0.48"/>
    <n v="92"/>
    <n v="94"/>
    <s v="Hypertension Stage 2"/>
    <n v="179"/>
    <m/>
    <x v="1"/>
    <x v="1"/>
  </r>
  <r>
    <x v="1"/>
    <n v="76"/>
    <n v="56.283000000000001"/>
    <n v="1.9410000000000001"/>
    <n v="32.701999999999998"/>
    <n v="107.777"/>
    <s v="135/69"/>
    <n v="276"/>
    <n v="83"/>
    <n v="177"/>
    <x v="1"/>
    <s v="Y"/>
    <s v="Moderate"/>
    <s v="N"/>
    <n v="194.06200000000001"/>
    <n v="0.55500000000000005"/>
    <n v="135"/>
    <n v="69"/>
    <s v="Hypertension Stage 1"/>
    <n v="163"/>
    <n v="20.81"/>
    <x v="2"/>
    <x v="0"/>
  </r>
  <r>
    <x v="0"/>
    <n v="62"/>
    <n v="87.543999999999997"/>
    <m/>
    <n v="38.527000000000001"/>
    <n v="86.486999999999995"/>
    <s v="154/60"/>
    <n v="125"/>
    <n v="48"/>
    <n v="167"/>
    <x v="1"/>
    <s v="Y"/>
    <s v="Moderate"/>
    <s v="Y"/>
    <n v="178.33699999999999"/>
    <n v="0.48499999999999999"/>
    <n v="154"/>
    <n v="60"/>
    <s v="Hypertension Stage 2"/>
    <n v="47"/>
    <n v="19.905000000000001"/>
    <x v="1"/>
    <x v="1"/>
  </r>
  <r>
    <x v="1"/>
    <n v="60"/>
    <n v="97.400999999999996"/>
    <n v="1.7709999999999999"/>
    <n v="32.968000000000004"/>
    <n v="79.328000000000003"/>
    <s v="147/78"/>
    <n v="177"/>
    <n v="40"/>
    <n v="176"/>
    <x v="1"/>
    <s v="Y"/>
    <s v="High"/>
    <s v="Y"/>
    <n v="177.14599999999999"/>
    <n v="0.44800000000000001"/>
    <m/>
    <n v="78"/>
    <s v="Hypertension Stage 2"/>
    <n v="107"/>
    <n v="19.484000000000002"/>
    <x v="0"/>
    <x v="0"/>
  </r>
  <r>
    <x v="0"/>
    <n v="44"/>
    <n v="82.164000000000001"/>
    <n v="1.986"/>
    <n v="34.701000000000001"/>
    <n v="117.72"/>
    <s v="154/69"/>
    <n v="285"/>
    <n v="83"/>
    <n v="73"/>
    <x v="0"/>
    <s v="Y"/>
    <s v="Moderate"/>
    <s v="Y"/>
    <n v="198.596"/>
    <m/>
    <n v="154"/>
    <n v="69"/>
    <s v="Hypertension Stage 2"/>
    <n v="172"/>
    <n v="22.34"/>
    <x v="2"/>
    <x v="0"/>
  </r>
  <r>
    <x v="1"/>
    <n v="67"/>
    <n v="93.938999999999993"/>
    <n v="1.988"/>
    <n v="28.5"/>
    <n v="112.81399999999999"/>
    <s v="105/110"/>
    <n v="174"/>
    <n v="45"/>
    <n v="83"/>
    <x v="0"/>
    <s v="Y"/>
    <s v="Moderate"/>
    <s v="N"/>
    <n v="198.84200000000001"/>
    <n v="0.56699999999999995"/>
    <n v="105"/>
    <n v="110"/>
    <s v="Hypertension Stage 2"/>
    <m/>
    <n v="16.43"/>
    <x v="1"/>
    <x v="1"/>
  </r>
  <r>
    <x v="1"/>
    <n v="50"/>
    <n v="77.491"/>
    <n v="1.73"/>
    <n v="19.614999999999998"/>
    <n v="94.611999999999995"/>
    <s v="125/118"/>
    <n v="156"/>
    <n v="36"/>
    <n v="174"/>
    <x v="1"/>
    <s v="N"/>
    <s v="High"/>
    <s v="N"/>
    <n v="172.97399999999999"/>
    <n v="0.54700000000000004"/>
    <n v="125"/>
    <n v="118"/>
    <s v="Hypertension Stage 2"/>
    <n v="90"/>
    <n v="13.292999999999999"/>
    <x v="2"/>
    <x v="0"/>
  </r>
  <r>
    <x v="0"/>
    <n v="38"/>
    <n v="68.516000000000005"/>
    <n v="1.929"/>
    <n v="39.966999999999999"/>
    <n v="96.956999999999994"/>
    <s v="105/84"/>
    <n v="241"/>
    <n v="52"/>
    <n v="103"/>
    <x v="1"/>
    <s v="N"/>
    <s v="Moderate"/>
    <s v="Y"/>
    <n v="192.93600000000001"/>
    <n v="0.503"/>
    <n v="105"/>
    <n v="84"/>
    <s v="Hypertension Stage 1"/>
    <n v="159"/>
    <n v="18.062999999999999"/>
    <x v="1"/>
    <x v="1"/>
  </r>
  <r>
    <x v="1"/>
    <n v="77"/>
    <n v="86.405000000000001"/>
    <n v="1.972"/>
    <n v="35.85"/>
    <n v="99.563999999999993"/>
    <s v="129/93"/>
    <n v="222"/>
    <n v="40"/>
    <m/>
    <x v="0"/>
    <s v="N"/>
    <s v="Moderate"/>
    <s v="N"/>
    <n v="197.21600000000001"/>
    <n v="0.505"/>
    <n v="129"/>
    <n v="93"/>
    <s v="Hypertension Stage 2"/>
    <n v="152"/>
    <n v="18.059999999999999"/>
    <x v="1"/>
    <x v="1"/>
  </r>
  <r>
    <x v="1"/>
    <n v="51"/>
    <n v="105"/>
    <m/>
    <n v="25.309000000000001"/>
    <n v="110.277"/>
    <s v="144/93"/>
    <n v="126"/>
    <n v="50"/>
    <n v="91"/>
    <x v="0"/>
    <s v="N"/>
    <s v="Moderate"/>
    <s v="N"/>
    <n v="176.828"/>
    <n v="0.624"/>
    <n v="144"/>
    <n v="93"/>
    <s v="Hypertension Stage 2"/>
    <n v="46"/>
    <m/>
    <x v="0"/>
    <x v="0"/>
  </r>
  <r>
    <x v="1"/>
    <n v="42"/>
    <n v="51.094999999999999"/>
    <n v="1.5209999999999999"/>
    <n v="20.190000000000001"/>
    <n v="72.274000000000001"/>
    <s v="159/91"/>
    <n v="296"/>
    <m/>
    <n v="123"/>
    <x v="0"/>
    <s v="N"/>
    <s v="Moderate"/>
    <s v="N"/>
    <n v="152.08000000000001"/>
    <m/>
    <n v="159"/>
    <n v="91"/>
    <s v="Hypertension Stage 2"/>
    <n v="211"/>
    <n v="17.908000000000001"/>
    <x v="2"/>
    <x v="0"/>
  </r>
  <r>
    <x v="0"/>
    <n v="52"/>
    <n v="69.367000000000004"/>
    <n v="1.8320000000000001"/>
    <n v="30.099"/>
    <n v="112.452"/>
    <s v="149/107"/>
    <m/>
    <n v="47"/>
    <n v="90"/>
    <x v="1"/>
    <s v="N"/>
    <s v="Low"/>
    <s v="N"/>
    <n v="183.17400000000001"/>
    <n v="0.61399999999999999"/>
    <n v="149"/>
    <n v="107"/>
    <s v="Hypertension Stage 2"/>
    <n v="210"/>
    <n v="19.21"/>
    <x v="2"/>
    <x v="0"/>
  </r>
  <r>
    <x v="0"/>
    <n v="60"/>
    <n v="90.05"/>
    <m/>
    <n v="33.582000000000001"/>
    <n v="85.075999999999993"/>
    <s v="120/102"/>
    <n v="238"/>
    <n v="51"/>
    <n v="161"/>
    <x v="0"/>
    <s v="Y"/>
    <s v="Low"/>
    <s v="Y"/>
    <m/>
    <n v="0.5"/>
    <n v="120"/>
    <n v="102"/>
    <s v="Hypertension Stage 2"/>
    <n v="157"/>
    <n v="19.475999999999999"/>
    <x v="2"/>
    <x v="0"/>
  </r>
  <r>
    <x v="0"/>
    <n v="43"/>
    <n v="91.147999999999996"/>
    <n v="1.998"/>
    <n v="38.405000000000001"/>
    <n v="108.75"/>
    <s v="108/95"/>
    <n v="272"/>
    <n v="40"/>
    <n v="157"/>
    <x v="0"/>
    <s v="Y"/>
    <s v="Low"/>
    <s v="Y"/>
    <n v="199.80199999999999"/>
    <n v="0.54400000000000004"/>
    <n v="108"/>
    <n v="95"/>
    <s v="Hypertension Stage 2"/>
    <n v="202"/>
    <n v="20.521000000000001"/>
    <x v="2"/>
    <x v="0"/>
  </r>
  <r>
    <x v="1"/>
    <n v="65"/>
    <n v="80.069000000000003"/>
    <m/>
    <n v="29.166"/>
    <n v="80.971000000000004"/>
    <s v="120/87"/>
    <n v="151"/>
    <n v="35"/>
    <n v="70"/>
    <x v="0"/>
    <s v="Y"/>
    <s v="High"/>
    <s v="N"/>
    <n v="155.93100000000001"/>
    <n v="0.51900000000000002"/>
    <n v="120"/>
    <n v="87"/>
    <s v="Hypertension Stage 1"/>
    <n v="86"/>
    <n v="16.853000000000002"/>
    <x v="0"/>
    <x v="0"/>
  </r>
  <r>
    <x v="0"/>
    <n v="67"/>
    <n v="58.323999999999998"/>
    <n v="1.6339999999999999"/>
    <n v="36.951999999999998"/>
    <n v="86.34"/>
    <s v="168/60"/>
    <n v="233"/>
    <n v="86"/>
    <n v="114"/>
    <x v="1"/>
    <s v="Y"/>
    <s v="Low"/>
    <s v="N"/>
    <n v="163.422"/>
    <n v="0.52800000000000002"/>
    <n v="168"/>
    <n v="60"/>
    <s v="Hypertension Stage 2"/>
    <n v="117"/>
    <n v="22.45"/>
    <x v="2"/>
    <x v="0"/>
  </r>
  <r>
    <x v="1"/>
    <n v="52"/>
    <n v="55.683999999999997"/>
    <n v="1.552"/>
    <m/>
    <n v="103.846"/>
    <s v="147/87"/>
    <n v="298"/>
    <n v="53"/>
    <n v="149"/>
    <x v="1"/>
    <s v="Y"/>
    <s v="Low"/>
    <s v="Y"/>
    <n v="155.167"/>
    <n v="0.66900000000000004"/>
    <n v="147"/>
    <n v="87"/>
    <s v="Hypertension Stage 1"/>
    <n v="215"/>
    <n v="21.032"/>
    <x v="1"/>
    <x v="1"/>
  </r>
  <r>
    <x v="0"/>
    <n v="28"/>
    <n v="88.094999999999999"/>
    <n v="1.738"/>
    <n v="24.181999999999999"/>
    <n v="70.090999999999994"/>
    <s v="99/80"/>
    <n v="141"/>
    <n v="35"/>
    <n v="74"/>
    <x v="1"/>
    <s v="Y"/>
    <s v="Low"/>
    <s v="N"/>
    <n v="173.78"/>
    <n v="0.40300000000000002"/>
    <n v="99"/>
    <n v="80"/>
    <s v="Hypertension Stage 1"/>
    <n v="76"/>
    <n v="14.606"/>
    <x v="0"/>
    <x v="0"/>
  </r>
  <r>
    <x v="1"/>
    <n v="79"/>
    <n v="102.027"/>
    <n v="1.786"/>
    <n v="18.585000000000001"/>
    <n v="83.74"/>
    <s v="152/109"/>
    <n v="182"/>
    <n v="87"/>
    <n v="102"/>
    <x v="1"/>
    <s v="N"/>
    <s v="Low"/>
    <s v="N"/>
    <n v="178.63300000000001"/>
    <n v="0.46899999999999997"/>
    <n v="152"/>
    <n v="109"/>
    <s v="Hypertension Stage 2"/>
    <n v="65"/>
    <n v="14.957000000000001"/>
    <x v="0"/>
    <x v="0"/>
  </r>
  <r>
    <x v="0"/>
    <n v="54"/>
    <n v="98.343000000000004"/>
    <n v="1.887"/>
    <n v="35.972999999999999"/>
    <n v="103.28400000000001"/>
    <s v="104/99"/>
    <n v="295"/>
    <n v="64"/>
    <n v="75"/>
    <x v="1"/>
    <s v="Y"/>
    <s v="Moderate"/>
    <s v="N"/>
    <n v="188.71100000000001"/>
    <n v="0.54700000000000004"/>
    <n v="104"/>
    <n v="99"/>
    <s v="Hypertension Stage 2"/>
    <n v="201"/>
    <n v="20.295000000000002"/>
    <x v="2"/>
    <x v="0"/>
  </r>
  <r>
    <x v="1"/>
    <n v="79"/>
    <n v="75.956999999999994"/>
    <n v="1.6539999999999999"/>
    <n v="21.277999999999999"/>
    <n v="117.142"/>
    <s v="155/119"/>
    <n v="112"/>
    <n v="61"/>
    <n v="89"/>
    <x v="0"/>
    <s v="N"/>
    <s v="High"/>
    <s v="N"/>
    <n v="165.435"/>
    <n v="0.70799999999999996"/>
    <n v="155"/>
    <n v="119"/>
    <s v="Hypertension Stage 2"/>
    <n v="21"/>
    <n v="14.246"/>
    <x v="0"/>
    <x v="0"/>
  </r>
  <r>
    <x v="1"/>
    <n v="27"/>
    <n v="114.312"/>
    <n v="1.6879999999999999"/>
    <n v="25.163"/>
    <m/>
    <s v="140/106"/>
    <n v="210"/>
    <n v="41"/>
    <n v="80"/>
    <x v="1"/>
    <s v="N"/>
    <s v="Low"/>
    <s v="N"/>
    <n v="168.81200000000001"/>
    <n v="0.58399999999999996"/>
    <n v="140"/>
    <n v="106"/>
    <s v="Hypertension Stage 2"/>
    <n v="139"/>
    <n v="16.233000000000001"/>
    <x v="0"/>
    <x v="0"/>
  </r>
  <r>
    <x v="0"/>
    <n v="70"/>
    <m/>
    <n v="1.754"/>
    <n v="37.484000000000002"/>
    <n v="95.49"/>
    <s v="113/119"/>
    <n v="172"/>
    <n v="65"/>
    <n v="141"/>
    <x v="0"/>
    <s v="N"/>
    <s v="Low"/>
    <s v="N"/>
    <n v="175.352"/>
    <n v="0.54500000000000004"/>
    <n v="113"/>
    <n v="119"/>
    <s v="Hypertension Stage 2"/>
    <n v="77"/>
    <n v="16.587"/>
    <x v="2"/>
    <x v="0"/>
  </r>
  <r>
    <x v="0"/>
    <n v="37"/>
    <n v="82.742999999999995"/>
    <n v="1.9770000000000001"/>
    <n v="24.571999999999999"/>
    <n v="95.001999999999995"/>
    <s v="136/114"/>
    <n v="282"/>
    <n v="57"/>
    <n v="164"/>
    <x v="0"/>
    <s v="Y"/>
    <s v="Low"/>
    <s v="Y"/>
    <n v="197.67"/>
    <n v="0.48099999999999998"/>
    <n v="136"/>
    <n v="114"/>
    <s v="Hypertension Stage 1"/>
    <n v="195"/>
    <n v="19.353999999999999"/>
    <x v="1"/>
    <x v="1"/>
  </r>
  <r>
    <x v="1"/>
    <n v="43"/>
    <n v="98.221999999999994"/>
    <n v="1.9830000000000001"/>
    <n v="24.088999999999999"/>
    <n v="116.852"/>
    <s v="103/68"/>
    <n v="152"/>
    <n v="47"/>
    <m/>
    <x v="1"/>
    <s v="N"/>
    <s v="High"/>
    <s v="Y"/>
    <n v="198.255"/>
    <n v="0.58899999999999997"/>
    <n v="103"/>
    <n v="68"/>
    <s v="Normal"/>
    <n v="75"/>
    <n v="13.007999999999999"/>
    <x v="1"/>
    <x v="1"/>
  </r>
  <r>
    <x v="1"/>
    <n v="31"/>
    <n v="104.34399999999999"/>
    <n v="1.9550000000000001"/>
    <n v="27.114999999999998"/>
    <n v="74.353999999999999"/>
    <s v="174/119"/>
    <n v="160"/>
    <n v="39"/>
    <n v="89"/>
    <x v="0"/>
    <s v="N"/>
    <s v="Low"/>
    <s v="N"/>
    <n v="195.47499999999999"/>
    <n v="0.38"/>
    <n v="174"/>
    <m/>
    <s v="Hypertension Stage 2"/>
    <n v="91"/>
    <n v="17.323"/>
    <x v="0"/>
    <x v="0"/>
  </r>
  <r>
    <x v="1"/>
    <n v="30"/>
    <n v="72.361999999999995"/>
    <n v="1.5920000000000001"/>
    <n v="27.881"/>
    <n v="117.02200000000001"/>
    <s v="121/92"/>
    <n v="107"/>
    <n v="40"/>
    <n v="97"/>
    <x v="0"/>
    <s v="Y"/>
    <s v="Low"/>
    <s v="N"/>
    <n v="159.161"/>
    <n v="0.73499999999999999"/>
    <n v="121"/>
    <n v="92"/>
    <s v="Hypertension Stage 2"/>
    <n v="37"/>
    <n v="15.766"/>
    <x v="1"/>
    <x v="1"/>
  </r>
  <r>
    <x v="0"/>
    <n v="72"/>
    <n v="68.852999999999994"/>
    <n v="1.9510000000000001"/>
    <n v="24.155999999999999"/>
    <n v="82.284999999999997"/>
    <s v="116/86"/>
    <n v="192"/>
    <m/>
    <n v="183"/>
    <x v="1"/>
    <s v="N"/>
    <s v="High"/>
    <s v="N"/>
    <n v="195.06"/>
    <n v="0.42199999999999999"/>
    <n v="116"/>
    <n v="86"/>
    <s v="Hypertension Stage 1"/>
    <n v="107"/>
    <n v="14.471"/>
    <x v="0"/>
    <x v="0"/>
  </r>
  <r>
    <x v="1"/>
    <n v="37"/>
    <n v="117.678"/>
    <n v="1.7929999999999999"/>
    <n v="23.637"/>
    <n v="105.11"/>
    <s v="121/72"/>
    <n v="269"/>
    <n v="41"/>
    <n v="103"/>
    <x v="0"/>
    <s v="Y"/>
    <s v="High"/>
    <s v="N"/>
    <n v="179.27"/>
    <n v="0.58599999999999997"/>
    <n v="121"/>
    <n v="72"/>
    <s v="Elevated"/>
    <n v="198"/>
    <n v="18.157"/>
    <x v="1"/>
    <x v="1"/>
  </r>
  <r>
    <x v="1"/>
    <n v="46"/>
    <n v="58.262999999999998"/>
    <n v="1.6160000000000001"/>
    <n v="30.568999999999999"/>
    <n v="83.263999999999996"/>
    <s v="109/78"/>
    <n v="244"/>
    <n v="49"/>
    <n v="115"/>
    <x v="1"/>
    <s v="Y"/>
    <s v="Low"/>
    <s v="Y"/>
    <n v="161.637"/>
    <n v="0.51500000000000001"/>
    <n v="109"/>
    <n v="78"/>
    <s v="Normal"/>
    <n v="165"/>
    <n v="18.443999999999999"/>
    <x v="2"/>
    <x v="0"/>
  </r>
  <r>
    <x v="1"/>
    <n v="70"/>
    <n v="114.137"/>
    <n v="1.9770000000000001"/>
    <n v="19.395"/>
    <n v="85.766000000000005"/>
    <s v="162/118"/>
    <n v="104"/>
    <n v="64"/>
    <n v="94"/>
    <x v="0"/>
    <s v="Y"/>
    <s v="High"/>
    <s v="N"/>
    <n v="197.697"/>
    <n v="0.434"/>
    <n v="162"/>
    <n v="118"/>
    <s v="Hypertension Stage 2"/>
    <n v="10"/>
    <n v="16.059000000000001"/>
    <x v="0"/>
    <x v="0"/>
  </r>
  <r>
    <x v="1"/>
    <n v="54"/>
    <n v="103.97"/>
    <n v="1.5589999999999999"/>
    <n v="37.058"/>
    <n v="112.72199999999999"/>
    <s v="155/70"/>
    <n v="169"/>
    <n v="72"/>
    <n v="74"/>
    <x v="0"/>
    <s v="Y"/>
    <s v="High"/>
    <s v="Y"/>
    <n v="155.87200000000001"/>
    <n v="0.72299999999999998"/>
    <n v="155"/>
    <n v="70"/>
    <s v="Hypertension Stage 2"/>
    <n v="67"/>
    <n v="20.542000000000002"/>
    <x v="2"/>
    <x v="0"/>
  </r>
  <r>
    <x v="1"/>
    <n v="61"/>
    <n v="86.75"/>
    <n v="1.7569999999999999"/>
    <n v="24.963000000000001"/>
    <n v="110.819"/>
    <s v="169/89"/>
    <n v="207"/>
    <m/>
    <n v="115"/>
    <x v="1"/>
    <s v="N"/>
    <s v="Low"/>
    <s v="N"/>
    <n v="175.69399999999999"/>
    <n v="0.63100000000000001"/>
    <n v="169"/>
    <n v="89"/>
    <s v="Hypertension Stage 1"/>
    <n v="124"/>
    <n v="17.582999999999998"/>
    <x v="2"/>
    <x v="0"/>
  </r>
  <r>
    <x v="1"/>
    <n v="76"/>
    <n v="58.598999999999997"/>
    <n v="1.5740000000000001"/>
    <n v="28.085999999999999"/>
    <n v="93.554000000000002"/>
    <s v="154/62"/>
    <n v="197"/>
    <n v="65"/>
    <n v="125"/>
    <x v="0"/>
    <s v="Y"/>
    <s v="Moderate"/>
    <s v="N"/>
    <n v="157.43899999999999"/>
    <n v="0.59399999999999997"/>
    <n v="154"/>
    <n v="62"/>
    <s v="Hypertension Stage 2"/>
    <n v="102"/>
    <n v="19.257000000000001"/>
    <x v="0"/>
    <x v="0"/>
  </r>
  <r>
    <x v="1"/>
    <n v="25"/>
    <n v="61.902000000000001"/>
    <n v="1.5229999999999999"/>
    <n v="27.202999999999999"/>
    <n v="108.373"/>
    <s v="163/73"/>
    <n v="200"/>
    <n v="44"/>
    <n v="104"/>
    <x v="1"/>
    <s v="Y"/>
    <s v="High"/>
    <s v="N"/>
    <n v="152.291"/>
    <n v="0.71199999999999997"/>
    <n v="163"/>
    <n v="73"/>
    <s v="Hypertension Stage 2"/>
    <n v="126"/>
    <n v="19.591000000000001"/>
    <x v="2"/>
    <x v="0"/>
  </r>
  <r>
    <x v="0"/>
    <n v="39"/>
    <n v="90.147000000000006"/>
    <n v="1.7829999999999999"/>
    <n v="28.042999999999999"/>
    <n v="111.875"/>
    <s v="161/114"/>
    <n v="249"/>
    <n v="34"/>
    <n v="176"/>
    <x v="0"/>
    <s v="Y"/>
    <s v="Low"/>
    <s v="N"/>
    <n v="178.274"/>
    <n v="0.628"/>
    <n v="161"/>
    <n v="114"/>
    <s v="Hypertension Stage 2"/>
    <n v="185"/>
    <n v="20.638999999999999"/>
    <x v="1"/>
    <x v="1"/>
  </r>
  <r>
    <x v="0"/>
    <n v="43"/>
    <n v="56.029000000000003"/>
    <n v="1.962"/>
    <n v="25.34"/>
    <n v="78.28"/>
    <s v="163/91"/>
    <n v="138"/>
    <n v="66"/>
    <n v="154"/>
    <x v="0"/>
    <s v="Y"/>
    <s v="High"/>
    <s v="Y"/>
    <n v="196.18899999999999"/>
    <n v="0.39900000000000002"/>
    <n v="163"/>
    <n v="91"/>
    <s v="Hypertension Stage 2"/>
    <n v="42"/>
    <n v="17.978000000000002"/>
    <x v="1"/>
    <x v="1"/>
  </r>
  <r>
    <x v="0"/>
    <n v="34"/>
    <n v="102.547"/>
    <n v="1.9790000000000001"/>
    <n v="20.358000000000001"/>
    <n v="115.742"/>
    <s v="148/98"/>
    <n v="266"/>
    <n v="44"/>
    <n v="159"/>
    <x v="1"/>
    <s v="N"/>
    <s v="Low"/>
    <s v="Y"/>
    <n v="197.85900000000001"/>
    <n v="0.58499999999999996"/>
    <n v="148"/>
    <n v="98"/>
    <s v="Hypertension Stage 2"/>
    <n v="192"/>
    <n v="16.792000000000002"/>
    <x v="1"/>
    <x v="1"/>
  </r>
  <r>
    <x v="0"/>
    <n v="69"/>
    <n v="56.982999999999997"/>
    <n v="1.9450000000000001"/>
    <n v="25.004999999999999"/>
    <n v="93.257000000000005"/>
    <s v="149/101"/>
    <n v="217"/>
    <n v="48"/>
    <m/>
    <x v="0"/>
    <s v="Y"/>
    <s v="High"/>
    <s v="Y"/>
    <n v="194.524"/>
    <n v="0.47899999999999998"/>
    <n v="149"/>
    <m/>
    <s v="Hypertension Stage 2"/>
    <n v="139"/>
    <n v="18.791"/>
    <x v="2"/>
    <x v="0"/>
  </r>
  <r>
    <x v="0"/>
    <n v="49"/>
    <n v="116.55800000000001"/>
    <n v="1.665"/>
    <n v="25.079000000000001"/>
    <n v="103.991"/>
    <s v="121/115"/>
    <n v="130"/>
    <n v="39"/>
    <n v="189"/>
    <x v="0"/>
    <s v="Y"/>
    <s v="High"/>
    <s v="Y"/>
    <n v="166.524"/>
    <n v="0.624"/>
    <n v="121"/>
    <n v="115"/>
    <s v="Hypertension Stage 2"/>
    <n v="61"/>
    <n v="15.666"/>
    <x v="0"/>
    <x v="0"/>
  </r>
  <r>
    <x v="0"/>
    <n v="51"/>
    <n v="75.849999999999994"/>
    <n v="1.831"/>
    <n v="38.493000000000002"/>
    <n v="89.087999999999994"/>
    <s v="131/92"/>
    <m/>
    <n v="69"/>
    <n v="175"/>
    <x v="0"/>
    <s v="N"/>
    <s v="Moderate"/>
    <s v="N"/>
    <n v="183.089"/>
    <n v="0.48699999999999999"/>
    <n v="131"/>
    <n v="92"/>
    <s v="Hypertension Stage 1"/>
    <n v="50"/>
    <n v="17.228999999999999"/>
    <x v="0"/>
    <x v="0"/>
  </r>
  <r>
    <x v="0"/>
    <n v="44"/>
    <n v="80.807000000000002"/>
    <n v="1.6990000000000001"/>
    <n v="35.97"/>
    <n v="102.551"/>
    <s v="108/115"/>
    <n v="228"/>
    <n v="86"/>
    <n v="149"/>
    <x v="0"/>
    <s v="N"/>
    <s v="High"/>
    <s v="Y"/>
    <n v="169.90199999999999"/>
    <n v="0.60399999999999998"/>
    <n v="108"/>
    <m/>
    <s v="Hypertension Stage 2"/>
    <n v="112"/>
    <n v="17.154"/>
    <x v="0"/>
    <x v="0"/>
  </r>
  <r>
    <x v="1"/>
    <n v="64"/>
    <m/>
    <n v="1.9239999999999999"/>
    <n v="35.881"/>
    <n v="97.462000000000003"/>
    <s v="102/102"/>
    <n v="198"/>
    <n v="55"/>
    <n v="149"/>
    <x v="1"/>
    <s v="N"/>
    <s v="Low"/>
    <s v="N"/>
    <n v="192.375"/>
    <n v="0.50700000000000001"/>
    <n v="102"/>
    <n v="102"/>
    <s v="Hypertension Stage 2"/>
    <n v="113"/>
    <n v="16.236000000000001"/>
    <x v="1"/>
    <x v="1"/>
  </r>
  <r>
    <x v="0"/>
    <n v="72"/>
    <n v="57.835999999999999"/>
    <n v="1.554"/>
    <n v="24.007999999999999"/>
    <n v="115.565"/>
    <s v="157/75"/>
    <n v="211"/>
    <n v="81"/>
    <n v="85"/>
    <x v="0"/>
    <s v="N"/>
    <s v="Moderate"/>
    <s v="N"/>
    <n v="155.404"/>
    <n v="0.74399999999999999"/>
    <n v="157"/>
    <n v="75"/>
    <s v="Hypertension Stage 2"/>
    <n v="100"/>
    <n v="16.872"/>
    <x v="0"/>
    <x v="0"/>
  </r>
  <r>
    <x v="1"/>
    <n v="34"/>
    <n v="87.111000000000004"/>
    <n v="1.552"/>
    <n v="37.164999999999999"/>
    <n v="96.013000000000005"/>
    <s v="171/99"/>
    <n v="218"/>
    <n v="63"/>
    <n v="157"/>
    <x v="1"/>
    <s v="N"/>
    <s v="Moderate"/>
    <s v="N"/>
    <m/>
    <n v="0.61899999999999999"/>
    <n v="171"/>
    <n v="99"/>
    <s v="Hypertension Stage 2"/>
    <n v="125"/>
    <n v="20.343"/>
    <x v="1"/>
    <x v="1"/>
  </r>
  <r>
    <x v="0"/>
    <n v="60"/>
    <n v="60.755000000000003"/>
    <n v="1.675"/>
    <n v="25.623999999999999"/>
    <n v="82.403000000000006"/>
    <s v="143/96"/>
    <n v="185"/>
    <n v="42"/>
    <n v="184"/>
    <x v="1"/>
    <s v="Y"/>
    <s v="Low"/>
    <s v="Y"/>
    <n v="167.46199999999999"/>
    <n v="0.49199999999999999"/>
    <n v="143"/>
    <n v="96"/>
    <s v="Hypertension Stage 2"/>
    <n v="113"/>
    <n v="17.975000000000001"/>
    <x v="0"/>
    <x v="0"/>
  </r>
  <r>
    <x v="0"/>
    <n v="59"/>
    <n v="55.807000000000002"/>
    <n v="1.881"/>
    <n v="35.554000000000002"/>
    <n v="87.524000000000001"/>
    <s v="118/67"/>
    <n v="134"/>
    <n v="78"/>
    <n v="176"/>
    <x v="0"/>
    <s v="Y"/>
    <s v="Low"/>
    <s v="N"/>
    <n v="188.107"/>
    <n v="0.46500000000000002"/>
    <n v="118"/>
    <n v="67"/>
    <s v="Normal"/>
    <n v="26"/>
    <n v="17.690999999999999"/>
    <x v="2"/>
    <x v="0"/>
  </r>
  <r>
    <x v="1"/>
    <n v="60"/>
    <n v="78.113"/>
    <n v="1.915"/>
    <n v="30.027999999999999"/>
    <n v="102.369"/>
    <s v="124/110"/>
    <n v="277"/>
    <n v="85"/>
    <n v="116"/>
    <x v="0"/>
    <s v="Y"/>
    <s v="Moderate"/>
    <s v="Y"/>
    <n v="191.535"/>
    <n v="0.53400000000000003"/>
    <n v="124"/>
    <n v="110"/>
    <s v="Hypertension Stage 2"/>
    <n v="162"/>
    <n v="19.745999999999999"/>
    <x v="1"/>
    <x v="1"/>
  </r>
  <r>
    <x v="0"/>
    <n v="32"/>
    <n v="53.08"/>
    <n v="1.5960000000000001"/>
    <n v="38.350999999999999"/>
    <n v="78.852000000000004"/>
    <s v="167/83"/>
    <n v="184"/>
    <n v="85"/>
    <n v="95"/>
    <x v="1"/>
    <s v="Y"/>
    <s v="High"/>
    <s v="Y"/>
    <n v="159.614"/>
    <n v="0.49399999999999999"/>
    <n v="167"/>
    <n v="83"/>
    <s v="Hypertension Stage 1"/>
    <n v="69"/>
    <m/>
    <x v="2"/>
    <x v="0"/>
  </r>
  <r>
    <x v="1"/>
    <n v="70"/>
    <n v="116.129"/>
    <n v="1.859"/>
    <n v="28.103000000000002"/>
    <n v="114.06100000000001"/>
    <s v="125/93"/>
    <n v="285"/>
    <n v="67"/>
    <n v="92"/>
    <x v="1"/>
    <s v="N"/>
    <s v="Low"/>
    <s v="N"/>
    <n v="185.94300000000001"/>
    <n v="0.61299999999999999"/>
    <n v="125"/>
    <n v="93"/>
    <s v="Hypertension Stage 2"/>
    <n v="188"/>
    <n v="17.571000000000002"/>
    <x v="1"/>
    <x v="1"/>
  </r>
  <r>
    <x v="1"/>
    <n v="41"/>
    <n v="112.71599999999999"/>
    <n v="1.77"/>
    <n v="38.307000000000002"/>
    <n v="74.33"/>
    <s v="153/95"/>
    <n v="259"/>
    <m/>
    <n v="70"/>
    <x v="1"/>
    <s v="N"/>
    <s v="Moderate"/>
    <s v="Y"/>
    <n v="177.02699999999999"/>
    <n v="0.42"/>
    <n v="153"/>
    <n v="95"/>
    <s v="Hypertension Stage 2"/>
    <n v="175"/>
    <n v="20.491"/>
    <x v="2"/>
    <x v="0"/>
  </r>
  <r>
    <x v="0"/>
    <n v="79"/>
    <n v="103.35899999999999"/>
    <n v="1.9430000000000001"/>
    <n v="28.356999999999999"/>
    <n v="95.531000000000006"/>
    <s v="162/114"/>
    <n v="190"/>
    <n v="35"/>
    <n v="84"/>
    <x v="1"/>
    <s v="N"/>
    <s v="Moderate"/>
    <s v="Y"/>
    <n v="194.298"/>
    <n v="0.49199999999999999"/>
    <n v="162"/>
    <n v="114"/>
    <s v="Hypertension Stage 2"/>
    <n v="125"/>
    <n v="17.571000000000002"/>
    <x v="0"/>
    <x v="0"/>
  </r>
  <r>
    <x v="0"/>
    <n v="64"/>
    <n v="90.216999999999999"/>
    <n v="1.754"/>
    <n v="19.222000000000001"/>
    <n v="78.796000000000006"/>
    <s v="141/83"/>
    <n v="266"/>
    <n v="89"/>
    <n v="168"/>
    <x v="0"/>
    <s v="Y"/>
    <s v="Moderate"/>
    <s v="N"/>
    <n v="175.37100000000001"/>
    <n v="0.44900000000000001"/>
    <n v="141"/>
    <n v="83"/>
    <s v="Hypertension Stage 1"/>
    <n v="147"/>
    <n v="18.213999999999999"/>
    <x v="0"/>
    <x v="0"/>
  </r>
  <r>
    <x v="0"/>
    <m/>
    <n v="67.730999999999995"/>
    <n v="1.798"/>
    <n v="20.350000000000001"/>
    <n v="101.315"/>
    <s v="168/86"/>
    <n v="143"/>
    <n v="31"/>
    <n v="151"/>
    <x v="0"/>
    <s v="N"/>
    <s v="High"/>
    <s v="Y"/>
    <n v="179.839"/>
    <n v="0.56299999999999994"/>
    <n v="168"/>
    <n v="86"/>
    <s v="Hypertension Stage 1"/>
    <n v="82"/>
    <n v="15.33"/>
    <x v="2"/>
    <x v="0"/>
  </r>
  <r>
    <x v="0"/>
    <n v="37"/>
    <n v="55.311"/>
    <n v="1.8160000000000001"/>
    <n v="30.302"/>
    <n v="107.283"/>
    <s v="92/61"/>
    <n v="203"/>
    <n v="59"/>
    <n v="82"/>
    <x v="0"/>
    <s v="Y"/>
    <s v="High"/>
    <s v="Y"/>
    <n v="181.62700000000001"/>
    <n v="0.59099999999999997"/>
    <n v="92"/>
    <n v="61"/>
    <s v="Normal"/>
    <n v="114"/>
    <n v="16.72"/>
    <x v="1"/>
    <x v="1"/>
  </r>
  <r>
    <x v="1"/>
    <n v="58"/>
    <n v="50.307000000000002"/>
    <n v="1.633"/>
    <n v="28.206"/>
    <n v="75.421000000000006"/>
    <s v="122/119"/>
    <n v="260"/>
    <n v="62"/>
    <n v="124"/>
    <x v="1"/>
    <s v="Y"/>
    <s v="High"/>
    <s v="N"/>
    <n v="163.321"/>
    <n v="0.46200000000000002"/>
    <n v="122"/>
    <n v="119"/>
    <s v="Hypertension Stage 2"/>
    <n v="168"/>
    <n v="18.940999999999999"/>
    <x v="2"/>
    <x v="0"/>
  </r>
  <r>
    <x v="0"/>
    <n v="68"/>
    <n v="104.107"/>
    <n v="1.782"/>
    <n v="21.760999999999999"/>
    <n v="115.72799999999999"/>
    <s v="133/101"/>
    <n v="292"/>
    <n v="63"/>
    <n v="90"/>
    <x v="0"/>
    <s v="N"/>
    <s v="Moderate"/>
    <s v="N"/>
    <n v="178.221"/>
    <n v="0.64900000000000002"/>
    <n v="133"/>
    <n v="101"/>
    <s v="Hypertension Stage 1"/>
    <n v="199"/>
    <n v="16.841999999999999"/>
    <x v="0"/>
    <x v="0"/>
  </r>
  <r>
    <x v="0"/>
    <n v="62"/>
    <n v="102.495"/>
    <n v="1.97"/>
    <n v="24.384"/>
    <n v="80.456000000000003"/>
    <s v="120/110"/>
    <n v="112"/>
    <n v="55"/>
    <n v="77"/>
    <x v="1"/>
    <s v="N"/>
    <s v="Low"/>
    <s v="Y"/>
    <n v="197.029"/>
    <n v="0.40799999999999997"/>
    <n v="120"/>
    <n v="110"/>
    <s v="Hypertension Stage 2"/>
    <n v="27"/>
    <n v="13.117000000000001"/>
    <x v="2"/>
    <x v="0"/>
  </r>
  <r>
    <x v="0"/>
    <n v="36"/>
    <n v="108.182"/>
    <n v="1.927"/>
    <n v="18.600999999999999"/>
    <n v="115.85899999999999"/>
    <s v="103/64"/>
    <n v="101"/>
    <n v="59"/>
    <n v="146"/>
    <x v="0"/>
    <s v="N"/>
    <s v="High"/>
    <s v="Y"/>
    <n v="192.71199999999999"/>
    <n v="0.60099999999999998"/>
    <n v="103"/>
    <n v="64"/>
    <s v="Normal"/>
    <n v="12"/>
    <n v="10.89"/>
    <x v="1"/>
    <x v="1"/>
  </r>
  <r>
    <x v="0"/>
    <n v="58"/>
    <n v="97.126000000000005"/>
    <n v="1.72"/>
    <m/>
    <n v="81.804000000000002"/>
    <s v="94/63"/>
    <n v="159"/>
    <n v="89"/>
    <n v="74"/>
    <x v="0"/>
    <s v="N"/>
    <s v="High"/>
    <s v="Y"/>
    <n v="172.01900000000001"/>
    <n v="0.47599999999999998"/>
    <n v="94"/>
    <n v="63"/>
    <s v="Normal"/>
    <n v="40"/>
    <n v="13.047000000000001"/>
    <x v="0"/>
    <x v="0"/>
  </r>
  <r>
    <x v="0"/>
    <n v="62"/>
    <n v="85.781000000000006"/>
    <m/>
    <n v="19.832999999999998"/>
    <n v="108.559"/>
    <s v="154/114"/>
    <n v="210"/>
    <n v="81"/>
    <n v="107"/>
    <x v="1"/>
    <s v="N"/>
    <s v="Moderate"/>
    <s v="Y"/>
    <n v="182.97399999999999"/>
    <n v="0.59299999999999997"/>
    <n v="154"/>
    <n v="114"/>
    <s v="Hypertension Stage 2"/>
    <n v="99"/>
    <n v="15.867000000000001"/>
    <x v="0"/>
    <x v="0"/>
  </r>
  <r>
    <x v="1"/>
    <n v="44"/>
    <n v="51.936"/>
    <n v="1.9359999999999999"/>
    <n v="36.442"/>
    <n v="115.755"/>
    <s v="105/108"/>
    <n v="107"/>
    <n v="52"/>
    <n v="125"/>
    <x v="1"/>
    <s v="Y"/>
    <s v="Low"/>
    <s v="N"/>
    <n v="193.61"/>
    <n v="0.59799999999999998"/>
    <n v="105"/>
    <n v="108"/>
    <s v="Hypertension Stage 2"/>
    <n v="25"/>
    <n v="16.678000000000001"/>
    <x v="1"/>
    <x v="1"/>
  </r>
  <r>
    <x v="1"/>
    <n v="52"/>
    <n v="98.406000000000006"/>
    <n v="1.956"/>
    <n v="24.042999999999999"/>
    <n v="96.171999999999997"/>
    <s v="139/83"/>
    <n v="194"/>
    <n v="62"/>
    <n v="191"/>
    <x v="0"/>
    <s v="Y"/>
    <s v="High"/>
    <s v="Y"/>
    <n v="195.56299999999999"/>
    <n v="0.49199999999999999"/>
    <n v="139"/>
    <n v="83"/>
    <s v="Hypertension Stage 1"/>
    <n v="102"/>
    <n v="17.638999999999999"/>
    <x v="1"/>
    <x v="1"/>
  </r>
  <r>
    <x v="0"/>
    <n v="58"/>
    <n v="67.057000000000002"/>
    <m/>
    <n v="31.312000000000001"/>
    <n v="101.93"/>
    <s v="96/85"/>
    <n v="185"/>
    <n v="70"/>
    <n v="172"/>
    <x v="0"/>
    <s v="N"/>
    <s v="Moderate"/>
    <s v="N"/>
    <n v="159.965"/>
    <n v="0.63700000000000001"/>
    <n v="96"/>
    <n v="85"/>
    <s v="Hypertension Stage 1"/>
    <n v="85"/>
    <n v="14.762"/>
    <x v="2"/>
    <x v="0"/>
  </r>
  <r>
    <x v="1"/>
    <n v="73"/>
    <n v="100.845"/>
    <n v="1.591"/>
    <n v="22.896999999999998"/>
    <n v="88.019000000000005"/>
    <s v="145/91"/>
    <n v="196"/>
    <n v="76"/>
    <n v="135"/>
    <x v="1"/>
    <s v="N"/>
    <s v="High"/>
    <s v="Y"/>
    <n v="159.065"/>
    <n v="0.55300000000000005"/>
    <n v="145"/>
    <n v="91"/>
    <s v="Hypertension Stage 2"/>
    <n v="90"/>
    <n v="15.749000000000001"/>
    <x v="0"/>
    <x v="0"/>
  </r>
  <r>
    <x v="1"/>
    <n v="48"/>
    <n v="107.611"/>
    <n v="1.718"/>
    <n v="26.407"/>
    <n v="80.588999999999999"/>
    <s v="117/60"/>
    <n v="162"/>
    <n v="69"/>
    <n v="94"/>
    <x v="1"/>
    <s v="N"/>
    <s v="Low"/>
    <s v="N"/>
    <n v="171.8"/>
    <n v="0.46899999999999997"/>
    <n v="117"/>
    <n v="60"/>
    <s v="Normal"/>
    <n v="63"/>
    <n v="14.371"/>
    <x v="1"/>
    <x v="1"/>
  </r>
  <r>
    <x v="0"/>
    <n v="44"/>
    <n v="90.260999999999996"/>
    <n v="1.6359999999999999"/>
    <n v="26.895"/>
    <n v="77.206999999999994"/>
    <s v="164/87"/>
    <n v="287"/>
    <n v="57"/>
    <n v="158"/>
    <x v="1"/>
    <s v="Y"/>
    <s v="Moderate"/>
    <s v="N"/>
    <m/>
    <n v="0.47199999999999998"/>
    <n v="164"/>
    <m/>
    <s v="Hypertension Stage 1"/>
    <n v="200"/>
    <n v="21.318999999999999"/>
    <x v="1"/>
    <x v="1"/>
  </r>
  <r>
    <x v="0"/>
    <n v="48"/>
    <n v="81.247"/>
    <n v="1.9490000000000001"/>
    <n v="39.118000000000002"/>
    <n v="77.647000000000006"/>
    <s v="158/74"/>
    <n v="274"/>
    <m/>
    <n v="170"/>
    <x v="0"/>
    <s v="Y"/>
    <s v="High"/>
    <s v="N"/>
    <n v="194.93199999999999"/>
    <n v="0.39800000000000002"/>
    <n v="158"/>
    <n v="74"/>
    <s v="Hypertension Stage 2"/>
    <n v="193"/>
    <n v="23.204000000000001"/>
    <x v="0"/>
    <x v="0"/>
  </r>
  <r>
    <x v="0"/>
    <n v="75"/>
    <n v="76.602999999999994"/>
    <n v="1.85"/>
    <n v="39.712000000000003"/>
    <n v="106.93"/>
    <s v="90/87"/>
    <n v="179"/>
    <n v="30"/>
    <n v="189"/>
    <x v="0"/>
    <s v="Y"/>
    <s v="Low"/>
    <s v="Y"/>
    <n v="185.041"/>
    <n v="0.57799999999999996"/>
    <n v="90"/>
    <n v="87"/>
    <s v="Hypertension Stage 1"/>
    <n v="119"/>
    <m/>
    <x v="1"/>
    <x v="1"/>
  </r>
  <r>
    <x v="0"/>
    <n v="41"/>
    <n v="82.337000000000003"/>
    <n v="1.7270000000000001"/>
    <n v="18.827999999999999"/>
    <n v="72.052999999999997"/>
    <s v="154/70"/>
    <n v="207"/>
    <n v="53"/>
    <n v="92"/>
    <x v="1"/>
    <s v="Y"/>
    <s v="Moderate"/>
    <s v="Y"/>
    <n v="172.71700000000001"/>
    <n v="0.41699999999999998"/>
    <n v="154"/>
    <n v="70"/>
    <s v="Hypertension Stage 2"/>
    <n v="124"/>
    <n v="17.606000000000002"/>
    <x v="1"/>
    <x v="1"/>
  </r>
  <r>
    <x v="1"/>
    <n v="28"/>
    <n v="99.08"/>
    <n v="1.77"/>
    <n v="24.835000000000001"/>
    <n v="96.245000000000005"/>
    <s v="103/107"/>
    <n v="147"/>
    <n v="38"/>
    <n v="165"/>
    <x v="1"/>
    <s v="Y"/>
    <s v="High"/>
    <s v="Y"/>
    <n v="177.012"/>
    <n v="0.54400000000000004"/>
    <n v="103"/>
    <n v="107"/>
    <s v="Hypertension Stage 2"/>
    <n v="79"/>
    <n v="15.057"/>
    <x v="1"/>
    <x v="1"/>
  </r>
  <r>
    <x v="0"/>
    <n v="75"/>
    <n v="115.384"/>
    <n v="1.744"/>
    <n v="34.636000000000003"/>
    <n v="102.26"/>
    <s v="128/97"/>
    <n v="164"/>
    <n v="31"/>
    <n v="122"/>
    <x v="1"/>
    <s v="N"/>
    <s v="Moderate"/>
    <s v="Y"/>
    <n v="174.38499999999999"/>
    <n v="0.58599999999999997"/>
    <n v="128"/>
    <n v="97"/>
    <s v="Hypertension Stage 2"/>
    <n v="103"/>
    <n v="16.606999999999999"/>
    <x v="0"/>
    <x v="0"/>
  </r>
  <r>
    <x v="1"/>
    <n v="32"/>
    <m/>
    <n v="1.657"/>
    <n v="21.387"/>
    <n v="75.28"/>
    <s v="147/81"/>
    <n v="281"/>
    <n v="63"/>
    <n v="153"/>
    <x v="1"/>
    <s v="Y"/>
    <s v="Low"/>
    <s v="N"/>
    <n v="165.71199999999999"/>
    <n v="0.45400000000000001"/>
    <n v="147"/>
    <n v="81"/>
    <s v="Hypertension Stage 1"/>
    <n v="188"/>
    <n v="19.247"/>
    <x v="1"/>
    <x v="1"/>
  </r>
  <r>
    <x v="1"/>
    <n v="43"/>
    <n v="80.563000000000002"/>
    <n v="1.7150000000000001"/>
    <n v="30.696000000000002"/>
    <n v="111.462"/>
    <s v="177/98"/>
    <n v="262"/>
    <n v="77"/>
    <n v="140"/>
    <x v="1"/>
    <s v="N"/>
    <s v="High"/>
    <s v="Y"/>
    <n v="171.53800000000001"/>
    <n v="0.65"/>
    <n v="177"/>
    <n v="98"/>
    <s v="Hypertension Stage 2"/>
    <n v="155"/>
    <n v="20.228999999999999"/>
    <x v="2"/>
    <x v="0"/>
  </r>
  <r>
    <x v="0"/>
    <n v="71"/>
    <n v="105.63"/>
    <n v="1.6819999999999999"/>
    <n v="33.093000000000004"/>
    <n v="105.92700000000001"/>
    <s v="172/77"/>
    <n v="212"/>
    <n v="59"/>
    <n v="98"/>
    <x v="0"/>
    <s v="N"/>
    <s v="Low"/>
    <s v="Y"/>
    <n v="168.16499999999999"/>
    <n v="0.63"/>
    <n v="172"/>
    <n v="77"/>
    <s v="Hypertension Stage 2"/>
    <n v="123"/>
    <n v="19.459"/>
    <x v="1"/>
    <x v="1"/>
  </r>
  <r>
    <x v="1"/>
    <n v="45"/>
    <n v="110.392"/>
    <n v="1.7050000000000001"/>
    <n v="34.826000000000001"/>
    <n v="95.951999999999998"/>
    <s v="165/85"/>
    <n v="276"/>
    <n v="56"/>
    <n v="70"/>
    <x v="0"/>
    <s v="N"/>
    <s v="Low"/>
    <s v="Y"/>
    <n v="170.547"/>
    <n v="0.56299999999999994"/>
    <n v="165"/>
    <n v="85"/>
    <s v="Hypertension Stage 1"/>
    <n v="190"/>
    <n v="20.734999999999999"/>
    <x v="0"/>
    <x v="0"/>
  </r>
  <r>
    <x v="1"/>
    <n v="33"/>
    <n v="73.070999999999998"/>
    <n v="1.6459999999999999"/>
    <n v="27.373000000000001"/>
    <n v="82.346000000000004"/>
    <s v="129/113"/>
    <m/>
    <m/>
    <n v="92"/>
    <x v="1"/>
    <s v="Y"/>
    <s v="High"/>
    <s v="N"/>
    <n v="164.61500000000001"/>
    <n v="0.5"/>
    <n v="129"/>
    <n v="113"/>
    <s v="Hypertension Stage 2"/>
    <n v="32"/>
    <n v="16.425000000000001"/>
    <x v="1"/>
    <x v="1"/>
  </r>
  <r>
    <x v="0"/>
    <n v="57"/>
    <n v="57.427999999999997"/>
    <n v="1.8109999999999999"/>
    <n v="36.299999999999997"/>
    <n v="92.387"/>
    <s v="126/61"/>
    <n v="203"/>
    <m/>
    <n v="161"/>
    <x v="1"/>
    <s v="Y"/>
    <s v="High"/>
    <s v="N"/>
    <n v="181.13800000000001"/>
    <n v="0.51"/>
    <n v="126"/>
    <n v="61"/>
    <s v="Elevated"/>
    <m/>
    <n v="19.62"/>
    <x v="1"/>
    <x v="1"/>
  </r>
  <r>
    <x v="0"/>
    <n v="53"/>
    <n v="96.331999999999994"/>
    <n v="1.6739999999999999"/>
    <n v="38.898000000000003"/>
    <n v="103.991"/>
    <s v="179/90"/>
    <n v="212"/>
    <n v="35"/>
    <n v="96"/>
    <x v="1"/>
    <s v="Y"/>
    <s v="High"/>
    <s v="Y"/>
    <n v="167.44499999999999"/>
    <n v="0.621"/>
    <m/>
    <n v="90"/>
    <s v="Hypertension Stage 2"/>
    <n v="147"/>
    <n v="22.97"/>
    <x v="0"/>
    <x v="0"/>
  </r>
  <r>
    <x v="0"/>
    <n v="47"/>
    <n v="83.534000000000006"/>
    <n v="1.89"/>
    <n v="38.703000000000003"/>
    <n v="113.907"/>
    <s v="171/113"/>
    <n v="255"/>
    <n v="47"/>
    <n v="173"/>
    <x v="1"/>
    <s v="N"/>
    <s v="High"/>
    <s v="Y"/>
    <n v="188.965"/>
    <n v="0.60299999999999998"/>
    <n v="171"/>
    <n v="113"/>
    <s v="Hypertension Stage 2"/>
    <n v="178"/>
    <n v="21.390999999999998"/>
    <x v="0"/>
    <x v="0"/>
  </r>
  <r>
    <x v="0"/>
    <n v="67"/>
    <n v="79.489000000000004"/>
    <n v="1.879"/>
    <n v="28.065999999999999"/>
    <n v="81.173000000000002"/>
    <s v="162/117"/>
    <n v="229"/>
    <n v="70"/>
    <n v="136"/>
    <x v="0"/>
    <s v="N"/>
    <s v="Moderate"/>
    <s v="Y"/>
    <n v="187.85900000000001"/>
    <n v="0.432"/>
    <n v="162"/>
    <n v="117"/>
    <s v="Hypertension Stage 2"/>
    <n v="129"/>
    <n v="18.292999999999999"/>
    <x v="2"/>
    <x v="0"/>
  </r>
  <r>
    <x v="0"/>
    <n v="33"/>
    <n v="105.351"/>
    <n v="1.68"/>
    <n v="28.038"/>
    <n v="109.807"/>
    <s v="146/91"/>
    <n v="288"/>
    <n v="48"/>
    <n v="161"/>
    <x v="1"/>
    <s v="Y"/>
    <s v="High"/>
    <s v="Y"/>
    <n v="167.977"/>
    <n v="0.65400000000000003"/>
    <n v="146"/>
    <n v="91"/>
    <s v="Hypertension Stage 2"/>
    <n v="210"/>
    <n v="20.667999999999999"/>
    <x v="2"/>
    <x v="0"/>
  </r>
  <r>
    <x v="0"/>
    <n v="64"/>
    <n v="67.144000000000005"/>
    <n v="1.532"/>
    <n v="22.811"/>
    <n v="99.79"/>
    <s v="127/99"/>
    <n v="260"/>
    <n v="59"/>
    <n v="106"/>
    <x v="0"/>
    <s v="N"/>
    <s v="High"/>
    <s v="N"/>
    <n v="153.17099999999999"/>
    <n v="0.65100000000000002"/>
    <n v="127"/>
    <n v="99"/>
    <s v="Hypertension Stage 2"/>
    <n v="171"/>
    <n v="16.111999999999998"/>
    <x v="1"/>
    <x v="1"/>
  </r>
  <r>
    <x v="0"/>
    <n v="76"/>
    <n v="99.191000000000003"/>
    <n v="1.738"/>
    <m/>
    <n v="80.861999999999995"/>
    <s v="102/70"/>
    <n v="212"/>
    <n v="66"/>
    <n v="178"/>
    <x v="0"/>
    <s v="Y"/>
    <s v="Low"/>
    <s v="N"/>
    <n v="173.786"/>
    <n v="0.46500000000000002"/>
    <n v="102"/>
    <n v="70"/>
    <s v="Normal"/>
    <n v="116"/>
    <n v="18.044"/>
    <x v="0"/>
    <x v="0"/>
  </r>
  <r>
    <x v="1"/>
    <n v="44"/>
    <n v="104.303"/>
    <n v="1.8959999999999999"/>
    <n v="33.274000000000001"/>
    <n v="90.572000000000003"/>
    <s v="108/84"/>
    <n v="117"/>
    <n v="43"/>
    <n v="170"/>
    <x v="1"/>
    <s v="N"/>
    <s v="High"/>
    <s v="N"/>
    <n v="189.56899999999999"/>
    <n v="0.47799999999999998"/>
    <n v="108"/>
    <n v="84"/>
    <s v="Hypertension Stage 1"/>
    <n v="44"/>
    <n v="14.395"/>
    <x v="1"/>
    <x v="1"/>
  </r>
  <r>
    <x v="0"/>
    <n v="30"/>
    <n v="74.353999999999999"/>
    <m/>
    <n v="26.4"/>
    <n v="96.936000000000007"/>
    <s v="102/60"/>
    <n v="160"/>
    <n v="37"/>
    <m/>
    <x v="1"/>
    <s v="Y"/>
    <s v="Moderate"/>
    <s v="Y"/>
    <n v="178.83199999999999"/>
    <n v="0.54200000000000004"/>
    <n v="102"/>
    <n v="60"/>
    <s v="Normal"/>
    <n v="93"/>
    <n v="15.58"/>
    <x v="2"/>
    <x v="0"/>
  </r>
  <r>
    <x v="0"/>
    <n v="51"/>
    <n v="70.213999999999999"/>
    <n v="1.599"/>
    <n v="21.675999999999998"/>
    <n v="77.685000000000002"/>
    <s v="127/106"/>
    <n v="137"/>
    <n v="75"/>
    <n v="79"/>
    <x v="1"/>
    <s v="Y"/>
    <s v="Moderate"/>
    <s v="N"/>
    <n v="159.87799999999999"/>
    <m/>
    <n v="127"/>
    <n v="106"/>
    <s v="Hypertension Stage 2"/>
    <n v="32"/>
    <n v="15.425000000000001"/>
    <x v="0"/>
    <x v="0"/>
  </r>
  <r>
    <x v="1"/>
    <n v="72"/>
    <n v="60.783000000000001"/>
    <n v="1.556"/>
    <n v="21.14"/>
    <n v="112.63"/>
    <s v="117/108"/>
    <n v="124"/>
    <n v="37"/>
    <n v="82"/>
    <x v="0"/>
    <s v="N"/>
    <s v="Low"/>
    <s v="N"/>
    <n v="155.59899999999999"/>
    <n v="0.72399999999999998"/>
    <n v="117"/>
    <n v="108"/>
    <s v="Hypertension Stage 2"/>
    <n v="57"/>
    <n v="12.558"/>
    <x v="1"/>
    <x v="1"/>
  </r>
  <r>
    <x v="0"/>
    <n v="59"/>
    <n v="56.171999999999997"/>
    <n v="1.958"/>
    <n v="20.582000000000001"/>
    <n v="79.411000000000001"/>
    <s v="167/108"/>
    <n v="127"/>
    <n v="57"/>
    <n v="91"/>
    <x v="1"/>
    <s v="N"/>
    <s v="Moderate"/>
    <s v="Y"/>
    <n v="195.76900000000001"/>
    <n v="0.40600000000000003"/>
    <n v="167"/>
    <m/>
    <s v="Hypertension Stage 2"/>
    <n v="40"/>
    <n v="15.006"/>
    <x v="2"/>
    <x v="0"/>
  </r>
  <r>
    <x v="1"/>
    <n v="34"/>
    <n v="108.047"/>
    <n v="1.51"/>
    <n v="22.56"/>
    <n v="88.790999999999997"/>
    <s v="109/86"/>
    <n v="194"/>
    <n v="44"/>
    <n v="84"/>
    <x v="1"/>
    <s v="N"/>
    <s v="Moderate"/>
    <s v="Y"/>
    <n v="151.04300000000001"/>
    <n v="0.58799999999999997"/>
    <n v="109"/>
    <n v="86"/>
    <s v="Hypertension Stage 1"/>
    <n v="120"/>
    <n v="13.842000000000001"/>
    <x v="0"/>
    <x v="0"/>
  </r>
  <r>
    <x v="0"/>
    <n v="70"/>
    <n v="92.343999999999994"/>
    <n v="1.629"/>
    <n v="22.933"/>
    <n v="118.05800000000001"/>
    <s v="132/72"/>
    <n v="234"/>
    <n v="66"/>
    <n v="197"/>
    <x v="0"/>
    <s v="Y"/>
    <s v="High"/>
    <s v="N"/>
    <n v="162.928"/>
    <n v="0.72499999999999998"/>
    <n v="132"/>
    <n v="72"/>
    <s v="Hypertension Stage 1"/>
    <n v="138"/>
    <n v="17.867000000000001"/>
    <x v="1"/>
    <x v="1"/>
  </r>
  <r>
    <x v="1"/>
    <n v="30"/>
    <n v="118.169"/>
    <n v="1.6719999999999999"/>
    <n v="28.821999999999999"/>
    <m/>
    <s v="174/76"/>
    <n v="265"/>
    <n v="73"/>
    <n v="74"/>
    <x v="0"/>
    <s v="Y"/>
    <s v="Low"/>
    <s v="Y"/>
    <n v="167.19900000000001"/>
    <n v="0.59299999999999997"/>
    <n v="174"/>
    <n v="76"/>
    <s v="Hypertension Stage 2"/>
    <n v="162"/>
    <n v="21.763999999999999"/>
    <x v="0"/>
    <x v="0"/>
  </r>
  <r>
    <x v="1"/>
    <n v="33"/>
    <n v="66.855000000000004"/>
    <n v="1.93"/>
    <n v="29.587"/>
    <n v="71.373000000000005"/>
    <s v="144/76"/>
    <n v="215"/>
    <n v="82"/>
    <n v="196"/>
    <x v="0"/>
    <s v="N"/>
    <s v="Moderate"/>
    <s v="N"/>
    <n v="192.983"/>
    <n v="0.37"/>
    <n v="144"/>
    <n v="76"/>
    <s v="Hypertension Stage 2"/>
    <n v="103"/>
    <n v="17.417000000000002"/>
    <x v="2"/>
    <x v="0"/>
  </r>
  <r>
    <x v="0"/>
    <n v="65"/>
    <n v="83.355000000000004"/>
    <n v="1.847"/>
    <n v="27.68"/>
    <n v="81.436000000000007"/>
    <s v="102/96"/>
    <n v="281"/>
    <n v="83"/>
    <n v="162"/>
    <x v="1"/>
    <s v="Y"/>
    <s v="High"/>
    <s v="Y"/>
    <n v="184.697"/>
    <n v="0.441"/>
    <n v="102"/>
    <n v="96"/>
    <s v="Hypertension Stage 2"/>
    <n v="168"/>
    <m/>
    <x v="1"/>
    <x v="1"/>
  </r>
  <r>
    <x v="0"/>
    <n v="34"/>
    <m/>
    <n v="1.976"/>
    <n v="36.826999999999998"/>
    <n v="109.577"/>
    <s v="100/84"/>
    <n v="216"/>
    <n v="55"/>
    <n v="192"/>
    <x v="1"/>
    <s v="N"/>
    <s v="High"/>
    <s v="N"/>
    <n v="197.58099999999999"/>
    <n v="0.55500000000000005"/>
    <n v="100"/>
    <n v="84"/>
    <s v="Hypertension Stage 1"/>
    <n v="131"/>
    <n v="16.684999999999999"/>
    <x v="2"/>
    <x v="0"/>
  </r>
  <r>
    <x v="0"/>
    <n v="35"/>
    <m/>
    <n v="1.78"/>
    <m/>
    <n v="119.672"/>
    <s v="113/65"/>
    <n v="173"/>
    <n v="60"/>
    <n v="187"/>
    <x v="0"/>
    <s v="Y"/>
    <s v="High"/>
    <s v="Y"/>
    <n v="177.99600000000001"/>
    <n v="0.67200000000000004"/>
    <n v="113"/>
    <n v="65"/>
    <s v="Normal"/>
    <n v="83"/>
    <n v="18.323"/>
    <x v="1"/>
    <x v="1"/>
  </r>
  <r>
    <x v="1"/>
    <n v="74"/>
    <n v="88.77"/>
    <n v="1.5720000000000001"/>
    <n v="25.428000000000001"/>
    <n v="76.659000000000006"/>
    <s v="170/89"/>
    <n v="150"/>
    <n v="38"/>
    <n v="164"/>
    <x v="0"/>
    <s v="Y"/>
    <s v="High"/>
    <s v="Y"/>
    <n v="157.22"/>
    <n v="0.48799999999999999"/>
    <n v="170"/>
    <n v="89"/>
    <s v="Hypertension Stage 1"/>
    <n v="82"/>
    <n v="18.585999999999999"/>
    <x v="0"/>
    <x v="0"/>
  </r>
  <r>
    <x v="1"/>
    <n v="52"/>
    <n v="65.311000000000007"/>
    <n v="1.589"/>
    <n v="32.176000000000002"/>
    <n v="99.412000000000006"/>
    <s v="139/106"/>
    <n v="272"/>
    <n v="38"/>
    <n v="81"/>
    <x v="1"/>
    <s v="N"/>
    <s v="High"/>
    <s v="N"/>
    <n v="158.88999999999999"/>
    <n v="0.626"/>
    <n v="139"/>
    <n v="106"/>
    <s v="Hypertension Stage 1"/>
    <n v="204"/>
    <n v="18.824999999999999"/>
    <x v="1"/>
    <x v="1"/>
  </r>
  <r>
    <x v="0"/>
    <n v="27"/>
    <n v="71.323999999999998"/>
    <n v="1.9450000000000001"/>
    <n v="37.817"/>
    <n v="80.259"/>
    <s v="92/88"/>
    <n v="203"/>
    <n v="46"/>
    <n v="85"/>
    <x v="1"/>
    <s v="N"/>
    <s v="High"/>
    <s v="Y"/>
    <n v="194.48699999999999"/>
    <n v="0.41299999999999998"/>
    <n v="92"/>
    <n v="88"/>
    <s v="Hypertension Stage 1"/>
    <n v="127"/>
    <n v="16.222999999999999"/>
    <x v="1"/>
    <x v="1"/>
  </r>
  <r>
    <x v="1"/>
    <n v="45"/>
    <n v="64.42"/>
    <n v="1.921"/>
    <n v="28.513000000000002"/>
    <n v="81.260999999999996"/>
    <s v="131/115"/>
    <n v="219"/>
    <n v="74"/>
    <n v="157"/>
    <x v="0"/>
    <s v="Y"/>
    <s v="Low"/>
    <s v="Y"/>
    <n v="192.12200000000001"/>
    <n v="0.42299999999999999"/>
    <n v="131"/>
    <n v="115"/>
    <s v="Hypertension Stage 1"/>
    <n v="115"/>
    <n v="18.632999999999999"/>
    <x v="0"/>
    <x v="0"/>
  </r>
  <r>
    <x v="0"/>
    <n v="67"/>
    <n v="99.691000000000003"/>
    <n v="1.57"/>
    <n v="25.021000000000001"/>
    <n v="88.168999999999997"/>
    <s v="109/84"/>
    <n v="194"/>
    <n v="31"/>
    <n v="196"/>
    <x v="0"/>
    <s v="N"/>
    <s v="Moderate"/>
    <s v="N"/>
    <n v="157.04300000000001"/>
    <n v="0.56100000000000005"/>
    <n v="109"/>
    <n v="84"/>
    <s v="Hypertension Stage 1"/>
    <n v="133"/>
    <n v="14.334"/>
    <x v="1"/>
    <x v="1"/>
  </r>
  <r>
    <x v="1"/>
    <n v="58"/>
    <n v="53.317"/>
    <n v="1.913"/>
    <n v="28.419"/>
    <n v="110.331"/>
    <s v="172/108"/>
    <n v="100"/>
    <n v="88"/>
    <n v="106"/>
    <x v="1"/>
    <s v="N"/>
    <s v="Moderate"/>
    <s v="N"/>
    <n v="191.25299999999999"/>
    <n v="0.57699999999999996"/>
    <n v="172"/>
    <n v="108"/>
    <s v="Hypertension Stage 2"/>
    <n v="-18"/>
    <n v="16.283999999999999"/>
    <x v="1"/>
    <x v="1"/>
  </r>
  <r>
    <x v="1"/>
    <n v="49"/>
    <n v="71.372"/>
    <n v="1.9239999999999999"/>
    <n v="34.363"/>
    <n v="84.581000000000003"/>
    <s v="108/115"/>
    <n v="178"/>
    <n v="60"/>
    <n v="164"/>
    <x v="1"/>
    <s v="Y"/>
    <s v="High"/>
    <s v="Y"/>
    <m/>
    <n v="0.44"/>
    <n v="108"/>
    <n v="115"/>
    <s v="Hypertension Stage 2"/>
    <n v="88"/>
    <n v="17.832999999999998"/>
    <x v="1"/>
    <x v="1"/>
  </r>
  <r>
    <x v="1"/>
    <n v="66"/>
    <n v="85.786000000000001"/>
    <n v="1.9610000000000001"/>
    <n v="19.439"/>
    <m/>
    <s v="121/105"/>
    <n v="230"/>
    <n v="76"/>
    <n v="103"/>
    <x v="1"/>
    <s v="Y"/>
    <s v="Low"/>
    <s v="Y"/>
    <n v="196.07"/>
    <n v="0.439"/>
    <n v="121"/>
    <n v="105"/>
    <s v="Hypertension Stage 2"/>
    <n v="124"/>
    <n v="16.538"/>
    <x v="2"/>
    <x v="0"/>
  </r>
  <r>
    <x v="1"/>
    <n v="63"/>
    <n v="54.923000000000002"/>
    <n v="1.8720000000000001"/>
    <n v="39.978999999999999"/>
    <n v="106.94799999999999"/>
    <s v="179/79"/>
    <n v="100"/>
    <n v="61"/>
    <n v="70"/>
    <x v="1"/>
    <s v="Y"/>
    <s v="Low"/>
    <s v="Y"/>
    <n v="187.16499999999999"/>
    <n v="0.57099999999999995"/>
    <n v="179"/>
    <n v="79"/>
    <s v="Hypertension Stage 2"/>
    <n v="9"/>
    <n v="20.946000000000002"/>
    <x v="0"/>
    <x v="0"/>
  </r>
  <r>
    <x v="1"/>
    <n v="79"/>
    <n v="116.72199999999999"/>
    <n v="1.9690000000000001"/>
    <n v="33.073999999999998"/>
    <n v="105.557"/>
    <s v="94/117"/>
    <n v="118"/>
    <n v="87"/>
    <m/>
    <x v="0"/>
    <s v="Y"/>
    <s v="Low"/>
    <s v="N"/>
    <n v="196.899"/>
    <n v="0.53600000000000003"/>
    <n v="94"/>
    <n v="117"/>
    <s v="Hypertension Stage 2"/>
    <n v="1"/>
    <n v="15.675000000000001"/>
    <x v="2"/>
    <x v="0"/>
  </r>
  <r>
    <x v="0"/>
    <n v="76"/>
    <n v="106.884"/>
    <n v="1.728"/>
    <n v="20.629000000000001"/>
    <n v="101.182"/>
    <s v="155/79"/>
    <n v="102"/>
    <n v="54"/>
    <n v="192"/>
    <x v="1"/>
    <s v="Y"/>
    <s v="High"/>
    <s v="N"/>
    <n v="172.80199999999999"/>
    <n v="0.58599999999999997"/>
    <n v="155"/>
    <n v="79"/>
    <s v="Hypertension Stage 2"/>
    <n v="18"/>
    <m/>
    <x v="0"/>
    <x v="0"/>
  </r>
  <r>
    <x v="1"/>
    <n v="46"/>
    <n v="90.77"/>
    <n v="1.6419999999999999"/>
    <n v="18.899000000000001"/>
    <n v="114.08499999999999"/>
    <s v="130/109"/>
    <n v="199"/>
    <n v="32"/>
    <n v="70"/>
    <x v="0"/>
    <s v="Y"/>
    <s v="High"/>
    <s v="N"/>
    <n v="164.18299999999999"/>
    <n v="0.69499999999999995"/>
    <n v="130"/>
    <n v="109"/>
    <s v="Hypertension Stage 1"/>
    <n v="137"/>
    <n v="16.260000000000002"/>
    <x v="0"/>
    <x v="0"/>
  </r>
  <r>
    <x v="0"/>
    <n v="52"/>
    <n v="53.542000000000002"/>
    <n v="1.69"/>
    <n v="28.713000000000001"/>
    <n v="73.144999999999996"/>
    <s v="103/90"/>
    <n v="176"/>
    <n v="79"/>
    <n v="111"/>
    <x v="1"/>
    <s v="N"/>
    <s v="High"/>
    <s v="Y"/>
    <n v="168.958"/>
    <n v="0.433"/>
    <n v="103"/>
    <n v="90"/>
    <s v="Hypertension Stage 2"/>
    <n v="67"/>
    <n v="14.413"/>
    <x v="2"/>
    <x v="0"/>
  </r>
  <r>
    <x v="0"/>
    <n v="74"/>
    <n v="63.398000000000003"/>
    <n v="1.7849999999999999"/>
    <n v="31.238"/>
    <n v="83.495000000000005"/>
    <s v="137/113"/>
    <n v="218"/>
    <n v="63"/>
    <n v="72"/>
    <x v="1"/>
    <s v="Y"/>
    <s v="High"/>
    <s v="N"/>
    <n v="178.49"/>
    <n v="0.46800000000000003"/>
    <n v="137"/>
    <n v="113"/>
    <s v="Hypertension Stage 1"/>
    <n v="125"/>
    <n v="19.457999999999998"/>
    <x v="1"/>
    <x v="1"/>
  </r>
  <r>
    <x v="0"/>
    <n v="60"/>
    <n v="94.003"/>
    <n v="1.5489999999999999"/>
    <n v="34.152999999999999"/>
    <n v="77.307000000000002"/>
    <s v="152/114"/>
    <n v="238"/>
    <n v="85"/>
    <n v="154"/>
    <x v="0"/>
    <s v="Y"/>
    <s v="Moderate"/>
    <s v="Y"/>
    <m/>
    <n v="0.499"/>
    <n v="152"/>
    <n v="114"/>
    <s v="Hypertension Stage 2"/>
    <n v="123"/>
    <n v="21.190999999999999"/>
    <x v="2"/>
    <x v="0"/>
  </r>
  <r>
    <x v="1"/>
    <n v="57"/>
    <n v="119.063"/>
    <n v="1.823"/>
    <n v="33.326000000000001"/>
    <n v="76.637"/>
    <s v="109/118"/>
    <n v="250"/>
    <n v="73"/>
    <n v="185"/>
    <x v="0"/>
    <s v="Y"/>
    <s v="High"/>
    <s v="N"/>
    <n v="182.29"/>
    <n v="0.42"/>
    <n v="109"/>
    <n v="118"/>
    <s v="Hypertension Stage 2"/>
    <n v="147"/>
    <n v="19.114999999999998"/>
    <x v="1"/>
    <x v="1"/>
  </r>
  <r>
    <x v="1"/>
    <n v="43"/>
    <n v="93.834000000000003"/>
    <n v="1.8069999999999999"/>
    <n v="24.548999999999999"/>
    <n v="97.454999999999998"/>
    <s v="155/110"/>
    <n v="295"/>
    <n v="69"/>
    <n v="197"/>
    <x v="0"/>
    <s v="Y"/>
    <s v="Low"/>
    <s v="N"/>
    <n v="180.66499999999999"/>
    <m/>
    <n v="155"/>
    <n v="110"/>
    <s v="Hypertension Stage 2"/>
    <n v="196"/>
    <n v="20.56"/>
    <x v="2"/>
    <x v="0"/>
  </r>
  <r>
    <x v="0"/>
    <n v="33"/>
    <n v="59.622999999999998"/>
    <n v="1.6259999999999999"/>
    <n v="25.751000000000001"/>
    <n v="75.781999999999996"/>
    <s v="170/76"/>
    <n v="259"/>
    <n v="80"/>
    <n v="82"/>
    <x v="0"/>
    <s v="N"/>
    <s v="Low"/>
    <s v="Y"/>
    <n v="162.59899999999999"/>
    <n v="0.46600000000000003"/>
    <n v="170"/>
    <n v="76"/>
    <s v="Hypertension Stage 2"/>
    <n v="149"/>
    <n v="18.829999999999998"/>
    <x v="0"/>
    <x v="0"/>
  </r>
  <r>
    <x v="0"/>
    <n v="72"/>
    <m/>
    <n v="1.589"/>
    <m/>
    <n v="89.795000000000002"/>
    <s v="134/85"/>
    <n v="183"/>
    <n v="39"/>
    <n v="159"/>
    <x v="0"/>
    <s v="Y"/>
    <s v="Low"/>
    <s v="N"/>
    <n v="158.923"/>
    <n v="0.56499999999999995"/>
    <n v="134"/>
    <n v="85"/>
    <s v="Hypertension Stage 1"/>
    <m/>
    <n v="20.323"/>
    <x v="0"/>
    <x v="0"/>
  </r>
  <r>
    <x v="1"/>
    <n v="38"/>
    <n v="100.84"/>
    <n v="1.7689999999999999"/>
    <n v="25.382999999999999"/>
    <n v="73.367999999999995"/>
    <s v="124/101"/>
    <n v="201"/>
    <n v="31"/>
    <n v="172"/>
    <x v="0"/>
    <s v="Y"/>
    <s v="High"/>
    <s v="Y"/>
    <n v="176.911"/>
    <n v="0.41499999999999998"/>
    <m/>
    <n v="101"/>
    <s v="Hypertension Stage 2"/>
    <m/>
    <n v="17.297000000000001"/>
    <x v="0"/>
    <x v="0"/>
  </r>
  <r>
    <x v="0"/>
    <n v="57"/>
    <n v="100.13"/>
    <n v="1.84"/>
    <n v="22.242000000000001"/>
    <n v="80.813999999999993"/>
    <s v="165/99"/>
    <n v="123"/>
    <n v="54"/>
    <n v="94"/>
    <x v="0"/>
    <s v="N"/>
    <s v="Low"/>
    <s v="N"/>
    <n v="183.988"/>
    <n v="0.439"/>
    <n v="165"/>
    <n v="99"/>
    <s v="Hypertension Stage 2"/>
    <n v="39"/>
    <n v="15.157999999999999"/>
    <x v="2"/>
    <x v="0"/>
  </r>
  <r>
    <x v="0"/>
    <m/>
    <n v="98.783000000000001"/>
    <n v="1.76"/>
    <n v="36.078000000000003"/>
    <n v="74.397000000000006"/>
    <s v="117/62"/>
    <n v="227"/>
    <n v="77"/>
    <n v="105"/>
    <x v="0"/>
    <s v="N"/>
    <s v="High"/>
    <s v="Y"/>
    <n v="175.99799999999999"/>
    <n v="0.42299999999999999"/>
    <n v="117"/>
    <n v="62"/>
    <s v="Normal"/>
    <n v="120"/>
    <n v="17.606000000000002"/>
    <x v="1"/>
    <x v="1"/>
  </r>
  <r>
    <x v="1"/>
    <n v="27"/>
    <n v="115.739"/>
    <n v="1.7989999999999999"/>
    <n v="22.463999999999999"/>
    <n v="77.691999999999993"/>
    <s v="173/96"/>
    <n v="151"/>
    <n v="50"/>
    <n v="188"/>
    <x v="1"/>
    <s v="Y"/>
    <s v="High"/>
    <s v="N"/>
    <n v="179.90799999999999"/>
    <n v="0.432"/>
    <n v="173"/>
    <n v="96"/>
    <s v="Hypertension Stage 2"/>
    <n v="71"/>
    <n v="18.163"/>
    <x v="1"/>
    <x v="1"/>
  </r>
  <r>
    <x v="0"/>
    <n v="38"/>
    <n v="53.055999999999997"/>
    <n v="1.7829999999999999"/>
    <n v="25.81"/>
    <n v="73.491"/>
    <s v="111/97"/>
    <n v="274"/>
    <n v="61"/>
    <n v="160"/>
    <x v="1"/>
    <s v="Y"/>
    <s v="High"/>
    <s v="Y"/>
    <n v="178.3"/>
    <n v="0.41199999999999998"/>
    <n v="111"/>
    <n v="97"/>
    <s v="Hypertension Stage 2"/>
    <n v="183"/>
    <n v="18.192"/>
    <x v="2"/>
    <x v="0"/>
  </r>
  <r>
    <x v="0"/>
    <n v="29"/>
    <n v="112.22499999999999"/>
    <n v="1.9339999999999999"/>
    <n v="23.06"/>
    <n v="110.373"/>
    <s v="178/90"/>
    <n v="247"/>
    <n v="66"/>
    <n v="151"/>
    <x v="0"/>
    <s v="N"/>
    <s v="Moderate"/>
    <s v="N"/>
    <n v="193.41"/>
    <n v="0.57099999999999995"/>
    <n v="178"/>
    <n v="90"/>
    <s v="Hypertension Stage 2"/>
    <n v="151"/>
    <n v="18.452000000000002"/>
    <x v="0"/>
    <x v="0"/>
  </r>
  <r>
    <x v="1"/>
    <n v="45"/>
    <n v="73.935000000000002"/>
    <n v="1.9279999999999999"/>
    <n v="38.51"/>
    <n v="112.14700000000001"/>
    <s v="159/78"/>
    <n v="167"/>
    <n v="71"/>
    <n v="115"/>
    <x v="0"/>
    <s v="Y"/>
    <s v="High"/>
    <s v="N"/>
    <n v="192.751"/>
    <n v="0.58199999999999996"/>
    <n v="159"/>
    <n v="78"/>
    <s v="Hypertension Stage 2"/>
    <n v="66"/>
    <n v="20.992000000000001"/>
    <x v="2"/>
    <x v="0"/>
  </r>
  <r>
    <x v="1"/>
    <n v="37"/>
    <n v="116.535"/>
    <n v="1.8120000000000001"/>
    <n v="28.501999999999999"/>
    <n v="76.302000000000007"/>
    <s v="118/78"/>
    <n v="143"/>
    <n v="61"/>
    <n v="145"/>
    <x v="0"/>
    <s v="Y"/>
    <s v="Moderate"/>
    <s v="Y"/>
    <n v="181.19900000000001"/>
    <n v="0.42099999999999999"/>
    <n v="118"/>
    <n v="78"/>
    <s v="Normal"/>
    <n v="52"/>
    <n v="16.46"/>
    <x v="0"/>
    <x v="0"/>
  </r>
  <r>
    <x v="0"/>
    <n v="34"/>
    <n v="76.59"/>
    <n v="1.7270000000000001"/>
    <n v="22.260999999999999"/>
    <n v="87.186999999999998"/>
    <s v="138/71"/>
    <n v="245"/>
    <n v="71"/>
    <n v="156"/>
    <x v="0"/>
    <s v="Y"/>
    <s v="Low"/>
    <s v="N"/>
    <n v="172.655"/>
    <n v="0.505"/>
    <n v="138"/>
    <n v="71"/>
    <s v="Hypertension Stage 1"/>
    <n v="144"/>
    <n v="18.251999999999999"/>
    <x v="0"/>
    <x v="0"/>
  </r>
  <r>
    <x v="0"/>
    <n v="72"/>
    <n v="96.578999999999994"/>
    <n v="1.8640000000000001"/>
    <n v="35.783000000000001"/>
    <n v="93.995999999999995"/>
    <s v="114/91"/>
    <n v="282"/>
    <n v="59"/>
    <n v="174"/>
    <x v="0"/>
    <s v="N"/>
    <s v="Moderate"/>
    <s v="Y"/>
    <n v="186.374"/>
    <n v="0.504"/>
    <n v="114"/>
    <n v="91"/>
    <s v="Hypertension Stage 2"/>
    <n v="193"/>
    <n v="18.497"/>
    <x v="2"/>
    <x v="0"/>
  </r>
  <r>
    <x v="1"/>
    <n v="75"/>
    <n v="61.744999999999997"/>
    <n v="1.8149999999999999"/>
    <n v="33.881"/>
    <n v="81.766000000000005"/>
    <s v="161/97"/>
    <n v="277"/>
    <n v="53"/>
    <n v="100"/>
    <x v="1"/>
    <s v="Y"/>
    <s v="High"/>
    <s v="Y"/>
    <n v="181.476"/>
    <m/>
    <n v="161"/>
    <n v="97"/>
    <s v="Hypertension Stage 2"/>
    <n v="194"/>
    <n v="22.366"/>
    <x v="2"/>
    <x v="0"/>
  </r>
  <r>
    <x v="1"/>
    <n v="27"/>
    <n v="104.574"/>
    <n v="1.6519999999999999"/>
    <n v="36.427"/>
    <n v="102.483"/>
    <s v="179/97"/>
    <n v="179"/>
    <n v="62"/>
    <n v="154"/>
    <x v="1"/>
    <s v="Y"/>
    <s v="Low"/>
    <s v="N"/>
    <n v="165.154"/>
    <n v="0.621"/>
    <n v="179"/>
    <n v="97"/>
    <s v="Hypertension Stage 2"/>
    <n v="87"/>
    <n v="21.815000000000001"/>
    <x v="0"/>
    <x v="0"/>
  </r>
  <r>
    <x v="1"/>
    <n v="60"/>
    <n v="113.801"/>
    <n v="2"/>
    <n v="26.901"/>
    <n v="96.6"/>
    <s v="125/116"/>
    <n v="273"/>
    <n v="70"/>
    <n v="125"/>
    <x v="1"/>
    <s v="Y"/>
    <s v="Moderate"/>
    <s v="N"/>
    <n v="199.96"/>
    <n v="0.48299999999999998"/>
    <n v="125"/>
    <n v="116"/>
    <s v="Hypertension Stage 2"/>
    <n v="173"/>
    <n v="19.09"/>
    <x v="0"/>
    <x v="0"/>
  </r>
  <r>
    <x v="0"/>
    <n v="70"/>
    <n v="85.24"/>
    <n v="1.7969999999999999"/>
    <n v="23.600999999999999"/>
    <n v="82.224000000000004"/>
    <s v="125/72"/>
    <n v="224"/>
    <n v="67"/>
    <n v="171"/>
    <x v="1"/>
    <s v="N"/>
    <s v="High"/>
    <s v="Y"/>
    <n v="179.73599999999999"/>
    <n v="0.45700000000000002"/>
    <n v="125"/>
    <n v="72"/>
    <s v="Elevated"/>
    <n v="127"/>
    <n v="15.45"/>
    <x v="2"/>
    <x v="0"/>
  </r>
  <r>
    <x v="1"/>
    <n v="55"/>
    <m/>
    <n v="1.847"/>
    <n v="35.527999999999999"/>
    <n v="114.91200000000001"/>
    <s v="112/113"/>
    <n v="296"/>
    <n v="36"/>
    <n v="73"/>
    <x v="0"/>
    <s v="Y"/>
    <s v="Low"/>
    <s v="Y"/>
    <n v="184.69399999999999"/>
    <n v="0.622"/>
    <n v="112"/>
    <n v="113"/>
    <s v="Hypertension Stage 2"/>
    <n v="230"/>
    <n v="20.626000000000001"/>
    <x v="1"/>
    <x v="1"/>
  </r>
  <r>
    <x v="0"/>
    <n v="79"/>
    <n v="106.143"/>
    <n v="1.8480000000000001"/>
    <n v="37.142000000000003"/>
    <n v="82.367999999999995"/>
    <s v="100/67"/>
    <m/>
    <m/>
    <n v="187"/>
    <x v="1"/>
    <s v="Y"/>
    <s v="Moderate"/>
    <s v="Y"/>
    <n v="184.828"/>
    <n v="0.44600000000000001"/>
    <n v="100"/>
    <n v="67"/>
    <s v="Normal"/>
    <n v="127"/>
    <n v="18.908000000000001"/>
    <x v="0"/>
    <x v="0"/>
  </r>
  <r>
    <x v="1"/>
    <n v="51"/>
    <n v="59.35"/>
    <n v="1.87"/>
    <n v="37.003999999999998"/>
    <n v="97.067999999999998"/>
    <s v="113/67"/>
    <n v="250"/>
    <m/>
    <n v="76"/>
    <x v="0"/>
    <s v="N"/>
    <s v="Moderate"/>
    <s v="Y"/>
    <n v="187.03100000000001"/>
    <n v="0.51900000000000002"/>
    <n v="113"/>
    <n v="67"/>
    <s v="Normal"/>
    <n v="159"/>
    <n v="18.050999999999998"/>
    <x v="0"/>
    <x v="0"/>
  </r>
  <r>
    <x v="1"/>
    <n v="61"/>
    <n v="61.982999999999997"/>
    <n v="1.7869999999999999"/>
    <n v="19.673999999999999"/>
    <m/>
    <s v="92/93"/>
    <n v="104"/>
    <n v="76"/>
    <n v="137"/>
    <x v="1"/>
    <s v="N"/>
    <s v="High"/>
    <s v="Y"/>
    <n v="178.65199999999999"/>
    <n v="0.53200000000000003"/>
    <n v="92"/>
    <n v="93"/>
    <s v="Hypertension Stage 2"/>
    <n v="-2"/>
    <m/>
    <x v="2"/>
    <x v="0"/>
  </r>
  <r>
    <x v="1"/>
    <n v="30"/>
    <n v="70.296999999999997"/>
    <m/>
    <n v="23.539000000000001"/>
    <n v="92.822999999999993"/>
    <s v="172/66"/>
    <n v="135"/>
    <n v="78"/>
    <n v="99"/>
    <x v="1"/>
    <s v="Y"/>
    <s v="Moderate"/>
    <s v="Y"/>
    <n v="185.23400000000001"/>
    <n v="0.501"/>
    <n v="172"/>
    <n v="66"/>
    <s v="Hypertension Stage 2"/>
    <n v="27"/>
    <n v="18.007999999999999"/>
    <x v="2"/>
    <x v="0"/>
  </r>
  <r>
    <x v="0"/>
    <n v="67"/>
    <n v="115.768"/>
    <n v="1.64"/>
    <n v="28.486000000000001"/>
    <n v="107.307"/>
    <s v="162/95"/>
    <n v="260"/>
    <n v="46"/>
    <n v="131"/>
    <x v="1"/>
    <s v="N"/>
    <s v="High"/>
    <s v="N"/>
    <n v="163.97800000000001"/>
    <n v="0.65400000000000003"/>
    <n v="162"/>
    <n v="95"/>
    <s v="Hypertension Stage 2"/>
    <n v="184"/>
    <n v="18.997"/>
    <x v="2"/>
    <x v="0"/>
  </r>
  <r>
    <x v="1"/>
    <n v="55"/>
    <n v="114.033"/>
    <n v="1.907"/>
    <n v="38.616999999999997"/>
    <n v="115.36199999999999"/>
    <s v="179/71"/>
    <n v="117"/>
    <n v="59"/>
    <n v="89"/>
    <x v="1"/>
    <s v="N"/>
    <s v="Moderate"/>
    <s v="Y"/>
    <n v="190.72900000000001"/>
    <n v="0.60499999999999998"/>
    <n v="179"/>
    <m/>
    <s v="Hypertension Stage 2"/>
    <n v="28"/>
    <n v="19.013000000000002"/>
    <x v="2"/>
    <x v="0"/>
  </r>
  <r>
    <x v="1"/>
    <n v="47"/>
    <n v="79.057000000000002"/>
    <n v="1.6379999999999999"/>
    <n v="33.725999999999999"/>
    <n v="112.245"/>
    <s v="93/117"/>
    <n v="197"/>
    <n v="82"/>
    <n v="109"/>
    <x v="0"/>
    <s v="Y"/>
    <s v="Low"/>
    <s v="N"/>
    <n v="163.815"/>
    <n v="0.68500000000000005"/>
    <n v="93"/>
    <n v="117"/>
    <s v="Hypertension Stage 2"/>
    <n v="85"/>
    <n v="17.335000000000001"/>
    <x v="0"/>
    <x v="0"/>
  </r>
  <r>
    <x v="1"/>
    <n v="78"/>
    <n v="61.345999999999997"/>
    <n v="1.9690000000000001"/>
    <n v="27.276"/>
    <n v="114.44199999999999"/>
    <s v="126/91"/>
    <n v="223"/>
    <n v="82"/>
    <n v="108"/>
    <x v="1"/>
    <s v="N"/>
    <s v="Moderate"/>
    <s v="Y"/>
    <n v="196.93700000000001"/>
    <n v="0.58099999999999996"/>
    <n v="126"/>
    <n v="91"/>
    <s v="Hypertension Stage 2"/>
    <m/>
    <n v="16.215"/>
    <x v="1"/>
    <x v="1"/>
  </r>
  <r>
    <x v="0"/>
    <n v="78"/>
    <n v="54.046999999999997"/>
    <n v="1.794"/>
    <n v="33.164000000000001"/>
    <n v="119.48399999999999"/>
    <s v="93/93"/>
    <n v="178"/>
    <n v="57"/>
    <n v="96"/>
    <x v="0"/>
    <s v="Y"/>
    <s v="Low"/>
    <s v="N"/>
    <n v="179.40899999999999"/>
    <n v="0.66600000000000004"/>
    <n v="93"/>
    <n v="93"/>
    <s v="Hypertension Stage 2"/>
    <n v="91"/>
    <n v="16.843"/>
    <x v="2"/>
    <x v="0"/>
  </r>
  <r>
    <x v="0"/>
    <n v="72"/>
    <n v="109.136"/>
    <n v="1.905"/>
    <n v="31.61"/>
    <n v="74.462000000000003"/>
    <s v="99/71"/>
    <n v="109"/>
    <n v="60"/>
    <n v="104"/>
    <x v="1"/>
    <s v="N"/>
    <s v="Moderate"/>
    <s v="N"/>
    <n v="190.47300000000001"/>
    <n v="0.39100000000000001"/>
    <n v="99"/>
    <n v="71"/>
    <s v="Normal"/>
    <n v="19"/>
    <n v="13.452"/>
    <x v="1"/>
    <x v="1"/>
  </r>
  <r>
    <x v="1"/>
    <n v="56"/>
    <n v="94.117999999999995"/>
    <n v="1.7729999999999999"/>
    <n v="27.082999999999998"/>
    <n v="77.094999999999999"/>
    <s v="174/78"/>
    <n v="160"/>
    <n v="44"/>
    <n v="179"/>
    <x v="1"/>
    <s v="N"/>
    <s v="Moderate"/>
    <s v="N"/>
    <n v="177.31899999999999"/>
    <n v="0.435"/>
    <n v="174"/>
    <n v="78"/>
    <s v="Hypertension Stage 2"/>
    <n v="86"/>
    <n v="17.317"/>
    <x v="0"/>
    <x v="0"/>
  </r>
  <r>
    <x v="0"/>
    <n v="60"/>
    <n v="51.871000000000002"/>
    <n v="1.8939999999999999"/>
    <n v="30.558"/>
    <n v="83.375"/>
    <s v="99/108"/>
    <n v="261"/>
    <n v="36"/>
    <m/>
    <x v="0"/>
    <s v="Y"/>
    <s v="High"/>
    <s v="N"/>
    <n v="189.36799999999999"/>
    <n v="0.44"/>
    <n v="99"/>
    <n v="108"/>
    <s v="Hypertension Stage 2"/>
    <n v="195"/>
    <n v="18.282"/>
    <x v="1"/>
    <x v="1"/>
  </r>
  <r>
    <x v="0"/>
    <n v="41"/>
    <n v="117.726"/>
    <m/>
    <n v="24.768000000000001"/>
    <n v="92.332999999999998"/>
    <s v="166/77"/>
    <n v="139"/>
    <m/>
    <n v="139"/>
    <x v="0"/>
    <s v="N"/>
    <s v="Moderate"/>
    <s v="N"/>
    <n v="185.18899999999999"/>
    <n v="0.499"/>
    <n v="166"/>
    <n v="77"/>
    <s v="Hypertension Stage 2"/>
    <n v="53"/>
    <n v="16.033999999999999"/>
    <x v="1"/>
    <x v="1"/>
  </r>
  <r>
    <x v="1"/>
    <n v="66"/>
    <n v="86.933000000000007"/>
    <n v="1.5169999999999999"/>
    <n v="39.320999999999998"/>
    <n v="79.563999999999993"/>
    <s v="105/68"/>
    <n v="257"/>
    <n v="36"/>
    <n v="105"/>
    <x v="0"/>
    <s v="N"/>
    <s v="Moderate"/>
    <s v="N"/>
    <n v="151.73699999999999"/>
    <n v="0.52400000000000002"/>
    <n v="105"/>
    <n v="68"/>
    <s v="Normal"/>
    <n v="191"/>
    <n v="18.254000000000001"/>
    <x v="2"/>
    <x v="0"/>
  </r>
  <r>
    <x v="1"/>
    <n v="48"/>
    <n v="101.761"/>
    <n v="1.51"/>
    <n v="27.321999999999999"/>
    <m/>
    <s v="136/101"/>
    <n v="278"/>
    <n v="83"/>
    <n v="168"/>
    <x v="1"/>
    <s v="N"/>
    <s v="High"/>
    <s v="N"/>
    <n v="151.02199999999999"/>
    <n v="0.70799999999999996"/>
    <n v="136"/>
    <n v="101"/>
    <s v="Hypertension Stage 1"/>
    <n v="165"/>
    <n v="17.824000000000002"/>
    <x v="2"/>
    <x v="0"/>
  </r>
  <r>
    <x v="1"/>
    <n v="38"/>
    <n v="76.971000000000004"/>
    <n v="1.921"/>
    <n v="39.555"/>
    <n v="85.308000000000007"/>
    <s v="112/119"/>
    <n v="148"/>
    <n v="31"/>
    <n v="117"/>
    <x v="1"/>
    <s v="Y"/>
    <s v="Moderate"/>
    <s v="Y"/>
    <n v="192.06299999999999"/>
    <n v="0.44400000000000001"/>
    <n v="112"/>
    <n v="119"/>
    <s v="Hypertension Stage 2"/>
    <n v="87"/>
    <n v="18.471"/>
    <x v="1"/>
    <x v="1"/>
  </r>
  <r>
    <x v="1"/>
    <m/>
    <n v="115.322"/>
    <n v="1.589"/>
    <n v="27.756"/>
    <n v="75.941000000000003"/>
    <s v="159/89"/>
    <n v="121"/>
    <n v="53"/>
    <n v="103"/>
    <x v="0"/>
    <s v="N"/>
    <s v="Moderate"/>
    <s v="Y"/>
    <n v="158.85599999999999"/>
    <n v="0.47799999999999998"/>
    <n v="159"/>
    <n v="89"/>
    <s v="Hypertension Stage 1"/>
    <n v="38"/>
    <n v="15.920999999999999"/>
    <x v="2"/>
    <x v="0"/>
  </r>
  <r>
    <x v="1"/>
    <n v="49"/>
    <n v="83.064999999999998"/>
    <n v="1.9710000000000001"/>
    <n v="28.154"/>
    <n v="92.423000000000002"/>
    <s v="103/81"/>
    <n v="104"/>
    <n v="89"/>
    <n v="71"/>
    <x v="0"/>
    <s v="N"/>
    <s v="Low"/>
    <s v="Y"/>
    <n v="197.12700000000001"/>
    <n v="0.46899999999999997"/>
    <n v="103"/>
    <n v="81"/>
    <s v="Hypertension Stage 1"/>
    <n v="-15"/>
    <n v="12.861000000000001"/>
    <x v="0"/>
    <x v="0"/>
  </r>
  <r>
    <x v="1"/>
    <n v="59"/>
    <n v="108.125"/>
    <n v="1.5680000000000001"/>
    <n v="25.887"/>
    <n v="103.05500000000001"/>
    <s v="157/61"/>
    <n v="255"/>
    <m/>
    <n v="137"/>
    <x v="1"/>
    <s v="Y"/>
    <s v="High"/>
    <s v="N"/>
    <n v="156.839"/>
    <n v="0.65700000000000003"/>
    <n v="157"/>
    <n v="61"/>
    <s v="Hypertension Stage 2"/>
    <n v="180"/>
    <n v="20.126999999999999"/>
    <x v="2"/>
    <x v="0"/>
  </r>
  <r>
    <x v="1"/>
    <m/>
    <n v="95.772000000000006"/>
    <n v="1.6890000000000001"/>
    <n v="21.716999999999999"/>
    <n v="79.183999999999997"/>
    <s v="113/99"/>
    <n v="163"/>
    <n v="83"/>
    <n v="154"/>
    <x v="0"/>
    <s v="Y"/>
    <s v="High"/>
    <s v="Y"/>
    <n v="168.88399999999999"/>
    <n v="0.46899999999999997"/>
    <n v="113"/>
    <n v="99"/>
    <s v="Hypertension Stage 2"/>
    <n v="50"/>
    <n v="15.253"/>
    <x v="1"/>
    <x v="1"/>
  </r>
  <r>
    <x v="1"/>
    <n v="30"/>
    <n v="102.828"/>
    <n v="1.9770000000000001"/>
    <n v="38.314999999999998"/>
    <n v="100.4"/>
    <s v="151/77"/>
    <n v="294"/>
    <n v="30"/>
    <n v="88"/>
    <x v="1"/>
    <s v="Y"/>
    <s v="High"/>
    <s v="Y"/>
    <n v="197.715"/>
    <n v="0.50800000000000001"/>
    <n v="151"/>
    <n v="77"/>
    <s v="Hypertension Stage 2"/>
    <n v="234"/>
    <n v="23.093"/>
    <x v="2"/>
    <x v="0"/>
  </r>
  <r>
    <x v="1"/>
    <n v="26"/>
    <n v="58.953000000000003"/>
    <n v="1.6879999999999999"/>
    <n v="25.286000000000001"/>
    <m/>
    <s v="110/114"/>
    <n v="258"/>
    <n v="58"/>
    <n v="146"/>
    <x v="0"/>
    <s v="N"/>
    <s v="High"/>
    <s v="Y"/>
    <n v="168.76300000000001"/>
    <n v="0.45500000000000002"/>
    <n v="110"/>
    <n v="114"/>
    <s v="Hypertension Stage 2"/>
    <n v="170"/>
    <n v="15.717000000000001"/>
    <x v="1"/>
    <x v="1"/>
  </r>
  <r>
    <x v="1"/>
    <n v="76"/>
    <n v="99.585999999999999"/>
    <n v="1.8979999999999999"/>
    <n v="39.517000000000003"/>
    <n v="107.48099999999999"/>
    <s v="171/80"/>
    <n v="125"/>
    <n v="45"/>
    <n v="101"/>
    <x v="1"/>
    <s v="Y"/>
    <s v="High"/>
    <s v="N"/>
    <n v="189.82"/>
    <n v="0.56599999999999995"/>
    <n v="171"/>
    <n v="80"/>
    <s v="Hypertension Stage 1"/>
    <n v="50"/>
    <n v="20.952999999999999"/>
    <x v="2"/>
    <x v="0"/>
  </r>
  <r>
    <x v="1"/>
    <n v="75"/>
    <n v="96.063000000000002"/>
    <n v="1.986"/>
    <n v="27.821000000000002"/>
    <n v="72.712999999999994"/>
    <s v="158/74"/>
    <n v="211"/>
    <n v="74"/>
    <n v="75"/>
    <x v="1"/>
    <s v="Y"/>
    <s v="Low"/>
    <s v="N"/>
    <n v="198.64699999999999"/>
    <n v="0.36599999999999999"/>
    <n v="158"/>
    <n v="74"/>
    <s v="Hypertension Stage 2"/>
    <n v="107"/>
    <n v="19.684000000000001"/>
    <x v="2"/>
    <x v="0"/>
  </r>
  <r>
    <x v="0"/>
    <n v="76"/>
    <n v="60.206000000000003"/>
    <n v="1.857"/>
    <n v="21.033000000000001"/>
    <n v="78.745000000000005"/>
    <s v="140/61"/>
    <n v="123"/>
    <n v="76"/>
    <n v="109"/>
    <x v="0"/>
    <s v="N"/>
    <s v="Low"/>
    <s v="N"/>
    <n v="185.68100000000001"/>
    <n v="0.42399999999999999"/>
    <n v="140"/>
    <n v="61"/>
    <s v="Hypertension Stage 2"/>
    <n v="17"/>
    <n v="13.667"/>
    <x v="2"/>
    <x v="0"/>
  </r>
  <r>
    <x v="0"/>
    <m/>
    <n v="59.238"/>
    <n v="1.623"/>
    <n v="26.465"/>
    <n v="98.698999999999998"/>
    <s v="113/66"/>
    <n v="247"/>
    <n v="41"/>
    <n v="71"/>
    <x v="0"/>
    <s v="Y"/>
    <s v="Moderate"/>
    <s v="Y"/>
    <n v="162.27799999999999"/>
    <n v="0.60799999999999998"/>
    <n v="113"/>
    <n v="66"/>
    <s v="Normal"/>
    <n v="176"/>
    <n v="17.882999999999999"/>
    <x v="0"/>
    <x v="0"/>
  </r>
  <r>
    <x v="1"/>
    <n v="33"/>
    <n v="116.375"/>
    <n v="1.91"/>
    <n v="33.597000000000001"/>
    <m/>
    <s v="98/91"/>
    <n v="240"/>
    <n v="60"/>
    <n v="180"/>
    <x v="0"/>
    <s v="Y"/>
    <s v="High"/>
    <s v="Y"/>
    <n v="191.024"/>
    <n v="0.42599999999999999"/>
    <n v="98"/>
    <n v="91"/>
    <s v="Hypertension Stage 2"/>
    <n v="150"/>
    <n v="18.419"/>
    <x v="0"/>
    <x v="0"/>
  </r>
  <r>
    <x v="1"/>
    <n v="64"/>
    <n v="92.384"/>
    <n v="1.5640000000000001"/>
    <n v="33.505000000000003"/>
    <n v="82.86"/>
    <s v="146/72"/>
    <n v="146"/>
    <n v="84"/>
    <n v="117"/>
    <x v="1"/>
    <s v="N"/>
    <s v="Low"/>
    <s v="N"/>
    <m/>
    <n v="0.53"/>
    <n v="146"/>
    <n v="72"/>
    <s v="Hypertension Stage 2"/>
    <n v="32"/>
    <n v="16.920999999999999"/>
    <x v="2"/>
    <x v="0"/>
  </r>
  <r>
    <x v="1"/>
    <n v="31"/>
    <n v="112.709"/>
    <n v="1.8420000000000001"/>
    <n v="26.524000000000001"/>
    <n v="107.197"/>
    <s v="112/77"/>
    <n v="155"/>
    <n v="64"/>
    <n v="160"/>
    <x v="1"/>
    <s v="N"/>
    <s v="Moderate"/>
    <s v="Y"/>
    <n v="184.20699999999999"/>
    <n v="0.58199999999999996"/>
    <n v="112"/>
    <n v="77"/>
    <s v="Normal"/>
    <n v="61"/>
    <n v="14.005000000000001"/>
    <x v="1"/>
    <x v="1"/>
  </r>
  <r>
    <x v="1"/>
    <n v="79"/>
    <n v="71.227999999999994"/>
    <n v="1.7969999999999999"/>
    <n v="19.484999999999999"/>
    <n v="109.94199999999999"/>
    <s v="132/60"/>
    <n v="150"/>
    <n v="75"/>
    <n v="97"/>
    <x v="0"/>
    <s v="Y"/>
    <s v="High"/>
    <s v="N"/>
    <n v="179.69900000000001"/>
    <n v="0.61199999999999999"/>
    <n v="132"/>
    <n v="60"/>
    <s v="Hypertension Stage 1"/>
    <n v="45"/>
    <n v="15.497"/>
    <x v="2"/>
    <x v="0"/>
  </r>
  <r>
    <x v="0"/>
    <n v="58"/>
    <n v="69.87"/>
    <n v="1.944"/>
    <n v="20.785"/>
    <n v="86.259"/>
    <s v="162/106"/>
    <n v="151"/>
    <m/>
    <n v="139"/>
    <x v="1"/>
    <s v="N"/>
    <s v="Moderate"/>
    <s v="N"/>
    <n v="194.45"/>
    <n v="0.44400000000000001"/>
    <n v="162"/>
    <n v="106"/>
    <s v="Hypertension Stage 2"/>
    <n v="44"/>
    <n v="15.276999999999999"/>
    <x v="1"/>
    <x v="1"/>
  </r>
  <r>
    <x v="0"/>
    <m/>
    <n v="68.159000000000006"/>
    <n v="1.655"/>
    <n v="31.213999999999999"/>
    <n v="92.111000000000004"/>
    <s v="113/70"/>
    <n v="123"/>
    <n v="34"/>
    <n v="118"/>
    <x v="1"/>
    <s v="N"/>
    <s v="High"/>
    <s v="N"/>
    <n v="165.53800000000001"/>
    <n v="0.55600000000000005"/>
    <n v="113"/>
    <n v="70"/>
    <s v="Normal"/>
    <m/>
    <n v="14.353"/>
    <x v="2"/>
    <x v="0"/>
  </r>
  <r>
    <x v="0"/>
    <m/>
    <n v="104.46899999999999"/>
    <n v="1.9950000000000001"/>
    <n v="25.39"/>
    <n v="86.894000000000005"/>
    <s v="164/90"/>
    <m/>
    <n v="82"/>
    <n v="175"/>
    <x v="0"/>
    <s v="N"/>
    <s v="Low"/>
    <s v="Y"/>
    <n v="199.458"/>
    <n v="0.436"/>
    <n v="164"/>
    <n v="90"/>
    <s v="Hypertension Stage 2"/>
    <n v="147"/>
    <n v="18.457999999999998"/>
    <x v="1"/>
    <x v="1"/>
  </r>
  <r>
    <x v="0"/>
    <n v="36"/>
    <n v="113.298"/>
    <n v="1.5089999999999999"/>
    <n v="22.850999999999999"/>
    <n v="113.07"/>
    <s v="133/115"/>
    <n v="241"/>
    <n v="77"/>
    <n v="95"/>
    <x v="1"/>
    <s v="N"/>
    <s v="Low"/>
    <s v="Y"/>
    <n v="150.86799999999999"/>
    <n v="0.749"/>
    <n v="133"/>
    <n v="115"/>
    <s v="Hypertension Stage 1"/>
    <n v="134"/>
    <n v="16.04"/>
    <x v="2"/>
    <x v="0"/>
  </r>
  <r>
    <x v="1"/>
    <n v="43"/>
    <n v="53.326999999999998"/>
    <n v="1.7050000000000001"/>
    <n v="34.231999999999999"/>
    <n v="111.739"/>
    <s v="117/116"/>
    <n v="287"/>
    <n v="82"/>
    <n v="140"/>
    <x v="1"/>
    <s v="N"/>
    <s v="High"/>
    <s v="N"/>
    <n v="170.45699999999999"/>
    <n v="0.65600000000000003"/>
    <n v="117"/>
    <n v="116"/>
    <s v="Hypertension Stage 2"/>
    <n v="175"/>
    <n v="18.436"/>
    <x v="1"/>
    <x v="1"/>
  </r>
  <r>
    <x v="1"/>
    <n v="30"/>
    <n v="58.401000000000003"/>
    <n v="1.998"/>
    <n v="30.402999999999999"/>
    <n v="105.896"/>
    <s v="154/97"/>
    <n v="173"/>
    <n v="60"/>
    <n v="141"/>
    <x v="1"/>
    <s v="Y"/>
    <s v="Low"/>
    <s v="Y"/>
    <n v="199.821"/>
    <n v="0.53"/>
    <n v="154"/>
    <n v="97"/>
    <s v="Hypertension Stage 2"/>
    <n v="83"/>
    <n v="19.241"/>
    <x v="0"/>
    <x v="0"/>
  </r>
  <r>
    <x v="1"/>
    <n v="58"/>
    <n v="50.863999999999997"/>
    <n v="1.782"/>
    <n v="25.684999999999999"/>
    <n v="119.736"/>
    <s v="117/108"/>
    <n v="273"/>
    <n v="37"/>
    <n v="108"/>
    <x v="0"/>
    <s v="Y"/>
    <s v="High"/>
    <s v="N"/>
    <n v="178.178"/>
    <n v="0.67200000000000004"/>
    <n v="117"/>
    <n v="108"/>
    <s v="Hypertension Stage 2"/>
    <n v="206"/>
    <n v="18.446999999999999"/>
    <x v="1"/>
    <x v="1"/>
  </r>
  <r>
    <x v="1"/>
    <n v="76"/>
    <n v="56.93"/>
    <n v="1.95"/>
    <n v="25.27"/>
    <n v="88.361000000000004"/>
    <s v="110/67"/>
    <m/>
    <n v="44"/>
    <n v="115"/>
    <x v="0"/>
    <s v="Y"/>
    <s v="Low"/>
    <s v="Y"/>
    <n v="195.01300000000001"/>
    <n v="0.45300000000000001"/>
    <n v="110"/>
    <n v="67"/>
    <s v="Normal"/>
    <n v="113"/>
    <n v="16.294"/>
    <x v="0"/>
    <x v="0"/>
  </r>
  <r>
    <x v="0"/>
    <n v="50"/>
    <n v="69.123000000000005"/>
    <n v="1.5820000000000001"/>
    <n v="35.716000000000001"/>
    <n v="82.75"/>
    <s v="175/98"/>
    <n v="251"/>
    <n v="75"/>
    <m/>
    <x v="1"/>
    <s v="N"/>
    <s v="High"/>
    <s v="N"/>
    <n v="158.19"/>
    <n v="0.52300000000000002"/>
    <n v="175"/>
    <n v="98"/>
    <s v="Hypertension Stage 2"/>
    <n v="146"/>
    <n v="20.913"/>
    <x v="1"/>
    <x v="1"/>
  </r>
  <r>
    <x v="1"/>
    <n v="50"/>
    <n v="110.31699999999999"/>
    <n v="1.8520000000000001"/>
    <n v="33.401000000000003"/>
    <n v="100.033"/>
    <s v="110/90"/>
    <m/>
    <n v="87"/>
    <n v="180"/>
    <x v="0"/>
    <s v="Y"/>
    <s v="High"/>
    <s v="Y"/>
    <n v="185.16800000000001"/>
    <n v="0.54"/>
    <n v="110"/>
    <n v="90"/>
    <s v="Hypertension Stage 2"/>
    <n v="158"/>
    <n v="19.68"/>
    <x v="0"/>
    <x v="0"/>
  </r>
  <r>
    <x v="0"/>
    <n v="29"/>
    <n v="64.171999999999997"/>
    <n v="1.6779999999999999"/>
    <n v="20.372"/>
    <n v="100.568"/>
    <s v="146/96"/>
    <n v="225"/>
    <n v="78"/>
    <n v="140"/>
    <x v="1"/>
    <s v="N"/>
    <s v="High"/>
    <s v="Y"/>
    <n v="167.80600000000001"/>
    <n v="0.59899999999999998"/>
    <n v="146"/>
    <n v="96"/>
    <s v="Hypertension Stage 2"/>
    <m/>
    <n v="15.874000000000001"/>
    <x v="2"/>
    <x v="0"/>
  </r>
  <r>
    <x v="1"/>
    <n v="46"/>
    <n v="113.143"/>
    <n v="1.518"/>
    <n v="25.745000000000001"/>
    <n v="97.483000000000004"/>
    <s v="133/95"/>
    <n v="150"/>
    <n v="54"/>
    <n v="133"/>
    <x v="1"/>
    <s v="Y"/>
    <s v="Low"/>
    <s v="Y"/>
    <n v="151.80500000000001"/>
    <n v="0.64200000000000002"/>
    <n v="133"/>
    <n v="95"/>
    <s v="Hypertension Stage 1"/>
    <n v="66"/>
    <n v="16.798999999999999"/>
    <x v="1"/>
    <x v="1"/>
  </r>
  <r>
    <x v="1"/>
    <n v="53"/>
    <n v="68.763999999999996"/>
    <n v="1.742"/>
    <n v="34.994"/>
    <n v="94.353999999999999"/>
    <s v="156/64"/>
    <n v="261"/>
    <n v="43"/>
    <n v="78"/>
    <x v="0"/>
    <s v="N"/>
    <s v="Moderate"/>
    <s v="Y"/>
    <n v="174.197"/>
    <n v="0.54200000000000004"/>
    <n v="156"/>
    <n v="64"/>
    <s v="Hypertension Stage 2"/>
    <n v="188"/>
    <n v="20.018999999999998"/>
    <x v="2"/>
    <x v="0"/>
  </r>
  <r>
    <x v="1"/>
    <n v="74"/>
    <n v="51.857999999999997"/>
    <n v="1.6080000000000001"/>
    <n v="33.293999999999997"/>
    <n v="71.58"/>
    <s v="99/78"/>
    <n v="124"/>
    <n v="60"/>
    <n v="135"/>
    <x v="1"/>
    <s v="Y"/>
    <s v="Moderate"/>
    <s v="Y"/>
    <n v="160.768"/>
    <n v="0.44500000000000001"/>
    <n v="99"/>
    <m/>
    <s v="Normal"/>
    <n v="34"/>
    <n v="16.088999999999999"/>
    <x v="2"/>
    <x v="0"/>
  </r>
  <r>
    <x v="1"/>
    <n v="63"/>
    <n v="72.349999999999994"/>
    <n v="1.738"/>
    <n v="37.643999999999998"/>
    <n v="73.531000000000006"/>
    <s v="145/103"/>
    <m/>
    <n v="41"/>
    <n v="76"/>
    <x v="1"/>
    <s v="N"/>
    <s v="Moderate"/>
    <s v="Y"/>
    <n v="173.84200000000001"/>
    <n v="0.42299999999999999"/>
    <n v="145"/>
    <n v="103"/>
    <s v="Hypertension Stage 2"/>
    <n v="96"/>
    <n v="18.119"/>
    <x v="0"/>
    <x v="0"/>
  </r>
  <r>
    <x v="1"/>
    <n v="76"/>
    <n v="100.935"/>
    <n v="1.512"/>
    <n v="32.673000000000002"/>
    <n v="80.738"/>
    <s v="151/78"/>
    <n v="106"/>
    <n v="30"/>
    <n v="191"/>
    <x v="1"/>
    <s v="Y"/>
    <s v="Moderate"/>
    <s v="N"/>
    <n v="151.18700000000001"/>
    <n v="0.53400000000000003"/>
    <n v="151"/>
    <n v="78"/>
    <s v="Hypertension Stage 2"/>
    <n v="46"/>
    <n v="18.204999999999998"/>
    <x v="2"/>
    <x v="0"/>
  </r>
  <r>
    <x v="1"/>
    <n v="31"/>
    <n v="60.392000000000003"/>
    <n v="1.589"/>
    <n v="35.881"/>
    <n v="106.985"/>
    <s v="155/81"/>
    <n v="154"/>
    <n v="87"/>
    <n v="124"/>
    <x v="0"/>
    <s v="Y"/>
    <s v="High"/>
    <s v="N"/>
    <m/>
    <n v="0.67300000000000004"/>
    <n v="155"/>
    <n v="81"/>
    <s v="Hypertension Stage 1"/>
    <n v="37"/>
    <n v="20.006"/>
    <x v="0"/>
    <x v="0"/>
  </r>
  <r>
    <x v="0"/>
    <n v="59"/>
    <n v="86.528999999999996"/>
    <n v="1.8140000000000001"/>
    <n v="27.254000000000001"/>
    <n v="110.922"/>
    <s v="151/90"/>
    <n v="287"/>
    <n v="37"/>
    <m/>
    <x v="1"/>
    <s v="N"/>
    <s v="High"/>
    <s v="N"/>
    <n v="181.41900000000001"/>
    <n v="0.61099999999999999"/>
    <n v="151"/>
    <n v="90"/>
    <s v="Hypertension Stage 2"/>
    <n v="220"/>
    <n v="18.741"/>
    <x v="2"/>
    <x v="0"/>
  </r>
  <r>
    <x v="1"/>
    <n v="48"/>
    <n v="56.454000000000001"/>
    <n v="1.9319999999999999"/>
    <n v="18.731000000000002"/>
    <m/>
    <s v="173/109"/>
    <n v="278"/>
    <n v="39"/>
    <m/>
    <x v="1"/>
    <s v="N"/>
    <s v="Moderate"/>
    <s v="Y"/>
    <n v="193.20500000000001"/>
    <n v="0.376"/>
    <n v="173"/>
    <n v="109"/>
    <s v="Hypertension Stage 2"/>
    <m/>
    <n v="17.956"/>
    <x v="0"/>
    <x v="0"/>
  </r>
  <r>
    <x v="1"/>
    <n v="25"/>
    <n v="114.988"/>
    <n v="1.978"/>
    <n v="25.492000000000001"/>
    <n v="119.996"/>
    <s v="136/72"/>
    <n v="132"/>
    <n v="67"/>
    <n v="148"/>
    <x v="1"/>
    <s v="N"/>
    <s v="Low"/>
    <s v="Y"/>
    <n v="197.809"/>
    <m/>
    <n v="136"/>
    <n v="72"/>
    <s v="Hypertension Stage 1"/>
    <n v="35"/>
    <n v="14.538"/>
    <x v="1"/>
    <x v="1"/>
  </r>
  <r>
    <x v="1"/>
    <n v="67"/>
    <n v="103.637"/>
    <n v="1.7170000000000001"/>
    <n v="34.828000000000003"/>
    <n v="99.754999999999995"/>
    <s v="128/61"/>
    <m/>
    <n v="42"/>
    <n v="175"/>
    <x v="1"/>
    <s v="Y"/>
    <s v="Moderate"/>
    <s v="Y"/>
    <n v="171.65899999999999"/>
    <n v="0.58099999999999996"/>
    <n v="128"/>
    <n v="61"/>
    <s v="Elevated"/>
    <n v="148"/>
    <n v="19.765999999999998"/>
    <x v="1"/>
    <x v="1"/>
  </r>
  <r>
    <x v="0"/>
    <n v="29"/>
    <n v="115.58199999999999"/>
    <n v="1.972"/>
    <n v="25.184999999999999"/>
    <n v="110.35899999999999"/>
    <s v="158/84"/>
    <n v="122"/>
    <n v="44"/>
    <n v="137"/>
    <x v="1"/>
    <s v="Y"/>
    <s v="High"/>
    <s v="Y"/>
    <n v="197.233"/>
    <n v="0.56000000000000005"/>
    <m/>
    <n v="84"/>
    <s v="Hypertension Stage 1"/>
    <n v="48"/>
    <n v="17.376999999999999"/>
    <x v="0"/>
    <x v="0"/>
  </r>
  <r>
    <x v="0"/>
    <m/>
    <n v="102.002"/>
    <n v="1.9470000000000001"/>
    <n v="31.382999999999999"/>
    <n v="110.059"/>
    <s v="136/112"/>
    <n v="161"/>
    <n v="76"/>
    <n v="100"/>
    <x v="0"/>
    <s v="N"/>
    <s v="Low"/>
    <s v="Y"/>
    <n v="194.733"/>
    <n v="0.56499999999999995"/>
    <n v="136"/>
    <n v="112"/>
    <s v="Hypertension Stage 1"/>
    <n v="55"/>
    <n v="16.297000000000001"/>
    <x v="0"/>
    <x v="0"/>
  </r>
  <r>
    <x v="1"/>
    <n v="66"/>
    <n v="101.774"/>
    <n v="1.5760000000000001"/>
    <n v="24.568000000000001"/>
    <n v="88.424999999999997"/>
    <s v="95/105"/>
    <n v="254"/>
    <n v="58"/>
    <n v="150"/>
    <x v="0"/>
    <s v="Y"/>
    <s v="Moderate"/>
    <s v="Y"/>
    <n v="157.6"/>
    <n v="0.56100000000000005"/>
    <n v="95"/>
    <n v="105"/>
    <s v="Hypertension Stage 2"/>
    <n v="166"/>
    <n v="16.744"/>
    <x v="0"/>
    <x v="0"/>
  </r>
  <r>
    <x v="0"/>
    <n v="79"/>
    <n v="105.30200000000001"/>
    <n v="1.5429999999999999"/>
    <n v="34.625"/>
    <n v="113.675"/>
    <s v="141/87"/>
    <n v="272"/>
    <n v="55"/>
    <n v="117"/>
    <x v="0"/>
    <s v="N"/>
    <s v="Moderate"/>
    <s v="N"/>
    <n v="154.33099999999999"/>
    <n v="0.73699999999999999"/>
    <n v="141"/>
    <n v="87"/>
    <s v="Hypertension Stage 1"/>
    <m/>
    <n v="19.414999999999999"/>
    <x v="0"/>
    <x v="0"/>
  </r>
  <r>
    <x v="1"/>
    <n v="42"/>
    <n v="100.479"/>
    <n v="1.9690000000000001"/>
    <n v="33.57"/>
    <n v="85.733999999999995"/>
    <s v="103/119"/>
    <n v="293"/>
    <n v="89"/>
    <n v="95"/>
    <x v="1"/>
    <s v="Y"/>
    <s v="High"/>
    <s v="Y"/>
    <n v="196.88"/>
    <n v="0.435"/>
    <n v="103"/>
    <n v="119"/>
    <s v="Hypertension Stage 2"/>
    <n v="174"/>
    <n v="19.724"/>
    <x v="0"/>
    <x v="0"/>
  </r>
  <r>
    <x v="1"/>
    <n v="43"/>
    <n v="57.829000000000001"/>
    <n v="1.526"/>
    <n v="19.004999999999999"/>
    <n v="90.872"/>
    <s v="177/72"/>
    <n v="163"/>
    <n v="59"/>
    <n v="95"/>
    <x v="0"/>
    <s v="Y"/>
    <s v="High"/>
    <s v="Y"/>
    <n v="152.624"/>
    <n v="0.59499999999999997"/>
    <n v="177"/>
    <n v="72"/>
    <s v="Hypertension Stage 2"/>
    <n v="74"/>
    <n v="17.911000000000001"/>
    <x v="2"/>
    <x v="0"/>
  </r>
  <r>
    <x v="1"/>
    <n v="79"/>
    <m/>
    <m/>
    <n v="38.81"/>
    <m/>
    <s v="166/115"/>
    <n v="183"/>
    <n v="78"/>
    <n v="94"/>
    <x v="0"/>
    <s v="Y"/>
    <s v="High"/>
    <s v="Y"/>
    <n v="150"/>
    <n v="0.46700000000000003"/>
    <n v="166"/>
    <n v="115"/>
    <s v="Hypertension Stage 2"/>
    <n v="75"/>
    <n v="21.722000000000001"/>
    <x v="1"/>
    <x v="1"/>
  </r>
  <r>
    <x v="0"/>
    <n v="64"/>
    <n v="93.953999999999994"/>
    <n v="1.587"/>
    <n v="31.268999999999998"/>
    <n v="109.312"/>
    <s v="138/89"/>
    <n v="127"/>
    <n v="76"/>
    <n v="97"/>
    <x v="0"/>
    <s v="Y"/>
    <s v="Low"/>
    <s v="N"/>
    <n v="158.666"/>
    <n v="0.68899999999999995"/>
    <n v="138"/>
    <n v="89"/>
    <s v="Hypertension Stage 1"/>
    <m/>
    <n v="17.693999999999999"/>
    <x v="2"/>
    <x v="0"/>
  </r>
  <r>
    <x v="1"/>
    <n v="33"/>
    <n v="69.347999999999999"/>
    <n v="1.621"/>
    <n v="23.952999999999999"/>
    <m/>
    <s v="147/119"/>
    <n v="293"/>
    <n v="66"/>
    <n v="135"/>
    <x v="0"/>
    <s v="N"/>
    <s v="Moderate"/>
    <s v="Y"/>
    <n v="162.14500000000001"/>
    <n v="0.58799999999999997"/>
    <n v="147"/>
    <n v="119"/>
    <s v="Hypertension Stage 2"/>
    <n v="197"/>
    <n v="18.001000000000001"/>
    <x v="1"/>
    <x v="1"/>
  </r>
  <r>
    <x v="0"/>
    <n v="51"/>
    <n v="82.313000000000002"/>
    <n v="1.518"/>
    <n v="35.055"/>
    <n v="95.308000000000007"/>
    <s v="144/90"/>
    <n v="156"/>
    <n v="35"/>
    <n v="139"/>
    <x v="0"/>
    <s v="Y"/>
    <s v="Low"/>
    <s v="Y"/>
    <n v="151.81100000000001"/>
    <n v="0.628"/>
    <n v="144"/>
    <n v="90"/>
    <s v="Hypertension Stage 2"/>
    <n v="91"/>
    <n v="19.331"/>
    <x v="1"/>
    <x v="1"/>
  </r>
  <r>
    <x v="0"/>
    <n v="43"/>
    <n v="89.83"/>
    <n v="1.857"/>
    <n v="28.135000000000002"/>
    <n v="117.79600000000001"/>
    <s v="110/64"/>
    <n v="250"/>
    <n v="33"/>
    <n v="92"/>
    <x v="1"/>
    <s v="Y"/>
    <s v="Moderate"/>
    <s v="N"/>
    <m/>
    <n v="0.63400000000000001"/>
    <n v="110"/>
    <n v="64"/>
    <s v="Normal"/>
    <n v="187"/>
    <n v="18.126999999999999"/>
    <x v="0"/>
    <x v="0"/>
  </r>
  <r>
    <x v="0"/>
    <n v="54"/>
    <n v="83.558000000000007"/>
    <n v="1.784"/>
    <n v="26.809000000000001"/>
    <n v="103.006"/>
    <s v="168/110"/>
    <n v="137"/>
    <n v="72"/>
    <n v="147"/>
    <x v="1"/>
    <s v="Y"/>
    <s v="High"/>
    <s v="Y"/>
    <n v="178.36500000000001"/>
    <n v="0.57799999999999996"/>
    <n v="168"/>
    <n v="110"/>
    <s v="Hypertension Stage 2"/>
    <n v="35"/>
    <n v="18.501999999999999"/>
    <x v="1"/>
    <x v="1"/>
  </r>
  <r>
    <x v="1"/>
    <n v="49"/>
    <n v="70.563000000000002"/>
    <n v="1.901"/>
    <n v="31.814"/>
    <n v="102.616"/>
    <s v="123/91"/>
    <n v="197"/>
    <n v="68"/>
    <m/>
    <x v="1"/>
    <s v="N"/>
    <s v="High"/>
    <s v="N"/>
    <n v="190.14400000000001"/>
    <n v="0.54"/>
    <n v="123"/>
    <n v="91"/>
    <s v="Hypertension Stage 2"/>
    <n v="99"/>
    <n v="16.452999999999999"/>
    <x v="2"/>
    <x v="0"/>
  </r>
  <r>
    <x v="0"/>
    <n v="72"/>
    <n v="92.602000000000004"/>
    <n v="1.9359999999999999"/>
    <n v="31.960999999999999"/>
    <n v="108.304"/>
    <s v="91/105"/>
    <n v="298"/>
    <n v="69"/>
    <n v="107"/>
    <x v="0"/>
    <s v="N"/>
    <s v="Moderate"/>
    <s v="N"/>
    <n v="193.59100000000001"/>
    <n v="0.55900000000000005"/>
    <n v="91"/>
    <n v="105"/>
    <s v="Hypertension Stage 2"/>
    <n v="199"/>
    <n v="16.902000000000001"/>
    <x v="0"/>
    <x v="0"/>
  </r>
  <r>
    <x v="1"/>
    <n v="39"/>
    <n v="88.135000000000005"/>
    <n v="1.984"/>
    <n v="37.984000000000002"/>
    <n v="92.120999999999995"/>
    <s v="154/71"/>
    <m/>
    <n v="72"/>
    <n v="195"/>
    <x v="1"/>
    <s v="N"/>
    <s v="Low"/>
    <s v="N"/>
    <n v="198.43"/>
    <n v="0.46400000000000002"/>
    <n v="154"/>
    <n v="71"/>
    <s v="Hypertension Stage 2"/>
    <n v="60"/>
    <n v="18.536999999999999"/>
    <x v="2"/>
    <x v="0"/>
  </r>
  <r>
    <x v="1"/>
    <n v="32"/>
    <n v="97.001999999999995"/>
    <n v="1.6419999999999999"/>
    <n v="25.102"/>
    <n v="109.869"/>
    <s v="105/72"/>
    <n v="160"/>
    <n v="44"/>
    <n v="86"/>
    <x v="0"/>
    <s v="Y"/>
    <s v="Moderate"/>
    <s v="N"/>
    <n v="164.15299999999999"/>
    <n v="0.66900000000000004"/>
    <n v="105"/>
    <n v="72"/>
    <s v="Normal"/>
    <n v="86"/>
    <n v="15.47"/>
    <x v="2"/>
    <x v="0"/>
  </r>
  <r>
    <x v="0"/>
    <n v="31"/>
    <n v="90.448999999999998"/>
    <n v="1.9810000000000001"/>
    <n v="26.614000000000001"/>
    <n v="87.471999999999994"/>
    <s v="164/63"/>
    <n v="208"/>
    <n v="43"/>
    <n v="73"/>
    <x v="1"/>
    <s v="N"/>
    <s v="Low"/>
    <s v="Y"/>
    <n v="198.143"/>
    <n v="0.441"/>
    <n v="164"/>
    <n v="63"/>
    <s v="Hypertension Stage 2"/>
    <n v="135"/>
    <n v="17.683"/>
    <x v="0"/>
    <x v="0"/>
  </r>
  <r>
    <x v="1"/>
    <n v="31"/>
    <m/>
    <n v="1.58"/>
    <n v="20.565999999999999"/>
    <n v="86.876000000000005"/>
    <s v="142/74"/>
    <n v="213"/>
    <n v="76"/>
    <n v="182"/>
    <x v="1"/>
    <s v="N"/>
    <s v="High"/>
    <s v="N"/>
    <n v="158.02500000000001"/>
    <n v="0.55000000000000004"/>
    <n v="142"/>
    <n v="74"/>
    <s v="Hypertension Stage 2"/>
    <n v="107"/>
    <n v="15.473000000000001"/>
    <x v="1"/>
    <x v="1"/>
  </r>
  <r>
    <x v="1"/>
    <n v="64"/>
    <n v="105.461"/>
    <n v="1.5620000000000001"/>
    <n v="26.538"/>
    <n v="109.05"/>
    <s v="147/73"/>
    <n v="295"/>
    <n v="73"/>
    <n v="157"/>
    <x v="1"/>
    <s v="Y"/>
    <s v="High"/>
    <s v="N"/>
    <n v="156.185"/>
    <n v="0.69799999999999995"/>
    <n v="147"/>
    <n v="73"/>
    <s v="Hypertension Stage 2"/>
    <n v="192"/>
    <n v="20.558"/>
    <x v="0"/>
    <x v="0"/>
  </r>
  <r>
    <x v="0"/>
    <n v="33"/>
    <n v="112.497"/>
    <n v="1.657"/>
    <n v="34.683"/>
    <n v="77.507999999999996"/>
    <s v="121/73"/>
    <n v="130"/>
    <n v="87"/>
    <n v="81"/>
    <x v="1"/>
    <s v="Y"/>
    <s v="Moderate"/>
    <s v="N"/>
    <n v="165.65"/>
    <n v="0.46800000000000003"/>
    <n v="121"/>
    <m/>
    <s v="Elevated"/>
    <n v="13"/>
    <n v="17.587"/>
    <x v="2"/>
    <x v="0"/>
  </r>
  <r>
    <x v="0"/>
    <n v="70"/>
    <n v="99.48"/>
    <n v="1.9750000000000001"/>
    <n v="38.491"/>
    <n v="71.545000000000002"/>
    <s v="129/65"/>
    <n v="161"/>
    <n v="76"/>
    <n v="130"/>
    <x v="0"/>
    <s v="N"/>
    <s v="Moderate"/>
    <s v="Y"/>
    <n v="197.48400000000001"/>
    <n v="0.36199999999999999"/>
    <n v="129"/>
    <n v="65"/>
    <s v="Elevated"/>
    <n v="55"/>
    <n v="17.367999999999999"/>
    <x v="1"/>
    <x v="1"/>
  </r>
  <r>
    <x v="0"/>
    <n v="75"/>
    <n v="59.262999999999998"/>
    <n v="1.583"/>
    <n v="31.780999999999999"/>
    <n v="104.872"/>
    <s v="92/86"/>
    <n v="219"/>
    <n v="70"/>
    <n v="105"/>
    <x v="0"/>
    <s v="Y"/>
    <s v="Low"/>
    <s v="N"/>
    <n v="158.25899999999999"/>
    <n v="0.66300000000000003"/>
    <m/>
    <n v="86"/>
    <s v="Hypertension Stage 1"/>
    <n v="119"/>
    <n v="17.335999999999999"/>
    <x v="1"/>
    <x v="1"/>
  </r>
  <r>
    <x v="1"/>
    <n v="64"/>
    <n v="73.349000000000004"/>
    <n v="1.966"/>
    <n v="31.843"/>
    <n v="104.876"/>
    <s v="116/82"/>
    <n v="299"/>
    <n v="86"/>
    <n v="139"/>
    <x v="1"/>
    <s v="Y"/>
    <s v="High"/>
    <s v="N"/>
    <n v="196.565"/>
    <n v="0.53400000000000003"/>
    <n v="116"/>
    <n v="82"/>
    <s v="Hypertension Stage 1"/>
    <n v="183"/>
    <n v="20.149000000000001"/>
    <x v="1"/>
    <x v="1"/>
  </r>
  <r>
    <x v="1"/>
    <n v="36"/>
    <n v="89.56"/>
    <n v="1.5960000000000001"/>
    <n v="31.536999999999999"/>
    <n v="84.117999999999995"/>
    <s v="91/92"/>
    <n v="289"/>
    <n v="72"/>
    <n v="70"/>
    <x v="0"/>
    <s v="N"/>
    <s v="Moderate"/>
    <s v="Y"/>
    <n v="159.55500000000001"/>
    <n v="0.52700000000000002"/>
    <n v="91"/>
    <n v="92"/>
    <s v="Hypertension Stage 2"/>
    <n v="187"/>
    <n v="16.637"/>
    <x v="2"/>
    <x v="0"/>
  </r>
  <r>
    <x v="1"/>
    <n v="73"/>
    <n v="118.88800000000001"/>
    <m/>
    <n v="35.128999999999998"/>
    <n v="97.39"/>
    <s v="101/95"/>
    <n v="147"/>
    <n v="43"/>
    <n v="135"/>
    <x v="1"/>
    <s v="Y"/>
    <s v="Moderate"/>
    <s v="N"/>
    <n v="179.435"/>
    <n v="0.54300000000000004"/>
    <n v="101"/>
    <n v="95"/>
    <s v="Hypertension Stage 2"/>
    <n v="74"/>
    <n v="17.015999999999998"/>
    <x v="2"/>
    <x v="0"/>
  </r>
  <r>
    <x v="0"/>
    <n v="59"/>
    <n v="117.124"/>
    <n v="1.8029999999999999"/>
    <n v="31.814"/>
    <n v="116.892"/>
    <s v="161/99"/>
    <n v="207"/>
    <n v="64"/>
    <n v="127"/>
    <x v="1"/>
    <s v="Y"/>
    <s v="High"/>
    <s v="Y"/>
    <n v="180.31700000000001"/>
    <n v="0.64800000000000002"/>
    <n v="161"/>
    <n v="99"/>
    <s v="Hypertension Stage 2"/>
    <n v="113"/>
    <n v="20.553000000000001"/>
    <x v="2"/>
    <x v="0"/>
  </r>
  <r>
    <x v="1"/>
    <n v="75"/>
    <n v="54.893000000000001"/>
    <n v="1.9139999999999999"/>
    <n v="30.824999999999999"/>
    <n v="78.863"/>
    <s v="124/72"/>
    <n v="211"/>
    <n v="64"/>
    <m/>
    <x v="0"/>
    <s v="N"/>
    <s v="High"/>
    <s v="Y"/>
    <n v="191.42"/>
    <m/>
    <n v="124"/>
    <n v="72"/>
    <s v="Elevated"/>
    <n v="117"/>
    <n v="16.585000000000001"/>
    <x v="1"/>
    <x v="1"/>
  </r>
  <r>
    <x v="1"/>
    <n v="39"/>
    <n v="111.4"/>
    <n v="1.8620000000000001"/>
    <n v="24.745000000000001"/>
    <n v="93.126999999999995"/>
    <s v="157/109"/>
    <n v="181"/>
    <n v="61"/>
    <n v="123"/>
    <x v="0"/>
    <s v="Y"/>
    <s v="High"/>
    <s v="Y"/>
    <n v="186.22399999999999"/>
    <n v="0.5"/>
    <n v="157"/>
    <n v="109"/>
    <s v="Hypertension Stage 2"/>
    <n v="90"/>
    <n v="18.419"/>
    <x v="0"/>
    <x v="0"/>
  </r>
  <r>
    <x v="1"/>
    <n v="55"/>
    <n v="63.582999999999998"/>
    <n v="1.9810000000000001"/>
    <n v="30.974"/>
    <n v="82.141999999999996"/>
    <s v="172/79"/>
    <n v="194"/>
    <n v="75"/>
    <n v="150"/>
    <x v="1"/>
    <s v="N"/>
    <s v="Moderate"/>
    <s v="N"/>
    <m/>
    <n v="0.41499999999999998"/>
    <n v="172"/>
    <n v="79"/>
    <s v="Hypertension Stage 2"/>
    <n v="89"/>
    <n v="18.675000000000001"/>
    <x v="2"/>
    <x v="0"/>
  </r>
  <r>
    <x v="0"/>
    <n v="30"/>
    <n v="71.600999999999999"/>
    <n v="1.782"/>
    <n v="19.030999999999999"/>
    <n v="72.418999999999997"/>
    <s v="126/106"/>
    <n v="264"/>
    <n v="44"/>
    <n v="189"/>
    <x v="1"/>
    <s v="N"/>
    <s v="Low"/>
    <s v="N"/>
    <n v="178.21700000000001"/>
    <n v="0.40600000000000003"/>
    <n v="126"/>
    <n v="106"/>
    <s v="Hypertension Stage 2"/>
    <n v="190"/>
    <n v="15.385999999999999"/>
    <x v="2"/>
    <x v="0"/>
  </r>
  <r>
    <x v="0"/>
    <n v="37"/>
    <n v="113.34099999999999"/>
    <n v="1.7869999999999999"/>
    <n v="29.344999999999999"/>
    <n v="80.006"/>
    <s v="129/63"/>
    <n v="266"/>
    <n v="85"/>
    <n v="185"/>
    <x v="1"/>
    <s v="Y"/>
    <s v="High"/>
    <s v="Y"/>
    <n v="178.697"/>
    <n v="0.44800000000000001"/>
    <n v="129"/>
    <n v="63"/>
    <s v="Elevated"/>
    <n v="151"/>
    <n v="19.638999999999999"/>
    <x v="1"/>
    <x v="1"/>
  </r>
  <r>
    <x v="0"/>
    <n v="68"/>
    <n v="78.561000000000007"/>
    <m/>
    <n v="32.466000000000001"/>
    <n v="77.183999999999997"/>
    <s v="141/76"/>
    <n v="178"/>
    <n v="73"/>
    <n v="143"/>
    <x v="1"/>
    <s v="Y"/>
    <s v="High"/>
    <s v="Y"/>
    <n v="170.589"/>
    <n v="0.45200000000000001"/>
    <n v="141"/>
    <n v="76"/>
    <s v="Hypertension Stage 2"/>
    <n v="75"/>
    <n v="19.103000000000002"/>
    <x v="1"/>
    <x v="1"/>
  </r>
  <r>
    <x v="1"/>
    <n v="39"/>
    <n v="54.08"/>
    <n v="1.56"/>
    <n v="19.771999999999998"/>
    <n v="107.995"/>
    <s v="116/71"/>
    <n v="287"/>
    <n v="56"/>
    <n v="176"/>
    <x v="1"/>
    <s v="Y"/>
    <s v="Moderate"/>
    <s v="N"/>
    <n v="155.96100000000001"/>
    <n v="0.69199999999999995"/>
    <m/>
    <n v="71"/>
    <s v="Normal"/>
    <n v="201"/>
    <n v="17.494"/>
    <x v="0"/>
    <x v="0"/>
  </r>
  <r>
    <x v="1"/>
    <n v="38"/>
    <n v="60.436"/>
    <n v="1.506"/>
    <n v="20.268999999999998"/>
    <n v="79.7"/>
    <s v="168/63"/>
    <n v="119"/>
    <n v="46"/>
    <n v="190"/>
    <x v="0"/>
    <s v="N"/>
    <s v="High"/>
    <s v="N"/>
    <n v="150.61600000000001"/>
    <n v="0.52900000000000003"/>
    <n v="168"/>
    <n v="63"/>
    <s v="Hypertension Stage 2"/>
    <n v="43"/>
    <n v="14.834"/>
    <x v="1"/>
    <x v="1"/>
  </r>
  <r>
    <x v="1"/>
    <n v="53"/>
    <n v="108.15900000000001"/>
    <n v="1.925"/>
    <n v="24.081"/>
    <m/>
    <s v="162/94"/>
    <n v="141"/>
    <m/>
    <n v="178"/>
    <x v="1"/>
    <s v="Y"/>
    <s v="Moderate"/>
    <s v="N"/>
    <m/>
    <n v="0.41099999999999998"/>
    <n v="162"/>
    <n v="94"/>
    <s v="Hypertension Stage 2"/>
    <n v="63"/>
    <n v="17.736000000000001"/>
    <x v="1"/>
    <x v="1"/>
  </r>
  <r>
    <x v="1"/>
    <m/>
    <n v="119.806"/>
    <n v="1.6080000000000001"/>
    <n v="31.884"/>
    <n v="80.539000000000001"/>
    <s v="124/100"/>
    <n v="242"/>
    <n v="78"/>
    <n v="116"/>
    <x v="1"/>
    <s v="N"/>
    <s v="Moderate"/>
    <s v="Y"/>
    <m/>
    <n v="0.501"/>
    <n v="124"/>
    <n v="100"/>
    <s v="Hypertension Stage 2"/>
    <n v="134"/>
    <m/>
    <x v="1"/>
    <x v="1"/>
  </r>
  <r>
    <x v="0"/>
    <n v="46"/>
    <n v="103.504"/>
    <n v="1.5389999999999999"/>
    <n v="27.606000000000002"/>
    <n v="93.716999999999999"/>
    <s v="156/103"/>
    <n v="238"/>
    <n v="87"/>
    <m/>
    <x v="0"/>
    <s v="N"/>
    <s v="High"/>
    <s v="Y"/>
    <n v="153.91800000000001"/>
    <n v="0.60899999999999999"/>
    <n v="156"/>
    <n v="103"/>
    <s v="Hypertension Stage 2"/>
    <n v="121"/>
    <n v="18.081"/>
    <x v="0"/>
    <x v="0"/>
  </r>
  <r>
    <x v="1"/>
    <n v="33"/>
    <n v="74.183999999999997"/>
    <n v="1.966"/>
    <n v="32.116"/>
    <n v="88.628"/>
    <s v="171/76"/>
    <n v="242"/>
    <n v="77"/>
    <n v="112"/>
    <x v="1"/>
    <s v="Y"/>
    <s v="Low"/>
    <s v="N"/>
    <n v="196.58099999999999"/>
    <n v="0.45100000000000001"/>
    <n v="171"/>
    <n v="76"/>
    <s v="Hypertension Stage 2"/>
    <n v="135"/>
    <n v="21.812999999999999"/>
    <x v="1"/>
    <x v="1"/>
  </r>
  <r>
    <x v="0"/>
    <n v="55"/>
    <n v="63.18"/>
    <n v="1.954"/>
    <m/>
    <n v="74.63"/>
    <s v="152/61"/>
    <n v="246"/>
    <n v="73"/>
    <n v="122"/>
    <x v="0"/>
    <s v="Y"/>
    <s v="Low"/>
    <s v="N"/>
    <n v="195.43700000000001"/>
    <m/>
    <n v="152"/>
    <n v="61"/>
    <s v="Hypertension Stage 2"/>
    <n v="143"/>
    <n v="19.07"/>
    <x v="0"/>
    <x v="0"/>
  </r>
  <r>
    <x v="0"/>
    <n v="51"/>
    <n v="81.921999999999997"/>
    <n v="1.5660000000000001"/>
    <n v="29.849"/>
    <n v="89.554000000000002"/>
    <s v="95/115"/>
    <n v="195"/>
    <n v="87"/>
    <n v="112"/>
    <x v="0"/>
    <s v="Y"/>
    <s v="Moderate"/>
    <s v="N"/>
    <n v="156.60300000000001"/>
    <n v="0.57199999999999995"/>
    <n v="95"/>
    <n v="115"/>
    <s v="Hypertension Stage 2"/>
    <n v="78"/>
    <m/>
    <x v="2"/>
    <x v="0"/>
  </r>
  <r>
    <x v="1"/>
    <m/>
    <n v="59.493000000000002"/>
    <n v="1.8959999999999999"/>
    <n v="25.012"/>
    <n v="83.275999999999996"/>
    <s v="120/61"/>
    <n v="226"/>
    <n v="83"/>
    <n v="174"/>
    <x v="1"/>
    <s v="N"/>
    <s v="Moderate"/>
    <s v="N"/>
    <n v="189.58699999999999"/>
    <n v="0.439"/>
    <n v="120"/>
    <n v="61"/>
    <s v="Elevated"/>
    <n v="113"/>
    <n v="15.522"/>
    <x v="2"/>
    <x v="0"/>
  </r>
  <r>
    <x v="1"/>
    <n v="73"/>
    <n v="117.136"/>
    <n v="1.637"/>
    <n v="30.518000000000001"/>
    <n v="105.836"/>
    <s v="168/61"/>
    <m/>
    <n v="83"/>
    <n v="106"/>
    <x v="0"/>
    <s v="Y"/>
    <s v="Low"/>
    <s v="N"/>
    <n v="163.70599999999999"/>
    <n v="0.64700000000000002"/>
    <n v="168"/>
    <n v="61"/>
    <s v="Hypertension Stage 2"/>
    <n v="99"/>
    <n v="20.744"/>
    <x v="1"/>
    <x v="1"/>
  </r>
  <r>
    <x v="0"/>
    <n v="28"/>
    <n v="116.072"/>
    <n v="1.508"/>
    <n v="19.613"/>
    <n v="94.575999999999993"/>
    <s v="97/101"/>
    <n v="143"/>
    <n v="50"/>
    <n v="120"/>
    <x v="0"/>
    <s v="N"/>
    <s v="Low"/>
    <s v="N"/>
    <n v="150.81"/>
    <n v="0.627"/>
    <n v="97"/>
    <n v="101"/>
    <s v="Hypertension Stage 2"/>
    <n v="63"/>
    <n v="11.632999999999999"/>
    <x v="2"/>
    <x v="0"/>
  </r>
  <r>
    <x v="0"/>
    <n v="66"/>
    <n v="99.887"/>
    <n v="1.738"/>
    <n v="29.832999999999998"/>
    <n v="83.744"/>
    <s v="144/105"/>
    <n v="283"/>
    <n v="82"/>
    <n v="122"/>
    <x v="1"/>
    <s v="Y"/>
    <s v="Low"/>
    <s v="Y"/>
    <n v="173.839"/>
    <n v="0.48199999999999998"/>
    <n v="144"/>
    <n v="105"/>
    <s v="Hypertension Stage 2"/>
    <n v="171"/>
    <n v="20.827000000000002"/>
    <x v="0"/>
    <x v="0"/>
  </r>
  <r>
    <x v="0"/>
    <n v="74"/>
    <n v="68.647999999999996"/>
    <n v="1.665"/>
    <m/>
    <m/>
    <s v="152/108"/>
    <n v="111"/>
    <n v="64"/>
    <n v="198"/>
    <x v="0"/>
    <s v="Y"/>
    <s v="Low"/>
    <s v="N"/>
    <n v="166.536"/>
    <n v="0.66800000000000004"/>
    <m/>
    <n v="108"/>
    <s v="Hypertension Stage 2"/>
    <n v="17"/>
    <n v="17.794"/>
    <x v="2"/>
    <x v="0"/>
  </r>
  <r>
    <x v="1"/>
    <n v="44"/>
    <n v="106.965"/>
    <n v="1.8680000000000001"/>
    <n v="37.476999999999997"/>
    <n v="113.002"/>
    <s v="156/68"/>
    <n v="295"/>
    <n v="88"/>
    <n v="151"/>
    <x v="1"/>
    <s v="Y"/>
    <s v="Low"/>
    <s v="N"/>
    <n v="186.762"/>
    <n v="0.60499999999999998"/>
    <n v="156"/>
    <n v="68"/>
    <s v="Hypertension Stage 2"/>
    <n v="177"/>
    <n v="23.195"/>
    <x v="1"/>
    <x v="1"/>
  </r>
  <r>
    <x v="0"/>
    <n v="61"/>
    <n v="57.841000000000001"/>
    <n v="1.7889999999999999"/>
    <n v="27.015000000000001"/>
    <n v="70.902000000000001"/>
    <s v="154/71"/>
    <n v="280"/>
    <n v="77"/>
    <n v="187"/>
    <x v="1"/>
    <s v="N"/>
    <s v="Low"/>
    <s v="N"/>
    <n v="178.887"/>
    <m/>
    <n v="154"/>
    <n v="71"/>
    <s v="Hypertension Stage 2"/>
    <n v="173"/>
    <n v="18.702999999999999"/>
    <x v="1"/>
    <x v="1"/>
  </r>
  <r>
    <x v="1"/>
    <n v="32"/>
    <n v="51.237000000000002"/>
    <n v="1.544"/>
    <n v="21.132999999999999"/>
    <n v="72.805999999999997"/>
    <s v="146/118"/>
    <n v="122"/>
    <n v="47"/>
    <n v="176"/>
    <x v="0"/>
    <s v="Y"/>
    <s v="Low"/>
    <s v="N"/>
    <n v="154.43"/>
    <n v="0.47099999999999997"/>
    <n v="146"/>
    <n v="118"/>
    <s v="Hypertension Stage 2"/>
    <n v="45"/>
    <n v="15.967000000000001"/>
    <x v="2"/>
    <x v="0"/>
  </r>
  <r>
    <x v="1"/>
    <n v="79"/>
    <n v="84.51"/>
    <n v="1.6839999999999999"/>
    <n v="19.545999999999999"/>
    <n v="97.86"/>
    <s v="157/65"/>
    <n v="115"/>
    <n v="63"/>
    <n v="120"/>
    <x v="0"/>
    <s v="N"/>
    <s v="Moderate"/>
    <s v="N"/>
    <n v="168.44399999999999"/>
    <n v="0.58099999999999996"/>
    <n v="157"/>
    <n v="65"/>
    <s v="Hypertension Stage 2"/>
    <n v="22"/>
    <n v="14.058999999999999"/>
    <x v="0"/>
    <x v="0"/>
  </r>
  <r>
    <x v="0"/>
    <n v="29"/>
    <m/>
    <n v="1.6719999999999999"/>
    <n v="39.011000000000003"/>
    <n v="114.98099999999999"/>
    <s v="123/114"/>
    <n v="175"/>
    <n v="34"/>
    <n v="178"/>
    <x v="1"/>
    <s v="N"/>
    <s v="High"/>
    <s v="N"/>
    <n v="167.22300000000001"/>
    <n v="0.68799999999999994"/>
    <n v="123"/>
    <n v="114"/>
    <s v="Hypertension Stage 2"/>
    <n v="111"/>
    <m/>
    <x v="2"/>
    <x v="0"/>
  </r>
  <r>
    <x v="0"/>
    <n v="75"/>
    <n v="119.42100000000001"/>
    <n v="1.6140000000000001"/>
    <n v="20.669"/>
    <n v="100.03"/>
    <s v="111/82"/>
    <n v="163"/>
    <n v="42"/>
    <m/>
    <x v="0"/>
    <s v="N"/>
    <s v="Low"/>
    <s v="Y"/>
    <n v="161.39099999999999"/>
    <n v="0.62"/>
    <n v="111"/>
    <n v="82"/>
    <s v="Hypertension Stage 1"/>
    <n v="91"/>
    <n v="12.944000000000001"/>
    <x v="2"/>
    <x v="0"/>
  </r>
  <r>
    <x v="1"/>
    <n v="39"/>
    <n v="89.867999999999995"/>
    <n v="1.8640000000000001"/>
    <n v="38.767000000000003"/>
    <n v="97.74"/>
    <s v="178/111"/>
    <n v="169"/>
    <n v="38"/>
    <n v="154"/>
    <x v="0"/>
    <s v="Y"/>
    <s v="Low"/>
    <s v="N"/>
    <n v="186.38399999999999"/>
    <n v="0.52400000000000002"/>
    <n v="178"/>
    <n v="111"/>
    <s v="Hypertension Stage 2"/>
    <n v="101"/>
    <n v="22.033000000000001"/>
    <x v="2"/>
    <x v="0"/>
  </r>
  <r>
    <x v="0"/>
    <n v="49"/>
    <n v="99.522000000000006"/>
    <n v="1.9690000000000001"/>
    <m/>
    <n v="85.954999999999998"/>
    <s v="127/98"/>
    <n v="135"/>
    <n v="55"/>
    <n v="120"/>
    <x v="0"/>
    <s v="Y"/>
    <s v="High"/>
    <s v="N"/>
    <n v="196.90799999999999"/>
    <n v="0.437"/>
    <n v="127"/>
    <n v="98"/>
    <s v="Hypertension Stage 2"/>
    <n v="50"/>
    <n v="15.167999999999999"/>
    <x v="0"/>
    <x v="0"/>
  </r>
  <r>
    <x v="0"/>
    <n v="47"/>
    <n v="72.641000000000005"/>
    <n v="1.9370000000000001"/>
    <n v="22.629000000000001"/>
    <n v="95.209000000000003"/>
    <s v="139/108"/>
    <n v="133"/>
    <n v="34"/>
    <n v="120"/>
    <x v="1"/>
    <s v="N"/>
    <s v="Low"/>
    <s v="N"/>
    <n v="193.65899999999999"/>
    <n v="0.49199999999999999"/>
    <n v="139"/>
    <n v="108"/>
    <s v="Hypertension Stage 1"/>
    <n v="69"/>
    <n v="14.135999999999999"/>
    <x v="0"/>
    <x v="0"/>
  </r>
  <r>
    <x v="0"/>
    <n v="44"/>
    <n v="84.462999999999994"/>
    <n v="1.84"/>
    <m/>
    <n v="72.656999999999996"/>
    <s v="93/96"/>
    <n v="110"/>
    <n v="53"/>
    <m/>
    <x v="1"/>
    <s v="Y"/>
    <s v="High"/>
    <s v="Y"/>
    <n v="183.994"/>
    <n v="0.39500000000000002"/>
    <n v="93"/>
    <n v="96"/>
    <s v="Hypertension Stage 2"/>
    <n v="27"/>
    <n v="16.047000000000001"/>
    <x v="0"/>
    <x v="0"/>
  </r>
  <r>
    <x v="1"/>
    <n v="45"/>
    <n v="94.435000000000002"/>
    <n v="1.528"/>
    <n v="39.621000000000002"/>
    <m/>
    <s v="167/90"/>
    <n v="284"/>
    <n v="86"/>
    <n v="144"/>
    <x v="1"/>
    <s v="N"/>
    <s v="Low"/>
    <s v="N"/>
    <n v="152.84200000000001"/>
    <n v="0.59499999999999997"/>
    <n v="167"/>
    <n v="90"/>
    <s v="Hypertension Stage 2"/>
    <n v="168"/>
    <n v="21.954000000000001"/>
    <x v="2"/>
    <x v="0"/>
  </r>
  <r>
    <x v="0"/>
    <n v="30"/>
    <n v="51.725999999999999"/>
    <n v="1.619"/>
    <n v="28.905999999999999"/>
    <n v="98.12"/>
    <s v="173/102"/>
    <n v="113"/>
    <n v="43"/>
    <n v="91"/>
    <x v="1"/>
    <s v="N"/>
    <s v="Moderate"/>
    <s v="N"/>
    <n v="161.90700000000001"/>
    <n v="0.60599999999999998"/>
    <n v="173"/>
    <n v="102"/>
    <s v="Hypertension Stage 2"/>
    <n v="40"/>
    <n v="16.690999999999999"/>
    <x v="1"/>
    <x v="1"/>
  </r>
  <r>
    <x v="1"/>
    <n v="39"/>
    <n v="51.042999999999999"/>
    <n v="1.625"/>
    <n v="19.056000000000001"/>
    <n v="90.965000000000003"/>
    <s v="119/100"/>
    <n v="179"/>
    <m/>
    <n v="131"/>
    <x v="0"/>
    <s v="Y"/>
    <s v="Moderate"/>
    <s v="Y"/>
    <n v="162.54900000000001"/>
    <n v="0.56000000000000005"/>
    <n v="119"/>
    <n v="100"/>
    <s v="Hypertension Stage 2"/>
    <n v="61"/>
    <n v="15.340999999999999"/>
    <x v="2"/>
    <x v="0"/>
  </r>
  <r>
    <x v="0"/>
    <n v="38"/>
    <n v="50.625999999999998"/>
    <n v="1.9279999999999999"/>
    <n v="28.959"/>
    <n v="113.04"/>
    <s v="179/94"/>
    <n v="117"/>
    <n v="59"/>
    <m/>
    <x v="0"/>
    <s v="N"/>
    <s v="Low"/>
    <s v="N"/>
    <n v="192.83099999999999"/>
    <n v="0.58599999999999997"/>
    <n v="179"/>
    <n v="94"/>
    <s v="Hypertension Stage 2"/>
    <n v="28"/>
    <n v="17.082000000000001"/>
    <x v="0"/>
    <x v="0"/>
  </r>
  <r>
    <x v="0"/>
    <n v="72"/>
    <n v="63.320999999999998"/>
    <n v="1.722"/>
    <n v="28.718"/>
    <n v="90.281999999999996"/>
    <s v="132/76"/>
    <n v="158"/>
    <n v="34"/>
    <n v="175"/>
    <x v="1"/>
    <s v="N"/>
    <s v="Moderate"/>
    <s v="N"/>
    <n v="172.154"/>
    <n v="0.52400000000000002"/>
    <n v="132"/>
    <n v="76"/>
    <s v="Hypertension Stage 1"/>
    <n v="94"/>
    <n v="15.504"/>
    <x v="1"/>
    <x v="1"/>
  </r>
  <r>
    <x v="0"/>
    <n v="40"/>
    <n v="58.029000000000003"/>
    <n v="1.8440000000000001"/>
    <n v="29.207000000000001"/>
    <n v="92.4"/>
    <s v="140/105"/>
    <n v="273"/>
    <n v="42"/>
    <n v="103"/>
    <x v="1"/>
    <s v="N"/>
    <s v="High"/>
    <s v="N"/>
    <n v="184.41300000000001"/>
    <n v="0.501"/>
    <n v="140"/>
    <n v="105"/>
    <s v="Hypertension Stage 2"/>
    <n v="201"/>
    <n v="18.300999999999998"/>
    <x v="2"/>
    <x v="0"/>
  </r>
  <r>
    <x v="1"/>
    <n v="38"/>
    <n v="85.623000000000005"/>
    <n v="1.6719999999999999"/>
    <n v="30.795000000000002"/>
    <n v="94.795000000000002"/>
    <s v="140/87"/>
    <n v="148"/>
    <n v="40"/>
    <n v="178"/>
    <x v="0"/>
    <s v="N"/>
    <s v="Moderate"/>
    <s v="Y"/>
    <n v="167.23400000000001"/>
    <n v="0.56699999999999995"/>
    <m/>
    <n v="87"/>
    <s v="Hypertension Stage 1"/>
    <n v="78"/>
    <n v="16.119"/>
    <x v="0"/>
    <x v="0"/>
  </r>
  <r>
    <x v="1"/>
    <n v="30"/>
    <n v="72.192999999999998"/>
    <n v="1.5960000000000001"/>
    <n v="31.677"/>
    <n v="105.31699999999999"/>
    <s v="116/85"/>
    <n v="246"/>
    <n v="79"/>
    <n v="72"/>
    <x v="1"/>
    <s v="N"/>
    <s v="Low"/>
    <s v="Y"/>
    <n v="159.578"/>
    <n v="0.66"/>
    <n v="116"/>
    <n v="85"/>
    <s v="Hypertension Stage 1"/>
    <n v="137"/>
    <n v="17.055"/>
    <x v="1"/>
    <x v="1"/>
  </r>
  <r>
    <x v="1"/>
    <n v="32"/>
    <n v="73.239000000000004"/>
    <n v="1.988"/>
    <n v="30.581"/>
    <n v="118.324"/>
    <s v="142/88"/>
    <n v="188"/>
    <n v="30"/>
    <n v="137"/>
    <x v="0"/>
    <s v="N"/>
    <s v="Low"/>
    <s v="Y"/>
    <n v="198.833"/>
    <n v="0.59499999999999997"/>
    <n v="142"/>
    <n v="88"/>
    <s v="Hypertension Stage 1"/>
    <n v="128"/>
    <n v="16.975999999999999"/>
    <x v="0"/>
    <x v="0"/>
  </r>
  <r>
    <x v="1"/>
    <n v="69"/>
    <n v="87.713999999999999"/>
    <n v="1.7230000000000001"/>
    <n v="39.732999999999997"/>
    <n v="111.803"/>
    <s v="132/101"/>
    <n v="108"/>
    <n v="41"/>
    <n v="93"/>
    <x v="1"/>
    <s v="N"/>
    <s v="Moderate"/>
    <s v="N"/>
    <n v="172.34299999999999"/>
    <n v="0.64900000000000002"/>
    <n v="132"/>
    <n v="101"/>
    <s v="Hypertension Stage 1"/>
    <n v="37"/>
    <n v="16.707000000000001"/>
    <x v="1"/>
    <x v="1"/>
  </r>
  <r>
    <x v="1"/>
    <n v="31"/>
    <n v="99.921000000000006"/>
    <n v="1.5880000000000001"/>
    <n v="21.277000000000001"/>
    <n v="105.875"/>
    <s v="121/115"/>
    <n v="287"/>
    <n v="75"/>
    <n v="92"/>
    <x v="1"/>
    <s v="N"/>
    <s v="High"/>
    <s v="Y"/>
    <n v="158.75"/>
    <n v="0.66700000000000004"/>
    <n v="121"/>
    <n v="115"/>
    <s v="Hypertension Stage 2"/>
    <m/>
    <n v="16.045000000000002"/>
    <x v="0"/>
    <x v="0"/>
  </r>
  <r>
    <x v="1"/>
    <n v="25"/>
    <n v="94.281999999999996"/>
    <m/>
    <n v="39.57"/>
    <n v="88.016999999999996"/>
    <s v="102/60"/>
    <n v="245"/>
    <n v="49"/>
    <n v="145"/>
    <x v="0"/>
    <s v="N"/>
    <s v="Moderate"/>
    <s v="N"/>
    <n v="150.285"/>
    <n v="0.58599999999999997"/>
    <n v="102"/>
    <n v="60"/>
    <s v="Normal"/>
    <m/>
    <n v="17.914000000000001"/>
    <x v="1"/>
    <x v="1"/>
  </r>
  <r>
    <x v="1"/>
    <n v="38"/>
    <n v="80.879000000000005"/>
    <n v="1.6419999999999999"/>
    <n v="32.671999999999997"/>
    <n v="87.366"/>
    <s v="106/89"/>
    <n v="138"/>
    <n v="75"/>
    <n v="128"/>
    <x v="0"/>
    <s v="N"/>
    <s v="Low"/>
    <s v="N"/>
    <n v="164.22399999999999"/>
    <n v="0.53200000000000003"/>
    <n v="106"/>
    <m/>
    <s v="Hypertension Stage 1"/>
    <n v="33"/>
    <n v="14.593999999999999"/>
    <x v="0"/>
    <x v="0"/>
  </r>
  <r>
    <x v="0"/>
    <n v="43"/>
    <n v="56.215000000000003"/>
    <n v="1.9450000000000001"/>
    <n v="30.687000000000001"/>
    <n v="104.30800000000001"/>
    <s v="159/82"/>
    <n v="194"/>
    <n v="50"/>
    <n v="97"/>
    <x v="0"/>
    <s v="Y"/>
    <s v="Low"/>
    <s v="Y"/>
    <m/>
    <n v="0.53600000000000003"/>
    <n v="159"/>
    <n v="82"/>
    <s v="Hypertension Stage 1"/>
    <n v="114"/>
    <m/>
    <x v="1"/>
    <x v="1"/>
  </r>
  <r>
    <x v="1"/>
    <n v="55"/>
    <n v="77.948999999999998"/>
    <n v="1.7470000000000001"/>
    <n v="20.678999999999998"/>
    <n v="89.384"/>
    <s v="164/90"/>
    <n v="254"/>
    <n v="35"/>
    <n v="180"/>
    <x v="1"/>
    <s v="Y"/>
    <s v="Low"/>
    <s v="Y"/>
    <n v="174.68"/>
    <n v="0.51200000000000001"/>
    <n v="164"/>
    <n v="90"/>
    <s v="Hypertension Stage 2"/>
    <n v="189"/>
    <n v="19.416"/>
    <x v="2"/>
    <x v="0"/>
  </r>
  <r>
    <x v="0"/>
    <n v="41"/>
    <n v="111.047"/>
    <n v="1.5069999999999999"/>
    <n v="24.111999999999998"/>
    <n v="85.741"/>
    <s v="125/78"/>
    <n v="172"/>
    <n v="45"/>
    <n v="129"/>
    <x v="0"/>
    <s v="Y"/>
    <s v="Low"/>
    <s v="N"/>
    <n v="150.709"/>
    <n v="0.56899999999999995"/>
    <n v="125"/>
    <n v="78"/>
    <s v="Elevated"/>
    <n v="97"/>
    <n v="16.512"/>
    <x v="0"/>
    <x v="0"/>
  </r>
  <r>
    <x v="0"/>
    <n v="62"/>
    <n v="103.39"/>
    <n v="1.917"/>
    <n v="21.050999999999998"/>
    <n v="88.534000000000006"/>
    <s v="125/85"/>
    <n v="134"/>
    <n v="74"/>
    <n v="152"/>
    <x v="0"/>
    <s v="N"/>
    <s v="High"/>
    <s v="Y"/>
    <n v="191.71799999999999"/>
    <n v="0.46200000000000002"/>
    <n v="125"/>
    <n v="85"/>
    <s v="Hypertension Stage 1"/>
    <n v="30"/>
    <n v="13.14"/>
    <x v="1"/>
    <x v="1"/>
  </r>
  <r>
    <x v="1"/>
    <n v="74"/>
    <n v="117.717"/>
    <n v="1.984"/>
    <n v="27.812999999999999"/>
    <n v="107.255"/>
    <s v="144/95"/>
    <n v="244"/>
    <n v="68"/>
    <n v="85"/>
    <x v="1"/>
    <s v="N"/>
    <s v="Moderate"/>
    <s v="N"/>
    <n v="198.386"/>
    <n v="0.54100000000000004"/>
    <n v="144"/>
    <n v="95"/>
    <s v="Hypertension Stage 2"/>
    <n v="146"/>
    <n v="17.643000000000001"/>
    <x v="0"/>
    <x v="0"/>
  </r>
  <r>
    <x v="1"/>
    <n v="61"/>
    <n v="108.873"/>
    <n v="1.9690000000000001"/>
    <n v="18.678999999999998"/>
    <n v="94.512"/>
    <s v="109/82"/>
    <n v="295"/>
    <n v="83"/>
    <n v="119"/>
    <x v="1"/>
    <s v="N"/>
    <s v="Low"/>
    <s v="N"/>
    <n v="196.85400000000001"/>
    <n v="0.48"/>
    <n v="109"/>
    <n v="82"/>
    <s v="Hypertension Stage 1"/>
    <n v="182"/>
    <n v="15.086"/>
    <x v="1"/>
    <x v="1"/>
  </r>
  <r>
    <x v="1"/>
    <m/>
    <n v="112.068"/>
    <n v="1.9450000000000001"/>
    <n v="32.357999999999997"/>
    <n v="106.46"/>
    <s v="102/88"/>
    <n v="280"/>
    <n v="34"/>
    <n v="158"/>
    <x v="1"/>
    <s v="N"/>
    <s v="Moderate"/>
    <s v="N"/>
    <n v="194.52199999999999"/>
    <n v="0.54700000000000004"/>
    <n v="102"/>
    <m/>
    <s v="Hypertension Stage 1"/>
    <n v="216"/>
    <n v="17.172000000000001"/>
    <x v="2"/>
    <x v="0"/>
  </r>
  <r>
    <x v="0"/>
    <n v="50"/>
    <m/>
    <n v="1.7150000000000001"/>
    <n v="18.687000000000001"/>
    <n v="117.9"/>
    <s v="164/81"/>
    <n v="208"/>
    <n v="43"/>
    <n v="155"/>
    <x v="1"/>
    <s v="Y"/>
    <s v="High"/>
    <s v="Y"/>
    <n v="171.47"/>
    <n v="0.68799999999999994"/>
    <n v="164"/>
    <n v="81"/>
    <s v="Hypertension Stage 1"/>
    <m/>
    <n v="18.097000000000001"/>
    <x v="2"/>
    <x v="0"/>
  </r>
  <r>
    <x v="0"/>
    <n v="44"/>
    <n v="106.675"/>
    <n v="1.7989999999999999"/>
    <n v="20.375"/>
    <n v="83.194000000000003"/>
    <s v="106/105"/>
    <n v="131"/>
    <n v="66"/>
    <n v="166"/>
    <x v="0"/>
    <s v="N"/>
    <s v="High"/>
    <s v="Y"/>
    <n v="179.90100000000001"/>
    <n v="0.46200000000000002"/>
    <n v="106"/>
    <n v="105"/>
    <s v="Hypertension Stage 2"/>
    <n v="35"/>
    <n v="11.994999999999999"/>
    <x v="1"/>
    <x v="1"/>
  </r>
  <r>
    <x v="0"/>
    <n v="52"/>
    <n v="78.588999999999999"/>
    <n v="1.9319999999999999"/>
    <n v="27.216999999999999"/>
    <n v="112.51"/>
    <s v="129/99"/>
    <n v="123"/>
    <m/>
    <n v="103"/>
    <x v="0"/>
    <s v="N"/>
    <s v="High"/>
    <s v="N"/>
    <n v="193.178"/>
    <n v="0.58199999999999996"/>
    <n v="129"/>
    <n v="99"/>
    <s v="Hypertension Stage 2"/>
    <n v="60"/>
    <n v="14.353"/>
    <x v="0"/>
    <x v="0"/>
  </r>
  <r>
    <x v="0"/>
    <m/>
    <n v="111.474"/>
    <n v="1.542"/>
    <n v="24.814"/>
    <n v="77.655000000000001"/>
    <s v="164/100"/>
    <n v="260"/>
    <n v="46"/>
    <n v="95"/>
    <x v="0"/>
    <s v="N"/>
    <s v="Low"/>
    <s v="Y"/>
    <n v="154.20400000000001"/>
    <n v="0.504"/>
    <n v="164"/>
    <n v="100"/>
    <s v="Hypertension Stage 2"/>
    <n v="184"/>
    <n v="18.363"/>
    <x v="0"/>
    <x v="0"/>
  </r>
  <r>
    <x v="0"/>
    <m/>
    <n v="89.647000000000006"/>
    <n v="1.8069999999999999"/>
    <n v="24.763000000000002"/>
    <n v="77.941999999999993"/>
    <s v="168/61"/>
    <n v="227"/>
    <n v="40"/>
    <n v="175"/>
    <x v="1"/>
    <s v="N"/>
    <s v="High"/>
    <s v="Y"/>
    <n v="180.65199999999999"/>
    <n v="0.43099999999999999"/>
    <n v="168"/>
    <n v="61"/>
    <s v="Hypertension Stage 2"/>
    <n v="157"/>
    <n v="17.893000000000001"/>
    <x v="2"/>
    <x v="0"/>
  </r>
  <r>
    <x v="0"/>
    <n v="77"/>
    <n v="60.106999999999999"/>
    <n v="1.728"/>
    <n v="22.247"/>
    <n v="89.010999999999996"/>
    <s v="166/116"/>
    <n v="108"/>
    <n v="37"/>
    <n v="179"/>
    <x v="1"/>
    <s v="N"/>
    <s v="Low"/>
    <s v="N"/>
    <n v="172.821"/>
    <m/>
    <n v="166"/>
    <n v="116"/>
    <s v="Hypertension Stage 2"/>
    <m/>
    <n v="14.909000000000001"/>
    <x v="1"/>
    <x v="1"/>
  </r>
  <r>
    <x v="0"/>
    <n v="42"/>
    <n v="52.707999999999998"/>
    <n v="1.587"/>
    <m/>
    <n v="110.821"/>
    <s v="117/113"/>
    <n v="137"/>
    <n v="45"/>
    <n v="120"/>
    <x v="0"/>
    <s v="N"/>
    <s v="Moderate"/>
    <s v="N"/>
    <n v="158.744"/>
    <n v="0.69799999999999995"/>
    <n v="117"/>
    <n v="113"/>
    <s v="Hypertension Stage 2"/>
    <n v="62"/>
    <n v="13.826000000000001"/>
    <x v="1"/>
    <x v="1"/>
  </r>
  <r>
    <x v="0"/>
    <n v="30"/>
    <n v="86.364000000000004"/>
    <n v="1.7050000000000001"/>
    <n v="35.158999999999999"/>
    <n v="72.730999999999995"/>
    <s v="95/87"/>
    <n v="198"/>
    <n v="71"/>
    <n v="130"/>
    <x v="1"/>
    <s v="N"/>
    <s v="High"/>
    <s v="N"/>
    <n v="170.47300000000001"/>
    <n v="0.42699999999999999"/>
    <n v="95"/>
    <n v="87"/>
    <s v="Hypertension Stage 1"/>
    <n v="97"/>
    <m/>
    <x v="0"/>
    <x v="0"/>
  </r>
  <r>
    <x v="1"/>
    <n v="35"/>
    <n v="117.19"/>
    <n v="1.702"/>
    <n v="24.965"/>
    <n v="103.38200000000001"/>
    <s v="102/69"/>
    <n v="180"/>
    <n v="89"/>
    <n v="99"/>
    <x v="1"/>
    <s v="Y"/>
    <s v="Low"/>
    <s v="N"/>
    <n v="170.22"/>
    <n v="0.60699999999999998"/>
    <n v="102"/>
    <m/>
    <s v="Normal"/>
    <n v="61"/>
    <n v="15.693"/>
    <x v="1"/>
    <x v="1"/>
  </r>
  <r>
    <x v="1"/>
    <m/>
    <n v="87.055000000000007"/>
    <n v="1.5269999999999999"/>
    <n v="23.245000000000001"/>
    <n v="96.492999999999995"/>
    <s v="103/72"/>
    <n v="132"/>
    <n v="80"/>
    <n v="188"/>
    <x v="1"/>
    <s v="N"/>
    <s v="Low"/>
    <s v="N"/>
    <n v="152.679"/>
    <n v="0.63200000000000001"/>
    <n v="103"/>
    <n v="72"/>
    <s v="Normal"/>
    <n v="22"/>
    <n v="12.439"/>
    <x v="0"/>
    <x v="0"/>
  </r>
  <r>
    <x v="1"/>
    <n v="25"/>
    <n v="102.449"/>
    <n v="1.6890000000000001"/>
    <n v="21.762"/>
    <n v="91.188999999999993"/>
    <s v="112/117"/>
    <n v="257"/>
    <n v="79"/>
    <n v="164"/>
    <x v="0"/>
    <s v="N"/>
    <s v="Moderate"/>
    <s v="N"/>
    <n v="168.92400000000001"/>
    <m/>
    <n v="112"/>
    <n v="117"/>
    <s v="Hypertension Stage 2"/>
    <n v="148"/>
    <n v="15.092000000000001"/>
    <x v="1"/>
    <x v="1"/>
  </r>
  <r>
    <x v="0"/>
    <n v="32"/>
    <n v="57.814"/>
    <n v="1.5960000000000001"/>
    <n v="20.405000000000001"/>
    <n v="98.225999999999999"/>
    <s v="130/70"/>
    <n v="285"/>
    <n v="58"/>
    <n v="107"/>
    <x v="0"/>
    <s v="Y"/>
    <s v="Moderate"/>
    <s v="N"/>
    <n v="159.59200000000001"/>
    <n v="0.61499999999999999"/>
    <n v="130"/>
    <n v="70"/>
    <s v="Hypertension Stage 1"/>
    <n v="197"/>
    <n v="18.280999999999999"/>
    <x v="2"/>
    <x v="0"/>
  </r>
  <r>
    <x v="1"/>
    <n v="47"/>
    <n v="86.468000000000004"/>
    <n v="1.5509999999999999"/>
    <n v="24.102"/>
    <n v="90.585999999999999"/>
    <s v="90/66"/>
    <n v="149"/>
    <n v="38"/>
    <m/>
    <x v="0"/>
    <s v="N"/>
    <s v="Low"/>
    <s v="N"/>
    <n v="155.131"/>
    <n v="0.58399999999999996"/>
    <n v="90"/>
    <n v="66"/>
    <s v="Normal"/>
    <n v="81"/>
    <n v="12.3"/>
    <x v="0"/>
    <x v="0"/>
  </r>
  <r>
    <x v="0"/>
    <n v="29"/>
    <n v="97.284999999999997"/>
    <n v="1.863"/>
    <n v="31.457000000000001"/>
    <n v="108.324"/>
    <s v="111/108"/>
    <n v="295"/>
    <n v="72"/>
    <n v="143"/>
    <x v="1"/>
    <s v="Y"/>
    <s v="Moderate"/>
    <s v="N"/>
    <n v="186.31100000000001"/>
    <n v="0.58099999999999996"/>
    <n v="111"/>
    <n v="108"/>
    <s v="Hypertension Stage 2"/>
    <n v="193"/>
    <n v="19.741"/>
    <x v="1"/>
    <x v="1"/>
  </r>
  <r>
    <x v="0"/>
    <n v="33"/>
    <n v="88.7"/>
    <n v="1.5860000000000001"/>
    <n v="21.158000000000001"/>
    <n v="75.322000000000003"/>
    <s v="145/110"/>
    <n v="233"/>
    <n v="51"/>
    <n v="135"/>
    <x v="1"/>
    <s v="Y"/>
    <s v="Low"/>
    <s v="Y"/>
    <n v="158.61699999999999"/>
    <n v="0.47499999999999998"/>
    <n v="145"/>
    <n v="110"/>
    <s v="Hypertension Stage 2"/>
    <n v="152"/>
    <n v="18.141999999999999"/>
    <x v="2"/>
    <x v="0"/>
  </r>
  <r>
    <x v="1"/>
    <n v="38"/>
    <n v="53.383000000000003"/>
    <n v="1.736"/>
    <n v="30.614000000000001"/>
    <n v="78.617999999999995"/>
    <s v="102/97"/>
    <n v="162"/>
    <n v="46"/>
    <n v="105"/>
    <x v="0"/>
    <s v="Y"/>
    <s v="Moderate"/>
    <s v="N"/>
    <n v="173.59399999999999"/>
    <n v="0.45300000000000001"/>
    <n v="102"/>
    <n v="97"/>
    <s v="Hypertension Stage 2"/>
    <n v="86"/>
    <m/>
    <x v="0"/>
    <x v="0"/>
  </r>
  <r>
    <x v="0"/>
    <n v="79"/>
    <n v="110.631"/>
    <m/>
    <n v="19.288"/>
    <n v="102.27200000000001"/>
    <s v="176/89"/>
    <n v="261"/>
    <n v="56"/>
    <n v="75"/>
    <x v="1"/>
    <s v="Y"/>
    <s v="High"/>
    <s v="Y"/>
    <n v="174.12299999999999"/>
    <n v="0.58699999999999997"/>
    <m/>
    <m/>
    <s v="Hypertension Stage 1"/>
    <n v="175"/>
    <n v="19.878"/>
    <x v="2"/>
    <x v="0"/>
  </r>
  <r>
    <x v="0"/>
    <n v="56"/>
    <m/>
    <n v="1.585"/>
    <n v="19.716000000000001"/>
    <n v="74.037999999999997"/>
    <s v="126/113"/>
    <n v="111"/>
    <n v="76"/>
    <m/>
    <x v="0"/>
    <s v="N"/>
    <s v="Moderate"/>
    <s v="Y"/>
    <n v="158.46299999999999"/>
    <m/>
    <n v="126"/>
    <n v="113"/>
    <s v="Hypertension Stage 2"/>
    <n v="5"/>
    <n v="12.462999999999999"/>
    <x v="1"/>
    <x v="1"/>
  </r>
  <r>
    <x v="0"/>
    <n v="50"/>
    <n v="107.755"/>
    <n v="1.5780000000000001"/>
    <n v="33.746000000000002"/>
    <n v="73.831000000000003"/>
    <s v="160/71"/>
    <n v="264"/>
    <n v="78"/>
    <n v="119"/>
    <x v="1"/>
    <s v="Y"/>
    <s v="Low"/>
    <s v="Y"/>
    <n v="157.78399999999999"/>
    <n v="0.46800000000000003"/>
    <n v="160"/>
    <n v="71"/>
    <s v="Hypertension Stage 2"/>
    <n v="156"/>
    <n v="22.029"/>
    <x v="1"/>
    <x v="1"/>
  </r>
  <r>
    <x v="1"/>
    <n v="73"/>
    <n v="98.596000000000004"/>
    <n v="1.9890000000000001"/>
    <n v="30.504000000000001"/>
    <n v="93.863"/>
    <s v="100/75"/>
    <n v="221"/>
    <n v="32"/>
    <n v="120"/>
    <x v="1"/>
    <s v="Y"/>
    <s v="Low"/>
    <s v="Y"/>
    <n v="198.886"/>
    <m/>
    <n v="100"/>
    <n v="75"/>
    <s v="Normal"/>
    <n v="159"/>
    <n v="17.521000000000001"/>
    <x v="1"/>
    <x v="1"/>
  </r>
  <r>
    <x v="0"/>
    <n v="68"/>
    <n v="63.100999999999999"/>
    <n v="1.66"/>
    <n v="35.878"/>
    <m/>
    <s v="146/69"/>
    <n v="186"/>
    <n v="47"/>
    <n v="158"/>
    <x v="0"/>
    <s v="Y"/>
    <s v="High"/>
    <s v="Y"/>
    <n v="166"/>
    <n v="0.71699999999999997"/>
    <n v="146"/>
    <n v="69"/>
    <s v="Hypertension Stage 2"/>
    <n v="109"/>
    <n v="20.196000000000002"/>
    <x v="0"/>
    <x v="0"/>
  </r>
  <r>
    <x v="1"/>
    <n v="51"/>
    <m/>
    <m/>
    <n v="21.454999999999998"/>
    <n v="93.064999999999998"/>
    <s v="144/115"/>
    <n v="296"/>
    <n v="45"/>
    <n v="75"/>
    <x v="0"/>
    <s v="N"/>
    <s v="High"/>
    <s v="Y"/>
    <n v="184.98599999999999"/>
    <m/>
    <n v="144"/>
    <n v="115"/>
    <s v="Hypertension Stage 2"/>
    <n v="221"/>
    <n v="17.411000000000001"/>
    <x v="0"/>
    <x v="0"/>
  </r>
  <r>
    <x v="0"/>
    <n v="46"/>
    <n v="117.717"/>
    <n v="1.633"/>
    <n v="24.689"/>
    <n v="119.49299999999999"/>
    <s v="93/105"/>
    <n v="140"/>
    <n v="46"/>
    <n v="156"/>
    <x v="0"/>
    <s v="Y"/>
    <s v="Low"/>
    <s v="Y"/>
    <n v="163.328"/>
    <n v="0.73199999999999998"/>
    <n v="93"/>
    <n v="105"/>
    <s v="Hypertension Stage 2"/>
    <n v="64"/>
    <n v="14.388"/>
    <x v="0"/>
    <x v="0"/>
  </r>
  <r>
    <x v="1"/>
    <n v="46"/>
    <n v="110.214"/>
    <n v="1.784"/>
    <n v="36.942999999999998"/>
    <n v="78.817999999999998"/>
    <s v="178/109"/>
    <n v="169"/>
    <n v="75"/>
    <n v="114"/>
    <x v="0"/>
    <s v="N"/>
    <s v="Low"/>
    <s v="N"/>
    <n v="178.41"/>
    <n v="0.442"/>
    <n v="178"/>
    <n v="109"/>
    <s v="Hypertension Stage 2"/>
    <n v="64"/>
    <n v="19.669"/>
    <x v="2"/>
    <x v="0"/>
  </r>
  <r>
    <x v="0"/>
    <n v="70"/>
    <n v="58.35"/>
    <n v="1.542"/>
    <n v="23.760999999999999"/>
    <n v="100.617"/>
    <s v="95/110"/>
    <m/>
    <n v="37"/>
    <n v="119"/>
    <x v="1"/>
    <s v="N"/>
    <s v="Moderate"/>
    <s v="Y"/>
    <n v="154.185"/>
    <m/>
    <n v="95"/>
    <n v="110"/>
    <s v="Hypertension Stage 2"/>
    <n v="64"/>
    <n v="12.122"/>
    <x v="0"/>
    <x v="0"/>
  </r>
  <r>
    <x v="0"/>
    <n v="35"/>
    <n v="64.837000000000003"/>
    <n v="1.958"/>
    <n v="33.180999999999997"/>
    <n v="88.896000000000001"/>
    <s v="160/78"/>
    <n v="152"/>
    <n v="59"/>
    <n v="150"/>
    <x v="0"/>
    <s v="N"/>
    <s v="High"/>
    <s v="Y"/>
    <n v="195.79400000000001"/>
    <n v="0.45400000000000001"/>
    <n v="160"/>
    <n v="78"/>
    <s v="Hypertension Stage 2"/>
    <n v="63"/>
    <n v="17.675999999999998"/>
    <x v="1"/>
    <x v="1"/>
  </r>
  <r>
    <x v="0"/>
    <n v="68"/>
    <n v="102.432"/>
    <n v="1.849"/>
    <n v="34.941000000000003"/>
    <n v="90.284000000000006"/>
    <s v="155/68"/>
    <n v="202"/>
    <n v="52"/>
    <n v="135"/>
    <x v="1"/>
    <s v="N"/>
    <s v="Low"/>
    <s v="Y"/>
    <n v="184.85300000000001"/>
    <n v="0.48799999999999999"/>
    <n v="155"/>
    <n v="68"/>
    <s v="Hypertension Stage 2"/>
    <n v="120"/>
    <n v="18.777999999999999"/>
    <x v="1"/>
    <x v="1"/>
  </r>
  <r>
    <x v="1"/>
    <n v="47"/>
    <n v="50.343000000000004"/>
    <m/>
    <n v="35.191000000000003"/>
    <n v="103.605"/>
    <s v="173/114"/>
    <n v="205"/>
    <n v="42"/>
    <n v="176"/>
    <x v="1"/>
    <s v="N"/>
    <s v="Low"/>
    <s v="N"/>
    <n v="169.09700000000001"/>
    <n v="0.61299999999999999"/>
    <n v="173"/>
    <n v="114"/>
    <s v="Hypertension Stage 2"/>
    <n v="133"/>
    <n v="19.788"/>
    <x v="1"/>
    <x v="1"/>
  </r>
  <r>
    <x v="1"/>
    <n v="29"/>
    <n v="80.427999999999997"/>
    <n v="1.865"/>
    <n v="38.709000000000003"/>
    <n v="82.287000000000006"/>
    <s v="151/93"/>
    <n v="108"/>
    <n v="59"/>
    <n v="121"/>
    <x v="1"/>
    <s v="N"/>
    <s v="Moderate"/>
    <s v="Y"/>
    <n v="186.46"/>
    <n v="0.441"/>
    <n v="151"/>
    <n v="93"/>
    <s v="Hypertension Stage 2"/>
    <n v="19"/>
    <n v="17.452000000000002"/>
    <x v="1"/>
    <x v="1"/>
  </r>
  <r>
    <x v="0"/>
    <n v="65"/>
    <n v="112.07599999999999"/>
    <n v="1.883"/>
    <n v="37.783999999999999"/>
    <n v="83.951999999999998"/>
    <s v="141/81"/>
    <n v="107"/>
    <n v="80"/>
    <n v="161"/>
    <x v="1"/>
    <s v="N"/>
    <s v="High"/>
    <s v="Y"/>
    <n v="188.31100000000001"/>
    <n v="0.44600000000000001"/>
    <n v="141"/>
    <n v="81"/>
    <s v="Hypertension Stage 1"/>
    <n v="-3"/>
    <n v="16.747"/>
    <x v="1"/>
    <x v="1"/>
  </r>
  <r>
    <x v="1"/>
    <n v="61"/>
    <n v="108.642"/>
    <n v="1.7549999999999999"/>
    <n v="39.877000000000002"/>
    <n v="87.74"/>
    <s v="156/66"/>
    <n v="179"/>
    <n v="75"/>
    <n v="160"/>
    <x v="1"/>
    <s v="N"/>
    <s v="High"/>
    <s v="Y"/>
    <n v="175.47499999999999"/>
    <n v="0.5"/>
    <n v="156"/>
    <n v="66"/>
    <s v="Hypertension Stage 2"/>
    <n v="74"/>
    <n v="19.355"/>
    <x v="1"/>
    <x v="1"/>
  </r>
  <r>
    <x v="1"/>
    <n v="39"/>
    <n v="86.426000000000002"/>
    <n v="1.8240000000000001"/>
    <n v="27.754999999999999"/>
    <n v="102.672"/>
    <s v="132/77"/>
    <n v="267"/>
    <m/>
    <m/>
    <x v="1"/>
    <s v="Y"/>
    <s v="High"/>
    <s v="Y"/>
    <m/>
    <n v="0.56299999999999994"/>
    <n v="132"/>
    <n v="77"/>
    <s v="Hypertension Stage 1"/>
    <n v="172"/>
    <n v="19.491"/>
    <x v="1"/>
    <x v="1"/>
  </r>
  <r>
    <x v="0"/>
    <n v="41"/>
    <n v="98.17"/>
    <n v="1.964"/>
    <n v="34.151000000000003"/>
    <n v="86.302999999999997"/>
    <s v="172/68"/>
    <n v="227"/>
    <n v="89"/>
    <n v="88"/>
    <x v="1"/>
    <s v="Y"/>
    <s v="High"/>
    <s v="N"/>
    <m/>
    <n v="0.439"/>
    <n v="172"/>
    <n v="68"/>
    <s v="Hypertension Stage 2"/>
    <n v="108"/>
    <n v="21.97"/>
    <x v="2"/>
    <x v="0"/>
  </r>
  <r>
    <x v="0"/>
    <n v="26"/>
    <n v="97.701999999999998"/>
    <n v="1.8009999999999999"/>
    <n v="32.79"/>
    <n v="108.242"/>
    <s v="108/117"/>
    <m/>
    <n v="79"/>
    <n v="185"/>
    <x v="0"/>
    <s v="N"/>
    <s v="High"/>
    <s v="Y"/>
    <n v="180.12200000000001"/>
    <n v="0.60099999999999998"/>
    <n v="108"/>
    <n v="117"/>
    <s v="Hypertension Stage 2"/>
    <n v="153"/>
    <n v="17.198"/>
    <x v="1"/>
    <x v="1"/>
  </r>
  <r>
    <x v="0"/>
    <n v="26"/>
    <n v="66.394000000000005"/>
    <n v="1.86"/>
    <n v="27.704000000000001"/>
    <n v="91.594999999999999"/>
    <s v="165/101"/>
    <n v="106"/>
    <n v="78"/>
    <n v="103"/>
    <x v="0"/>
    <s v="Y"/>
    <s v="High"/>
    <s v="Y"/>
    <n v="185.95699999999999"/>
    <n v="0.49299999999999999"/>
    <n v="165"/>
    <n v="101"/>
    <s v="Hypertension Stage 2"/>
    <n v="-2"/>
    <m/>
    <x v="2"/>
    <x v="0"/>
  </r>
  <r>
    <x v="0"/>
    <n v="68"/>
    <m/>
    <n v="1.9950000000000001"/>
    <n v="29.507000000000001"/>
    <n v="103.497"/>
    <s v="128/88"/>
    <n v="134"/>
    <n v="45"/>
    <n v="175"/>
    <x v="1"/>
    <s v="N"/>
    <s v="Low"/>
    <s v="N"/>
    <n v="199.548"/>
    <n v="0.51900000000000002"/>
    <n v="128"/>
    <n v="88"/>
    <s v="Hypertension Stage 1"/>
    <n v="59"/>
    <n v="14.981"/>
    <x v="1"/>
    <x v="1"/>
  </r>
  <r>
    <x v="1"/>
    <n v="33"/>
    <n v="104.748"/>
    <n v="1.9830000000000001"/>
    <n v="18.852"/>
    <n v="104.754"/>
    <s v="178/65"/>
    <n v="176"/>
    <n v="81"/>
    <n v="161"/>
    <x v="0"/>
    <s v="N"/>
    <s v="Moderate"/>
    <s v="Y"/>
    <n v="198.31200000000001"/>
    <n v="0.52800000000000002"/>
    <n v="178"/>
    <n v="65"/>
    <s v="Hypertension Stage 2"/>
    <n v="65"/>
    <n v="16.190000000000001"/>
    <x v="1"/>
    <x v="1"/>
  </r>
  <r>
    <x v="0"/>
    <n v="75"/>
    <n v="113.605"/>
    <n v="1.8640000000000001"/>
    <n v="22.713999999999999"/>
    <n v="88.545000000000002"/>
    <s v="159/100"/>
    <n v="151"/>
    <n v="63"/>
    <n v="105"/>
    <x v="0"/>
    <s v="Y"/>
    <s v="Low"/>
    <s v="Y"/>
    <n v="186.351"/>
    <n v="0.47499999999999998"/>
    <n v="159"/>
    <n v="100"/>
    <s v="Hypertension Stage 2"/>
    <n v="58"/>
    <n v="17.513000000000002"/>
    <x v="2"/>
    <x v="0"/>
  </r>
  <r>
    <x v="1"/>
    <n v="75"/>
    <m/>
    <n v="1.9830000000000001"/>
    <n v="31.626999999999999"/>
    <m/>
    <s v="159/101"/>
    <n v="179"/>
    <n v="46"/>
    <n v="138"/>
    <x v="0"/>
    <s v="N"/>
    <s v="High"/>
    <s v="N"/>
    <n v="198.315"/>
    <n v="0.56299999999999994"/>
    <n v="159"/>
    <n v="101"/>
    <s v="Hypertension Stage 2"/>
    <n v="103"/>
    <n v="17.855"/>
    <x v="0"/>
    <x v="0"/>
  </r>
  <r>
    <x v="1"/>
    <n v="63"/>
    <n v="55.338999999999999"/>
    <m/>
    <n v="24.893000000000001"/>
    <n v="103.179"/>
    <s v="101/77"/>
    <n v="252"/>
    <n v="42"/>
    <n v="147"/>
    <x v="0"/>
    <s v="N"/>
    <s v="Low"/>
    <s v="Y"/>
    <n v="174.20400000000001"/>
    <n v="0.59199999999999997"/>
    <n v="101"/>
    <n v="77"/>
    <s v="Normal"/>
    <n v="180"/>
    <n v="15.069000000000001"/>
    <x v="0"/>
    <x v="0"/>
  </r>
  <r>
    <x v="0"/>
    <n v="38"/>
    <n v="107.316"/>
    <n v="1.9890000000000001"/>
    <n v="20.888000000000002"/>
    <n v="113.22"/>
    <s v="103/71"/>
    <n v="218"/>
    <n v="52"/>
    <n v="72"/>
    <x v="0"/>
    <s v="N"/>
    <s v="Low"/>
    <s v="Y"/>
    <n v="198.94900000000001"/>
    <n v="0.56899999999999995"/>
    <n v="103"/>
    <n v="71"/>
    <s v="Normal"/>
    <n v="136"/>
    <n v="13.688000000000001"/>
    <x v="1"/>
    <x v="1"/>
  </r>
  <r>
    <x v="0"/>
    <n v="76"/>
    <n v="119.517"/>
    <n v="1.895"/>
    <n v="22.664999999999999"/>
    <n v="104.21"/>
    <s v="157/67"/>
    <n v="230"/>
    <n v="41"/>
    <n v="198"/>
    <x v="0"/>
    <s v="Y"/>
    <s v="High"/>
    <s v="Y"/>
    <n v="189.47900000000001"/>
    <n v="0.55000000000000004"/>
    <n v="157"/>
    <n v="67"/>
    <s v="Hypertension Stage 2"/>
    <n v="159"/>
    <n v="18.983000000000001"/>
    <x v="1"/>
    <x v="1"/>
  </r>
  <r>
    <x v="0"/>
    <n v="39"/>
    <n v="86.203999999999994"/>
    <n v="1.909"/>
    <m/>
    <n v="112.36"/>
    <s v="141/118"/>
    <n v="127"/>
    <n v="38"/>
    <n v="85"/>
    <x v="0"/>
    <s v="N"/>
    <s v="Low"/>
    <s v="Y"/>
    <n v="190.85300000000001"/>
    <n v="0.58899999999999997"/>
    <n v="141"/>
    <n v="118"/>
    <s v="Hypertension Stage 2"/>
    <n v="59"/>
    <n v="16.785"/>
    <x v="1"/>
    <x v="1"/>
  </r>
  <r>
    <x v="0"/>
    <n v="42"/>
    <n v="101.874"/>
    <m/>
    <n v="18.507999999999999"/>
    <n v="93.102999999999994"/>
    <s v="94/67"/>
    <n v="138"/>
    <n v="51"/>
    <n v="180"/>
    <x v="1"/>
    <s v="Y"/>
    <s v="High"/>
    <s v="Y"/>
    <m/>
    <n v="0.496"/>
    <m/>
    <n v="67"/>
    <s v="Normal"/>
    <n v="57"/>
    <n v="13.162000000000001"/>
    <x v="0"/>
    <x v="0"/>
  </r>
  <r>
    <x v="0"/>
    <n v="26"/>
    <n v="85.659000000000006"/>
    <n v="1.8029999999999999"/>
    <n v="32.454000000000001"/>
    <n v="107.746"/>
    <s v="156/118"/>
    <n v="213"/>
    <n v="66"/>
    <n v="133"/>
    <x v="0"/>
    <s v="Y"/>
    <s v="Low"/>
    <s v="Y"/>
    <n v="180.31200000000001"/>
    <n v="0.59799999999999998"/>
    <n v="156"/>
    <n v="118"/>
    <s v="Hypertension Stage 2"/>
    <n v="117"/>
    <n v="20.550999999999998"/>
    <x v="0"/>
    <x v="0"/>
  </r>
  <r>
    <x v="1"/>
    <n v="26"/>
    <n v="114.55500000000001"/>
    <n v="1.8759999999999999"/>
    <n v="35.426000000000002"/>
    <n v="97.783000000000001"/>
    <s v="101/60"/>
    <n v="224"/>
    <n v="54"/>
    <n v="125"/>
    <x v="0"/>
    <s v="Y"/>
    <s v="Moderate"/>
    <s v="N"/>
    <n v="187.64599999999999"/>
    <n v="0.52100000000000002"/>
    <n v="101"/>
    <n v="60"/>
    <s v="Normal"/>
    <m/>
    <n v="18.614999999999998"/>
    <x v="0"/>
    <x v="0"/>
  </r>
  <r>
    <x v="0"/>
    <n v="57"/>
    <n v="94.534000000000006"/>
    <n v="1.5129999999999999"/>
    <n v="25.206"/>
    <n v="93.727000000000004"/>
    <s v="138/65"/>
    <n v="127"/>
    <n v="88"/>
    <n v="112"/>
    <x v="0"/>
    <s v="N"/>
    <s v="Moderate"/>
    <s v="Y"/>
    <n v="151.303"/>
    <n v="0.61899999999999999"/>
    <n v="138"/>
    <n v="65"/>
    <s v="Hypertension Stage 1"/>
    <n v="9"/>
    <n v="14.481"/>
    <x v="0"/>
    <x v="0"/>
  </r>
  <r>
    <x v="0"/>
    <n v="52"/>
    <n v="88.475999999999999"/>
    <n v="1.9430000000000001"/>
    <n v="30.212"/>
    <n v="81.132000000000005"/>
    <s v="99/99"/>
    <n v="257"/>
    <n v="58"/>
    <n v="103"/>
    <x v="0"/>
    <s v="Y"/>
    <s v="Moderate"/>
    <s v="Y"/>
    <n v="194.26400000000001"/>
    <n v="0.41799999999999998"/>
    <n v="99"/>
    <n v="99"/>
    <s v="Hypertension Stage 2"/>
    <n v="169"/>
    <n v="18.132000000000001"/>
    <x v="2"/>
    <x v="0"/>
  </r>
  <r>
    <x v="1"/>
    <n v="65"/>
    <n v="73.667000000000002"/>
    <n v="1.946"/>
    <n v="29.553999999999998"/>
    <n v="100.702"/>
    <s v="136/74"/>
    <n v="132"/>
    <n v="38"/>
    <n v="148"/>
    <x v="1"/>
    <s v="Y"/>
    <s v="High"/>
    <s v="Y"/>
    <n v="194.55600000000001"/>
    <n v="0.51800000000000002"/>
    <n v="136"/>
    <n v="74"/>
    <s v="Hypertension Stage 1"/>
    <n v="64"/>
    <n v="17.350999999999999"/>
    <x v="0"/>
    <x v="0"/>
  </r>
  <r>
    <x v="1"/>
    <n v="58"/>
    <n v="68.584000000000003"/>
    <n v="1.7849999999999999"/>
    <n v="23.355"/>
    <n v="88.625"/>
    <s v="143/65"/>
    <n v="127"/>
    <n v="57"/>
    <n v="113"/>
    <x v="1"/>
    <s v="Y"/>
    <s v="Low"/>
    <s v="N"/>
    <n v="178.49100000000001"/>
    <n v="0.497"/>
    <n v="143"/>
    <n v="65"/>
    <s v="Hypertension Stage 2"/>
    <n v="40"/>
    <n v="16.361000000000001"/>
    <x v="0"/>
    <x v="0"/>
  </r>
  <r>
    <x v="1"/>
    <m/>
    <n v="112.30200000000001"/>
    <n v="1.8220000000000001"/>
    <n v="26.527999999999999"/>
    <n v="79.536000000000001"/>
    <s v="150/100"/>
    <m/>
    <n v="75"/>
    <n v="76"/>
    <x v="0"/>
    <s v="N"/>
    <s v="Moderate"/>
    <s v="Y"/>
    <n v="182.22200000000001"/>
    <n v="0.436"/>
    <n v="150"/>
    <n v="100"/>
    <s v="Hypertension Stage 2"/>
    <n v="187"/>
    <n v="18.646000000000001"/>
    <x v="2"/>
    <x v="0"/>
  </r>
  <r>
    <x v="0"/>
    <m/>
    <n v="54.496000000000002"/>
    <n v="1.8360000000000001"/>
    <n v="30.847000000000001"/>
    <n v="118.374"/>
    <s v="92/100"/>
    <n v="185"/>
    <n v="79"/>
    <m/>
    <x v="0"/>
    <s v="N"/>
    <s v="Moderate"/>
    <s v="N"/>
    <n v="183.59700000000001"/>
    <n v="0.64500000000000002"/>
    <n v="92"/>
    <n v="100"/>
    <s v="Hypertension Stage 2"/>
    <n v="76"/>
    <n v="14.468999999999999"/>
    <x v="0"/>
    <x v="0"/>
  </r>
  <r>
    <x v="1"/>
    <n v="40"/>
    <n v="63.656999999999996"/>
    <n v="1.9790000000000001"/>
    <n v="38.796999999999997"/>
    <n v="105.43300000000001"/>
    <s v="147/90"/>
    <n v="213"/>
    <n v="34"/>
    <n v="138"/>
    <x v="0"/>
    <s v="Y"/>
    <s v="Moderate"/>
    <s v="N"/>
    <n v="197.91499999999999"/>
    <n v="0.53300000000000003"/>
    <n v="147"/>
    <n v="90"/>
    <s v="Hypertension Stage 2"/>
    <n v="149"/>
    <m/>
    <x v="2"/>
    <x v="0"/>
  </r>
  <r>
    <x v="0"/>
    <n v="30"/>
    <n v="55.924999999999997"/>
    <n v="1.506"/>
    <n v="20.962"/>
    <n v="109.86199999999999"/>
    <s v="128/101"/>
    <n v="117"/>
    <n v="44"/>
    <n v="77"/>
    <x v="1"/>
    <s v="Y"/>
    <s v="High"/>
    <s v="Y"/>
    <n v="150.608"/>
    <n v="0.72899999999999998"/>
    <m/>
    <n v="101"/>
    <s v="Hypertension Stage 2"/>
    <n v="43"/>
    <n v="14.932"/>
    <x v="0"/>
    <x v="0"/>
  </r>
  <r>
    <x v="0"/>
    <n v="25"/>
    <n v="65.882999999999996"/>
    <n v="1.7410000000000001"/>
    <n v="37.06"/>
    <n v="107.392"/>
    <s v="163/61"/>
    <n v="229"/>
    <n v="34"/>
    <n v="89"/>
    <x v="1"/>
    <s v="Y"/>
    <s v="High"/>
    <s v="N"/>
    <n v="174.05199999999999"/>
    <n v="0.61699999999999999"/>
    <n v="163"/>
    <n v="61"/>
    <s v="Hypertension Stage 2"/>
    <n v="165"/>
    <n v="22.141999999999999"/>
    <x v="1"/>
    <x v="1"/>
  </r>
  <r>
    <x v="1"/>
    <m/>
    <n v="70.34"/>
    <n v="1.6990000000000001"/>
    <n v="35.125999999999998"/>
    <n v="78.756"/>
    <s v="150/108"/>
    <n v="264"/>
    <n v="87"/>
    <n v="159"/>
    <x v="0"/>
    <s v="Y"/>
    <s v="Low"/>
    <s v="Y"/>
    <n v="169.876"/>
    <n v="0.46400000000000002"/>
    <n v="150"/>
    <n v="108"/>
    <s v="Hypertension Stage 2"/>
    <n v="147"/>
    <n v="21.805"/>
    <x v="0"/>
    <x v="0"/>
  </r>
  <r>
    <x v="0"/>
    <n v="25"/>
    <n v="94.236999999999995"/>
    <n v="1.837"/>
    <n v="19.024000000000001"/>
    <n v="118.386"/>
    <s v="175/105"/>
    <n v="290"/>
    <n v="66"/>
    <n v="155"/>
    <x v="0"/>
    <s v="N"/>
    <s v="Moderate"/>
    <s v="Y"/>
    <n v="183.68299999999999"/>
    <n v="0.64500000000000002"/>
    <n v="175"/>
    <n v="105"/>
    <s v="Hypertension Stage 2"/>
    <n v="194"/>
    <n v="18.355"/>
    <x v="0"/>
    <x v="0"/>
  </r>
  <r>
    <x v="0"/>
    <n v="68"/>
    <n v="73.73"/>
    <n v="1.6910000000000001"/>
    <n v="22.972000000000001"/>
    <n v="116.24299999999999"/>
    <s v="114/63"/>
    <n v="285"/>
    <n v="76"/>
    <n v="131"/>
    <x v="0"/>
    <s v="N"/>
    <s v="Low"/>
    <s v="Y"/>
    <n v="169.065"/>
    <n v="0.68799999999999994"/>
    <n v="114"/>
    <n v="63"/>
    <s v="Normal"/>
    <n v="179"/>
    <n v="15.994"/>
    <x v="0"/>
    <x v="0"/>
  </r>
  <r>
    <x v="1"/>
    <n v="55"/>
    <m/>
    <m/>
    <n v="27.923999999999999"/>
    <n v="88.421000000000006"/>
    <s v="164/118"/>
    <m/>
    <n v="63"/>
    <n v="172"/>
    <x v="0"/>
    <s v="Y"/>
    <s v="High"/>
    <s v="Y"/>
    <n v="178.46100000000001"/>
    <n v="0.495"/>
    <n v="164"/>
    <m/>
    <s v="Hypertension Stage 2"/>
    <n v="157"/>
    <n v="20.785"/>
    <x v="1"/>
    <x v="1"/>
  </r>
  <r>
    <x v="1"/>
    <n v="76"/>
    <n v="58.82"/>
    <n v="1.92"/>
    <n v="21.324000000000002"/>
    <n v="86.471000000000004"/>
    <s v="94/77"/>
    <n v="193"/>
    <n v="83"/>
    <n v="172"/>
    <x v="0"/>
    <s v="Y"/>
    <s v="Low"/>
    <s v="N"/>
    <n v="192.04400000000001"/>
    <n v="0.45"/>
    <n v="94"/>
    <n v="77"/>
    <s v="Normal"/>
    <n v="80"/>
    <n v="14.824999999999999"/>
    <x v="0"/>
    <x v="0"/>
  </r>
  <r>
    <x v="0"/>
    <n v="28"/>
    <n v="88.953999999999994"/>
    <n v="1.877"/>
    <n v="32.024999999999999"/>
    <n v="74.763999999999996"/>
    <s v="139/98"/>
    <n v="268"/>
    <n v="54"/>
    <n v="96"/>
    <x v="0"/>
    <s v="N"/>
    <s v="High"/>
    <s v="Y"/>
    <n v="187.74799999999999"/>
    <m/>
    <n v="139"/>
    <m/>
    <s v="Hypertension Stage 1"/>
    <n v="184"/>
    <n v="18.715"/>
    <x v="1"/>
    <x v="1"/>
  </r>
  <r>
    <x v="0"/>
    <n v="64"/>
    <n v="87.152000000000001"/>
    <m/>
    <n v="26.512"/>
    <n v="80.593000000000004"/>
    <s v="99/77"/>
    <n v="247"/>
    <n v="62"/>
    <n v="96"/>
    <x v="1"/>
    <s v="Y"/>
    <s v="High"/>
    <s v="N"/>
    <n v="178.14"/>
    <n v="0.45200000000000001"/>
    <n v="99"/>
    <n v="77"/>
    <s v="Normal"/>
    <n v="155"/>
    <n v="17.192"/>
    <x v="0"/>
    <x v="0"/>
  </r>
  <r>
    <x v="1"/>
    <n v="31"/>
    <m/>
    <n v="1.5629999999999999"/>
    <n v="19.096"/>
    <m/>
    <s v="126/84"/>
    <n v="265"/>
    <n v="39"/>
    <n v="171"/>
    <x v="1"/>
    <s v="Y"/>
    <s v="High"/>
    <s v="Y"/>
    <n v="156.30099999999999"/>
    <n v="0.60299999999999998"/>
    <n v="126"/>
    <n v="84"/>
    <s v="Hypertension Stage 1"/>
    <n v="196"/>
    <n v="17.419"/>
    <x v="2"/>
    <x v="0"/>
  </r>
  <r>
    <x v="1"/>
    <n v="77"/>
    <n v="71.846999999999994"/>
    <n v="1.9359999999999999"/>
    <n v="19.053000000000001"/>
    <n v="117.693"/>
    <s v="178/63"/>
    <n v="201"/>
    <n v="65"/>
    <n v="142"/>
    <x v="1"/>
    <s v="N"/>
    <s v="Low"/>
    <s v="Y"/>
    <n v="193.631"/>
    <m/>
    <n v="178"/>
    <n v="63"/>
    <s v="Hypertension Stage 2"/>
    <n v="106"/>
    <n v="16.731000000000002"/>
    <x v="2"/>
    <x v="0"/>
  </r>
  <r>
    <x v="0"/>
    <n v="54"/>
    <n v="98.480999999999995"/>
    <n v="1.798"/>
    <n v="25.846"/>
    <n v="77.537000000000006"/>
    <s v="125/88"/>
    <n v="126"/>
    <n v="81"/>
    <n v="86"/>
    <x v="1"/>
    <s v="Y"/>
    <s v="Low"/>
    <s v="Y"/>
    <n v="179.846"/>
    <n v="0.43099999999999999"/>
    <n v="125"/>
    <n v="88"/>
    <s v="Hypertension Stage 1"/>
    <n v="15"/>
    <n v="15.939"/>
    <x v="2"/>
    <x v="0"/>
  </r>
  <r>
    <x v="0"/>
    <n v="36"/>
    <n v="106.83199999999999"/>
    <n v="1.583"/>
    <n v="31.925999999999998"/>
    <n v="111.33199999999999"/>
    <s v="170/116"/>
    <n v="247"/>
    <n v="53"/>
    <n v="129"/>
    <x v="1"/>
    <s v="N"/>
    <s v="Low"/>
    <s v="Y"/>
    <n v="158.30799999999999"/>
    <n v="0.70299999999999996"/>
    <n v="170"/>
    <n v="116"/>
    <s v="Hypertension Stage 2"/>
    <n v="164"/>
    <m/>
    <x v="0"/>
    <x v="0"/>
  </r>
  <r>
    <x v="0"/>
    <n v="27"/>
    <n v="115.14400000000001"/>
    <n v="1.5269999999999999"/>
    <n v="24.876999999999999"/>
    <n v="119.495"/>
    <s v="147/90"/>
    <n v="249"/>
    <n v="82"/>
    <n v="177"/>
    <x v="0"/>
    <s v="Y"/>
    <s v="Low"/>
    <s v="N"/>
    <n v="152.71299999999999"/>
    <n v="0.78200000000000003"/>
    <n v="147"/>
    <n v="90"/>
    <s v="Hypertension Stage 2"/>
    <n v="137"/>
    <n v="19.305"/>
    <x v="0"/>
    <x v="0"/>
  </r>
  <r>
    <x v="0"/>
    <n v="79"/>
    <n v="89.738"/>
    <n v="1.8720000000000001"/>
    <n v="25.768999999999998"/>
    <n v="110.836"/>
    <s v="147/108"/>
    <n v="216"/>
    <n v="63"/>
    <n v="108"/>
    <x v="0"/>
    <s v="N"/>
    <s v="Moderate"/>
    <s v="Y"/>
    <n v="187.16399999999999"/>
    <n v="0.59199999999999997"/>
    <n v="147"/>
    <n v="108"/>
    <s v="Hypertension Stage 2"/>
    <n v="123"/>
    <n v="16.824000000000002"/>
    <x v="2"/>
    <x v="0"/>
  </r>
  <r>
    <x v="0"/>
    <n v="29"/>
    <n v="53.847000000000001"/>
    <n v="1.8"/>
    <n v="30.696000000000002"/>
    <n v="103.182"/>
    <s v="141/108"/>
    <n v="252"/>
    <m/>
    <n v="98"/>
    <x v="1"/>
    <s v="Y"/>
    <s v="Moderate"/>
    <s v="N"/>
    <n v="180.03299999999999"/>
    <n v="0.57299999999999995"/>
    <n v="141"/>
    <n v="108"/>
    <s v="Hypertension Stage 2"/>
    <n v="167"/>
    <n v="20.228999999999999"/>
    <x v="1"/>
    <x v="1"/>
  </r>
  <r>
    <x v="0"/>
    <n v="71"/>
    <n v="81.444999999999993"/>
    <n v="1.958"/>
    <n v="25.209"/>
    <n v="87.242000000000004"/>
    <s v="149/78"/>
    <n v="295"/>
    <n v="34"/>
    <m/>
    <x v="0"/>
    <s v="N"/>
    <s v="Moderate"/>
    <s v="N"/>
    <n v="195.81899999999999"/>
    <n v="0.44600000000000001"/>
    <n v="149"/>
    <n v="78"/>
    <s v="Hypertension Stage 2"/>
    <m/>
    <n v="18.391999999999999"/>
    <x v="2"/>
    <x v="0"/>
  </r>
  <r>
    <x v="1"/>
    <m/>
    <n v="83.971000000000004"/>
    <n v="1.925"/>
    <n v="27.524999999999999"/>
    <n v="91.305000000000007"/>
    <s v="91/98"/>
    <n v="150"/>
    <n v="62"/>
    <n v="173"/>
    <x v="0"/>
    <s v="Y"/>
    <s v="High"/>
    <s v="Y"/>
    <n v="192.535"/>
    <n v="0.47399999999999998"/>
    <n v="91"/>
    <n v="98"/>
    <s v="Hypertension Stage 2"/>
    <n v="58"/>
    <n v="15.055"/>
    <x v="1"/>
    <x v="1"/>
  </r>
  <r>
    <x v="0"/>
    <n v="30"/>
    <n v="115.794"/>
    <n v="1.641"/>
    <n v="20.564"/>
    <m/>
    <s v="99/73"/>
    <n v="219"/>
    <m/>
    <n v="115"/>
    <x v="1"/>
    <s v="N"/>
    <s v="Low"/>
    <s v="N"/>
    <n v="164.126"/>
    <n v="0.63800000000000001"/>
    <n v="99"/>
    <n v="73"/>
    <s v="Normal"/>
    <n v="152"/>
    <n v="13.443"/>
    <x v="0"/>
    <x v="0"/>
  </r>
  <r>
    <x v="1"/>
    <n v="41"/>
    <n v="116.024"/>
    <n v="1.5389999999999999"/>
    <n v="23.917000000000002"/>
    <n v="72.846999999999994"/>
    <s v="161/92"/>
    <n v="208"/>
    <n v="69"/>
    <n v="84"/>
    <x v="0"/>
    <s v="Y"/>
    <s v="Moderate"/>
    <s v="Y"/>
    <n v="153.916"/>
    <n v="0.47299999999999998"/>
    <n v="161"/>
    <n v="92"/>
    <s v="Hypertension Stage 2"/>
    <n v="109"/>
    <n v="18.992999999999999"/>
    <x v="0"/>
    <x v="0"/>
  </r>
  <r>
    <x v="1"/>
    <n v="67"/>
    <m/>
    <n v="1.722"/>
    <n v="27.672000000000001"/>
    <n v="85.176000000000002"/>
    <s v="162/79"/>
    <n v="232"/>
    <n v="34"/>
    <n v="192"/>
    <x v="0"/>
    <s v="N"/>
    <s v="Moderate"/>
    <s v="N"/>
    <n v="172.17500000000001"/>
    <n v="0.495"/>
    <n v="162"/>
    <n v="79"/>
    <s v="Hypertension Stage 2"/>
    <n v="168"/>
    <n v="18.274000000000001"/>
    <x v="1"/>
    <x v="1"/>
  </r>
  <r>
    <x v="0"/>
    <n v="60"/>
    <n v="107.84099999999999"/>
    <n v="1.7030000000000001"/>
    <n v="37.747"/>
    <n v="88.787000000000006"/>
    <s v="132/63"/>
    <n v="214"/>
    <n v="73"/>
    <n v="118"/>
    <x v="1"/>
    <s v="N"/>
    <s v="Moderate"/>
    <s v="Y"/>
    <n v="170.3"/>
    <n v="0.52100000000000002"/>
    <n v="132"/>
    <m/>
    <s v="Hypertension Stage 1"/>
    <n v="111"/>
    <m/>
    <x v="2"/>
    <x v="0"/>
  </r>
  <r>
    <x v="1"/>
    <n v="63"/>
    <n v="96.870999999999995"/>
    <n v="1.673"/>
    <n v="31.201000000000001"/>
    <n v="103.46299999999999"/>
    <s v="107/65"/>
    <n v="289"/>
    <n v="62"/>
    <m/>
    <x v="0"/>
    <s v="N"/>
    <s v="Low"/>
    <s v="N"/>
    <n v="167.34700000000001"/>
    <n v="0.61799999999999999"/>
    <n v="107"/>
    <n v="65"/>
    <s v="Normal"/>
    <n v="197"/>
    <n v="17.37"/>
    <x v="0"/>
    <x v="0"/>
  </r>
  <r>
    <x v="1"/>
    <n v="64"/>
    <n v="109.962"/>
    <n v="1.865"/>
    <n v="31.501999999999999"/>
    <n v="83.17"/>
    <s v="163/78"/>
    <n v="160"/>
    <n v="75"/>
    <n v="134"/>
    <x v="1"/>
    <s v="N"/>
    <s v="Moderate"/>
    <s v="Y"/>
    <n v="186.494"/>
    <n v="0.44600000000000001"/>
    <n v="163"/>
    <n v="78"/>
    <s v="Hypertension Stage 2"/>
    <n v="55"/>
    <n v="17.649999999999999"/>
    <x v="1"/>
    <x v="1"/>
  </r>
  <r>
    <x v="0"/>
    <m/>
    <n v="112.52"/>
    <n v="1.52"/>
    <n v="21.988"/>
    <n v="106.12"/>
    <s v="117/96"/>
    <n v="228"/>
    <n v="40"/>
    <n v="91"/>
    <x v="0"/>
    <s v="Y"/>
    <s v="Low"/>
    <s v="Y"/>
    <n v="152.02000000000001"/>
    <n v="0.69799999999999995"/>
    <n v="117"/>
    <n v="96"/>
    <s v="Hypertension Stage 2"/>
    <n v="158"/>
    <n v="16.808"/>
    <x v="2"/>
    <x v="0"/>
  </r>
  <r>
    <x v="1"/>
    <n v="49"/>
    <n v="66.072999999999993"/>
    <n v="1.94"/>
    <n v="32.301000000000002"/>
    <n v="90.433000000000007"/>
    <s v="122/97"/>
    <n v="240"/>
    <n v="37"/>
    <n v="157"/>
    <x v="0"/>
    <s v="Y"/>
    <s v="Moderate"/>
    <s v="Y"/>
    <n v="193.988"/>
    <n v="0.46600000000000003"/>
    <n v="122"/>
    <n v="97"/>
    <s v="Hypertension Stage 2"/>
    <n v="173"/>
    <n v="19.36"/>
    <x v="1"/>
    <x v="1"/>
  </r>
  <r>
    <x v="0"/>
    <n v="66"/>
    <n v="56.363"/>
    <n v="1.6659999999999999"/>
    <n v="27.126999999999999"/>
    <n v="75.180999999999997"/>
    <s v="101/91"/>
    <n v="179"/>
    <n v="34"/>
    <n v="148"/>
    <x v="0"/>
    <s v="N"/>
    <s v="Low"/>
    <s v="Y"/>
    <n v="166.58600000000001"/>
    <n v="0.45100000000000001"/>
    <n v="101"/>
    <n v="91"/>
    <s v="Hypertension Stage 2"/>
    <n v="115"/>
    <n v="14.055"/>
    <x v="0"/>
    <x v="0"/>
  </r>
  <r>
    <x v="0"/>
    <n v="31"/>
    <n v="61.393000000000001"/>
    <n v="1.63"/>
    <n v="22.696000000000002"/>
    <n v="111.024"/>
    <s v="154/112"/>
    <n v="164"/>
    <n v="85"/>
    <n v="195"/>
    <x v="1"/>
    <s v="N"/>
    <s v="Moderate"/>
    <s v="N"/>
    <n v="163.023"/>
    <n v="0.68100000000000005"/>
    <n v="154"/>
    <n v="112"/>
    <s v="Hypertension Stage 2"/>
    <n v="49"/>
    <n v="15.519"/>
    <x v="1"/>
    <x v="1"/>
  </r>
  <r>
    <x v="0"/>
    <n v="64"/>
    <n v="62.584000000000003"/>
    <n v="1.627"/>
    <n v="38.851999999999997"/>
    <n v="92.159000000000006"/>
    <s v="143/84"/>
    <n v="241"/>
    <n v="58"/>
    <n v="166"/>
    <x v="1"/>
    <s v="Y"/>
    <s v="High"/>
    <s v="Y"/>
    <n v="162.655"/>
    <n v="0.56699999999999995"/>
    <n v="143"/>
    <n v="84"/>
    <s v="Hypertension Stage 1"/>
    <n v="153"/>
    <n v="21.74"/>
    <x v="1"/>
    <x v="1"/>
  </r>
  <r>
    <x v="1"/>
    <n v="45"/>
    <n v="119.054"/>
    <n v="1.5309999999999999"/>
    <n v="25.117000000000001"/>
    <n v="98.700999999999993"/>
    <s v="134/91"/>
    <n v="225"/>
    <n v="53"/>
    <n v="126"/>
    <x v="1"/>
    <s v="Y"/>
    <s v="Moderate"/>
    <s v="N"/>
    <n v="153.05699999999999"/>
    <n v="0.64500000000000002"/>
    <m/>
    <n v="91"/>
    <s v="Hypertension Stage 1"/>
    <n v="142"/>
    <n v="18.222999999999999"/>
    <x v="2"/>
    <x v="0"/>
  </r>
  <r>
    <x v="1"/>
    <n v="61"/>
    <n v="108.191"/>
    <n v="1.8129999999999999"/>
    <n v="37.866"/>
    <n v="112.492"/>
    <s v="173/68"/>
    <n v="182"/>
    <n v="71"/>
    <n v="72"/>
    <x v="1"/>
    <s v="N"/>
    <s v="Moderate"/>
    <s v="N"/>
    <n v="181.28700000000001"/>
    <n v="0.621"/>
    <n v="173"/>
    <n v="68"/>
    <s v="Hypertension Stage 2"/>
    <n v="81"/>
    <n v="19.863"/>
    <x v="1"/>
    <x v="1"/>
  </r>
  <r>
    <x v="0"/>
    <n v="59"/>
    <n v="101.614"/>
    <n v="1.5760000000000001"/>
    <n v="34.651000000000003"/>
    <n v="95.959000000000003"/>
    <s v="178/108"/>
    <n v="164"/>
    <n v="54"/>
    <n v="165"/>
    <x v="0"/>
    <s v="Y"/>
    <s v="High"/>
    <s v="N"/>
    <n v="157.64500000000001"/>
    <n v="0.60899999999999999"/>
    <n v="178"/>
    <n v="108"/>
    <s v="Hypertension Stage 2"/>
    <n v="80"/>
    <n v="21.11"/>
    <x v="2"/>
    <x v="0"/>
  </r>
  <r>
    <x v="0"/>
    <n v="59"/>
    <n v="94.435000000000002"/>
    <m/>
    <m/>
    <n v="98.32"/>
    <s v="99/64"/>
    <n v="292"/>
    <n v="37"/>
    <m/>
    <x v="0"/>
    <s v="N"/>
    <s v="High"/>
    <s v="N"/>
    <n v="166.85400000000001"/>
    <n v="0.58899999999999997"/>
    <m/>
    <n v="64"/>
    <s v="Normal"/>
    <n v="225"/>
    <n v="16.779"/>
    <x v="1"/>
    <x v="1"/>
  </r>
  <r>
    <x v="0"/>
    <n v="73"/>
    <n v="56.05"/>
    <n v="1.704"/>
    <n v="35.158999999999999"/>
    <n v="97.144999999999996"/>
    <s v="134/76"/>
    <n v="206"/>
    <n v="31"/>
    <n v="80"/>
    <x v="1"/>
    <s v="N"/>
    <s v="Low"/>
    <s v="N"/>
    <n v="170.41499999999999"/>
    <n v="0.56999999999999995"/>
    <n v="134"/>
    <n v="76"/>
    <s v="Hypertension Stage 1"/>
    <n v="145"/>
    <n v="17.852"/>
    <x v="0"/>
    <x v="0"/>
  </r>
  <r>
    <x v="0"/>
    <m/>
    <n v="72.75"/>
    <n v="1.861"/>
    <n v="18.565000000000001"/>
    <n v="75.935000000000002"/>
    <s v="130/78"/>
    <n v="106"/>
    <n v="74"/>
    <n v="121"/>
    <x v="1"/>
    <s v="N"/>
    <s v="Low"/>
    <s v="Y"/>
    <n v="186.12700000000001"/>
    <n v="0.40799999999999997"/>
    <n v="130"/>
    <n v="78"/>
    <s v="Hypertension Stage 1"/>
    <n v="2"/>
    <n v="12.333"/>
    <x v="2"/>
    <x v="0"/>
  </r>
  <r>
    <x v="1"/>
    <n v="56"/>
    <n v="87.994"/>
    <n v="1.583"/>
    <n v="18.669"/>
    <n v="116.67100000000001"/>
    <s v="159/60"/>
    <n v="280"/>
    <n v="46"/>
    <m/>
    <x v="1"/>
    <s v="Y"/>
    <s v="Moderate"/>
    <s v="N"/>
    <n v="158.34200000000001"/>
    <n v="0.73699999999999999"/>
    <n v="159"/>
    <n v="60"/>
    <s v="Hypertension Stage 2"/>
    <n v="204"/>
    <n v="19.283999999999999"/>
    <x v="2"/>
    <x v="0"/>
  </r>
  <r>
    <x v="0"/>
    <n v="35"/>
    <n v="92.004999999999995"/>
    <n v="1.726"/>
    <m/>
    <n v="98.691999999999993"/>
    <s v="95/111"/>
    <n v="156"/>
    <n v="80"/>
    <n v="80"/>
    <x v="0"/>
    <s v="Y"/>
    <s v="High"/>
    <s v="N"/>
    <n v="172.602"/>
    <n v="0.57199999999999995"/>
    <n v="95"/>
    <n v="111"/>
    <s v="Hypertension Stage 2"/>
    <n v="46"/>
    <n v="14.316000000000001"/>
    <x v="2"/>
    <x v="0"/>
  </r>
  <r>
    <x v="0"/>
    <n v="35"/>
    <n v="66.656999999999996"/>
    <n v="1.9359999999999999"/>
    <n v="31.658000000000001"/>
    <n v="77.477000000000004"/>
    <s v="148/93"/>
    <n v="251"/>
    <n v="48"/>
    <n v="144"/>
    <x v="0"/>
    <s v="N"/>
    <s v="Moderate"/>
    <s v="N"/>
    <n v="193.578"/>
    <n v="0.4"/>
    <n v="148"/>
    <n v="93"/>
    <s v="Hypertension Stage 2"/>
    <n v="173"/>
    <n v="18.751999999999999"/>
    <x v="1"/>
    <x v="1"/>
  </r>
  <r>
    <x v="0"/>
    <n v="72"/>
    <n v="113.375"/>
    <n v="1.8420000000000001"/>
    <n v="28.870999999999999"/>
    <n v="81.93"/>
    <s v="177/67"/>
    <n v="255"/>
    <n v="76"/>
    <n v="94"/>
    <x v="1"/>
    <s v="N"/>
    <s v="Low"/>
    <s v="N"/>
    <m/>
    <n v="0.44500000000000001"/>
    <n v="177"/>
    <n v="67"/>
    <s v="Hypertension Stage 2"/>
    <n v="149"/>
    <n v="19.724"/>
    <x v="1"/>
    <x v="1"/>
  </r>
  <r>
    <x v="0"/>
    <n v="72"/>
    <n v="114.687"/>
    <n v="1.611"/>
    <n v="39.601999999999997"/>
    <n v="73.828999999999994"/>
    <s v="143/62"/>
    <n v="137"/>
    <n v="48"/>
    <n v="123"/>
    <x v="1"/>
    <s v="N"/>
    <s v="Low"/>
    <s v="N"/>
    <n v="161.12299999999999"/>
    <n v="0.45800000000000002"/>
    <n v="143"/>
    <n v="62"/>
    <s v="Hypertension Stage 2"/>
    <n v="59"/>
    <n v="17.809999999999999"/>
    <x v="1"/>
    <x v="1"/>
  </r>
  <r>
    <x v="1"/>
    <n v="25"/>
    <n v="59.59"/>
    <n v="1.5780000000000001"/>
    <n v="25.876999999999999"/>
    <n v="90.146000000000001"/>
    <s v="93/79"/>
    <n v="239"/>
    <n v="78"/>
    <n v="70"/>
    <x v="0"/>
    <s v="N"/>
    <s v="Moderate"/>
    <s v="Y"/>
    <n v="157.827"/>
    <n v="0.57099999999999995"/>
    <n v="93"/>
    <n v="79"/>
    <s v="Normal"/>
    <n v="131"/>
    <n v="14.605"/>
    <x v="2"/>
    <x v="0"/>
  </r>
  <r>
    <x v="0"/>
    <n v="79"/>
    <n v="118.551"/>
    <n v="1.8740000000000001"/>
    <n v="34.009"/>
    <n v="95.67"/>
    <s v="133/110"/>
    <n v="116"/>
    <m/>
    <n v="138"/>
    <x v="1"/>
    <s v="Y"/>
    <s v="Low"/>
    <s v="Y"/>
    <n v="187.40700000000001"/>
    <n v="0.51"/>
    <n v="133"/>
    <m/>
    <s v="Hypertension Stage 1"/>
    <n v="37"/>
    <n v="17.771999999999998"/>
    <x v="2"/>
    <x v="0"/>
  </r>
  <r>
    <x v="0"/>
    <n v="59"/>
    <n v="113.852"/>
    <n v="1.8979999999999999"/>
    <n v="27.341999999999999"/>
    <n v="98.588999999999999"/>
    <s v="139/72"/>
    <n v="228"/>
    <n v="83"/>
    <n v="189"/>
    <x v="1"/>
    <s v="Y"/>
    <s v="High"/>
    <s v="N"/>
    <m/>
    <n v="0.51900000000000002"/>
    <n v="139"/>
    <n v="72"/>
    <s v="Hypertension Stage 1"/>
    <n v="115"/>
    <n v="18.978000000000002"/>
    <x v="2"/>
    <x v="0"/>
  </r>
  <r>
    <x v="0"/>
    <n v="39"/>
    <n v="80.778000000000006"/>
    <n v="1.514"/>
    <n v="39.4"/>
    <n v="83.332999999999998"/>
    <s v="147/107"/>
    <n v="202"/>
    <n v="48"/>
    <n v="119"/>
    <x v="1"/>
    <s v="Y"/>
    <s v="Low"/>
    <s v="Y"/>
    <n v="151.35400000000001"/>
    <n v="0.55100000000000005"/>
    <n v="147"/>
    <n v="107"/>
    <s v="Hypertension Stage 2"/>
    <n v="124"/>
    <n v="21.27"/>
    <x v="1"/>
    <x v="1"/>
  </r>
  <r>
    <x v="0"/>
    <n v="70"/>
    <n v="80.209999999999994"/>
    <n v="1.5169999999999999"/>
    <n v="39.329000000000001"/>
    <n v="84.858999999999995"/>
    <s v="90/109"/>
    <n v="132"/>
    <m/>
    <n v="194"/>
    <x v="0"/>
    <s v="Y"/>
    <s v="High"/>
    <s v="N"/>
    <n v="151.70699999999999"/>
    <n v="0.55900000000000005"/>
    <n v="90"/>
    <n v="109"/>
    <s v="Hypertension Stage 2"/>
    <n v="62"/>
    <n v="17.006"/>
    <x v="1"/>
    <x v="1"/>
  </r>
  <r>
    <x v="0"/>
    <n v="29"/>
    <n v="99.355000000000004"/>
    <m/>
    <n v="38.600999999999999"/>
    <n v="106.727"/>
    <s v="169/119"/>
    <n v="261"/>
    <n v="43"/>
    <n v="169"/>
    <x v="1"/>
    <s v="N"/>
    <s v="Moderate"/>
    <s v="Y"/>
    <n v="181.11199999999999"/>
    <n v="0.58899999999999997"/>
    <n v="169"/>
    <n v="119"/>
    <s v="Hypertension Stage 2"/>
    <n v="188"/>
    <n v="21.39"/>
    <x v="1"/>
    <x v="1"/>
  </r>
  <r>
    <x v="0"/>
    <n v="39"/>
    <n v="64.724000000000004"/>
    <n v="1.8440000000000001"/>
    <n v="25.879000000000001"/>
    <n v="87.762"/>
    <s v="149/82"/>
    <n v="108"/>
    <n v="50"/>
    <n v="92"/>
    <x v="1"/>
    <s v="N"/>
    <s v="Moderate"/>
    <s v="N"/>
    <n v="184.44900000000001"/>
    <n v="0.47599999999999998"/>
    <n v="149"/>
    <n v="82"/>
    <s v="Hypertension Stage 1"/>
    <n v="28"/>
    <n v="14.786"/>
    <x v="1"/>
    <x v="1"/>
  </r>
  <r>
    <x v="1"/>
    <n v="26"/>
    <n v="61.716999999999999"/>
    <n v="1.7010000000000001"/>
    <n v="26.474"/>
    <n v="102.253"/>
    <s v="93/79"/>
    <n v="284"/>
    <n v="82"/>
    <n v="95"/>
    <x v="0"/>
    <s v="Y"/>
    <s v="Moderate"/>
    <s v="N"/>
    <n v="170.12"/>
    <n v="0.60099999999999998"/>
    <n v="93"/>
    <n v="79"/>
    <s v="Normal"/>
    <m/>
    <n v="17.625"/>
    <x v="2"/>
    <x v="0"/>
  </r>
  <r>
    <x v="0"/>
    <n v="41"/>
    <n v="110.67100000000001"/>
    <n v="1.853"/>
    <n v="33.140999999999998"/>
    <n v="113.437"/>
    <s v="102/71"/>
    <n v="136"/>
    <n v="62"/>
    <n v="181"/>
    <x v="0"/>
    <s v="N"/>
    <s v="Low"/>
    <s v="N"/>
    <n v="185.345"/>
    <n v="0.61199999999999999"/>
    <n v="102"/>
    <n v="71"/>
    <s v="Normal"/>
    <n v="44"/>
    <n v="14.448"/>
    <x v="0"/>
    <x v="0"/>
  </r>
  <r>
    <x v="0"/>
    <n v="63"/>
    <n v="102.85899999999999"/>
    <n v="1.593"/>
    <n v="38.125"/>
    <n v="73.057000000000002"/>
    <s v="125/94"/>
    <n v="126"/>
    <n v="33"/>
    <n v="102"/>
    <x v="1"/>
    <s v="N"/>
    <s v="High"/>
    <s v="N"/>
    <n v="159.33099999999999"/>
    <n v="0.45900000000000002"/>
    <n v="125"/>
    <n v="94"/>
    <s v="Hypertension Stage 2"/>
    <n v="63"/>
    <n v="16.395"/>
    <x v="1"/>
    <x v="1"/>
  </r>
  <r>
    <x v="1"/>
    <m/>
    <n v="61.262"/>
    <n v="1.712"/>
    <n v="23.332999999999998"/>
    <n v="98.600999999999999"/>
    <s v="129/85"/>
    <n v="103"/>
    <n v="83"/>
    <n v="127"/>
    <x v="0"/>
    <s v="Y"/>
    <s v="Moderate"/>
    <s v="Y"/>
    <n v="171.21799999999999"/>
    <n v="0.57599999999999996"/>
    <n v="129"/>
    <n v="85"/>
    <s v="Hypertension Stage 1"/>
    <n v="-10"/>
    <n v="15.177"/>
    <x v="1"/>
    <x v="1"/>
  </r>
  <r>
    <x v="1"/>
    <n v="66"/>
    <n v="97.128"/>
    <n v="1.6619999999999999"/>
    <n v="20.533000000000001"/>
    <n v="99.930999999999997"/>
    <s v="143/91"/>
    <n v="260"/>
    <n v="60"/>
    <n v="105"/>
    <x v="0"/>
    <s v="N"/>
    <s v="Low"/>
    <s v="N"/>
    <n v="166.203"/>
    <n v="0.60099999999999998"/>
    <n v="143"/>
    <n v="91"/>
    <s v="Hypertension Stage 2"/>
    <n v="170"/>
    <n v="16.457000000000001"/>
    <x v="2"/>
    <x v="0"/>
  </r>
  <r>
    <x v="0"/>
    <n v="26"/>
    <n v="75.631"/>
    <n v="1.7749999999999999"/>
    <n v="31.672000000000001"/>
    <n v="113.36199999999999"/>
    <s v="104/113"/>
    <n v="278"/>
    <n v="89"/>
    <n v="191"/>
    <x v="1"/>
    <s v="Y"/>
    <s v="High"/>
    <s v="N"/>
    <n v="177.47"/>
    <n v="0.63900000000000001"/>
    <n v="104"/>
    <n v="113"/>
    <s v="Hypertension Stage 2"/>
    <n v="159"/>
    <n v="19.094000000000001"/>
    <x v="2"/>
    <x v="0"/>
  </r>
  <r>
    <x v="0"/>
    <n v="58"/>
    <n v="76.506"/>
    <n v="1.5129999999999999"/>
    <n v="24.196999999999999"/>
    <n v="118.583"/>
    <s v="115/105"/>
    <m/>
    <n v="63"/>
    <n v="120"/>
    <x v="1"/>
    <s v="N"/>
    <s v="Moderate"/>
    <s v="N"/>
    <n v="151.29599999999999"/>
    <n v="0.78400000000000003"/>
    <n v="115"/>
    <m/>
    <s v="Hypertension Stage 2"/>
    <n v="41"/>
    <n v="13.269"/>
    <x v="0"/>
    <x v="0"/>
  </r>
  <r>
    <x v="0"/>
    <n v="57"/>
    <n v="92.923000000000002"/>
    <n v="1.8420000000000001"/>
    <n v="33.116"/>
    <n v="106.315"/>
    <s v="101/91"/>
    <n v="158"/>
    <n v="71"/>
    <n v="76"/>
    <x v="0"/>
    <s v="Y"/>
    <s v="High"/>
    <s v="Y"/>
    <n v="184.172"/>
    <n v="0.57699999999999996"/>
    <n v="101"/>
    <n v="91"/>
    <s v="Hypertension Stage 2"/>
    <n v="57"/>
    <n v="16.832999999999998"/>
    <x v="0"/>
    <x v="0"/>
  </r>
  <r>
    <x v="0"/>
    <n v="72"/>
    <n v="97.58"/>
    <n v="1.5049999999999999"/>
    <n v="24.2"/>
    <n v="95.757999999999996"/>
    <s v="162/106"/>
    <n v="245"/>
    <n v="58"/>
    <n v="194"/>
    <x v="1"/>
    <s v="N"/>
    <s v="High"/>
    <s v="Y"/>
    <m/>
    <n v="0.63600000000000001"/>
    <n v="162"/>
    <m/>
    <s v="Hypertension Stage 2"/>
    <n v="157"/>
    <n v="17.84"/>
    <x v="0"/>
    <x v="0"/>
  </r>
  <r>
    <x v="1"/>
    <n v="71"/>
    <n v="73.605999999999995"/>
    <n v="1.72"/>
    <n v="31.202999999999999"/>
    <n v="91.233999999999995"/>
    <s v="105/107"/>
    <n v="235"/>
    <n v="32"/>
    <n v="174"/>
    <x v="0"/>
    <s v="Y"/>
    <s v="Moderate"/>
    <s v="Y"/>
    <m/>
    <n v="0.53"/>
    <n v="105"/>
    <n v="107"/>
    <s v="Hypertension Stage 2"/>
    <n v="173"/>
    <n v="18.190999999999999"/>
    <x v="1"/>
    <x v="1"/>
  </r>
  <r>
    <x v="1"/>
    <n v="68"/>
    <m/>
    <n v="1.851"/>
    <n v="20.474"/>
    <n v="97.393000000000001"/>
    <s v="160/99"/>
    <n v="279"/>
    <n v="47"/>
    <n v="88"/>
    <x v="1"/>
    <s v="N"/>
    <s v="High"/>
    <s v="Y"/>
    <n v="185.11699999999999"/>
    <n v="0.52600000000000002"/>
    <n v="160"/>
    <n v="99"/>
    <s v="Hypertension Stage 2"/>
    <m/>
    <n v="17.675000000000001"/>
    <x v="0"/>
    <x v="0"/>
  </r>
  <r>
    <x v="1"/>
    <m/>
    <n v="69.944999999999993"/>
    <n v="1.6479999999999999"/>
    <n v="38.807000000000002"/>
    <n v="79.69"/>
    <s v="139/79"/>
    <n v="123"/>
    <n v="42"/>
    <n v="92"/>
    <x v="1"/>
    <s v="Y"/>
    <s v="Low"/>
    <s v="N"/>
    <n v="164.77"/>
    <n v="0.48399999999999999"/>
    <n v="139"/>
    <n v="79"/>
    <s v="Hypertension Stage 1"/>
    <n v="51"/>
    <n v="19.170999999999999"/>
    <x v="1"/>
    <x v="1"/>
  </r>
  <r>
    <x v="0"/>
    <n v="60"/>
    <n v="55.317999999999998"/>
    <n v="1.99"/>
    <n v="27.309000000000001"/>
    <n v="75.926000000000002"/>
    <s v="170/100"/>
    <n v="243"/>
    <n v="63"/>
    <n v="143"/>
    <x v="0"/>
    <s v="Y"/>
    <s v="Low"/>
    <s v="Y"/>
    <n v="198.96600000000001"/>
    <n v="0.38200000000000001"/>
    <n v="170"/>
    <n v="100"/>
    <s v="Hypertension Stage 2"/>
    <n v="150"/>
    <n v="20.821999999999999"/>
    <x v="1"/>
    <x v="1"/>
  </r>
  <r>
    <x v="0"/>
    <n v="26"/>
    <n v="100.47499999999999"/>
    <n v="1.881"/>
    <n v="23.193999999999999"/>
    <n v="113.065"/>
    <s v="112/92"/>
    <m/>
    <n v="68"/>
    <n v="92"/>
    <x v="0"/>
    <s v="Y"/>
    <s v="High"/>
    <s v="N"/>
    <n v="188.11799999999999"/>
    <n v="0.60099999999999998"/>
    <m/>
    <n v="92"/>
    <s v="Hypertension Stage 2"/>
    <n v="141"/>
    <n v="17.018999999999998"/>
    <x v="2"/>
    <x v="0"/>
  </r>
  <r>
    <x v="1"/>
    <n v="42"/>
    <n v="87.025000000000006"/>
    <n v="1.9550000000000001"/>
    <n v="27.308"/>
    <n v="86.331000000000003"/>
    <s v="104/95"/>
    <n v="251"/>
    <n v="61"/>
    <n v="177"/>
    <x v="0"/>
    <s v="N"/>
    <s v="High"/>
    <s v="N"/>
    <n v="195.54900000000001"/>
    <n v="0.441"/>
    <n v="104"/>
    <n v="95"/>
    <s v="Hypertension Stage 2"/>
    <n v="160"/>
    <n v="15.682"/>
    <x v="0"/>
    <x v="0"/>
  </r>
  <r>
    <x v="1"/>
    <n v="30"/>
    <n v="89.924000000000007"/>
    <n v="1.5029999999999999"/>
    <n v="35.781999999999996"/>
    <n v="77.900000000000006"/>
    <s v="92/66"/>
    <n v="193"/>
    <n v="64"/>
    <n v="129"/>
    <x v="1"/>
    <s v="N"/>
    <s v="High"/>
    <s v="N"/>
    <n v="150.28299999999999"/>
    <n v="0.51800000000000002"/>
    <n v="92"/>
    <n v="66"/>
    <s v="Normal"/>
    <n v="99"/>
    <n v="15.616"/>
    <x v="2"/>
    <x v="0"/>
  </r>
  <r>
    <x v="1"/>
    <n v="54"/>
    <n v="55.92"/>
    <n v="1.7330000000000001"/>
    <n v="19.805"/>
    <n v="106.169"/>
    <s v="159/75"/>
    <n v="170"/>
    <n v="44"/>
    <n v="190"/>
    <x v="0"/>
    <s v="N"/>
    <s v="Moderate"/>
    <s v="N"/>
    <n v="173.267"/>
    <n v="0.61299999999999999"/>
    <n v="159"/>
    <n v="75"/>
    <s v="Hypertension Stage 2"/>
    <n v="96"/>
    <n v="15.311"/>
    <x v="1"/>
    <x v="1"/>
  </r>
  <r>
    <x v="1"/>
    <n v="63"/>
    <n v="56.610999999999997"/>
    <m/>
    <n v="19.66"/>
    <n v="113.152"/>
    <s v="115/70"/>
    <n v="202"/>
    <n v="46"/>
    <n v="175"/>
    <x v="0"/>
    <s v="N"/>
    <s v="High"/>
    <s v="N"/>
    <n v="161.63200000000001"/>
    <n v="0.7"/>
    <n v="115"/>
    <n v="70"/>
    <s v="Normal"/>
    <n v="126"/>
    <n v="13.722"/>
    <x v="2"/>
    <x v="0"/>
  </r>
  <r>
    <x v="1"/>
    <n v="60"/>
    <n v="81.135999999999996"/>
    <n v="1.67"/>
    <n v="34.347000000000001"/>
    <n v="104.875"/>
    <s v="166/80"/>
    <n v="246"/>
    <n v="49"/>
    <n v="144"/>
    <x v="1"/>
    <s v="Y"/>
    <s v="Low"/>
    <s v="N"/>
    <n v="166.98400000000001"/>
    <n v="0.628"/>
    <n v="166"/>
    <n v="80"/>
    <s v="Hypertension Stage 1"/>
    <n v="167"/>
    <n v="22.088999999999999"/>
    <x v="1"/>
    <x v="1"/>
  </r>
  <r>
    <x v="0"/>
    <n v="46"/>
    <n v="63.779000000000003"/>
    <n v="1.502"/>
    <n v="34.183999999999997"/>
    <n v="113.836"/>
    <s v="173/73"/>
    <n v="241"/>
    <n v="33"/>
    <n v="71"/>
    <x v="1"/>
    <s v="Y"/>
    <s v="Moderate"/>
    <s v="N"/>
    <n v="150.15799999999999"/>
    <n v="0.75800000000000001"/>
    <n v="173"/>
    <n v="73"/>
    <s v="Hypertension Stage 2"/>
    <m/>
    <n v="22.306999999999999"/>
    <x v="1"/>
    <x v="1"/>
  </r>
  <r>
    <x v="1"/>
    <n v="33"/>
    <n v="78.203999999999994"/>
    <n v="1.5940000000000001"/>
    <n v="37.316000000000003"/>
    <n v="85.284000000000006"/>
    <s v="101/83"/>
    <n v="273"/>
    <n v="35"/>
    <n v="114"/>
    <x v="1"/>
    <s v="N"/>
    <s v="Moderate"/>
    <s v="Y"/>
    <n v="159.42699999999999"/>
    <n v="0.53500000000000003"/>
    <n v="101"/>
    <n v="83"/>
    <s v="Hypertension Stage 1"/>
    <n v="208"/>
    <n v="17.972999999999999"/>
    <x v="2"/>
    <x v="0"/>
  </r>
  <r>
    <x v="0"/>
    <n v="39"/>
    <n v="83.658000000000001"/>
    <m/>
    <n v="37.006999999999998"/>
    <n v="75.284999999999997"/>
    <s v="147/110"/>
    <n v="110"/>
    <n v="83"/>
    <n v="117"/>
    <x v="0"/>
    <s v="N"/>
    <s v="High"/>
    <s v="N"/>
    <n v="158.68299999999999"/>
    <n v="0.47399999999999998"/>
    <n v="147"/>
    <n v="110"/>
    <s v="Hypertension Stage 2"/>
    <n v="-3"/>
    <n v="16.951000000000001"/>
    <x v="0"/>
    <x v="0"/>
  </r>
  <r>
    <x v="1"/>
    <m/>
    <n v="107.13500000000001"/>
    <n v="1.7210000000000001"/>
    <n v="25.052"/>
    <n v="95.3"/>
    <s v="114/97"/>
    <n v="235"/>
    <n v="74"/>
    <n v="77"/>
    <x v="0"/>
    <s v="Y"/>
    <s v="Moderate"/>
    <s v="N"/>
    <n v="172.05500000000001"/>
    <n v="0.55400000000000005"/>
    <m/>
    <n v="97"/>
    <s v="Hypertension Stage 2"/>
    <n v="131"/>
    <n v="17.41"/>
    <x v="0"/>
    <x v="0"/>
  </r>
  <r>
    <x v="0"/>
    <n v="46"/>
    <n v="118.98"/>
    <n v="1.82"/>
    <n v="34.694000000000003"/>
    <n v="104.985"/>
    <s v="156/99"/>
    <n v="100"/>
    <n v="34"/>
    <n v="80"/>
    <x v="1"/>
    <s v="N"/>
    <s v="Low"/>
    <s v="Y"/>
    <n v="181.95500000000001"/>
    <n v="0.57699999999999996"/>
    <n v="156"/>
    <n v="99"/>
    <s v="Hypertension Stage 2"/>
    <n v="36"/>
    <n v="16.739000000000001"/>
    <x v="2"/>
    <x v="0"/>
  </r>
  <r>
    <x v="0"/>
    <n v="54"/>
    <m/>
    <n v="1.58"/>
    <n v="21.617999999999999"/>
    <n v="104.07599999999999"/>
    <s v="122/115"/>
    <n v="117"/>
    <n v="51"/>
    <n v="97"/>
    <x v="1"/>
    <s v="N"/>
    <s v="Moderate"/>
    <s v="Y"/>
    <n v="157.95500000000001"/>
    <n v="0.65900000000000003"/>
    <n v="122"/>
    <n v="115"/>
    <s v="Hypertension Stage 2"/>
    <n v="36"/>
    <n v="12.763999999999999"/>
    <x v="0"/>
    <x v="0"/>
  </r>
  <r>
    <x v="1"/>
    <n v="27"/>
    <n v="84.010999999999996"/>
    <n v="1.74"/>
    <n v="26.893999999999998"/>
    <n v="78.637"/>
    <s v="97/113"/>
    <n v="152"/>
    <n v="37"/>
    <n v="133"/>
    <x v="0"/>
    <s v="Y"/>
    <s v="Moderate"/>
    <s v="N"/>
    <n v="173.99299999999999"/>
    <n v="0.45200000000000001"/>
    <n v="97"/>
    <n v="113"/>
    <s v="Hypertension Stage 2"/>
    <n v="85"/>
    <n v="15.269"/>
    <x v="0"/>
    <x v="0"/>
  </r>
  <r>
    <x v="1"/>
    <n v="31"/>
    <m/>
    <n v="1.7769999999999999"/>
    <n v="38.959000000000003"/>
    <n v="98.105000000000004"/>
    <s v="91/107"/>
    <n v="134"/>
    <m/>
    <n v="177"/>
    <x v="0"/>
    <s v="N"/>
    <s v="High"/>
    <s v="N"/>
    <n v="177.654"/>
    <n v="0.55200000000000005"/>
    <n v="91"/>
    <n v="107"/>
    <s v="Hypertension Stage 2"/>
    <n v="23"/>
    <n v="15.022"/>
    <x v="0"/>
    <x v="0"/>
  </r>
  <r>
    <x v="0"/>
    <n v="46"/>
    <n v="61.011000000000003"/>
    <n v="1.613"/>
    <n v="21.335999999999999"/>
    <n v="83.373000000000005"/>
    <s v="176/100"/>
    <n v="147"/>
    <n v="46"/>
    <n v="127"/>
    <x v="0"/>
    <s v="Y"/>
    <s v="High"/>
    <s v="N"/>
    <n v="161.321"/>
    <n v="0.51700000000000002"/>
    <n v="176"/>
    <n v="100"/>
    <s v="Hypertension Stage 2"/>
    <n v="71"/>
    <n v="18.007000000000001"/>
    <x v="0"/>
    <x v="0"/>
  </r>
  <r>
    <x v="0"/>
    <n v="70"/>
    <m/>
    <n v="1.8939999999999999"/>
    <n v="27.587"/>
    <n v="93.554000000000002"/>
    <s v="127/66"/>
    <n v="179"/>
    <n v="40"/>
    <n v="70"/>
    <x v="0"/>
    <s v="N"/>
    <s v="High"/>
    <s v="N"/>
    <n v="189.405"/>
    <n v="0.49399999999999999"/>
    <n v="127"/>
    <n v="66"/>
    <s v="Elevated"/>
    <n v="109"/>
    <n v="15.446999999999999"/>
    <x v="2"/>
    <x v="0"/>
  </r>
  <r>
    <x v="0"/>
    <n v="69"/>
    <n v="108.428"/>
    <n v="1.579"/>
    <n v="30.689"/>
    <n v="75.798000000000002"/>
    <s v="122/112"/>
    <n v="159"/>
    <n v="89"/>
    <n v="137"/>
    <x v="0"/>
    <s v="Y"/>
    <s v="Moderate"/>
    <s v="N"/>
    <n v="157.94"/>
    <n v="0.48"/>
    <n v="122"/>
    <n v="112"/>
    <s v="Hypertension Stage 2"/>
    <n v="40"/>
    <n v="17.417999999999999"/>
    <x v="1"/>
    <x v="1"/>
  </r>
  <r>
    <x v="0"/>
    <n v="54"/>
    <n v="119.571"/>
    <n v="1.764"/>
    <n v="29.949000000000002"/>
    <n v="97.328999999999994"/>
    <s v="161/85"/>
    <n v="244"/>
    <n v="46"/>
    <n v="155"/>
    <x v="1"/>
    <s v="Y"/>
    <s v="Moderate"/>
    <s v="Y"/>
    <n v="176.411"/>
    <n v="0.55200000000000005"/>
    <n v="161"/>
    <n v="85"/>
    <s v="Hypertension Stage 1"/>
    <n v="168"/>
    <n v="20.92"/>
    <x v="0"/>
    <x v="0"/>
  </r>
  <r>
    <x v="1"/>
    <n v="52"/>
    <n v="101.49299999999999"/>
    <n v="1.8340000000000001"/>
    <n v="30.829000000000001"/>
    <n v="119.43600000000001"/>
    <s v="101/63"/>
    <n v="261"/>
    <n v="84"/>
    <n v="151"/>
    <x v="1"/>
    <s v="Y"/>
    <s v="Moderate"/>
    <s v="Y"/>
    <n v="183.42599999999999"/>
    <n v="0.65100000000000002"/>
    <n v="101"/>
    <n v="63"/>
    <s v="Normal"/>
    <n v="147"/>
    <n v="18.436"/>
    <x v="1"/>
    <x v="1"/>
  </r>
  <r>
    <x v="0"/>
    <n v="56"/>
    <n v="85.436000000000007"/>
    <n v="1.8089999999999999"/>
    <n v="29.928000000000001"/>
    <n v="72.209999999999994"/>
    <s v="124/60"/>
    <n v="105"/>
    <n v="49"/>
    <n v="93"/>
    <x v="1"/>
    <s v="Y"/>
    <s v="Moderate"/>
    <s v="N"/>
    <n v="180.94900000000001"/>
    <n v="0.39900000000000002"/>
    <n v="124"/>
    <n v="60"/>
    <s v="Elevated"/>
    <n v="26"/>
    <n v="16.286000000000001"/>
    <x v="2"/>
    <x v="0"/>
  </r>
  <r>
    <x v="1"/>
    <n v="75"/>
    <n v="71.018000000000001"/>
    <n v="1.8660000000000001"/>
    <n v="29.228999999999999"/>
    <n v="81.180999999999997"/>
    <s v="119/86"/>
    <n v="281"/>
    <n v="58"/>
    <n v="111"/>
    <x v="0"/>
    <s v="N"/>
    <s v="Low"/>
    <s v="Y"/>
    <n v="186.58"/>
    <n v="0.435"/>
    <n v="119"/>
    <n v="86"/>
    <s v="Hypertension Stage 1"/>
    <n v="193"/>
    <n v="17.416"/>
    <x v="1"/>
    <x v="1"/>
  </r>
  <r>
    <x v="1"/>
    <n v="76"/>
    <n v="88.176000000000002"/>
    <n v="1.73"/>
    <n v="32.064"/>
    <n v="108.771"/>
    <s v="157/65"/>
    <n v="253"/>
    <n v="79"/>
    <n v="168"/>
    <x v="1"/>
    <s v="Y"/>
    <s v="Low"/>
    <s v="N"/>
    <n v="173.04400000000001"/>
    <n v="0.629"/>
    <n v="157"/>
    <n v="65"/>
    <s v="Hypertension Stage 2"/>
    <n v="144"/>
    <n v="21.323"/>
    <x v="0"/>
    <x v="0"/>
  </r>
  <r>
    <x v="0"/>
    <n v="25"/>
    <n v="89.625"/>
    <n v="1.6180000000000001"/>
    <n v="39.646000000000001"/>
    <n v="112.02500000000001"/>
    <s v="166/96"/>
    <n v="137"/>
    <n v="52"/>
    <n v="77"/>
    <x v="1"/>
    <s v="Y"/>
    <s v="High"/>
    <s v="N"/>
    <n v="161.81"/>
    <n v="0.69199999999999995"/>
    <n v="166"/>
    <n v="96"/>
    <s v="Hypertension Stage 2"/>
    <n v="55"/>
    <n v="20.969000000000001"/>
    <x v="2"/>
    <x v="0"/>
  </r>
  <r>
    <x v="0"/>
    <n v="49"/>
    <n v="72.513999999999996"/>
    <n v="1.8089999999999999"/>
    <n v="25.928000000000001"/>
    <n v="90.137"/>
    <s v="176/92"/>
    <n v="251"/>
    <n v="88"/>
    <n v="125"/>
    <x v="1"/>
    <s v="Y"/>
    <s v="High"/>
    <s v="N"/>
    <n v="180.946"/>
    <n v="0.498"/>
    <n v="176"/>
    <n v="92"/>
    <s v="Hypertension Stage 2"/>
    <n v="133"/>
    <n v="21.006"/>
    <x v="0"/>
    <x v="0"/>
  </r>
  <r>
    <x v="1"/>
    <n v="63"/>
    <n v="59.067999999999998"/>
    <n v="1.556"/>
    <n v="29.125"/>
    <n v="71.025999999999996"/>
    <s v="162/80"/>
    <n v="238"/>
    <m/>
    <n v="119"/>
    <x v="1"/>
    <s v="N"/>
    <s v="High"/>
    <s v="N"/>
    <n v="155.596"/>
    <n v="0.45600000000000002"/>
    <n v="162"/>
    <n v="80"/>
    <s v="Hypertension Stage 1"/>
    <m/>
    <n v="18.684999999999999"/>
    <x v="2"/>
    <x v="0"/>
  </r>
  <r>
    <x v="0"/>
    <n v="26"/>
    <n v="83.855999999999995"/>
    <n v="1.95"/>
    <n v="36.851999999999997"/>
    <n v="77.156999999999996"/>
    <s v="96/68"/>
    <n v="140"/>
    <n v="32"/>
    <n v="174"/>
    <x v="1"/>
    <s v="Y"/>
    <s v="Low"/>
    <s v="Y"/>
    <n v="194.953"/>
    <n v="0.39600000000000002"/>
    <n v="96"/>
    <n v="68"/>
    <s v="Normal"/>
    <n v="78"/>
    <n v="16.97"/>
    <x v="1"/>
    <x v="1"/>
  </r>
  <r>
    <x v="1"/>
    <n v="28"/>
    <n v="88.733999999999995"/>
    <n v="1.863"/>
    <n v="22.917999999999999"/>
    <n v="75.188000000000002"/>
    <s v="148/84"/>
    <n v="120"/>
    <n v="62"/>
    <n v="141"/>
    <x v="1"/>
    <s v="Y"/>
    <s v="High"/>
    <s v="Y"/>
    <n v="186.33"/>
    <n v="0.40400000000000003"/>
    <n v="148"/>
    <n v="84"/>
    <s v="Hypertension Stage 1"/>
    <n v="28"/>
    <n v="16.384"/>
    <x v="2"/>
    <x v="0"/>
  </r>
  <r>
    <x v="0"/>
    <n v="52"/>
    <n v="99.356999999999999"/>
    <n v="1.8979999999999999"/>
    <n v="31.597000000000001"/>
    <n v="92.525999999999996"/>
    <s v="142/95"/>
    <n v="240"/>
    <n v="49"/>
    <n v="164"/>
    <x v="1"/>
    <s v="N"/>
    <s v="High"/>
    <s v="Y"/>
    <n v="189.75399999999999"/>
    <n v="0.48799999999999999"/>
    <n v="142"/>
    <n v="95"/>
    <s v="Hypertension Stage 2"/>
    <n v="161"/>
    <n v="18.219000000000001"/>
    <x v="2"/>
    <x v="0"/>
  </r>
  <r>
    <x v="1"/>
    <n v="64"/>
    <n v="100.94"/>
    <n v="1.7509999999999999"/>
    <n v="22.696999999999999"/>
    <n v="71.652000000000001"/>
    <s v="115/113"/>
    <n v="128"/>
    <n v="81"/>
    <n v="103"/>
    <x v="1"/>
    <s v="Y"/>
    <s v="High"/>
    <s v="N"/>
    <n v="175.10300000000001"/>
    <m/>
    <n v="115"/>
    <n v="113"/>
    <s v="Hypertension Stage 2"/>
    <n v="17"/>
    <n v="14.849"/>
    <x v="0"/>
    <x v="0"/>
  </r>
  <r>
    <x v="1"/>
    <n v="31"/>
    <n v="61.213000000000001"/>
    <n v="1.829"/>
    <n v="19.643999999999998"/>
    <n v="84.102000000000004"/>
    <s v="108/61"/>
    <n v="145"/>
    <n v="70"/>
    <n v="168"/>
    <x v="0"/>
    <s v="N"/>
    <s v="High"/>
    <s v="N"/>
    <n v="182.90199999999999"/>
    <n v="0.46"/>
    <n v="108"/>
    <n v="61"/>
    <s v="Normal"/>
    <n v="45"/>
    <n v="12.228999999999999"/>
    <x v="0"/>
    <x v="0"/>
  </r>
  <r>
    <x v="1"/>
    <n v="62"/>
    <n v="76.988"/>
    <n v="1.792"/>
    <n v="21.911999999999999"/>
    <n v="116.937"/>
    <s v="103/93"/>
    <n v="218"/>
    <n v="71"/>
    <n v="88"/>
    <x v="0"/>
    <s v="N"/>
    <s v="Low"/>
    <s v="N"/>
    <n v="179.18600000000001"/>
    <n v="0.65300000000000002"/>
    <n v="103"/>
    <n v="93"/>
    <s v="Hypertension Stage 2"/>
    <n v="117"/>
    <n v="13.891999999999999"/>
    <x v="2"/>
    <x v="0"/>
  </r>
  <r>
    <x v="0"/>
    <n v="64"/>
    <n v="57.871000000000002"/>
    <n v="1.752"/>
    <n v="18.510000000000002"/>
    <n v="108.94199999999999"/>
    <s v="175/69"/>
    <n v="213"/>
    <n v="58"/>
    <n v="84"/>
    <x v="1"/>
    <s v="Y"/>
    <s v="Moderate"/>
    <s v="Y"/>
    <n v="175.155"/>
    <n v="0.622"/>
    <n v="175"/>
    <n v="69"/>
    <s v="Hypertension Stage 2"/>
    <n v="125"/>
    <m/>
    <x v="2"/>
    <x v="0"/>
  </r>
  <r>
    <x v="1"/>
    <n v="27"/>
    <n v="116.52500000000001"/>
    <n v="1.9379999999999999"/>
    <n v="33.296999999999997"/>
    <n v="117.983"/>
    <s v="107/92"/>
    <n v="133"/>
    <m/>
    <m/>
    <x v="1"/>
    <s v="N"/>
    <s v="Moderate"/>
    <s v="N"/>
    <n v="193.809"/>
    <n v="0.60899999999999999"/>
    <n v="107"/>
    <m/>
    <s v="Hypertension Stage 2"/>
    <n v="17"/>
    <n v="14.669"/>
    <x v="0"/>
    <x v="0"/>
  </r>
  <r>
    <x v="0"/>
    <n v="49"/>
    <n v="117.84699999999999"/>
    <n v="1.68"/>
    <n v="36.276000000000003"/>
    <n v="81.599000000000004"/>
    <s v="118/119"/>
    <n v="254"/>
    <n v="66"/>
    <n v="131"/>
    <x v="1"/>
    <s v="Y"/>
    <s v="Moderate"/>
    <s v="Y"/>
    <n v="168.03700000000001"/>
    <n v="0.48599999999999999"/>
    <n v="118"/>
    <n v="119"/>
    <s v="Hypertension Stage 2"/>
    <n v="158"/>
    <n v="20.234999999999999"/>
    <x v="2"/>
    <x v="0"/>
  </r>
  <r>
    <x v="1"/>
    <n v="56"/>
    <n v="80.566999999999993"/>
    <n v="1.597"/>
    <n v="22.382999999999999"/>
    <n v="86.290999999999997"/>
    <s v="108/101"/>
    <n v="249"/>
    <n v="63"/>
    <n v="186"/>
    <x v="1"/>
    <s v="N"/>
    <s v="Low"/>
    <s v="Y"/>
    <n v="159.72300000000001"/>
    <n v="0.54"/>
    <n v="108"/>
    <n v="101"/>
    <s v="Hypertension Stage 2"/>
    <n v="156"/>
    <n v="14.856999999999999"/>
    <x v="0"/>
    <x v="0"/>
  </r>
  <r>
    <x v="1"/>
    <n v="60"/>
    <n v="67.97"/>
    <n v="1.841"/>
    <n v="34.814999999999998"/>
    <n v="112.65900000000001"/>
    <s v="153/103"/>
    <n v="262"/>
    <n v="80"/>
    <n v="198"/>
    <x v="0"/>
    <s v="Y"/>
    <s v="Low"/>
    <s v="Y"/>
    <n v="184.12299999999999"/>
    <n v="0.61199999999999999"/>
    <m/>
    <n v="103"/>
    <s v="Hypertension Stage 2"/>
    <n v="152"/>
    <n v="21.853000000000002"/>
    <x v="1"/>
    <x v="1"/>
  </r>
  <r>
    <x v="0"/>
    <n v="25"/>
    <n v="65.816000000000003"/>
    <n v="1.8939999999999999"/>
    <n v="24.122"/>
    <n v="112.145"/>
    <s v="144/73"/>
    <n v="245"/>
    <n v="55"/>
    <n v="88"/>
    <x v="1"/>
    <s v="N"/>
    <s v="Low"/>
    <s v="N"/>
    <n v="189.404"/>
    <m/>
    <n v="144"/>
    <n v="73"/>
    <s v="Hypertension Stage 2"/>
    <n v="160"/>
    <n v="16.923999999999999"/>
    <x v="2"/>
    <x v="0"/>
  </r>
  <r>
    <x v="0"/>
    <n v="36"/>
    <m/>
    <n v="1.7969999999999999"/>
    <n v="26.577999999999999"/>
    <n v="104.59"/>
    <s v="116/68"/>
    <n v="145"/>
    <n v="51"/>
    <n v="89"/>
    <x v="1"/>
    <s v="N"/>
    <s v="Moderate"/>
    <s v="Y"/>
    <n v="179.745"/>
    <n v="0.58199999999999996"/>
    <n v="116"/>
    <n v="68"/>
    <s v="Normal"/>
    <n v="64"/>
    <n v="14.016"/>
    <x v="2"/>
    <x v="0"/>
  </r>
  <r>
    <x v="0"/>
    <n v="26"/>
    <n v="57.25"/>
    <n v="1.859"/>
    <n v="29.971"/>
    <n v="81.215000000000003"/>
    <s v="111/76"/>
    <n v="147"/>
    <m/>
    <m/>
    <x v="1"/>
    <s v="Y"/>
    <s v="High"/>
    <s v="N"/>
    <n v="185.864"/>
    <n v="0.437"/>
    <n v="111"/>
    <n v="76"/>
    <s v="Normal"/>
    <n v="60"/>
    <n v="16.484000000000002"/>
    <x v="1"/>
    <x v="1"/>
  </r>
  <r>
    <x v="1"/>
    <n v="78"/>
    <n v="118.83"/>
    <n v="1.827"/>
    <n v="34.781999999999996"/>
    <n v="113.748"/>
    <s v="160/82"/>
    <n v="217"/>
    <n v="65"/>
    <m/>
    <x v="0"/>
    <s v="N"/>
    <s v="Moderate"/>
    <s v="Y"/>
    <n v="182.65"/>
    <n v="0.623"/>
    <n v="160"/>
    <n v="82"/>
    <s v="Hypertension Stage 1"/>
    <n v="122"/>
    <n v="19.295999999999999"/>
    <x v="0"/>
    <x v="0"/>
  </r>
  <r>
    <x v="0"/>
    <n v="41"/>
    <n v="108.949"/>
    <n v="1.5169999999999999"/>
    <n v="30.24"/>
    <n v="101.419"/>
    <s v="129/63"/>
    <n v="220"/>
    <n v="38"/>
    <n v="120"/>
    <x v="1"/>
    <s v="N"/>
    <s v="High"/>
    <s v="Y"/>
    <n v="151.66399999999999"/>
    <n v="0.66900000000000004"/>
    <n v="129"/>
    <n v="63"/>
    <s v="Elevated"/>
    <m/>
    <n v="16.898"/>
    <x v="0"/>
    <x v="0"/>
  </r>
  <r>
    <x v="1"/>
    <n v="60"/>
    <n v="102.474"/>
    <n v="1.94"/>
    <n v="26.036000000000001"/>
    <n v="76.486999999999995"/>
    <s v="162/110"/>
    <n v="148"/>
    <n v="48"/>
    <m/>
    <x v="1"/>
    <s v="N"/>
    <s v="Moderate"/>
    <s v="N"/>
    <n v="193.98400000000001"/>
    <n v="0.39400000000000002"/>
    <n v="162"/>
    <n v="110"/>
    <s v="Hypertension Stage 2"/>
    <n v="70"/>
    <n v="16.266999999999999"/>
    <x v="0"/>
    <x v="0"/>
  </r>
  <r>
    <x v="1"/>
    <n v="52"/>
    <n v="102.224"/>
    <n v="1.81"/>
    <n v="27.765999999999998"/>
    <n v="83.057000000000002"/>
    <s v="97/92"/>
    <n v="286"/>
    <n v="72"/>
    <n v="150"/>
    <x v="0"/>
    <s v="Y"/>
    <s v="Low"/>
    <s v="Y"/>
    <n v="181.005"/>
    <n v="0.45900000000000002"/>
    <n v="97"/>
    <n v="92"/>
    <s v="Hypertension Stage 2"/>
    <n v="184"/>
    <n v="18.123000000000001"/>
    <x v="2"/>
    <x v="0"/>
  </r>
  <r>
    <x v="1"/>
    <n v="38"/>
    <n v="116.742"/>
    <n v="1.6970000000000001"/>
    <n v="34.604999999999997"/>
    <n v="118.754"/>
    <s v="177/76"/>
    <n v="279"/>
    <n v="56"/>
    <m/>
    <x v="1"/>
    <s v="Y"/>
    <s v="Moderate"/>
    <s v="N"/>
    <n v="169.67599999999999"/>
    <m/>
    <n v="177"/>
    <n v="76"/>
    <s v="Hypertension Stage 2"/>
    <n v="193"/>
    <n v="23.350999999999999"/>
    <x v="1"/>
    <x v="1"/>
  </r>
  <r>
    <x v="0"/>
    <n v="27"/>
    <n v="69.138999999999996"/>
    <n v="1.734"/>
    <n v="21.824999999999999"/>
    <n v="95.866"/>
    <s v="139/113"/>
    <n v="176"/>
    <n v="84"/>
    <n v="87"/>
    <x v="0"/>
    <s v="Y"/>
    <s v="Moderate"/>
    <s v="N"/>
    <n v="173.37"/>
    <n v="0.55300000000000005"/>
    <n v="139"/>
    <n v="113"/>
    <s v="Hypertension Stage 1"/>
    <n v="62"/>
    <n v="16.835000000000001"/>
    <x v="1"/>
    <x v="1"/>
  </r>
  <r>
    <x v="0"/>
    <n v="40"/>
    <n v="99.555000000000007"/>
    <n v="1.5740000000000001"/>
    <n v="39.323"/>
    <n v="88.724999999999994"/>
    <s v="115/114"/>
    <n v="268"/>
    <n v="48"/>
    <n v="115"/>
    <x v="0"/>
    <s v="Y"/>
    <s v="Low"/>
    <s v="Y"/>
    <n v="157.37799999999999"/>
    <n v="0.56399999999999995"/>
    <n v="115"/>
    <n v="114"/>
    <s v="Hypertension Stage 2"/>
    <n v="190"/>
    <n v="20.975000000000001"/>
    <x v="2"/>
    <x v="0"/>
  </r>
  <r>
    <x v="1"/>
    <m/>
    <n v="75.358000000000004"/>
    <n v="1.9039999999999999"/>
    <n v="32.084000000000003"/>
    <n v="91.513000000000005"/>
    <s v="145/68"/>
    <n v="234"/>
    <n v="84"/>
    <n v="141"/>
    <x v="1"/>
    <s v="N"/>
    <s v="Moderate"/>
    <s v="Y"/>
    <n v="190.44"/>
    <n v="0.48099999999999998"/>
    <n v="145"/>
    <n v="68"/>
    <s v="Hypertension Stage 2"/>
    <n v="120"/>
    <n v="18.347000000000001"/>
    <x v="0"/>
    <x v="0"/>
  </r>
  <r>
    <x v="1"/>
    <n v="68"/>
    <n v="107.491"/>
    <n v="1.976"/>
    <n v="29.614000000000001"/>
    <n v="93.15"/>
    <s v="136/115"/>
    <n v="206"/>
    <n v="86"/>
    <n v="165"/>
    <x v="1"/>
    <s v="N"/>
    <s v="Low"/>
    <s v="Y"/>
    <n v="197.63300000000001"/>
    <n v="0.47099999999999997"/>
    <n v="136"/>
    <n v="115"/>
    <s v="Hypertension Stage 1"/>
    <n v="90"/>
    <n v="16.843"/>
    <x v="2"/>
    <x v="0"/>
  </r>
  <r>
    <x v="0"/>
    <n v="30"/>
    <n v="71.926000000000002"/>
    <n v="1.831"/>
    <n v="38.911999999999999"/>
    <n v="88.626999999999995"/>
    <s v="134/98"/>
    <n v="218"/>
    <n v="64"/>
    <n v="83"/>
    <x v="1"/>
    <s v="Y"/>
    <s v="High"/>
    <s v="N"/>
    <n v="183.13900000000001"/>
    <n v="0.48399999999999999"/>
    <n v="134"/>
    <n v="98"/>
    <s v="Hypertension Stage 1"/>
    <n v="124"/>
    <n v="20.841999999999999"/>
    <x v="0"/>
    <x v="0"/>
  </r>
  <r>
    <x v="0"/>
    <n v="59"/>
    <n v="59.642000000000003"/>
    <n v="1.6539999999999999"/>
    <m/>
    <n v="89.134"/>
    <s v="110/116"/>
    <n v="191"/>
    <n v="35"/>
    <n v="112"/>
    <x v="0"/>
    <s v="Y"/>
    <s v="Low"/>
    <s v="Y"/>
    <n v="165.38300000000001"/>
    <n v="0.53900000000000003"/>
    <n v="110"/>
    <n v="116"/>
    <s v="Hypertension Stage 2"/>
    <n v="126"/>
    <n v="17.045999999999999"/>
    <x v="1"/>
    <x v="1"/>
  </r>
  <r>
    <x v="1"/>
    <n v="40"/>
    <n v="71.555999999999997"/>
    <n v="1.7050000000000001"/>
    <n v="38.381"/>
    <n v="73.153999999999996"/>
    <s v="125/112"/>
    <n v="246"/>
    <n v="56"/>
    <n v="88"/>
    <x v="0"/>
    <s v="N"/>
    <s v="Low"/>
    <s v="N"/>
    <n v="170.506"/>
    <n v="0.42899999999999999"/>
    <n v="125"/>
    <n v="112"/>
    <s v="Hypertension Stage 2"/>
    <n v="160"/>
    <n v="18.846"/>
    <x v="0"/>
    <x v="0"/>
  </r>
  <r>
    <x v="1"/>
    <n v="55"/>
    <n v="88.834000000000003"/>
    <n v="1.665"/>
    <n v="27.856000000000002"/>
    <n v="91.37"/>
    <s v="120/75"/>
    <n v="106"/>
    <m/>
    <n v="87"/>
    <x v="1"/>
    <s v="N"/>
    <s v="Low"/>
    <s v="N"/>
    <m/>
    <m/>
    <n v="120"/>
    <n v="75"/>
    <s v="Elevated"/>
    <n v="39"/>
    <n v="13.691000000000001"/>
    <x v="0"/>
    <x v="0"/>
  </r>
  <r>
    <x v="1"/>
    <m/>
    <n v="74.671000000000006"/>
    <n v="1.982"/>
    <n v="26.564"/>
    <n v="102.538"/>
    <s v="135/87"/>
    <n v="160"/>
    <n v="88"/>
    <n v="126"/>
    <x v="0"/>
    <s v="N"/>
    <s v="High"/>
    <s v="N"/>
    <n v="198.23599999999999"/>
    <n v="0.51700000000000002"/>
    <n v="135"/>
    <n v="87"/>
    <s v="Hypertension Stage 1"/>
    <n v="42"/>
    <n v="15.263"/>
    <x v="2"/>
    <x v="0"/>
  </r>
  <r>
    <x v="0"/>
    <n v="67"/>
    <n v="99.519000000000005"/>
    <n v="1.609"/>
    <n v="22.722000000000001"/>
    <n v="111.179"/>
    <s v="178/100"/>
    <n v="235"/>
    <n v="54"/>
    <n v="85"/>
    <x v="1"/>
    <s v="N"/>
    <s v="Low"/>
    <s v="N"/>
    <n v="160.893"/>
    <n v="0.69099999999999995"/>
    <n v="178"/>
    <n v="100"/>
    <s v="Hypertension Stage 2"/>
    <n v="151"/>
    <n v="18.143999999999998"/>
    <x v="2"/>
    <x v="0"/>
  </r>
  <r>
    <x v="0"/>
    <n v="67"/>
    <n v="70.894999999999996"/>
    <n v="1.6759999999999999"/>
    <n v="28.332000000000001"/>
    <n v="114.88500000000001"/>
    <s v="176/103"/>
    <n v="165"/>
    <n v="88"/>
    <n v="198"/>
    <x v="0"/>
    <s v="N"/>
    <s v="Moderate"/>
    <s v="N"/>
    <n v="167.62200000000001"/>
    <n v="0.68500000000000005"/>
    <n v="176"/>
    <n v="103"/>
    <s v="Hypertension Stage 2"/>
    <n v="47"/>
    <n v="17.765999999999998"/>
    <x v="1"/>
    <x v="1"/>
  </r>
  <r>
    <x v="0"/>
    <m/>
    <n v="92.667000000000002"/>
    <n v="1.7210000000000001"/>
    <n v="24.405000000000001"/>
    <n v="95.191999999999993"/>
    <s v="137/84"/>
    <n v="133"/>
    <n v="84"/>
    <n v="111"/>
    <x v="1"/>
    <s v="N"/>
    <s v="Low"/>
    <s v="N"/>
    <n v="172.09800000000001"/>
    <n v="0.55300000000000005"/>
    <n v="137"/>
    <n v="84"/>
    <s v="Hypertension Stage 1"/>
    <n v="19"/>
    <m/>
    <x v="1"/>
    <x v="1"/>
  </r>
  <r>
    <x v="1"/>
    <n v="75"/>
    <n v="107.53400000000001"/>
    <n v="1.65"/>
    <n v="31.065999999999999"/>
    <n v="89.564999999999998"/>
    <s v="155/68"/>
    <n v="118"/>
    <n v="50"/>
    <n v="131"/>
    <x v="1"/>
    <s v="N"/>
    <s v="Moderate"/>
    <s v="Y"/>
    <n v="164.96199999999999"/>
    <n v="0.54300000000000004"/>
    <n v="155"/>
    <n v="68"/>
    <s v="Hypertension Stage 2"/>
    <n v="38"/>
    <n v="16.323"/>
    <x v="0"/>
    <x v="0"/>
  </r>
  <r>
    <x v="0"/>
    <n v="44"/>
    <n v="112.97799999999999"/>
    <n v="1.5069999999999999"/>
    <n v="36.380000000000003"/>
    <n v="118.586"/>
    <s v="142/101"/>
    <n v="168"/>
    <n v="61"/>
    <n v="170"/>
    <x v="0"/>
    <s v="N"/>
    <s v="Moderate"/>
    <s v="N"/>
    <n v="150.721"/>
    <n v="0.78700000000000003"/>
    <n v="142"/>
    <n v="101"/>
    <s v="Hypertension Stage 2"/>
    <n v="77"/>
    <n v="17.736000000000001"/>
    <x v="1"/>
    <x v="1"/>
  </r>
  <r>
    <x v="0"/>
    <n v="62"/>
    <n v="112.81399999999999"/>
    <n v="1.7270000000000001"/>
    <n v="35.835000000000001"/>
    <n v="70.332999999999998"/>
    <s v="178/73"/>
    <n v="225"/>
    <n v="87"/>
    <m/>
    <x v="0"/>
    <s v="N"/>
    <s v="Low"/>
    <s v="N"/>
    <n v="172.69"/>
    <n v="0.40699999999999997"/>
    <n v="178"/>
    <n v="73"/>
    <s v="Hypertension Stage 2"/>
    <n v="108"/>
    <n v="20.567"/>
    <x v="1"/>
    <x v="1"/>
  </r>
  <r>
    <x v="0"/>
    <n v="45"/>
    <m/>
    <n v="1.6160000000000001"/>
    <n v="39.633000000000003"/>
    <n v="109.352"/>
    <s v="175/98"/>
    <n v="256"/>
    <n v="75"/>
    <n v="160"/>
    <x v="0"/>
    <s v="Y"/>
    <s v="High"/>
    <s v="Y"/>
    <n v="161.584"/>
    <n v="0.67700000000000005"/>
    <n v="175"/>
    <n v="98"/>
    <s v="Hypertension Stage 2"/>
    <n v="151"/>
    <n v="23.797000000000001"/>
    <x v="2"/>
    <x v="0"/>
  </r>
  <r>
    <x v="1"/>
    <n v="50"/>
    <n v="71.126999999999995"/>
    <n v="1.754"/>
    <n v="31.042000000000002"/>
    <n v="112.11199999999999"/>
    <s v="154/99"/>
    <n v="170"/>
    <n v="89"/>
    <n v="175"/>
    <x v="1"/>
    <s v="N"/>
    <s v="Low"/>
    <s v="Y"/>
    <n v="175.351"/>
    <n v="0.63900000000000001"/>
    <n v="154"/>
    <n v="99"/>
    <s v="Hypertension Stage 2"/>
    <n v="51"/>
    <n v="17.308"/>
    <x v="2"/>
    <x v="0"/>
  </r>
  <r>
    <x v="1"/>
    <n v="43"/>
    <n v="107.21899999999999"/>
    <n v="1.5760000000000001"/>
    <n v="22.565000000000001"/>
    <n v="107.586"/>
    <s v="112/71"/>
    <n v="210"/>
    <n v="70"/>
    <n v="81"/>
    <x v="1"/>
    <s v="N"/>
    <s v="High"/>
    <s v="Y"/>
    <n v="157.60900000000001"/>
    <n v="0.68300000000000005"/>
    <n v="112"/>
    <n v="71"/>
    <s v="Normal"/>
    <n v="110"/>
    <n v="14.313000000000001"/>
    <x v="2"/>
    <x v="0"/>
  </r>
  <r>
    <x v="1"/>
    <n v="47"/>
    <n v="62.204000000000001"/>
    <n v="1.887"/>
    <n v="38.322000000000003"/>
    <n v="108.822"/>
    <s v="113/79"/>
    <n v="164"/>
    <n v="76"/>
    <n v="148"/>
    <x v="0"/>
    <s v="N"/>
    <s v="Low"/>
    <s v="Y"/>
    <n v="188.68899999999999"/>
    <n v="0.57699999999999996"/>
    <n v="113"/>
    <n v="79"/>
    <s v="Normal"/>
    <n v="58"/>
    <n v="16.594000000000001"/>
    <x v="0"/>
    <x v="0"/>
  </r>
  <r>
    <x v="1"/>
    <n v="57"/>
    <n v="116.77200000000001"/>
    <n v="1.569"/>
    <n v="34.125999999999998"/>
    <n v="90.736999999999995"/>
    <s v="117/116"/>
    <n v="254"/>
    <n v="60"/>
    <n v="177"/>
    <x v="0"/>
    <s v="N"/>
    <s v="Low"/>
    <s v="Y"/>
    <n v="156.85400000000001"/>
    <n v="0.57799999999999996"/>
    <n v="117"/>
    <n v="116"/>
    <s v="Hypertension Stage 2"/>
    <n v="164"/>
    <n v="17.754999999999999"/>
    <x v="1"/>
    <x v="1"/>
  </r>
  <r>
    <x v="0"/>
    <m/>
    <n v="80.421000000000006"/>
    <n v="1.53"/>
    <n v="26.79"/>
    <n v="73.218000000000004"/>
    <s v="113/77"/>
    <n v="239"/>
    <n v="73"/>
    <n v="96"/>
    <x v="1"/>
    <s v="Y"/>
    <s v="High"/>
    <s v="Y"/>
    <n v="152.94999999999999"/>
    <n v="0.47899999999999998"/>
    <n v="113"/>
    <n v="77"/>
    <s v="Normal"/>
    <n v="136"/>
    <n v="17.788"/>
    <x v="2"/>
    <x v="0"/>
  </r>
  <r>
    <x v="0"/>
    <n v="30"/>
    <n v="60.472000000000001"/>
    <n v="1.601"/>
    <n v="31.989000000000001"/>
    <n v="93.816999999999993"/>
    <s v="151/101"/>
    <n v="293"/>
    <n v="88"/>
    <n v="104"/>
    <x v="1"/>
    <s v="Y"/>
    <s v="High"/>
    <s v="Y"/>
    <m/>
    <n v="0.58599999999999997"/>
    <n v="151"/>
    <n v="101"/>
    <s v="Hypertension Stage 2"/>
    <n v="175"/>
    <n v="21.808"/>
    <x v="1"/>
    <x v="1"/>
  </r>
  <r>
    <x v="1"/>
    <n v="79"/>
    <n v="118.544"/>
    <n v="1.591"/>
    <n v="27.881"/>
    <n v="91.388000000000005"/>
    <s v="179/74"/>
    <n v="215"/>
    <n v="36"/>
    <n v="115"/>
    <x v="1"/>
    <s v="Y"/>
    <s v="Moderate"/>
    <s v="Y"/>
    <n v="159.11799999999999"/>
    <n v="0.57399999999999995"/>
    <n v="179"/>
    <n v="74"/>
    <s v="Hypertension Stage 2"/>
    <n v="149"/>
    <n v="20.826000000000001"/>
    <x v="2"/>
    <x v="0"/>
  </r>
  <r>
    <x v="1"/>
    <n v="55"/>
    <n v="60.109000000000002"/>
    <n v="1.9330000000000001"/>
    <n v="26.309000000000001"/>
    <n v="72.233999999999995"/>
    <s v="177/107"/>
    <n v="110"/>
    <n v="72"/>
    <n v="150"/>
    <x v="1"/>
    <s v="N"/>
    <s v="Moderate"/>
    <s v="Y"/>
    <n v="193.29900000000001"/>
    <m/>
    <n v="177"/>
    <n v="107"/>
    <s v="Hypertension Stage 2"/>
    <n v="8"/>
    <n v="16.312000000000001"/>
    <x v="0"/>
    <x v="0"/>
  </r>
  <r>
    <x v="1"/>
    <n v="28"/>
    <n v="60.411000000000001"/>
    <n v="1.762"/>
    <n v="19.332999999999998"/>
    <n v="77.022000000000006"/>
    <s v="128/110"/>
    <n v="132"/>
    <n v="55"/>
    <n v="168"/>
    <x v="1"/>
    <s v="N"/>
    <s v="Low"/>
    <s v="N"/>
    <n v="176.23599999999999"/>
    <n v="0.437"/>
    <n v="128"/>
    <n v="110"/>
    <s v="Hypertension Stage 2"/>
    <n v="47"/>
    <n v="12.907"/>
    <x v="1"/>
    <x v="1"/>
  </r>
  <r>
    <x v="0"/>
    <n v="75"/>
    <n v="73.453000000000003"/>
    <n v="1.8959999999999999"/>
    <n v="23.978999999999999"/>
    <n v="93.376999999999995"/>
    <s v="166/111"/>
    <n v="275"/>
    <m/>
    <n v="74"/>
    <x v="0"/>
    <s v="N"/>
    <s v="Moderate"/>
    <s v="N"/>
    <n v="189.56200000000001"/>
    <n v="0.49299999999999999"/>
    <n v="166"/>
    <n v="111"/>
    <s v="Hypertension Stage 2"/>
    <n v="208"/>
    <n v="18.596"/>
    <x v="1"/>
    <x v="1"/>
  </r>
  <r>
    <x v="0"/>
    <n v="26"/>
    <n v="50.716999999999999"/>
    <n v="1.8360000000000001"/>
    <n v="35.741999999999997"/>
    <m/>
    <s v="159/81"/>
    <n v="260"/>
    <n v="82"/>
    <n v="124"/>
    <x v="1"/>
    <s v="N"/>
    <s v="High"/>
    <s v="N"/>
    <n v="183.554"/>
    <n v="0.64600000000000002"/>
    <n v="159"/>
    <n v="81"/>
    <s v="Hypertension Stage 1"/>
    <n v="148"/>
    <n v="20.297999999999998"/>
    <x v="1"/>
    <x v="1"/>
  </r>
  <r>
    <x v="0"/>
    <n v="47"/>
    <n v="115.197"/>
    <m/>
    <n v="18.724"/>
    <n v="116.8"/>
    <s v="102/84"/>
    <n v="203"/>
    <n v="45"/>
    <n v="123"/>
    <x v="0"/>
    <s v="Y"/>
    <s v="Moderate"/>
    <s v="Y"/>
    <n v="183.971"/>
    <n v="0.63500000000000001"/>
    <n v="102"/>
    <m/>
    <s v="Hypertension Stage 1"/>
    <n v="128"/>
    <n v="14.904999999999999"/>
    <x v="2"/>
    <x v="0"/>
  </r>
  <r>
    <x v="0"/>
    <n v="62"/>
    <n v="103.37"/>
    <n v="1.571"/>
    <n v="37.728000000000002"/>
    <n v="94.123999999999995"/>
    <s v="134/110"/>
    <n v="273"/>
    <n v="38"/>
    <n v="177"/>
    <x v="1"/>
    <s v="Y"/>
    <s v="Moderate"/>
    <s v="Y"/>
    <n v="157.149"/>
    <n v="0.59899999999999998"/>
    <n v="134"/>
    <n v="110"/>
    <s v="Hypertension Stage 1"/>
    <n v="205"/>
    <n v="21.706"/>
    <x v="2"/>
    <x v="0"/>
  </r>
  <r>
    <x v="1"/>
    <n v="64"/>
    <m/>
    <n v="1.899"/>
    <n v="20.602"/>
    <n v="80.350999999999999"/>
    <s v="144/77"/>
    <n v="296"/>
    <n v="83"/>
    <n v="139"/>
    <x v="1"/>
    <s v="N"/>
    <s v="Moderate"/>
    <s v="N"/>
    <n v="189.89599999999999"/>
    <n v="0.42299999999999999"/>
    <n v="144"/>
    <n v="77"/>
    <s v="Hypertension Stage 2"/>
    <n v="183"/>
    <n v="17.239999999999998"/>
    <x v="0"/>
    <x v="0"/>
  </r>
  <r>
    <x v="1"/>
    <n v="50"/>
    <n v="50.427999999999997"/>
    <n v="1.7629999999999999"/>
    <n v="36.606999999999999"/>
    <n v="74.566999999999993"/>
    <s v="172/111"/>
    <n v="255"/>
    <n v="35"/>
    <n v="107"/>
    <x v="0"/>
    <s v="N"/>
    <s v="Moderate"/>
    <s v="N"/>
    <n v="176.33600000000001"/>
    <n v="0.42299999999999999"/>
    <n v="172"/>
    <n v="111"/>
    <s v="Hypertension Stage 2"/>
    <n v="190"/>
    <n v="21.021000000000001"/>
    <x v="2"/>
    <x v="0"/>
  </r>
  <r>
    <x v="1"/>
    <n v="67"/>
    <n v="70.423000000000002"/>
    <n v="1.7829999999999999"/>
    <n v="19.995000000000001"/>
    <n v="95.591999999999999"/>
    <s v="175/107"/>
    <n v="226"/>
    <n v="72"/>
    <n v="136"/>
    <x v="1"/>
    <s v="Y"/>
    <s v="Moderate"/>
    <s v="N"/>
    <n v="178.34800000000001"/>
    <n v="0.53600000000000003"/>
    <n v="175"/>
    <n v="107"/>
    <s v="Hypertension Stage 2"/>
    <n v="124"/>
    <n v="19.268999999999998"/>
    <x v="2"/>
    <x v="0"/>
  </r>
  <r>
    <x v="1"/>
    <n v="57"/>
    <n v="51.844999999999999"/>
    <n v="1.7549999999999999"/>
    <n v="23.094000000000001"/>
    <n v="112.218"/>
    <s v="164/78"/>
    <n v="211"/>
    <n v="30"/>
    <n v="79"/>
    <x v="1"/>
    <s v="Y"/>
    <s v="High"/>
    <s v="Y"/>
    <n v="175.51"/>
    <n v="0.63900000000000001"/>
    <n v="164"/>
    <n v="78"/>
    <s v="Hypertension Stage 2"/>
    <n v="151"/>
    <n v="19.039000000000001"/>
    <x v="0"/>
    <x v="0"/>
  </r>
  <r>
    <x v="1"/>
    <n v="77"/>
    <n v="79.807000000000002"/>
    <n v="1.5449999999999999"/>
    <n v="38.128"/>
    <m/>
    <s v="128/91"/>
    <n v="201"/>
    <n v="44"/>
    <n v="147"/>
    <x v="0"/>
    <s v="Y"/>
    <s v="High"/>
    <s v="N"/>
    <n v="154.51300000000001"/>
    <n v="0.47199999999999998"/>
    <n v="128"/>
    <n v="91"/>
    <s v="Hypertension Stage 2"/>
    <n v="127"/>
    <m/>
    <x v="2"/>
    <x v="0"/>
  </r>
  <r>
    <x v="1"/>
    <n v="69"/>
    <n v="59.683999999999997"/>
    <n v="1.94"/>
    <n v="23.914000000000001"/>
    <n v="117.986"/>
    <s v="106/115"/>
    <n v="206"/>
    <n v="42"/>
    <n v="140"/>
    <x v="1"/>
    <s v="Y"/>
    <s v="High"/>
    <s v="Y"/>
    <n v="193.98099999999999"/>
    <n v="0.60799999999999998"/>
    <n v="106"/>
    <n v="115"/>
    <s v="Hypertension Stage 2"/>
    <n v="134"/>
    <n v="16.202999999999999"/>
    <x v="1"/>
    <x v="1"/>
  </r>
  <r>
    <x v="1"/>
    <m/>
    <n v="69.769000000000005"/>
    <n v="1.696"/>
    <n v="22.06"/>
    <n v="74.183999999999997"/>
    <s v="120/76"/>
    <n v="197"/>
    <n v="65"/>
    <n v="151"/>
    <x v="1"/>
    <s v="N"/>
    <s v="Low"/>
    <s v="N"/>
    <n v="169.56"/>
    <n v="0.438"/>
    <n v="120"/>
    <n v="76"/>
    <s v="Elevated"/>
    <m/>
    <n v="14.352"/>
    <x v="0"/>
    <x v="0"/>
  </r>
  <r>
    <x v="1"/>
    <n v="51"/>
    <m/>
    <n v="1.917"/>
    <n v="26.257000000000001"/>
    <n v="99.63"/>
    <s v="173/70"/>
    <n v="157"/>
    <n v="62"/>
    <n v="168"/>
    <x v="0"/>
    <s v="Y"/>
    <s v="Low"/>
    <s v="N"/>
    <n v="191.68799999999999"/>
    <n v="0.52"/>
    <n v="173"/>
    <n v="70"/>
    <s v="Hypertension Stage 2"/>
    <n v="65"/>
    <n v="19.041"/>
    <x v="0"/>
    <x v="0"/>
  </r>
  <r>
    <x v="0"/>
    <n v="31"/>
    <n v="95.747"/>
    <n v="1.758"/>
    <n v="26.721"/>
    <n v="74.381"/>
    <s v="121/96"/>
    <n v="161"/>
    <n v="74"/>
    <n v="187"/>
    <x v="1"/>
    <s v="Y"/>
    <s v="High"/>
    <s v="N"/>
    <n v="175.804"/>
    <n v="0.42299999999999999"/>
    <n v="121"/>
    <n v="96"/>
    <s v="Hypertension Stage 2"/>
    <n v="57"/>
    <n v="16.614000000000001"/>
    <x v="0"/>
    <x v="0"/>
  </r>
  <r>
    <x v="1"/>
    <n v="62"/>
    <n v="89.04"/>
    <n v="1.57"/>
    <n v="37.698999999999998"/>
    <n v="72.102000000000004"/>
    <s v="124/102"/>
    <n v="214"/>
    <n v="81"/>
    <n v="73"/>
    <x v="1"/>
    <s v="Y"/>
    <s v="High"/>
    <s v="N"/>
    <n v="156.96799999999999"/>
    <n v="0.45900000000000002"/>
    <n v="124"/>
    <n v="102"/>
    <s v="Hypertension Stage 2"/>
    <m/>
    <n v="20.02"/>
    <x v="1"/>
    <x v="1"/>
  </r>
  <r>
    <x v="1"/>
    <n v="62"/>
    <n v="71.14"/>
    <n v="1.9650000000000001"/>
    <n v="36.601999999999997"/>
    <n v="107.11"/>
    <s v="178/81"/>
    <n v="209"/>
    <n v="39"/>
    <n v="113"/>
    <x v="0"/>
    <s v="N"/>
    <s v="High"/>
    <s v="Y"/>
    <m/>
    <n v="0.54500000000000004"/>
    <n v="178"/>
    <n v="81"/>
    <s v="Hypertension Stage 1"/>
    <n v="140"/>
    <n v="20.399999999999999"/>
    <x v="0"/>
    <x v="0"/>
  </r>
  <r>
    <x v="1"/>
    <n v="55"/>
    <n v="73.143000000000001"/>
    <n v="1.9259999999999999"/>
    <n v="23.826000000000001"/>
    <n v="105.997"/>
    <s v="138/99"/>
    <n v="298"/>
    <n v="65"/>
    <n v="133"/>
    <x v="0"/>
    <s v="Y"/>
    <s v="High"/>
    <s v="N"/>
    <n v="192.58600000000001"/>
    <n v="0.55000000000000004"/>
    <n v="138"/>
    <m/>
    <s v="Hypertension Stage 1"/>
    <n v="203"/>
    <n v="19.625"/>
    <x v="2"/>
    <x v="0"/>
  </r>
  <r>
    <x v="1"/>
    <n v="47"/>
    <n v="110.756"/>
    <n v="1.7230000000000001"/>
    <n v="34.107999999999997"/>
    <n v="97.134"/>
    <s v="154/112"/>
    <n v="192"/>
    <n v="87"/>
    <n v="133"/>
    <x v="0"/>
    <s v="Y"/>
    <s v="High"/>
    <s v="Y"/>
    <n v="172.339"/>
    <n v="0.56399999999999995"/>
    <n v="154"/>
    <n v="112"/>
    <s v="Hypertension Stage 2"/>
    <n v="75"/>
    <n v="20.361999999999998"/>
    <x v="2"/>
    <x v="0"/>
  </r>
  <r>
    <x v="1"/>
    <n v="26"/>
    <n v="66.629000000000005"/>
    <n v="1.8420000000000001"/>
    <n v="37.856999999999999"/>
    <n v="112.39100000000001"/>
    <s v="108/88"/>
    <n v="154"/>
    <n v="35"/>
    <n v="113"/>
    <x v="0"/>
    <s v="Y"/>
    <s v="Low"/>
    <s v="N"/>
    <n v="184.21"/>
    <m/>
    <n v="108"/>
    <n v="88"/>
    <s v="Hypertension Stage 1"/>
    <n v="89"/>
    <n v="18.050999999999998"/>
    <x v="1"/>
    <x v="1"/>
  </r>
  <r>
    <x v="1"/>
    <n v="46"/>
    <n v="107.048"/>
    <n v="1.595"/>
    <n v="22.024999999999999"/>
    <n v="81.302999999999997"/>
    <s v="178/77"/>
    <n v="173"/>
    <m/>
    <n v="181"/>
    <x v="0"/>
    <s v="Y"/>
    <s v="High"/>
    <s v="N"/>
    <n v="159.505"/>
    <n v="0.51"/>
    <n v="178"/>
    <n v="77"/>
    <s v="Hypertension Stage 2"/>
    <n v="109"/>
    <n v="18.765000000000001"/>
    <x v="2"/>
    <x v="0"/>
  </r>
  <r>
    <x v="0"/>
    <n v="67"/>
    <n v="69.983999999999995"/>
    <n v="1.6719999999999999"/>
    <n v="25.939"/>
    <n v="91.655000000000001"/>
    <s v="129/113"/>
    <n v="136"/>
    <n v="71"/>
    <n v="127"/>
    <x v="1"/>
    <s v="Y"/>
    <s v="Low"/>
    <s v="Y"/>
    <n v="167.15199999999999"/>
    <n v="0.54800000000000004"/>
    <n v="129"/>
    <n v="113"/>
    <s v="Hypertension Stage 2"/>
    <n v="35"/>
    <n v="16.358000000000001"/>
    <x v="1"/>
    <x v="1"/>
  </r>
  <r>
    <x v="1"/>
    <n v="49"/>
    <n v="62.814"/>
    <n v="1.8360000000000001"/>
    <n v="23.748999999999999"/>
    <n v="98.415000000000006"/>
    <s v="150/81"/>
    <n v="254"/>
    <n v="44"/>
    <n v="143"/>
    <x v="1"/>
    <s v="Y"/>
    <s v="Low"/>
    <s v="Y"/>
    <n v="183.64"/>
    <n v="0.53600000000000003"/>
    <n v="150"/>
    <n v="81"/>
    <s v="Hypertension Stage 1"/>
    <n v="180"/>
    <n v="19.329999999999998"/>
    <x v="1"/>
    <x v="1"/>
  </r>
  <r>
    <x v="0"/>
    <n v="67"/>
    <n v="75.801000000000002"/>
    <n v="1.988"/>
    <n v="26.556000000000001"/>
    <n v="102.511"/>
    <s v="147/116"/>
    <n v="108"/>
    <n v="72"/>
    <n v="184"/>
    <x v="0"/>
    <s v="N"/>
    <s v="High"/>
    <s v="Y"/>
    <n v="198.804"/>
    <n v="0.51600000000000001"/>
    <n v="147"/>
    <n v="116"/>
    <s v="Hypertension Stage 2"/>
    <n v="6"/>
    <n v="14.821"/>
    <x v="0"/>
    <x v="0"/>
  </r>
  <r>
    <x v="1"/>
    <n v="49"/>
    <n v="93.019000000000005"/>
    <n v="1.6459999999999999"/>
    <n v="31.42"/>
    <n v="91.486999999999995"/>
    <s v="105/104"/>
    <n v="238"/>
    <n v="59"/>
    <n v="126"/>
    <x v="1"/>
    <s v="N"/>
    <s v="Moderate"/>
    <s v="N"/>
    <n v="164.59299999999999"/>
    <n v="0.55600000000000005"/>
    <n v="105"/>
    <n v="104"/>
    <s v="Hypertension Stage 2"/>
    <n v="149"/>
    <n v="16.294"/>
    <x v="1"/>
    <x v="1"/>
  </r>
  <r>
    <x v="0"/>
    <n v="75"/>
    <n v="55.365000000000002"/>
    <n v="1.5369999999999999"/>
    <n v="36.322000000000003"/>
    <n v="116.04900000000001"/>
    <s v="139/90"/>
    <n v="286"/>
    <n v="78"/>
    <n v="125"/>
    <x v="0"/>
    <s v="N"/>
    <s v="High"/>
    <s v="Y"/>
    <n v="153.68100000000001"/>
    <n v="0.755"/>
    <n v="139"/>
    <n v="90"/>
    <s v="Hypertension Stage 1"/>
    <n v="178"/>
    <n v="19.934000000000001"/>
    <x v="1"/>
    <x v="1"/>
  </r>
  <r>
    <x v="0"/>
    <n v="58"/>
    <n v="94.09"/>
    <n v="1.6679999999999999"/>
    <n v="35.261000000000003"/>
    <n v="119.874"/>
    <s v="172/63"/>
    <n v="294"/>
    <n v="39"/>
    <n v="94"/>
    <x v="0"/>
    <s v="Y"/>
    <s v="Low"/>
    <s v="N"/>
    <n v="166.84200000000001"/>
    <n v="0.71799999999999997"/>
    <n v="172"/>
    <n v="63"/>
    <s v="Hypertension Stage 2"/>
    <n v="225"/>
    <n v="23.532"/>
    <x v="1"/>
    <x v="1"/>
  </r>
  <r>
    <x v="0"/>
    <n v="37"/>
    <n v="76.597999999999999"/>
    <n v="1.891"/>
    <n v="27.643000000000001"/>
    <n v="103.955"/>
    <s v="91/108"/>
    <n v="231"/>
    <n v="53"/>
    <n v="138"/>
    <x v="0"/>
    <s v="N"/>
    <s v="Low"/>
    <s v="N"/>
    <n v="189.06700000000001"/>
    <n v="0.55000000000000004"/>
    <n v="91"/>
    <n v="108"/>
    <s v="Hypertension Stage 2"/>
    <n v="148"/>
    <n v="14.699"/>
    <x v="1"/>
    <x v="1"/>
  </r>
  <r>
    <x v="1"/>
    <n v="71"/>
    <m/>
    <n v="1.911"/>
    <n v="21.324999999999999"/>
    <n v="114.265"/>
    <s v="140/67"/>
    <n v="160"/>
    <n v="76"/>
    <m/>
    <x v="1"/>
    <s v="Y"/>
    <s v="High"/>
    <s v="N"/>
    <n v="191.12799999999999"/>
    <n v="0.59799999999999998"/>
    <n v="140"/>
    <n v="67"/>
    <s v="Hypertension Stage 2"/>
    <n v="54"/>
    <n v="16.465"/>
    <x v="0"/>
    <x v="0"/>
  </r>
  <r>
    <x v="1"/>
    <n v="41"/>
    <n v="112.22"/>
    <n v="1.968"/>
    <n v="27.899000000000001"/>
    <n v="108.46899999999999"/>
    <s v="126/64"/>
    <n v="203"/>
    <n v="80"/>
    <n v="165"/>
    <x v="1"/>
    <s v="N"/>
    <s v="Moderate"/>
    <s v="N"/>
    <n v="196.75899999999999"/>
    <n v="0.55100000000000005"/>
    <n v="126"/>
    <n v="64"/>
    <s v="Elevated"/>
    <n v="93"/>
    <m/>
    <x v="1"/>
    <x v="1"/>
  </r>
  <r>
    <x v="0"/>
    <n v="67"/>
    <n v="96.234999999999999"/>
    <n v="1.661"/>
    <n v="28.343"/>
    <n v="118.402"/>
    <s v="92/107"/>
    <n v="179"/>
    <n v="46"/>
    <n v="112"/>
    <x v="1"/>
    <s v="N"/>
    <s v="Moderate"/>
    <s v="N"/>
    <n v="166.09100000000001"/>
    <n v="0.71299999999999997"/>
    <n v="92"/>
    <n v="107"/>
    <s v="Hypertension Stage 2"/>
    <n v="103"/>
    <n v="13.849"/>
    <x v="1"/>
    <x v="1"/>
  </r>
  <r>
    <x v="0"/>
    <n v="44"/>
    <n v="56.978000000000002"/>
    <n v="1.629"/>
    <n v="29.390999999999998"/>
    <n v="96.63"/>
    <s v="148/71"/>
    <n v="178"/>
    <m/>
    <n v="167"/>
    <x v="0"/>
    <s v="Y"/>
    <s v="High"/>
    <s v="Y"/>
    <n v="162.92099999999999"/>
    <n v="0.59299999999999997"/>
    <n v="148"/>
    <n v="71"/>
    <s v="Hypertension Stage 2"/>
    <n v="103"/>
    <n v="18.838000000000001"/>
    <x v="1"/>
    <x v="1"/>
  </r>
  <r>
    <x v="0"/>
    <n v="73"/>
    <n v="66.073999999999998"/>
    <m/>
    <n v="27.460999999999999"/>
    <n v="76.599000000000004"/>
    <s v="112/106"/>
    <n v="197"/>
    <n v="55"/>
    <n v="131"/>
    <x v="0"/>
    <s v="N"/>
    <s v="Low"/>
    <s v="Y"/>
    <n v="195.82"/>
    <n v="0.39100000000000001"/>
    <n v="112"/>
    <n v="106"/>
    <s v="Hypertension Stage 2"/>
    <n v="112"/>
    <m/>
    <x v="0"/>
    <x v="0"/>
  </r>
  <r>
    <x v="1"/>
    <n v="39"/>
    <n v="52.640999999999998"/>
    <n v="1.8979999999999999"/>
    <n v="33.1"/>
    <n v="73.69"/>
    <s v="120/78"/>
    <n v="228"/>
    <n v="38"/>
    <n v="112"/>
    <x v="1"/>
    <s v="Y"/>
    <s v="Moderate"/>
    <s v="Y"/>
    <n v="189.81700000000001"/>
    <n v="0.38800000000000001"/>
    <n v="120"/>
    <m/>
    <s v="Elevated"/>
    <n v="160"/>
    <n v="19.18"/>
    <x v="0"/>
    <x v="0"/>
  </r>
  <r>
    <x v="1"/>
    <n v="29"/>
    <n v="88.179000000000002"/>
    <n v="1.802"/>
    <n v="28.2"/>
    <n v="96.090999999999994"/>
    <s v="165/72"/>
    <n v="171"/>
    <n v="56"/>
    <n v="144"/>
    <x v="1"/>
    <s v="N"/>
    <s v="Low"/>
    <s v="Y"/>
    <n v="180.15799999999999"/>
    <n v="0.53300000000000003"/>
    <n v="165"/>
    <n v="72"/>
    <s v="Hypertension Stage 2"/>
    <n v="85"/>
    <n v="17.309999999999999"/>
    <x v="0"/>
    <x v="0"/>
  </r>
  <r>
    <x v="1"/>
    <n v="55"/>
    <n v="74.451999999999998"/>
    <n v="1.643"/>
    <n v="37.512"/>
    <n v="79.587999999999994"/>
    <s v="102/90"/>
    <n v="160"/>
    <n v="48"/>
    <n v="161"/>
    <x v="1"/>
    <s v="N"/>
    <s v="Moderate"/>
    <s v="N"/>
    <n v="164.30600000000001"/>
    <n v="0.48399999999999999"/>
    <n v="102"/>
    <n v="90"/>
    <s v="Hypertension Stage 2"/>
    <n v="82"/>
    <m/>
    <x v="2"/>
    <x v="0"/>
  </r>
  <r>
    <x v="1"/>
    <n v="46"/>
    <n v="61.985999999999997"/>
    <n v="1.841"/>
    <m/>
    <n v="118.99"/>
    <s v="169/87"/>
    <m/>
    <n v="61"/>
    <n v="155"/>
    <x v="1"/>
    <s v="N"/>
    <s v="Low"/>
    <s v="Y"/>
    <n v="184.053"/>
    <n v="0.64600000000000002"/>
    <n v="169"/>
    <n v="87"/>
    <s v="Hypertension Stage 1"/>
    <n v="31"/>
    <n v="16.75"/>
    <x v="1"/>
    <x v="1"/>
  </r>
  <r>
    <x v="0"/>
    <n v="46"/>
    <n v="98.034999999999997"/>
    <n v="1.86"/>
    <n v="24.27"/>
    <n v="89.5"/>
    <s v="117/77"/>
    <n v="150"/>
    <m/>
    <n v="174"/>
    <x v="0"/>
    <s v="N"/>
    <s v="High"/>
    <s v="N"/>
    <n v="185.96100000000001"/>
    <n v="0.48099999999999998"/>
    <n v="117"/>
    <n v="77"/>
    <s v="Normal"/>
    <n v="77"/>
    <n v="13.704000000000001"/>
    <x v="1"/>
    <x v="1"/>
  </r>
  <r>
    <x v="0"/>
    <n v="76"/>
    <n v="114.22799999999999"/>
    <n v="1.6180000000000001"/>
    <m/>
    <n v="77.89"/>
    <s v="163/82"/>
    <n v="137"/>
    <n v="70"/>
    <n v="90"/>
    <x v="0"/>
    <s v="Y"/>
    <s v="Moderate"/>
    <s v="N"/>
    <n v="161.76499999999999"/>
    <n v="0.48199999999999998"/>
    <n v="163"/>
    <n v="82"/>
    <s v="Hypertension Stage 1"/>
    <n v="37"/>
    <n v="19.716000000000001"/>
    <x v="1"/>
    <x v="1"/>
  </r>
  <r>
    <x v="0"/>
    <n v="75"/>
    <n v="103.54300000000001"/>
    <n v="1.8520000000000001"/>
    <n v="29.792999999999999"/>
    <n v="110.663"/>
    <s v="96/89"/>
    <n v="249"/>
    <n v="49"/>
    <n v="191"/>
    <x v="1"/>
    <s v="Y"/>
    <s v="High"/>
    <s v="Y"/>
    <n v="185.239"/>
    <n v="0.59699999999999998"/>
    <n v="96"/>
    <n v="89"/>
    <s v="Hypertension Stage 1"/>
    <n v="170"/>
    <n v="17.739000000000001"/>
    <x v="2"/>
    <x v="0"/>
  </r>
  <r>
    <x v="0"/>
    <n v="41"/>
    <n v="114.34699999999999"/>
    <n v="1.8720000000000001"/>
    <n v="27.49"/>
    <n v="103.441"/>
    <s v="107/91"/>
    <n v="299"/>
    <n v="42"/>
    <n v="134"/>
    <x v="0"/>
    <s v="Y"/>
    <s v="High"/>
    <s v="N"/>
    <n v="187.24199999999999"/>
    <n v="0.55200000000000005"/>
    <n v="107"/>
    <n v="91"/>
    <s v="Hypertension Stage 2"/>
    <n v="227"/>
    <n v="18.827999999999999"/>
    <x v="0"/>
    <x v="0"/>
  </r>
  <r>
    <x v="1"/>
    <n v="69"/>
    <n v="85.474000000000004"/>
    <n v="1.879"/>
    <n v="36.134999999999998"/>
    <n v="101.905"/>
    <s v="131/98"/>
    <n v="205"/>
    <n v="89"/>
    <n v="171"/>
    <x v="1"/>
    <s v="Y"/>
    <s v="Low"/>
    <s v="Y"/>
    <n v="187.92400000000001"/>
    <n v="0.54200000000000004"/>
    <n v="131"/>
    <n v="98"/>
    <s v="Hypertension Stage 1"/>
    <n v="86"/>
    <n v="19.876999999999999"/>
    <x v="2"/>
    <x v="0"/>
  </r>
  <r>
    <x v="0"/>
    <n v="62"/>
    <n v="66.498000000000005"/>
    <n v="1.6439999999999999"/>
    <n v="33.527999999999999"/>
    <n v="116.551"/>
    <s v="179/91"/>
    <m/>
    <n v="53"/>
    <n v="193"/>
    <x v="1"/>
    <s v="N"/>
    <s v="Moderate"/>
    <s v="N"/>
    <n v="164.40299999999999"/>
    <n v="0.70899999999999996"/>
    <n v="179"/>
    <n v="91"/>
    <s v="Hypertension Stage 2"/>
    <n v="134"/>
    <n v="19.995999999999999"/>
    <x v="2"/>
    <x v="0"/>
  </r>
  <r>
    <x v="1"/>
    <m/>
    <n v="104.80200000000001"/>
    <n v="1.927"/>
    <n v="36.368000000000002"/>
    <n v="70.411000000000001"/>
    <s v="90/111"/>
    <n v="104"/>
    <n v="31"/>
    <n v="78"/>
    <x v="0"/>
    <s v="Y"/>
    <s v="Low"/>
    <s v="Y"/>
    <n v="192.739"/>
    <n v="0.36499999999999999"/>
    <n v="90"/>
    <n v="111"/>
    <s v="Hypertension Stage 2"/>
    <n v="43"/>
    <n v="15.853999999999999"/>
    <x v="1"/>
    <x v="1"/>
  </r>
  <r>
    <x v="1"/>
    <n v="35"/>
    <n v="117.825"/>
    <n v="1.5509999999999999"/>
    <n v="21.128"/>
    <n v="74.558999999999997"/>
    <s v="110/112"/>
    <n v="288"/>
    <n v="49"/>
    <m/>
    <x v="1"/>
    <s v="Y"/>
    <s v="Low"/>
    <s v="Y"/>
    <n v="155.06800000000001"/>
    <n v="0.48099999999999998"/>
    <n v="110"/>
    <n v="112"/>
    <s v="Hypertension Stage 2"/>
    <n v="209"/>
    <n v="17.486000000000001"/>
    <x v="0"/>
    <x v="0"/>
  </r>
  <r>
    <x v="0"/>
    <n v="70"/>
    <n v="56.381"/>
    <n v="1.9"/>
    <n v="33.984000000000002"/>
    <n v="78.763999999999996"/>
    <s v="176/95"/>
    <n v="215"/>
    <n v="52"/>
    <n v="166"/>
    <x v="0"/>
    <s v="Y"/>
    <s v="High"/>
    <s v="Y"/>
    <n v="190.04"/>
    <n v="0.41399999999999998"/>
    <n v="176"/>
    <n v="95"/>
    <s v="Hypertension Stage 2"/>
    <n v="133"/>
    <n v="21.896999999999998"/>
    <x v="0"/>
    <x v="0"/>
  </r>
  <r>
    <x v="0"/>
    <n v="33"/>
    <n v="65.016999999999996"/>
    <n v="1.5780000000000001"/>
    <n v="21.577000000000002"/>
    <n v="110.809"/>
    <s v="102/73"/>
    <n v="121"/>
    <n v="48"/>
    <n v="148"/>
    <x v="0"/>
    <s v="N"/>
    <s v="Low"/>
    <s v="Y"/>
    <n v="157.827"/>
    <n v="0.70199999999999996"/>
    <n v="102"/>
    <n v="73"/>
    <s v="Normal"/>
    <n v="43"/>
    <n v="11.835000000000001"/>
    <x v="0"/>
    <x v="0"/>
  </r>
  <r>
    <x v="1"/>
    <n v="41"/>
    <n v="111.548"/>
    <n v="1.9119999999999999"/>
    <m/>
    <n v="88.150999999999996"/>
    <s v="130/71"/>
    <n v="102"/>
    <n v="46"/>
    <n v="90"/>
    <x v="1"/>
    <s v="Y"/>
    <s v="Low"/>
    <s v="N"/>
    <n v="191.18700000000001"/>
    <n v="0.46100000000000002"/>
    <n v="130"/>
    <n v="71"/>
    <s v="Hypertension Stage 1"/>
    <n v="26"/>
    <n v="16.672999999999998"/>
    <x v="0"/>
    <x v="0"/>
  </r>
  <r>
    <x v="0"/>
    <n v="28"/>
    <n v="92.683000000000007"/>
    <n v="1.839"/>
    <n v="31.26"/>
    <n v="76.347999999999999"/>
    <s v="169/95"/>
    <n v="297"/>
    <n v="81"/>
    <n v="147"/>
    <x v="0"/>
    <s v="Y"/>
    <s v="High"/>
    <s v="N"/>
    <n v="183.85300000000001"/>
    <n v="0.41499999999999998"/>
    <n v="169"/>
    <n v="95"/>
    <s v="Hypertension Stage 2"/>
    <n v="186"/>
    <n v="22.641999999999999"/>
    <x v="2"/>
    <x v="0"/>
  </r>
  <r>
    <x v="0"/>
    <n v="75"/>
    <n v="109.986"/>
    <n v="1.5740000000000001"/>
    <n v="35.325000000000003"/>
    <n v="109.006"/>
    <s v="119/88"/>
    <n v="295"/>
    <n v="77"/>
    <n v="134"/>
    <x v="0"/>
    <s v="N"/>
    <s v="Moderate"/>
    <s v="N"/>
    <n v="157.44200000000001"/>
    <n v="0.69199999999999995"/>
    <n v="119"/>
    <n v="88"/>
    <s v="Hypertension Stage 1"/>
    <n v="188"/>
    <n v="18.914999999999999"/>
    <x v="1"/>
    <x v="1"/>
  </r>
  <r>
    <x v="1"/>
    <n v="51"/>
    <n v="62.890999999999998"/>
    <n v="1.639"/>
    <n v="39.597000000000001"/>
    <n v="91.942999999999998"/>
    <s v="100/90"/>
    <n v="157"/>
    <n v="55"/>
    <n v="128"/>
    <x v="0"/>
    <s v="N"/>
    <s v="Low"/>
    <s v="Y"/>
    <n v="163.91300000000001"/>
    <n v="0.56100000000000005"/>
    <n v="100"/>
    <n v="90"/>
    <s v="Hypertension Stage 2"/>
    <n v="72"/>
    <n v="16.059000000000001"/>
    <x v="0"/>
    <x v="0"/>
  </r>
  <r>
    <x v="1"/>
    <n v="64"/>
    <n v="58.137999999999998"/>
    <n v="1.8640000000000001"/>
    <n v="31.123000000000001"/>
    <n v="85.182000000000002"/>
    <s v="149/71"/>
    <n v="259"/>
    <n v="78"/>
    <n v="147"/>
    <x v="1"/>
    <s v="Y"/>
    <s v="Low"/>
    <s v="Y"/>
    <n v="186.435"/>
    <n v="0.45700000000000002"/>
    <n v="149"/>
    <n v="71"/>
    <s v="Hypertension Stage 2"/>
    <n v="151"/>
    <n v="20.855"/>
    <x v="1"/>
    <x v="1"/>
  </r>
  <r>
    <x v="1"/>
    <n v="66"/>
    <n v="105.196"/>
    <m/>
    <n v="26.420999999999999"/>
    <n v="92.346999999999994"/>
    <s v="91/97"/>
    <n v="275"/>
    <n v="87"/>
    <n v="93"/>
    <x v="0"/>
    <s v="Y"/>
    <s v="High"/>
    <s v="N"/>
    <n v="168.959"/>
    <n v="0.54700000000000004"/>
    <n v="91"/>
    <n v="97"/>
    <s v="Hypertension Stage 2"/>
    <n v="158"/>
    <n v="17.334"/>
    <x v="0"/>
    <x v="0"/>
  </r>
  <r>
    <x v="0"/>
    <n v="64"/>
    <m/>
    <n v="1.7490000000000001"/>
    <n v="35.573999999999998"/>
    <n v="75.444999999999993"/>
    <s v="147/105"/>
    <n v="169"/>
    <n v="79"/>
    <n v="192"/>
    <x v="1"/>
    <s v="Y"/>
    <s v="Moderate"/>
    <s v="Y"/>
    <n v="174.90299999999999"/>
    <n v="0.43099999999999999"/>
    <n v="147"/>
    <n v="105"/>
    <s v="Hypertension Stage 2"/>
    <n v="60"/>
    <n v="19.844999999999999"/>
    <x v="1"/>
    <x v="1"/>
  </r>
  <r>
    <x v="1"/>
    <n v="57"/>
    <n v="111.959"/>
    <n v="1.772"/>
    <n v="32.305999999999997"/>
    <n v="102.645"/>
    <s v="171/75"/>
    <n v="155"/>
    <n v="36"/>
    <n v="130"/>
    <x v="1"/>
    <s v="Y"/>
    <s v="Moderate"/>
    <s v="Y"/>
    <n v="177.23400000000001"/>
    <n v="0.57899999999999996"/>
    <n v="171"/>
    <m/>
    <s v="Hypertension Stage 2"/>
    <n v="89"/>
    <n v="20.111000000000001"/>
    <x v="1"/>
    <x v="1"/>
  </r>
  <r>
    <x v="0"/>
    <n v="54"/>
    <n v="74.241"/>
    <n v="1.5549999999999999"/>
    <n v="24.553999999999998"/>
    <n v="116.941"/>
    <s v="104/107"/>
    <n v="105"/>
    <n v="85"/>
    <n v="122"/>
    <x v="0"/>
    <s v="N"/>
    <s v="Moderate"/>
    <s v="N"/>
    <n v="155.54499999999999"/>
    <n v="0.752"/>
    <n v="104"/>
    <n v="107"/>
    <s v="Hypertension Stage 2"/>
    <n v="-10"/>
    <n v="12.211"/>
    <x v="1"/>
    <x v="1"/>
  </r>
  <r>
    <x v="0"/>
    <m/>
    <n v="62.551000000000002"/>
    <n v="1.8460000000000001"/>
    <n v="36.387"/>
    <n v="105.20699999999999"/>
    <s v="177/62"/>
    <n v="251"/>
    <n v="77"/>
    <n v="191"/>
    <x v="1"/>
    <s v="N"/>
    <s v="Moderate"/>
    <s v="N"/>
    <n v="184.64699999999999"/>
    <n v="0.56999999999999995"/>
    <n v="177"/>
    <n v="62"/>
    <s v="Hypertension Stage 2"/>
    <n v="144"/>
    <n v="21.146999999999998"/>
    <x v="0"/>
    <x v="0"/>
  </r>
  <r>
    <x v="0"/>
    <n v="29"/>
    <n v="113.154"/>
    <n v="1.6579999999999999"/>
    <n v="23.254000000000001"/>
    <n v="100.246"/>
    <s v="148/81"/>
    <n v="250"/>
    <n v="34"/>
    <n v="150"/>
    <x v="0"/>
    <s v="Y"/>
    <s v="High"/>
    <s v="Y"/>
    <n v="165.81399999999999"/>
    <n v="0.60499999999999998"/>
    <n v="148"/>
    <n v="81"/>
    <s v="Hypertension Stage 1"/>
    <n v="186"/>
    <n v="19.050999999999998"/>
    <x v="0"/>
    <x v="0"/>
  </r>
  <r>
    <x v="1"/>
    <n v="52"/>
    <n v="80.463999999999999"/>
    <m/>
    <n v="34.707999999999998"/>
    <n v="115.123"/>
    <s v="142/107"/>
    <n v="281"/>
    <n v="61"/>
    <n v="93"/>
    <x v="0"/>
    <s v="Y"/>
    <s v="Moderate"/>
    <s v="N"/>
    <n v="184.43799999999999"/>
    <n v="0.624"/>
    <n v="142"/>
    <n v="107"/>
    <s v="Hypertension Stage 2"/>
    <n v="190"/>
    <n v="21.661999999999999"/>
    <x v="2"/>
    <x v="0"/>
  </r>
  <r>
    <x v="0"/>
    <n v="72"/>
    <n v="63.569000000000003"/>
    <n v="1.6160000000000001"/>
    <n v="21.219000000000001"/>
    <n v="80.661000000000001"/>
    <s v="148/98"/>
    <n v="166"/>
    <n v="79"/>
    <n v="181"/>
    <x v="0"/>
    <s v="Y"/>
    <s v="Low"/>
    <s v="Y"/>
    <n v="161.607"/>
    <n v="0.499"/>
    <n v="148"/>
    <m/>
    <s v="Hypertension Stage 2"/>
    <n v="57"/>
    <n v="16.963999999999999"/>
    <x v="1"/>
    <x v="1"/>
  </r>
  <r>
    <x v="1"/>
    <n v="65"/>
    <n v="63.04"/>
    <n v="1.524"/>
    <n v="18.866"/>
    <n v="72.418999999999997"/>
    <s v="111/83"/>
    <n v="187"/>
    <n v="77"/>
    <n v="146"/>
    <x v="0"/>
    <s v="N"/>
    <s v="High"/>
    <s v="Y"/>
    <n v="152.416"/>
    <m/>
    <n v="111"/>
    <n v="83"/>
    <s v="Hypertension Stage 1"/>
    <n v="80"/>
    <n v="13.063000000000001"/>
    <x v="1"/>
    <x v="1"/>
  </r>
  <r>
    <x v="0"/>
    <n v="25"/>
    <n v="55.975000000000001"/>
    <n v="1.8320000000000001"/>
    <n v="24.033999999999999"/>
    <n v="115.905"/>
    <s v="128/99"/>
    <n v="270"/>
    <n v="57"/>
    <n v="146"/>
    <x v="1"/>
    <s v="Y"/>
    <s v="Moderate"/>
    <s v="N"/>
    <n v="183.17599999999999"/>
    <n v="0.63300000000000001"/>
    <n v="128"/>
    <n v="99"/>
    <s v="Hypertension Stage 2"/>
    <m/>
    <n v="18.606999999999999"/>
    <x v="1"/>
    <x v="1"/>
  </r>
  <r>
    <x v="1"/>
    <m/>
    <n v="56.551000000000002"/>
    <n v="1.9159999999999999"/>
    <n v="23.640999999999998"/>
    <n v="88.822000000000003"/>
    <s v="106/79"/>
    <m/>
    <n v="73"/>
    <n v="169"/>
    <x v="1"/>
    <s v="Y"/>
    <s v="Low"/>
    <s v="N"/>
    <n v="191.62200000000001"/>
    <m/>
    <n v="106"/>
    <n v="79"/>
    <s v="Normal"/>
    <n v="179"/>
    <n v="17.667999999999999"/>
    <x v="2"/>
    <x v="0"/>
  </r>
  <r>
    <x v="1"/>
    <n v="71"/>
    <n v="86.263999999999996"/>
    <n v="1.694"/>
    <n v="29.422999999999998"/>
    <n v="119.233"/>
    <s v="170/62"/>
    <n v="204"/>
    <n v="65"/>
    <n v="82"/>
    <x v="0"/>
    <s v="N"/>
    <s v="High"/>
    <s v="Y"/>
    <m/>
    <n v="0.70399999999999996"/>
    <n v="170"/>
    <m/>
    <s v="Hypertension Stage 2"/>
    <n v="109"/>
    <n v="18.465"/>
    <x v="0"/>
    <x v="0"/>
  </r>
  <r>
    <x v="1"/>
    <n v="50"/>
    <n v="72.364000000000004"/>
    <n v="1.9279999999999999"/>
    <n v="35.698999999999998"/>
    <n v="108.85299999999999"/>
    <s v="115/115"/>
    <n v="199"/>
    <n v="38"/>
    <n v="168"/>
    <x v="1"/>
    <s v="Y"/>
    <s v="Moderate"/>
    <s v="Y"/>
    <n v="192.79900000000001"/>
    <n v="0.56499999999999995"/>
    <n v="115"/>
    <n v="115"/>
    <s v="Hypertension Stage 2"/>
    <n v="131"/>
    <n v="18.87"/>
    <x v="2"/>
    <x v="0"/>
  </r>
  <r>
    <x v="1"/>
    <n v="50"/>
    <n v="62.459000000000003"/>
    <n v="1.579"/>
    <n v="20.474"/>
    <m/>
    <s v="177/81"/>
    <n v="181"/>
    <n v="36"/>
    <n v="74"/>
    <x v="1"/>
    <s v="N"/>
    <s v="High"/>
    <s v="Y"/>
    <m/>
    <n v="0.64800000000000002"/>
    <n v="177"/>
    <n v="81"/>
    <s v="Hypertension Stage 1"/>
    <n v="115"/>
    <n v="16.565000000000001"/>
    <x v="1"/>
    <x v="1"/>
  </r>
  <r>
    <x v="0"/>
    <n v="57"/>
    <n v="89.650999999999996"/>
    <n v="1.603"/>
    <n v="27.783000000000001"/>
    <n v="70.403000000000006"/>
    <s v="129/108"/>
    <m/>
    <n v="52"/>
    <n v="151"/>
    <x v="1"/>
    <s v="N"/>
    <s v="Moderate"/>
    <s v="Y"/>
    <n v="160.32599999999999"/>
    <n v="0.439"/>
    <n v="129"/>
    <n v="108"/>
    <s v="Hypertension Stage 2"/>
    <n v="112"/>
    <m/>
    <x v="0"/>
    <x v="0"/>
  </r>
  <r>
    <x v="0"/>
    <n v="31"/>
    <n v="62.347000000000001"/>
    <n v="1.5349999999999999"/>
    <n v="32.843000000000004"/>
    <n v="89.638000000000005"/>
    <s v="125/86"/>
    <n v="177"/>
    <m/>
    <n v="87"/>
    <x v="1"/>
    <s v="Y"/>
    <s v="Low"/>
    <s v="Y"/>
    <n v="153.51300000000001"/>
    <n v="0.58399999999999996"/>
    <n v="125"/>
    <n v="86"/>
    <s v="Hypertension Stage 1"/>
    <n v="90"/>
    <n v="18.359000000000002"/>
    <x v="1"/>
    <x v="1"/>
  </r>
  <r>
    <x v="0"/>
    <n v="74"/>
    <n v="64.405000000000001"/>
    <n v="1.601"/>
    <n v="35.043999999999997"/>
    <n v="109.708"/>
    <s v="122/85"/>
    <n v="171"/>
    <n v="79"/>
    <n v="136"/>
    <x v="0"/>
    <s v="Y"/>
    <s v="Moderate"/>
    <s v="N"/>
    <n v="160.13"/>
    <n v="0.68500000000000005"/>
    <n v="122"/>
    <n v="85"/>
    <s v="Hypertension Stage 1"/>
    <n v="62"/>
    <n v="18.529"/>
    <x v="2"/>
    <x v="0"/>
  </r>
  <r>
    <x v="0"/>
    <n v="32"/>
    <m/>
    <n v="1.8979999999999999"/>
    <n v="36.837000000000003"/>
    <n v="72.41"/>
    <s v="125/111"/>
    <n v="233"/>
    <n v="52"/>
    <n v="84"/>
    <x v="0"/>
    <s v="N"/>
    <s v="High"/>
    <s v="Y"/>
    <n v="189.815"/>
    <n v="0.38100000000000001"/>
    <n v="125"/>
    <m/>
    <s v="Hypertension Stage 2"/>
    <n v="151"/>
    <n v="18.277000000000001"/>
    <x v="0"/>
    <x v="0"/>
  </r>
  <r>
    <x v="1"/>
    <n v="40"/>
    <n v="114.426"/>
    <n v="1.823"/>
    <n v="38.582000000000001"/>
    <n v="105.06699999999999"/>
    <s v="171/86"/>
    <n v="140"/>
    <n v="54"/>
    <n v="116"/>
    <x v="1"/>
    <s v="Y"/>
    <s v="High"/>
    <s v="N"/>
    <n v="182.28700000000001"/>
    <n v="0.57599999999999996"/>
    <n v="171"/>
    <n v="86"/>
    <s v="Hypertension Stage 1"/>
    <n v="56"/>
    <n v="21.065999999999999"/>
    <x v="1"/>
    <x v="1"/>
  </r>
  <r>
    <x v="1"/>
    <n v="67"/>
    <n v="87.046000000000006"/>
    <n v="1.5249999999999999"/>
    <n v="23.282"/>
    <n v="112.155"/>
    <s v="128/84"/>
    <n v="209"/>
    <n v="41"/>
    <n v="137"/>
    <x v="0"/>
    <s v="N"/>
    <s v="High"/>
    <s v="N"/>
    <n v="152.53800000000001"/>
    <n v="0.73499999999999999"/>
    <n v="128"/>
    <n v="84"/>
    <s v="Hypertension Stage 1"/>
    <n v="138"/>
    <n v="15.236000000000001"/>
    <x v="1"/>
    <x v="1"/>
  </r>
  <r>
    <x v="0"/>
    <n v="30"/>
    <n v="89.635999999999996"/>
    <n v="1.752"/>
    <n v="23.7"/>
    <n v="78.406000000000006"/>
    <s v="148/63"/>
    <n v="292"/>
    <m/>
    <n v="154"/>
    <x v="0"/>
    <s v="N"/>
    <s v="Low"/>
    <s v="N"/>
    <n v="175.22300000000001"/>
    <n v="0.44700000000000001"/>
    <n v="148"/>
    <n v="63"/>
    <s v="Hypertension Stage 2"/>
    <n v="223"/>
    <n v="17.98"/>
    <x v="1"/>
    <x v="1"/>
  </r>
  <r>
    <x v="1"/>
    <n v="79"/>
    <n v="71.016000000000005"/>
    <n v="1.7689999999999999"/>
    <n v="29.196999999999999"/>
    <n v="85.153999999999996"/>
    <s v="127/84"/>
    <n v="173"/>
    <n v="81"/>
    <n v="139"/>
    <x v="0"/>
    <s v="N"/>
    <s v="Low"/>
    <s v="N"/>
    <n v="176.90100000000001"/>
    <n v="0.48099999999999998"/>
    <n v="127"/>
    <n v="84"/>
    <s v="Hypertension Stage 1"/>
    <n v="62"/>
    <m/>
    <x v="2"/>
    <x v="0"/>
  </r>
  <r>
    <x v="0"/>
    <n v="62"/>
    <n v="114.762"/>
    <n v="1.9079999999999999"/>
    <n v="29.827000000000002"/>
    <n v="75.754000000000005"/>
    <s v="105/102"/>
    <n v="270"/>
    <n v="53"/>
    <n v="189"/>
    <x v="1"/>
    <s v="N"/>
    <s v="Low"/>
    <s v="N"/>
    <n v="190.84100000000001"/>
    <n v="0.39700000000000002"/>
    <n v="105"/>
    <n v="102"/>
    <s v="Hypertension Stage 2"/>
    <n v="187"/>
    <n v="16.614999999999998"/>
    <x v="0"/>
    <x v="0"/>
  </r>
  <r>
    <x v="1"/>
    <n v="47"/>
    <n v="85.018000000000001"/>
    <n v="1.913"/>
    <m/>
    <n v="115.545"/>
    <s v="171/75"/>
    <n v="243"/>
    <n v="82"/>
    <n v="157"/>
    <x v="1"/>
    <s v="N"/>
    <s v="Moderate"/>
    <s v="Y"/>
    <n v="191.29900000000001"/>
    <n v="0.60399999999999998"/>
    <n v="171"/>
    <n v="75"/>
    <s v="Hypertension Stage 2"/>
    <m/>
    <n v="17.579000000000001"/>
    <x v="0"/>
    <x v="0"/>
  </r>
  <r>
    <x v="0"/>
    <n v="33"/>
    <n v="117.861"/>
    <n v="1.708"/>
    <n v="29.817"/>
    <n v="79.664000000000001"/>
    <s v="105/118"/>
    <n v="154"/>
    <n v="66"/>
    <n v="96"/>
    <x v="0"/>
    <s v="N"/>
    <s v="Moderate"/>
    <s v="Y"/>
    <n v="170.84700000000001"/>
    <n v="0.46600000000000003"/>
    <n v="105"/>
    <n v="118"/>
    <s v="Hypertension Stage 2"/>
    <n v="58"/>
    <n v="14.292999999999999"/>
    <x v="0"/>
    <x v="0"/>
  </r>
  <r>
    <x v="0"/>
    <n v="27"/>
    <n v="107.306"/>
    <n v="1.516"/>
    <n v="33.795999999999999"/>
    <n v="97.468999999999994"/>
    <s v="144/86"/>
    <n v="234"/>
    <n v="55"/>
    <n v="160"/>
    <x v="1"/>
    <s v="Y"/>
    <s v="Moderate"/>
    <s v="Y"/>
    <n v="151.61600000000001"/>
    <n v="0.64300000000000002"/>
    <n v="144"/>
    <n v="86"/>
    <s v="Hypertension Stage 1"/>
    <n v="149"/>
    <m/>
    <x v="2"/>
    <x v="0"/>
  </r>
  <r>
    <x v="0"/>
    <n v="59"/>
    <n v="91.667000000000002"/>
    <n v="1.5109999999999999"/>
    <n v="21.881"/>
    <n v="80.91"/>
    <s v="144/64"/>
    <n v="231"/>
    <n v="76"/>
    <n v="183"/>
    <x v="0"/>
    <s v="N"/>
    <s v="Low"/>
    <s v="N"/>
    <n v="151.09700000000001"/>
    <n v="0.53500000000000003"/>
    <n v="144"/>
    <n v="64"/>
    <s v="Hypertension Stage 2"/>
    <n v="125"/>
    <n v="16.196000000000002"/>
    <x v="1"/>
    <x v="1"/>
  </r>
  <r>
    <x v="1"/>
    <n v="25"/>
    <n v="65.382999999999996"/>
    <n v="1.504"/>
    <n v="28.513000000000002"/>
    <n v="73.721999999999994"/>
    <s v="98/85"/>
    <n v="123"/>
    <n v="48"/>
    <n v="137"/>
    <x v="1"/>
    <s v="Y"/>
    <s v="High"/>
    <s v="Y"/>
    <n v="150.39099999999999"/>
    <n v="0.49"/>
    <n v="98"/>
    <n v="85"/>
    <s v="Hypertension Stage 1"/>
    <n v="45"/>
    <n v="15.063000000000001"/>
    <x v="1"/>
    <x v="1"/>
  </r>
  <r>
    <x v="1"/>
    <n v="68"/>
    <n v="113.78700000000001"/>
    <n v="1.9730000000000001"/>
    <n v="38.463999999999999"/>
    <n v="71.033000000000001"/>
    <s v="166/96"/>
    <n v="236"/>
    <n v="77"/>
    <n v="71"/>
    <x v="1"/>
    <s v="N"/>
    <s v="Moderate"/>
    <s v="N"/>
    <n v="197.28899999999999"/>
    <n v="0.36"/>
    <n v="166"/>
    <n v="96"/>
    <s v="Hypertension Stage 2"/>
    <n v="129"/>
    <n v="20.713000000000001"/>
    <x v="2"/>
    <x v="0"/>
  </r>
  <r>
    <x v="0"/>
    <n v="52"/>
    <n v="80.429000000000002"/>
    <n v="1.7430000000000001"/>
    <n v="28.158999999999999"/>
    <n v="82.548000000000002"/>
    <s v="146/75"/>
    <n v="191"/>
    <n v="44"/>
    <n v="165"/>
    <x v="0"/>
    <s v="Y"/>
    <s v="Low"/>
    <s v="Y"/>
    <n v="174.26300000000001"/>
    <n v="0.47399999999999998"/>
    <n v="146"/>
    <m/>
    <s v="Hypertension Stage 2"/>
    <n v="117"/>
    <n v="18.751999999999999"/>
    <x v="1"/>
    <x v="1"/>
  </r>
  <r>
    <x v="1"/>
    <n v="63"/>
    <n v="110.797"/>
    <n v="1.768"/>
    <n v="32.759"/>
    <n v="84.932000000000002"/>
    <s v="149/80"/>
    <n v="192"/>
    <n v="69"/>
    <n v="146"/>
    <x v="1"/>
    <s v="Y"/>
    <s v="Low"/>
    <s v="Y"/>
    <n v="176.768"/>
    <n v="0.48"/>
    <n v="149"/>
    <n v="80"/>
    <s v="Hypertension Stage 1"/>
    <n v="93"/>
    <n v="19.841999999999999"/>
    <x v="0"/>
    <x v="0"/>
  </r>
  <r>
    <x v="0"/>
    <n v="65"/>
    <n v="85.447999999999993"/>
    <n v="1.548"/>
    <n v="29.422999999999998"/>
    <n v="105.4"/>
    <s v="165/86"/>
    <n v="289"/>
    <n v="76"/>
    <n v="158"/>
    <x v="1"/>
    <s v="N"/>
    <s v="Moderate"/>
    <s v="Y"/>
    <n v="154.81200000000001"/>
    <n v="0.68100000000000005"/>
    <n v="165"/>
    <n v="86"/>
    <s v="Hypertension Stage 1"/>
    <n v="183"/>
    <n v="19.914999999999999"/>
    <x v="0"/>
    <x v="0"/>
  </r>
  <r>
    <x v="0"/>
    <n v="62"/>
    <n v="67.028999999999996"/>
    <n v="1.6240000000000001"/>
    <n v="21.408000000000001"/>
    <n v="114.26900000000001"/>
    <s v="124/86"/>
    <n v="290"/>
    <n v="49"/>
    <n v="187"/>
    <x v="0"/>
    <s v="Y"/>
    <s v="Low"/>
    <s v="N"/>
    <n v="162.35900000000001"/>
    <n v="0.70399999999999996"/>
    <n v="124"/>
    <n v="86"/>
    <s v="Hypertension Stage 1"/>
    <n v="211"/>
    <m/>
    <x v="2"/>
    <x v="0"/>
  </r>
  <r>
    <x v="0"/>
    <n v="30"/>
    <n v="61.326000000000001"/>
    <n v="1.651"/>
    <n v="33.648000000000003"/>
    <n v="90.445999999999998"/>
    <s v="142/114"/>
    <n v="116"/>
    <n v="89"/>
    <n v="139"/>
    <x v="1"/>
    <s v="Y"/>
    <s v="Moderate"/>
    <s v="Y"/>
    <n v="165.10499999999999"/>
    <n v="0.54800000000000004"/>
    <n v="142"/>
    <n v="114"/>
    <s v="Hypertension Stage 2"/>
    <n v="-3"/>
    <n v="18.149999999999999"/>
    <x v="0"/>
    <x v="0"/>
  </r>
  <r>
    <x v="0"/>
    <n v="44"/>
    <n v="52.875999999999998"/>
    <n v="1.728"/>
    <n v="27.186"/>
    <n v="77.87"/>
    <s v="95/65"/>
    <n v="242"/>
    <n v="77"/>
    <n v="164"/>
    <x v="1"/>
    <s v="N"/>
    <s v="Moderate"/>
    <s v="Y"/>
    <n v="172.846"/>
    <n v="0.45100000000000001"/>
    <n v="95"/>
    <n v="65"/>
    <s v="Normal"/>
    <n v="135"/>
    <m/>
    <x v="2"/>
    <x v="0"/>
  </r>
  <r>
    <x v="0"/>
    <n v="43"/>
    <n v="68.89"/>
    <n v="1.6870000000000001"/>
    <n v="37.372"/>
    <n v="98.302000000000007"/>
    <s v="164/101"/>
    <n v="276"/>
    <n v="63"/>
    <n v="115"/>
    <x v="1"/>
    <s v="Y"/>
    <s v="Moderate"/>
    <s v="N"/>
    <n v="168.66300000000001"/>
    <n v="0.58299999999999996"/>
    <n v="164"/>
    <n v="101"/>
    <s v="Hypertension Stage 2"/>
    <n v="183"/>
    <n v="23.193999999999999"/>
    <x v="0"/>
    <x v="0"/>
  </r>
  <r>
    <x v="0"/>
    <n v="48"/>
    <n v="117.474"/>
    <n v="1.587"/>
    <n v="25.332999999999998"/>
    <n v="99.730999999999995"/>
    <s v="129/101"/>
    <n v="176"/>
    <n v="51"/>
    <n v="139"/>
    <x v="0"/>
    <s v="N"/>
    <s v="Moderate"/>
    <s v="N"/>
    <n v="158.74199999999999"/>
    <n v="0.628"/>
    <m/>
    <n v="101"/>
    <s v="Hypertension Stage 2"/>
    <n v="95"/>
    <n v="15.037000000000001"/>
    <x v="0"/>
    <x v="0"/>
  </r>
  <r>
    <x v="1"/>
    <n v="46"/>
    <n v="90.748000000000005"/>
    <n v="1.7050000000000001"/>
    <n v="30.866"/>
    <n v="108.768"/>
    <s v="105/113"/>
    <n v="198"/>
    <n v="51"/>
    <n v="157"/>
    <x v="0"/>
    <s v="N"/>
    <s v="Moderate"/>
    <s v="N"/>
    <n v="170.518"/>
    <n v="0.63800000000000001"/>
    <n v="105"/>
    <n v="113"/>
    <s v="Hypertension Stage 2"/>
    <n v="117"/>
    <n v="15.382999999999999"/>
    <x v="0"/>
    <x v="0"/>
  </r>
  <r>
    <x v="1"/>
    <n v="47"/>
    <n v="89.86"/>
    <n v="1.65"/>
    <m/>
    <n v="98.950999999999993"/>
    <s v="142/118"/>
    <m/>
    <n v="33"/>
    <n v="186"/>
    <x v="0"/>
    <s v="Y"/>
    <s v="Low"/>
    <s v="N"/>
    <n v="165.01400000000001"/>
    <n v="0.6"/>
    <n v="142"/>
    <n v="118"/>
    <s v="Hypertension Stage 2"/>
    <n v="209"/>
    <n v="18.942"/>
    <x v="1"/>
    <x v="1"/>
  </r>
  <r>
    <x v="1"/>
    <n v="32"/>
    <n v="59.01"/>
    <n v="1.51"/>
    <n v="32.725000000000001"/>
    <n v="111.55500000000001"/>
    <s v="169/65"/>
    <n v="298"/>
    <n v="49"/>
    <n v="96"/>
    <x v="0"/>
    <s v="Y"/>
    <s v="High"/>
    <s v="N"/>
    <n v="151.01"/>
    <n v="0.73899999999999999"/>
    <n v="169"/>
    <n v="65"/>
    <s v="Hypertension Stage 2"/>
    <n v="219"/>
    <n v="22.954999999999998"/>
    <x v="0"/>
    <x v="0"/>
  </r>
  <r>
    <x v="0"/>
    <n v="48"/>
    <n v="99.706999999999994"/>
    <n v="1.968"/>
    <n v="30.760999999999999"/>
    <m/>
    <s v="154/87"/>
    <n v="224"/>
    <n v="46"/>
    <n v="177"/>
    <x v="0"/>
    <s v="N"/>
    <s v="Moderate"/>
    <s v="N"/>
    <n v="196.75700000000001"/>
    <n v="0.44600000000000001"/>
    <n v="154"/>
    <n v="87"/>
    <s v="Hypertension Stage 1"/>
    <n v="148"/>
    <n v="18.332000000000001"/>
    <x v="0"/>
    <x v="0"/>
  </r>
  <r>
    <x v="0"/>
    <n v="49"/>
    <n v="100.23399999999999"/>
    <n v="1.52"/>
    <n v="30.731999999999999"/>
    <n v="115.40900000000001"/>
    <s v="97/96"/>
    <n v="127"/>
    <n v="61"/>
    <n v="164"/>
    <x v="0"/>
    <s v="N"/>
    <s v="Moderate"/>
    <s v="Y"/>
    <n v="151.965"/>
    <n v="0.75900000000000001"/>
    <n v="97"/>
    <n v="96"/>
    <s v="Hypertension Stage 2"/>
    <n v="36"/>
    <n v="13.536"/>
    <x v="1"/>
    <x v="1"/>
  </r>
  <r>
    <x v="1"/>
    <n v="30"/>
    <n v="88.03"/>
    <n v="1.9870000000000001"/>
    <n v="22.225000000000001"/>
    <n v="107.69"/>
    <s v="174/82"/>
    <n v="204"/>
    <n v="50"/>
    <n v="119"/>
    <x v="1"/>
    <s v="Y"/>
    <s v="Moderate"/>
    <s v="Y"/>
    <n v="198.666"/>
    <m/>
    <n v="174"/>
    <m/>
    <s v="Hypertension Stage 1"/>
    <n v="124"/>
    <n v="19.225000000000001"/>
    <x v="1"/>
    <x v="1"/>
  </r>
  <r>
    <x v="0"/>
    <n v="50"/>
    <n v="95.67"/>
    <n v="1.631"/>
    <n v="37.857999999999997"/>
    <n v="70.183999999999997"/>
    <s v="116/72"/>
    <n v="166"/>
    <n v="44"/>
    <n v="77"/>
    <x v="0"/>
    <s v="N"/>
    <s v="High"/>
    <s v="N"/>
    <n v="163.102"/>
    <n v="0.43"/>
    <n v="116"/>
    <n v="72"/>
    <s v="Normal"/>
    <n v="92"/>
    <n v="16.692"/>
    <x v="2"/>
    <x v="0"/>
  </r>
  <r>
    <x v="0"/>
    <n v="69"/>
    <n v="104.387"/>
    <m/>
    <n v="23.105"/>
    <n v="114.05"/>
    <s v="91/69"/>
    <n v="167"/>
    <n v="47"/>
    <n v="188"/>
    <x v="0"/>
    <s v="N"/>
    <s v="Low"/>
    <s v="Y"/>
    <n v="172.429"/>
    <n v="0.66100000000000003"/>
    <n v="91"/>
    <n v="69"/>
    <s v="Normal"/>
    <n v="90"/>
    <n v="12.510999999999999"/>
    <x v="1"/>
    <x v="1"/>
  </r>
  <r>
    <x v="1"/>
    <n v="54"/>
    <n v="105.97499999999999"/>
    <m/>
    <n v="22.39"/>
    <n v="87.486999999999995"/>
    <s v="175/80"/>
    <n v="254"/>
    <n v="75"/>
    <n v="78"/>
    <x v="0"/>
    <s v="N"/>
    <s v="Moderate"/>
    <s v="N"/>
    <n v="197.45500000000001"/>
    <n v="0.443"/>
    <n v="175"/>
    <n v="80"/>
    <s v="Hypertension Stage 1"/>
    <n v="149"/>
    <n v="18.308"/>
    <x v="1"/>
    <x v="1"/>
  </r>
  <r>
    <x v="0"/>
    <n v="53"/>
    <n v="101.53"/>
    <n v="1.7270000000000001"/>
    <n v="35.423000000000002"/>
    <n v="110.121"/>
    <s v="143/67"/>
    <n v="174"/>
    <n v="38"/>
    <n v="161"/>
    <x v="1"/>
    <s v="Y"/>
    <s v="High"/>
    <s v="Y"/>
    <n v="172.65700000000001"/>
    <n v="0.63800000000000001"/>
    <n v="143"/>
    <n v="67"/>
    <s v="Hypertension Stage 2"/>
    <n v="106"/>
    <n v="19.715"/>
    <x v="1"/>
    <x v="1"/>
  </r>
  <r>
    <x v="1"/>
    <n v="29"/>
    <n v="89.388000000000005"/>
    <n v="1.716"/>
    <n v="26.207999999999998"/>
    <n v="78.400000000000006"/>
    <s v="165/72"/>
    <n v="223"/>
    <n v="49"/>
    <n v="94"/>
    <x v="0"/>
    <s v="Y"/>
    <s v="Low"/>
    <s v="N"/>
    <n v="171.63499999999999"/>
    <n v="0.45700000000000002"/>
    <n v="165"/>
    <n v="72"/>
    <s v="Hypertension Stage 2"/>
    <n v="144"/>
    <n v="19.952000000000002"/>
    <x v="2"/>
    <x v="0"/>
  </r>
  <r>
    <x v="0"/>
    <n v="48"/>
    <n v="116.29900000000001"/>
    <n v="1.665"/>
    <n v="23.504000000000001"/>
    <n v="107.21899999999999"/>
    <s v="97/74"/>
    <n v="216"/>
    <n v="82"/>
    <n v="168"/>
    <x v="1"/>
    <s v="Y"/>
    <s v="Moderate"/>
    <s v="N"/>
    <n v="166.47399999999999"/>
    <n v="0.64400000000000002"/>
    <n v="97"/>
    <n v="74"/>
    <s v="Normal"/>
    <n v="104"/>
    <n v="15.871"/>
    <x v="2"/>
    <x v="0"/>
  </r>
  <r>
    <x v="0"/>
    <n v="41"/>
    <n v="117.36499999999999"/>
    <n v="1.748"/>
    <n v="38.31"/>
    <n v="118.246"/>
    <s v="105/87"/>
    <n v="200"/>
    <n v="35"/>
    <n v="87"/>
    <x v="1"/>
    <s v="Y"/>
    <s v="High"/>
    <s v="N"/>
    <n v="174.81399999999999"/>
    <n v="0.67600000000000005"/>
    <n v="105"/>
    <n v="87"/>
    <s v="Hypertension Stage 1"/>
    <n v="135"/>
    <n v="18.911999999999999"/>
    <x v="0"/>
    <x v="0"/>
  </r>
  <r>
    <x v="1"/>
    <n v="63"/>
    <n v="91.625"/>
    <n v="1.702"/>
    <n v="35.277999999999999"/>
    <m/>
    <s v="162/60"/>
    <n v="189"/>
    <n v="76"/>
    <n v="153"/>
    <x v="0"/>
    <s v="Y"/>
    <s v="Moderate"/>
    <s v="N"/>
    <m/>
    <n v="0.60099999999999998"/>
    <n v="162"/>
    <n v="60"/>
    <s v="Hypertension Stage 2"/>
    <n v="83"/>
    <n v="20.936"/>
    <x v="0"/>
    <x v="0"/>
  </r>
  <r>
    <x v="0"/>
    <n v="40"/>
    <n v="72.069999999999993"/>
    <n v="1.889"/>
    <m/>
    <n v="95.325999999999993"/>
    <s v="119/66"/>
    <n v="157"/>
    <n v="60"/>
    <n v="93"/>
    <x v="0"/>
    <s v="N"/>
    <s v="Moderate"/>
    <s v="Y"/>
    <n v="188.89400000000001"/>
    <n v="0.505"/>
    <n v="119"/>
    <n v="66"/>
    <s v="Normal"/>
    <n v="67"/>
    <n v="14.3"/>
    <x v="2"/>
    <x v="0"/>
  </r>
  <r>
    <x v="0"/>
    <n v="78"/>
    <n v="85.876999999999995"/>
    <n v="1.825"/>
    <n v="24.425999999999998"/>
    <n v="112.34"/>
    <s v="102/115"/>
    <n v="241"/>
    <n v="84"/>
    <m/>
    <x v="1"/>
    <s v="N"/>
    <s v="Low"/>
    <s v="N"/>
    <n v="182.48500000000001"/>
    <n v="0.61599999999999999"/>
    <n v="102"/>
    <n v="115"/>
    <s v="Hypertension Stage 2"/>
    <n v="127"/>
    <n v="14.805"/>
    <x v="0"/>
    <x v="0"/>
  </r>
  <r>
    <x v="1"/>
    <n v="39"/>
    <n v="98.626000000000005"/>
    <n v="1.5209999999999999"/>
    <n v="20.055"/>
    <n v="77.192999999999998"/>
    <s v="150/90"/>
    <n v="237"/>
    <n v="82"/>
    <n v="147"/>
    <x v="0"/>
    <s v="Y"/>
    <s v="High"/>
    <s v="N"/>
    <n v="152.119"/>
    <n v="0.50700000000000001"/>
    <n v="150"/>
    <n v="90"/>
    <s v="Hypertension Stage 2"/>
    <n v="125"/>
    <n v="18.251000000000001"/>
    <x v="0"/>
    <x v="0"/>
  </r>
  <r>
    <x v="1"/>
    <n v="71"/>
    <n v="116.163"/>
    <n v="1.841"/>
    <n v="29.279"/>
    <n v="114.197"/>
    <s v="112/63"/>
    <n v="193"/>
    <n v="84"/>
    <n v="123"/>
    <x v="0"/>
    <s v="N"/>
    <s v="High"/>
    <s v="Y"/>
    <n v="184.059"/>
    <n v="0.62"/>
    <n v="112"/>
    <n v="63"/>
    <s v="Normal"/>
    <n v="79"/>
    <n v="15.316000000000001"/>
    <x v="0"/>
    <x v="0"/>
  </r>
  <r>
    <x v="0"/>
    <n v="78"/>
    <n v="111.627"/>
    <n v="1.867"/>
    <n v="22.016999999999999"/>
    <n v="97.691999999999993"/>
    <s v="134/67"/>
    <n v="218"/>
    <n v="68"/>
    <n v="166"/>
    <x v="0"/>
    <s v="N"/>
    <s v="High"/>
    <s v="N"/>
    <n v="186.73500000000001"/>
    <n v="0.52300000000000002"/>
    <n v="134"/>
    <n v="67"/>
    <s v="Hypertension Stage 1"/>
    <n v="120"/>
    <n v="15.462999999999999"/>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9">
  <r>
    <s v="F"/>
    <x v="0"/>
    <n v="69.099999999999994"/>
    <n v="1.71"/>
    <n v="23.6"/>
    <n v="23.63120276324339"/>
    <n v="0"/>
    <x v="0"/>
    <n v="86.2"/>
    <s v="125/79"/>
    <n v="125"/>
    <n v="79"/>
    <n v="248"/>
    <x v="0"/>
    <n v="78"/>
    <n v="111"/>
    <x v="0"/>
    <x v="0"/>
    <x v="0"/>
    <s v="N"/>
    <x v="0"/>
    <n v="171"/>
    <n v="0.504"/>
    <x v="0"/>
    <n v="125"/>
    <n v="79"/>
    <x v="0"/>
    <n v="140"/>
    <n v="1.79"/>
    <x v="0"/>
    <n v="17.93"/>
    <x v="0"/>
    <x v="0"/>
    <x v="0"/>
    <n v="0"/>
    <x v="0"/>
  </r>
  <r>
    <s v="F"/>
    <x v="1"/>
    <n v="118.7"/>
    <n v="1.69"/>
    <n v="41.6"/>
    <n v="41.560169461853583"/>
    <n v="0"/>
    <x v="1"/>
    <n v="82.5"/>
    <s v="139/70"/>
    <n v="139"/>
    <n v="70"/>
    <n v="162"/>
    <x v="1"/>
    <n v="50"/>
    <n v="135"/>
    <x v="1"/>
    <x v="0"/>
    <x v="1"/>
    <s v="Y"/>
    <x v="1"/>
    <n v="169"/>
    <n v="0.48799999999999999"/>
    <x v="0"/>
    <n v="139"/>
    <n v="70"/>
    <x v="1"/>
    <n v="82"/>
    <n v="1.64"/>
    <x v="0"/>
    <n v="20.51"/>
    <x v="1"/>
    <x v="0"/>
    <x v="1"/>
    <n v="1"/>
    <x v="1"/>
  </r>
  <r>
    <s v="M"/>
    <x v="2"/>
    <m/>
    <n v="1.83"/>
    <n v="26.9"/>
    <n v="0"/>
    <n v="1"/>
    <x v="2"/>
    <n v="106.7"/>
    <s v="104/77"/>
    <n v="104"/>
    <n v="77"/>
    <n v="103"/>
    <x v="2"/>
    <n v="73"/>
    <n v="114"/>
    <x v="0"/>
    <x v="1"/>
    <x v="1"/>
    <s v="Y"/>
    <x v="2"/>
    <n v="183"/>
    <n v="0.58299999999999996"/>
    <x v="1"/>
    <n v="104"/>
    <n v="77"/>
    <x v="2"/>
    <n v="0"/>
    <n v="0"/>
    <x v="0"/>
    <n v="12.64"/>
    <x v="0"/>
    <x v="0"/>
    <x v="0"/>
    <n v="0"/>
    <x v="0"/>
  </r>
  <r>
    <s v="M"/>
    <x v="3"/>
    <n v="108.3"/>
    <n v="1.8"/>
    <n v="33.4"/>
    <n v="33.425925925925924"/>
    <n v="0"/>
    <x v="1"/>
    <n v="96.6"/>
    <s v="140/83"/>
    <n v="140"/>
    <n v="83"/>
    <n v="134"/>
    <x v="2"/>
    <n v="46"/>
    <n v="91"/>
    <x v="0"/>
    <x v="1"/>
    <x v="1"/>
    <s v="Y"/>
    <x v="2"/>
    <m/>
    <n v="0.53700000000000003"/>
    <x v="1"/>
    <n v="140"/>
    <n v="83"/>
    <x v="1"/>
    <n v="58"/>
    <n v="1.26"/>
    <x v="0"/>
    <n v="16.36"/>
    <x v="0"/>
    <x v="0"/>
    <x v="0"/>
    <n v="0"/>
    <x v="0"/>
  </r>
  <r>
    <s v="F"/>
    <x v="0"/>
    <n v="99.5"/>
    <n v="1.86"/>
    <n v="28.8"/>
    <n v="28.760550352641921"/>
    <n v="0"/>
    <x v="2"/>
    <n v="102.7"/>
    <s v="144/83"/>
    <n v="144"/>
    <n v="83"/>
    <n v="146"/>
    <x v="2"/>
    <n v="64"/>
    <n v="141"/>
    <x v="1"/>
    <x v="0"/>
    <x v="1"/>
    <s v="N"/>
    <x v="0"/>
    <n v="186"/>
    <n v="0.55200000000000005"/>
    <x v="1"/>
    <n v="144"/>
    <n v="83"/>
    <x v="1"/>
    <n v="52"/>
    <n v="0.81"/>
    <x v="0"/>
    <n v="17.88"/>
    <x v="0"/>
    <x v="0"/>
    <x v="0"/>
    <n v="0"/>
    <x v="0"/>
  </r>
  <r>
    <s v="F"/>
    <x v="4"/>
    <n v="117.9"/>
    <n v="1.87"/>
    <n v="33.700000000000003"/>
    <n v="33.715576653607478"/>
    <n v="0"/>
    <x v="1"/>
    <n v="81.400000000000006"/>
    <s v="142/90"/>
    <n v="142"/>
    <n v="90"/>
    <n v="156"/>
    <x v="1"/>
    <n v="67"/>
    <n v="82"/>
    <x v="1"/>
    <x v="1"/>
    <x v="2"/>
    <s v="Y"/>
    <x v="0"/>
    <n v="187"/>
    <n v="0.435"/>
    <x v="2"/>
    <n v="142"/>
    <n v="90"/>
    <x v="3"/>
    <n v="59"/>
    <n v="0.88"/>
    <x v="0"/>
    <n v="16.96"/>
    <x v="1"/>
    <x v="1"/>
    <x v="1"/>
    <n v="1"/>
    <x v="0"/>
  </r>
  <r>
    <s v="M"/>
    <x v="5"/>
    <n v="117.9"/>
    <n v="1.82"/>
    <n v="35.6"/>
    <n v="35.593527351769112"/>
    <n v="0"/>
    <x v="1"/>
    <n v="74.8"/>
    <s v="96/63"/>
    <n v="96"/>
    <n v="63"/>
    <n v="184"/>
    <x v="0"/>
    <n v="66"/>
    <n v="87"/>
    <x v="0"/>
    <x v="0"/>
    <x v="0"/>
    <s v="N"/>
    <x v="0"/>
    <n v="182"/>
    <n v="0.41099999999999998"/>
    <x v="2"/>
    <n v="96"/>
    <n v="63"/>
    <x v="2"/>
    <n v="88"/>
    <n v="1.33"/>
    <x v="0"/>
    <n v="17.600000000000001"/>
    <x v="0"/>
    <x v="0"/>
    <x v="0"/>
    <n v="0"/>
    <x v="0"/>
  </r>
  <r>
    <s v="M"/>
    <x v="1"/>
    <n v="100.1"/>
    <n v="1.74"/>
    <n v="33.1"/>
    <n v="33.062491742634428"/>
    <n v="0"/>
    <x v="1"/>
    <n v="96.6"/>
    <s v="115/73"/>
    <n v="115"/>
    <n v="73"/>
    <n v="287"/>
    <x v="0"/>
    <n v="40"/>
    <n v="96"/>
    <x v="1"/>
    <x v="1"/>
    <x v="2"/>
    <s v="N"/>
    <x v="2"/>
    <n v="174"/>
    <n v="0.55500000000000005"/>
    <x v="1"/>
    <n v="115"/>
    <n v="73"/>
    <x v="2"/>
    <n v="217"/>
    <n v="5.43"/>
    <x v="1"/>
    <n v="18.11"/>
    <x v="1"/>
    <x v="0"/>
    <x v="1"/>
    <n v="1"/>
    <x v="0"/>
  </r>
  <r>
    <s v="F"/>
    <x v="6"/>
    <n v="110.1"/>
    <n v="1.86"/>
    <n v="31.8"/>
    <n v="31.824488380159551"/>
    <n v="0"/>
    <x v="1"/>
    <n v="92.4"/>
    <s v="107/95"/>
    <n v="107"/>
    <n v="95"/>
    <n v="177"/>
    <x v="1"/>
    <n v="68"/>
    <n v="70"/>
    <x v="1"/>
    <x v="1"/>
    <x v="1"/>
    <s v="N"/>
    <x v="2"/>
    <n v="186"/>
    <n v="0.497"/>
    <x v="0"/>
    <m/>
    <n v="95"/>
    <x v="3"/>
    <n v="79"/>
    <n v="1.1599999999999999"/>
    <x v="0"/>
    <n v="15.25"/>
    <x v="0"/>
    <x v="0"/>
    <x v="0"/>
    <n v="0"/>
    <x v="0"/>
  </r>
  <r>
    <s v="F"/>
    <x v="4"/>
    <n v="97.6"/>
    <n v="1.86"/>
    <n v="28.2"/>
    <n v="28.211353913747249"/>
    <n v="0"/>
    <x v="2"/>
    <n v="74.599999999999994"/>
    <s v="133/83"/>
    <n v="133"/>
    <n v="83"/>
    <n v="281"/>
    <x v="0"/>
    <n v="68"/>
    <n v="126"/>
    <x v="0"/>
    <x v="1"/>
    <x v="2"/>
    <s v="N"/>
    <x v="3"/>
    <n v="186"/>
    <n v="0.40100000000000002"/>
    <x v="2"/>
    <n v="133"/>
    <n v="83"/>
    <x v="1"/>
    <n v="183"/>
    <n v="2.69"/>
    <x v="0"/>
    <n v="17.91"/>
    <x v="0"/>
    <x v="0"/>
    <x v="0"/>
    <n v="0"/>
    <x v="0"/>
  </r>
  <r>
    <s v="F"/>
    <x v="7"/>
    <n v="75.599999999999994"/>
    <n v="1.6"/>
    <n v="29.5"/>
    <n v="29.531249999999993"/>
    <n v="0"/>
    <x v="2"/>
    <n v="72.3"/>
    <s v="129/87"/>
    <n v="129"/>
    <n v="87"/>
    <n v="269"/>
    <x v="0"/>
    <n v="61"/>
    <n v="74"/>
    <x v="1"/>
    <x v="0"/>
    <x v="0"/>
    <s v="Y"/>
    <x v="4"/>
    <n v="160"/>
    <n v="0.45200000000000001"/>
    <x v="2"/>
    <n v="129"/>
    <n v="87"/>
    <x v="1"/>
    <n v="178"/>
    <n v="2.92"/>
    <x v="0"/>
    <n v="19.73"/>
    <x v="1"/>
    <x v="1"/>
    <x v="1"/>
    <n v="1"/>
    <x v="0"/>
  </r>
  <r>
    <s v="F"/>
    <x v="0"/>
    <n v="90.2"/>
    <n v="1.85"/>
    <n v="26.4"/>
    <n v="26.355003652300947"/>
    <n v="0"/>
    <x v="2"/>
    <n v="71.8"/>
    <s v="134/91"/>
    <n v="134"/>
    <n v="91"/>
    <n v="231"/>
    <x v="0"/>
    <n v="53"/>
    <n v="121"/>
    <x v="0"/>
    <x v="0"/>
    <x v="2"/>
    <s v="N"/>
    <x v="2"/>
    <n v="185"/>
    <n v="0.38800000000000001"/>
    <x v="2"/>
    <n v="134"/>
    <n v="91"/>
    <x v="1"/>
    <n v="148"/>
    <n v="2.79"/>
    <x v="0"/>
    <n v="18.600000000000001"/>
    <x v="0"/>
    <x v="0"/>
    <x v="0"/>
    <n v="0"/>
    <x v="0"/>
  </r>
  <r>
    <s v="M"/>
    <x v="8"/>
    <m/>
    <m/>
    <n v="28.8"/>
    <s v=""/>
    <s v=""/>
    <x v="2"/>
    <n v="79.7"/>
    <s v="102/63"/>
    <n v="102"/>
    <n v="63"/>
    <n v="245"/>
    <x v="0"/>
    <n v="72"/>
    <n v="97"/>
    <x v="1"/>
    <x v="1"/>
    <x v="0"/>
    <s v="Y"/>
    <x v="1"/>
    <n v="178"/>
    <n v="0.44800000000000001"/>
    <x v="2"/>
    <n v="102"/>
    <n v="63"/>
    <x v="2"/>
    <n v="143"/>
    <n v="1.99"/>
    <x v="1"/>
    <n v="15.76"/>
    <x v="1"/>
    <x v="1"/>
    <x v="1"/>
    <n v="1"/>
    <x v="0"/>
  </r>
  <r>
    <s v="M"/>
    <x v="7"/>
    <n v="117"/>
    <n v="1.81"/>
    <n v="35.700000000000003"/>
    <n v="35.713195567900854"/>
    <n v="0"/>
    <x v="1"/>
    <n v="79.3"/>
    <s v="142/92"/>
    <n v="142"/>
    <n v="92"/>
    <n v="206"/>
    <x v="0"/>
    <n v="51"/>
    <n v="122"/>
    <x v="1"/>
    <x v="0"/>
    <x v="1"/>
    <s v="Y"/>
    <x v="1"/>
    <n v="181"/>
    <n v="0.438"/>
    <x v="2"/>
    <n v="142"/>
    <n v="92"/>
    <x v="3"/>
    <n v="125"/>
    <n v="2.4500000000000002"/>
    <x v="0"/>
    <n v="20.36"/>
    <x v="1"/>
    <x v="0"/>
    <x v="1"/>
    <n v="1"/>
    <x v="0"/>
  </r>
  <r>
    <s v="M"/>
    <x v="4"/>
    <n v="104.2"/>
    <n v="1.73"/>
    <n v="34.799999999999997"/>
    <n v="34.815730562330849"/>
    <n v="0"/>
    <x v="1"/>
    <n v="108.4"/>
    <s v="101/64"/>
    <n v="101"/>
    <n v="64"/>
    <m/>
    <x v="2"/>
    <n v="68"/>
    <n v="142"/>
    <x v="1"/>
    <x v="0"/>
    <x v="0"/>
    <s v="Y"/>
    <x v="4"/>
    <n v="173"/>
    <n v="0.627"/>
    <x v="3"/>
    <n v="101"/>
    <n v="64"/>
    <x v="2"/>
    <n v="190"/>
    <n v="2.79"/>
    <x v="1"/>
    <m/>
    <x v="1"/>
    <x v="1"/>
    <x v="1"/>
    <n v="1"/>
    <x v="0"/>
  </r>
  <r>
    <s v="M"/>
    <x v="7"/>
    <n v="116.5"/>
    <n v="1.64"/>
    <n v="43.3"/>
    <n v="43.314991076740043"/>
    <n v="0"/>
    <x v="1"/>
    <n v="76.7"/>
    <s v="101/67"/>
    <n v="101"/>
    <n v="67"/>
    <n v="115"/>
    <x v="2"/>
    <n v="41"/>
    <n v="111"/>
    <x v="0"/>
    <x v="1"/>
    <x v="0"/>
    <s v="N"/>
    <x v="2"/>
    <n v="164"/>
    <n v="0.46800000000000003"/>
    <x v="0"/>
    <n v="101"/>
    <n v="67"/>
    <x v="2"/>
    <n v="44"/>
    <n v="1.07"/>
    <x v="0"/>
    <n v="16.010000000000002"/>
    <x v="0"/>
    <x v="0"/>
    <x v="0"/>
    <n v="0"/>
    <x v="0"/>
  </r>
  <r>
    <s v="F"/>
    <x v="9"/>
    <n v="60.8"/>
    <n v="1.68"/>
    <n v="21.5"/>
    <n v="21.541950113378686"/>
    <n v="0"/>
    <x v="0"/>
    <n v="77.099999999999994"/>
    <s v="138/99"/>
    <n v="138"/>
    <n v="99"/>
    <m/>
    <x v="2"/>
    <n v="60"/>
    <m/>
    <x v="1"/>
    <x v="0"/>
    <x v="0"/>
    <s v="N"/>
    <x v="1"/>
    <n v="168"/>
    <m/>
    <x v="4"/>
    <n v="138"/>
    <n v="99"/>
    <x v="1"/>
    <n v="138"/>
    <n v="2.2999999999999998"/>
    <x v="0"/>
    <n v="17.760000000000002"/>
    <x v="1"/>
    <x v="1"/>
    <x v="1"/>
    <n v="1"/>
    <x v="0"/>
  </r>
  <r>
    <s v="M"/>
    <x v="10"/>
    <n v="94.5"/>
    <n v="1.8"/>
    <n v="29.2"/>
    <n v="29.166666666666664"/>
    <n v="0"/>
    <x v="2"/>
    <n v="89.9"/>
    <s v="129/100"/>
    <n v="129"/>
    <n v="100"/>
    <m/>
    <x v="2"/>
    <n v="64"/>
    <n v="109"/>
    <x v="0"/>
    <x v="0"/>
    <x v="2"/>
    <s v="N"/>
    <x v="2"/>
    <n v="180"/>
    <n v="0.499"/>
    <x v="0"/>
    <n v="129"/>
    <n v="100"/>
    <x v="3"/>
    <n v="78"/>
    <n v="1.22"/>
    <x v="0"/>
    <n v="17.73"/>
    <x v="0"/>
    <x v="0"/>
    <x v="0"/>
    <n v="0"/>
    <x v="1"/>
  </r>
  <r>
    <s v="F"/>
    <x v="9"/>
    <n v="58.3"/>
    <n v="1.85"/>
    <n v="17"/>
    <n v="17.034331628926221"/>
    <n v="0"/>
    <x v="3"/>
    <n v="100.6"/>
    <s v="138/96"/>
    <n v="138"/>
    <n v="96"/>
    <n v="167"/>
    <x v="1"/>
    <n v="51"/>
    <n v="135"/>
    <x v="0"/>
    <x v="1"/>
    <x v="2"/>
    <s v="Y"/>
    <x v="2"/>
    <n v="185"/>
    <m/>
    <x v="4"/>
    <n v="138"/>
    <n v="96"/>
    <x v="1"/>
    <n v="86"/>
    <n v="1.69"/>
    <x v="0"/>
    <n v="13.64"/>
    <x v="2"/>
    <x v="0"/>
    <x v="0"/>
    <n v="0"/>
    <x v="0"/>
  </r>
  <r>
    <s v="F"/>
    <x v="8"/>
    <n v="50.6"/>
    <n v="1.7"/>
    <n v="17.5"/>
    <n v="17.508650519031143"/>
    <n v="0"/>
    <x v="3"/>
    <m/>
    <s v="95/92"/>
    <n v="95"/>
    <n v="92"/>
    <n v="185"/>
    <x v="0"/>
    <n v="68"/>
    <n v="116"/>
    <x v="1"/>
    <x v="1"/>
    <x v="0"/>
    <s v="Y"/>
    <x v="1"/>
    <n v="170"/>
    <n v="0.64600000000000002"/>
    <x v="3"/>
    <n v="95"/>
    <n v="92"/>
    <x v="3"/>
    <n v="87"/>
    <n v="1.28"/>
    <x v="0"/>
    <n v="11.95"/>
    <x v="1"/>
    <x v="1"/>
    <x v="1"/>
    <n v="1"/>
    <x v="0"/>
  </r>
  <r>
    <s v="F"/>
    <x v="11"/>
    <n v="85.6"/>
    <n v="1.77"/>
    <n v="27.3"/>
    <n v="27.322927638928785"/>
    <n v="0"/>
    <x v="2"/>
    <n v="98.7"/>
    <s v="132/92"/>
    <n v="132"/>
    <n v="92"/>
    <n v="282"/>
    <x v="0"/>
    <n v="80"/>
    <n v="112"/>
    <x v="1"/>
    <x v="0"/>
    <x v="0"/>
    <s v="Y"/>
    <x v="4"/>
    <n v="177"/>
    <n v="0.55800000000000005"/>
    <x v="1"/>
    <n v="132"/>
    <n v="92"/>
    <x v="1"/>
    <n v="172"/>
    <n v="2.15"/>
    <x v="0"/>
    <n v="19.7"/>
    <x v="1"/>
    <x v="1"/>
    <x v="1"/>
    <n v="1"/>
    <x v="0"/>
  </r>
  <r>
    <s v="F"/>
    <x v="12"/>
    <n v="92.7"/>
    <n v="1.61"/>
    <n v="35.799999999999997"/>
    <n v="35.762509162455146"/>
    <n v="0"/>
    <x v="1"/>
    <n v="105.6"/>
    <s v="120/89"/>
    <n v="120"/>
    <n v="89"/>
    <n v="176"/>
    <x v="1"/>
    <n v="71"/>
    <n v="85"/>
    <x v="1"/>
    <x v="1"/>
    <x v="0"/>
    <s v="Y"/>
    <x v="1"/>
    <n v="161"/>
    <n v="0.65600000000000003"/>
    <x v="3"/>
    <n v="120"/>
    <n v="89"/>
    <x v="1"/>
    <n v="75"/>
    <n v="1.06"/>
    <x v="0"/>
    <n v="16.68"/>
    <x v="1"/>
    <x v="1"/>
    <x v="1"/>
    <n v="1"/>
    <x v="0"/>
  </r>
  <r>
    <s v="F"/>
    <x v="13"/>
    <n v="90.4"/>
    <m/>
    <n v="25"/>
    <s v=""/>
    <s v=""/>
    <x v="2"/>
    <n v="71.400000000000006"/>
    <s v="121/79"/>
    <n v="121"/>
    <n v="79"/>
    <n v="149"/>
    <x v="2"/>
    <n v="76"/>
    <n v="114"/>
    <x v="0"/>
    <x v="0"/>
    <x v="0"/>
    <s v="Y"/>
    <x v="1"/>
    <n v="190"/>
    <n v="0.376"/>
    <x v="2"/>
    <m/>
    <m/>
    <x v="0"/>
    <n v="43"/>
    <n v="0.56999999999999995"/>
    <x v="0"/>
    <n v="16.03"/>
    <x v="1"/>
    <x v="1"/>
    <x v="1"/>
    <n v="1"/>
    <x v="0"/>
  </r>
  <r>
    <s v="F"/>
    <x v="14"/>
    <n v="60.1"/>
    <n v="1.76"/>
    <n v="19.399999999999999"/>
    <n v="19.402117768595044"/>
    <n v="0"/>
    <x v="0"/>
    <n v="86.9"/>
    <s v="102/74"/>
    <n v="102"/>
    <n v="74"/>
    <n v="191"/>
    <x v="0"/>
    <n v="65"/>
    <n v="86"/>
    <x v="0"/>
    <x v="1"/>
    <x v="2"/>
    <s v="Y"/>
    <x v="2"/>
    <n v="176"/>
    <n v="0.49399999999999999"/>
    <x v="0"/>
    <n v="102"/>
    <n v="74"/>
    <x v="2"/>
    <n v="96"/>
    <n v="1.48"/>
    <x v="0"/>
    <n v="12.8"/>
    <x v="2"/>
    <x v="0"/>
    <x v="0"/>
    <n v="0"/>
    <x v="0"/>
  </r>
  <r>
    <s v="M"/>
    <x v="15"/>
    <n v="96"/>
    <n v="1.63"/>
    <n v="36.1"/>
    <n v="36.132334675749938"/>
    <n v="0"/>
    <x v="1"/>
    <n v="78.2"/>
    <s v="98/99"/>
    <n v="98"/>
    <n v="99"/>
    <n v="158"/>
    <x v="1"/>
    <n v="39"/>
    <n v="108"/>
    <x v="1"/>
    <x v="0"/>
    <x v="0"/>
    <s v="Y"/>
    <x v="4"/>
    <n v="163"/>
    <n v="0.48"/>
    <x v="0"/>
    <n v="98"/>
    <n v="99"/>
    <x v="3"/>
    <n v="89"/>
    <n v="2.2799999999999998"/>
    <x v="0"/>
    <n v="17.28"/>
    <x v="1"/>
    <x v="0"/>
    <x v="1"/>
    <n v="1"/>
    <x v="0"/>
  </r>
  <r>
    <s v="F"/>
    <x v="16"/>
    <n v="68.900000000000006"/>
    <n v="1.88"/>
    <n v="19.5"/>
    <n v="19.494114984155729"/>
    <n v="0"/>
    <x v="0"/>
    <n v="84.6"/>
    <s v="137/70"/>
    <n v="137"/>
    <n v="70"/>
    <n v="156"/>
    <x v="1"/>
    <m/>
    <n v="128"/>
    <x v="1"/>
    <x v="0"/>
    <x v="1"/>
    <s v="Y"/>
    <x v="1"/>
    <n v="188"/>
    <n v="0.45"/>
    <x v="2"/>
    <n v="137"/>
    <n v="70"/>
    <x v="1"/>
    <n v="47"/>
    <s v=""/>
    <x v="0"/>
    <n v="15.87"/>
    <x v="1"/>
    <x v="0"/>
    <x v="1"/>
    <n v="1"/>
    <x v="1"/>
  </r>
  <r>
    <s v="F"/>
    <x v="1"/>
    <n v="96"/>
    <n v="1.65"/>
    <n v="35.299999999999997"/>
    <n v="35.261707988980717"/>
    <n v="0"/>
    <x v="1"/>
    <n v="83.6"/>
    <s v="148/97"/>
    <n v="148"/>
    <n v="97"/>
    <n v="160"/>
    <x v="1"/>
    <n v="41"/>
    <m/>
    <x v="0"/>
    <x v="1"/>
    <x v="0"/>
    <s v="Y"/>
    <x v="0"/>
    <n v="165"/>
    <n v="0.50700000000000001"/>
    <x v="0"/>
    <n v="148"/>
    <m/>
    <x v="3"/>
    <n v="89"/>
    <n v="2.17"/>
    <x v="0"/>
    <n v="17.66"/>
    <x v="1"/>
    <x v="0"/>
    <x v="1"/>
    <n v="1"/>
    <x v="0"/>
  </r>
  <r>
    <s v="M"/>
    <x v="17"/>
    <n v="111.6"/>
    <n v="1.73"/>
    <m/>
    <n v="37.288248855624978"/>
    <n v="1"/>
    <x v="3"/>
    <n v="75.900000000000006"/>
    <s v="128/66"/>
    <n v="128"/>
    <n v="66"/>
    <n v="283"/>
    <x v="0"/>
    <n v="64"/>
    <n v="142"/>
    <x v="1"/>
    <x v="1"/>
    <x v="0"/>
    <s v="N"/>
    <x v="0"/>
    <n v="173"/>
    <n v="0.439"/>
    <x v="2"/>
    <n v="128"/>
    <n v="66"/>
    <x v="0"/>
    <n v="189"/>
    <n v="2.95"/>
    <x v="0"/>
    <n v="19.52"/>
    <x v="1"/>
    <x v="1"/>
    <x v="1"/>
    <n v="1"/>
    <x v="0"/>
  </r>
  <r>
    <s v="M"/>
    <x v="1"/>
    <n v="106"/>
    <n v="1.82"/>
    <n v="32"/>
    <n v="32.000966066900133"/>
    <n v="0"/>
    <x v="1"/>
    <n v="109.3"/>
    <s v="97/63"/>
    <n v="97"/>
    <n v="63"/>
    <n v="287"/>
    <x v="0"/>
    <n v="35"/>
    <n v="130"/>
    <x v="0"/>
    <x v="0"/>
    <x v="2"/>
    <s v="N"/>
    <x v="2"/>
    <n v="182"/>
    <n v="0.60099999999999998"/>
    <x v="3"/>
    <n v="97"/>
    <n v="63"/>
    <x v="2"/>
    <n v="222"/>
    <n v="6.34"/>
    <x v="1"/>
    <n v="18.989999999999998"/>
    <x v="1"/>
    <x v="0"/>
    <x v="1"/>
    <n v="1"/>
    <x v="0"/>
  </r>
  <r>
    <s v="M"/>
    <x v="18"/>
    <m/>
    <n v="1.83"/>
    <n v="22.6"/>
    <n v="0"/>
    <n v="1"/>
    <x v="0"/>
    <n v="75.099999999999994"/>
    <s v="91/95"/>
    <n v="91"/>
    <n v="95"/>
    <n v="277"/>
    <x v="0"/>
    <n v="32"/>
    <n v="73"/>
    <x v="1"/>
    <x v="1"/>
    <x v="2"/>
    <s v="Y"/>
    <x v="0"/>
    <n v="183"/>
    <n v="0.41"/>
    <x v="2"/>
    <n v="91"/>
    <n v="95"/>
    <x v="3"/>
    <n v="215"/>
    <n v="6.72"/>
    <x v="0"/>
    <n v="14.61"/>
    <x v="1"/>
    <x v="0"/>
    <x v="1"/>
    <n v="1"/>
    <x v="0"/>
  </r>
  <r>
    <s v="F"/>
    <x v="4"/>
    <n v="64.7"/>
    <n v="1.64"/>
    <n v="24.1"/>
    <n v="24.055621653777518"/>
    <n v="0"/>
    <x v="0"/>
    <n v="82.1"/>
    <s v="97/75"/>
    <n v="97"/>
    <n v="75"/>
    <n v="151"/>
    <x v="1"/>
    <n v="40"/>
    <n v="123"/>
    <x v="1"/>
    <x v="1"/>
    <x v="0"/>
    <s v="N"/>
    <x v="0"/>
    <n v="164"/>
    <m/>
    <x v="4"/>
    <n v="97"/>
    <n v="75"/>
    <x v="2"/>
    <n v="81"/>
    <n v="2.0299999999999998"/>
    <x v="0"/>
    <n v="12.69"/>
    <x v="0"/>
    <x v="0"/>
    <x v="0"/>
    <n v="0"/>
    <x v="0"/>
  </r>
  <r>
    <s v="F"/>
    <x v="19"/>
    <n v="51.6"/>
    <n v="1.71"/>
    <n v="17.600000000000001"/>
    <n v="17.646455319585517"/>
    <n v="0"/>
    <x v="3"/>
    <n v="93.7"/>
    <s v="109/64"/>
    <n v="109"/>
    <n v="64"/>
    <n v="165"/>
    <x v="1"/>
    <n v="79"/>
    <n v="136"/>
    <x v="1"/>
    <x v="0"/>
    <x v="0"/>
    <s v="N"/>
    <x v="1"/>
    <n v="171"/>
    <n v="0.54800000000000004"/>
    <x v="1"/>
    <n v="109"/>
    <n v="64"/>
    <x v="2"/>
    <n v="56"/>
    <n v="0.71"/>
    <x v="0"/>
    <n v="14.27"/>
    <x v="0"/>
    <x v="0"/>
    <x v="0"/>
    <n v="0"/>
    <x v="0"/>
  </r>
  <r>
    <s v="M"/>
    <x v="1"/>
    <n v="112.8"/>
    <n v="1.74"/>
    <n v="37.299999999999997"/>
    <n v="37.257233452239397"/>
    <n v="0"/>
    <x v="1"/>
    <n v="80.900000000000006"/>
    <s v="106/87"/>
    <n v="106"/>
    <n v="87"/>
    <n v="145"/>
    <x v="2"/>
    <n v="32"/>
    <n v="150"/>
    <x v="1"/>
    <x v="0"/>
    <x v="1"/>
    <s v="Y"/>
    <x v="1"/>
    <n v="174"/>
    <n v="0.46500000000000002"/>
    <x v="0"/>
    <n v="106"/>
    <n v="87"/>
    <x v="1"/>
    <n v="83"/>
    <n v="2.59"/>
    <x v="0"/>
    <n v="17.66"/>
    <x v="1"/>
    <x v="0"/>
    <x v="1"/>
    <n v="1"/>
    <x v="1"/>
  </r>
  <r>
    <s v="M"/>
    <x v="6"/>
    <n v="108.4"/>
    <m/>
    <n v="36.200000000000003"/>
    <s v=""/>
    <s v=""/>
    <x v="1"/>
    <n v="80.099999999999994"/>
    <s v="100/83"/>
    <n v="100"/>
    <n v="83"/>
    <m/>
    <x v="2"/>
    <n v="48"/>
    <n v="145"/>
    <x v="1"/>
    <x v="1"/>
    <x v="2"/>
    <s v="N"/>
    <x v="2"/>
    <n v="173"/>
    <n v="0.46300000000000002"/>
    <x v="0"/>
    <n v="100"/>
    <n v="83"/>
    <x v="1"/>
    <n v="55"/>
    <n v="1.1499999999999999"/>
    <x v="0"/>
    <n v="14.9"/>
    <x v="0"/>
    <x v="0"/>
    <x v="0"/>
    <n v="0"/>
    <x v="0"/>
  </r>
  <r>
    <s v="M"/>
    <x v="0"/>
    <m/>
    <n v="1.62"/>
    <n v="24"/>
    <n v="0"/>
    <n v="1"/>
    <x v="0"/>
    <n v="105.5"/>
    <s v="122/84"/>
    <n v="122"/>
    <n v="84"/>
    <n v="155"/>
    <x v="1"/>
    <n v="74"/>
    <n v="130"/>
    <x v="0"/>
    <x v="1"/>
    <x v="0"/>
    <s v="N"/>
    <x v="2"/>
    <n v="162"/>
    <n v="0.65100000000000002"/>
    <x v="3"/>
    <n v="122"/>
    <n v="84"/>
    <x v="1"/>
    <n v="51"/>
    <n v="0.69"/>
    <x v="0"/>
    <n v="14"/>
    <x v="2"/>
    <x v="0"/>
    <x v="0"/>
    <n v="0"/>
    <x v="0"/>
  </r>
  <r>
    <s v="M"/>
    <x v="20"/>
    <n v="58.7"/>
    <n v="1.73"/>
    <n v="19.600000000000001"/>
    <n v="19.613084299508838"/>
    <n v="0"/>
    <x v="0"/>
    <m/>
    <s v="136/80"/>
    <n v="136"/>
    <n v="80"/>
    <n v="286"/>
    <x v="0"/>
    <n v="73"/>
    <n v="141"/>
    <x v="0"/>
    <x v="0"/>
    <x v="1"/>
    <s v="Y"/>
    <x v="0"/>
    <n v="173"/>
    <n v="0.46"/>
    <x v="2"/>
    <n v="136"/>
    <m/>
    <x v="1"/>
    <n v="183"/>
    <n v="2.5099999999999998"/>
    <x v="0"/>
    <n v="18.440000000000001"/>
    <x v="0"/>
    <x v="0"/>
    <x v="0"/>
    <n v="0"/>
    <x v="0"/>
  </r>
  <r>
    <s v="F"/>
    <x v="0"/>
    <n v="116.2"/>
    <m/>
    <n v="36.700000000000003"/>
    <s v=""/>
    <s v=""/>
    <x v="1"/>
    <n v="89.8"/>
    <s v="99/99"/>
    <n v="99"/>
    <n v="99"/>
    <n v="115"/>
    <x v="2"/>
    <n v="52"/>
    <n v="147"/>
    <x v="0"/>
    <x v="0"/>
    <x v="2"/>
    <s v="Y"/>
    <x v="0"/>
    <n v="178"/>
    <n v="0.504"/>
    <x v="0"/>
    <n v="99"/>
    <n v="99"/>
    <x v="3"/>
    <n v="33"/>
    <n v="0.63"/>
    <x v="0"/>
    <n v="16.59"/>
    <x v="0"/>
    <x v="0"/>
    <x v="0"/>
    <n v="0"/>
    <x v="0"/>
  </r>
  <r>
    <s v="F"/>
    <x v="21"/>
    <n v="100.4"/>
    <n v="1.77"/>
    <n v="32"/>
    <n v="32.046985221360401"/>
    <n v="0"/>
    <x v="1"/>
    <n v="82.5"/>
    <s v="144/73"/>
    <n v="144"/>
    <n v="73"/>
    <n v="164"/>
    <x v="1"/>
    <n v="75"/>
    <n v="96"/>
    <x v="0"/>
    <x v="0"/>
    <x v="1"/>
    <s v="Y"/>
    <x v="0"/>
    <n v="177"/>
    <n v="0.46600000000000003"/>
    <x v="0"/>
    <n v="144"/>
    <n v="73"/>
    <x v="3"/>
    <n v="59"/>
    <n v="0.79"/>
    <x v="0"/>
    <n v="18.88"/>
    <x v="0"/>
    <x v="0"/>
    <x v="0"/>
    <n v="0"/>
    <x v="0"/>
  </r>
  <r>
    <s v="M"/>
    <x v="5"/>
    <n v="81.599999999999994"/>
    <n v="1.87"/>
    <n v="23.3"/>
    <n v="23.334953816237235"/>
    <n v="0"/>
    <x v="0"/>
    <n v="70"/>
    <s v="130/75"/>
    <n v="130"/>
    <n v="75"/>
    <n v="285"/>
    <x v="0"/>
    <n v="69"/>
    <m/>
    <x v="0"/>
    <x v="1"/>
    <x v="0"/>
    <s v="N"/>
    <x v="2"/>
    <n v="187"/>
    <n v="0.374"/>
    <x v="2"/>
    <m/>
    <n v="75"/>
    <x v="1"/>
    <n v="186"/>
    <n v="2.7"/>
    <x v="0"/>
    <n v="16.86"/>
    <x v="0"/>
    <x v="0"/>
    <x v="0"/>
    <n v="0"/>
    <x v="0"/>
  </r>
  <r>
    <s v="M"/>
    <x v="22"/>
    <n v="69.3"/>
    <n v="1.63"/>
    <n v="26.1"/>
    <n v="26.083029094056986"/>
    <n v="0"/>
    <x v="2"/>
    <n v="102.6"/>
    <s v="134/64"/>
    <n v="134"/>
    <n v="64"/>
    <n v="111"/>
    <x v="2"/>
    <n v="74"/>
    <n v="94"/>
    <x v="0"/>
    <x v="1"/>
    <x v="0"/>
    <s v="N"/>
    <x v="2"/>
    <n v="163"/>
    <n v="0.629"/>
    <x v="3"/>
    <n v="134"/>
    <n v="64"/>
    <x v="1"/>
    <n v="7"/>
    <n v="0.09"/>
    <x v="0"/>
    <m/>
    <x v="0"/>
    <x v="0"/>
    <x v="0"/>
    <n v="0"/>
    <x v="0"/>
  </r>
  <r>
    <s v="F"/>
    <x v="2"/>
    <n v="109.2"/>
    <n v="1.74"/>
    <n v="36.1"/>
    <n v="36.068172810146649"/>
    <n v="0"/>
    <x v="1"/>
    <n v="80.099999999999994"/>
    <s v="117/85"/>
    <n v="117"/>
    <n v="85"/>
    <n v="155"/>
    <x v="1"/>
    <n v="65"/>
    <n v="138"/>
    <x v="1"/>
    <x v="1"/>
    <x v="0"/>
    <s v="Y"/>
    <x v="1"/>
    <n v="174"/>
    <n v="0.46"/>
    <x v="2"/>
    <n v="117"/>
    <n v="85"/>
    <x v="1"/>
    <n v="60"/>
    <n v="0.92"/>
    <x v="0"/>
    <n v="16.170000000000002"/>
    <x v="1"/>
    <x v="1"/>
    <x v="1"/>
    <n v="1"/>
    <x v="0"/>
  </r>
  <r>
    <s v="F"/>
    <x v="23"/>
    <n v="102.1"/>
    <n v="1.9"/>
    <n v="28.3"/>
    <n v="28.282548476454291"/>
    <n v="0"/>
    <x v="2"/>
    <n v="94.1"/>
    <s v="116/61"/>
    <n v="116"/>
    <n v="61"/>
    <n v="297"/>
    <x v="0"/>
    <n v="38"/>
    <n v="98"/>
    <x v="1"/>
    <x v="1"/>
    <x v="1"/>
    <s v="N"/>
    <x v="2"/>
    <n v="190"/>
    <m/>
    <x v="4"/>
    <n v="116"/>
    <n v="61"/>
    <x v="2"/>
    <n v="229"/>
    <n v="6.03"/>
    <x v="1"/>
    <n v="17.399999999999999"/>
    <x v="1"/>
    <x v="0"/>
    <x v="1"/>
    <n v="1"/>
    <x v="0"/>
  </r>
  <r>
    <s v="F"/>
    <x v="24"/>
    <n v="71.400000000000006"/>
    <n v="1.76"/>
    <n v="23.1"/>
    <n v="23.050103305785125"/>
    <n v="0"/>
    <x v="0"/>
    <n v="97.7"/>
    <s v="105/64"/>
    <n v="105"/>
    <n v="64"/>
    <n v="123"/>
    <x v="2"/>
    <n v="50"/>
    <n v="125"/>
    <x v="1"/>
    <x v="1"/>
    <x v="1"/>
    <s v="Y"/>
    <x v="0"/>
    <n v="176"/>
    <n v="0.55500000000000005"/>
    <x v="1"/>
    <n v="105"/>
    <n v="64"/>
    <x v="2"/>
    <n v="43"/>
    <n v="0.86"/>
    <x v="0"/>
    <n v="12.33"/>
    <x v="0"/>
    <x v="0"/>
    <x v="0"/>
    <n v="0"/>
    <x v="0"/>
  </r>
  <r>
    <s v="F"/>
    <x v="3"/>
    <n v="64.400000000000006"/>
    <n v="1.76"/>
    <n v="20.8"/>
    <n v="20.790289256198349"/>
    <n v="0"/>
    <x v="0"/>
    <n v="100.6"/>
    <s v="129/78"/>
    <n v="129"/>
    <n v="78"/>
    <n v="132"/>
    <x v="2"/>
    <n v="49"/>
    <n v="145"/>
    <x v="1"/>
    <x v="0"/>
    <x v="2"/>
    <s v="N"/>
    <x v="0"/>
    <n v="176"/>
    <m/>
    <x v="4"/>
    <n v="129"/>
    <n v="78"/>
    <x v="0"/>
    <n v="53"/>
    <n v="1.08"/>
    <x v="0"/>
    <n v="15.25"/>
    <x v="0"/>
    <x v="0"/>
    <x v="0"/>
    <n v="0"/>
    <x v="0"/>
  </r>
  <r>
    <s v="F"/>
    <x v="2"/>
    <m/>
    <n v="1.81"/>
    <n v="32.1"/>
    <n v="0"/>
    <n v="1"/>
    <x v="1"/>
    <n v="75.7"/>
    <s v="94/61"/>
    <n v="94"/>
    <n v="61"/>
    <n v="144"/>
    <x v="2"/>
    <n v="69"/>
    <n v="129"/>
    <x v="0"/>
    <x v="0"/>
    <x v="2"/>
    <s v="Y"/>
    <x v="0"/>
    <n v="181"/>
    <n v="0.41799999999999998"/>
    <x v="2"/>
    <n v="94"/>
    <n v="61"/>
    <x v="2"/>
    <n v="45"/>
    <n v="0.65"/>
    <x v="0"/>
    <n v="16"/>
    <x v="0"/>
    <x v="0"/>
    <x v="0"/>
    <n v="0"/>
    <x v="0"/>
  </r>
  <r>
    <s v="F"/>
    <x v="19"/>
    <n v="115.5"/>
    <n v="1.64"/>
    <n v="42.9"/>
    <n v="42.94318857822725"/>
    <n v="0"/>
    <x v="1"/>
    <n v="73.400000000000006"/>
    <s v="129/75"/>
    <n v="129"/>
    <n v="75"/>
    <n v="229"/>
    <x v="0"/>
    <m/>
    <n v="85"/>
    <x v="0"/>
    <x v="0"/>
    <x v="1"/>
    <s v="Y"/>
    <x v="0"/>
    <n v="164"/>
    <n v="0.44800000000000001"/>
    <x v="2"/>
    <n v="129"/>
    <n v="75"/>
    <x v="0"/>
    <n v="156"/>
    <s v=""/>
    <x v="0"/>
    <n v="21.61"/>
    <x v="1"/>
    <x v="0"/>
    <x v="1"/>
    <n v="1"/>
    <x v="0"/>
  </r>
  <r>
    <s v="F"/>
    <x v="8"/>
    <n v="81.8"/>
    <n v="1.61"/>
    <n v="31.6"/>
    <n v="31.557424482080162"/>
    <n v="0"/>
    <x v="1"/>
    <n v="88.5"/>
    <s v="110/74"/>
    <n v="110"/>
    <n v="74"/>
    <n v="111"/>
    <x v="2"/>
    <n v="31"/>
    <n v="123"/>
    <x v="0"/>
    <x v="0"/>
    <x v="2"/>
    <s v="Y"/>
    <x v="0"/>
    <n v="161"/>
    <n v="0.55000000000000004"/>
    <x v="1"/>
    <n v="110"/>
    <n v="74"/>
    <x v="2"/>
    <m/>
    <n v="0"/>
    <x v="0"/>
    <n v="16.04"/>
    <x v="1"/>
    <x v="0"/>
    <x v="1"/>
    <n v="1"/>
    <x v="0"/>
  </r>
  <r>
    <s v="M"/>
    <x v="13"/>
    <m/>
    <n v="1.71"/>
    <n v="36.6"/>
    <n v="0"/>
    <n v="1"/>
    <x v="1"/>
    <n v="79.7"/>
    <s v="120/77"/>
    <n v="120"/>
    <n v="77"/>
    <n v="250"/>
    <x v="0"/>
    <n v="60"/>
    <n v="88"/>
    <x v="0"/>
    <x v="0"/>
    <x v="1"/>
    <s v="Y"/>
    <x v="0"/>
    <n v="171"/>
    <n v="0.46600000000000003"/>
    <x v="0"/>
    <n v="120"/>
    <n v="77"/>
    <x v="0"/>
    <m/>
    <n v="0"/>
    <x v="0"/>
    <n v="20.32"/>
    <x v="1"/>
    <x v="1"/>
    <x v="1"/>
    <n v="1"/>
    <x v="0"/>
  </r>
  <r>
    <s v="M"/>
    <x v="9"/>
    <n v="114.7"/>
    <n v="1.8"/>
    <n v="35.4"/>
    <n v="35.401234567901234"/>
    <n v="0"/>
    <x v="1"/>
    <n v="75.099999999999994"/>
    <s v="145/84"/>
    <n v="145"/>
    <n v="84"/>
    <n v="119"/>
    <x v="2"/>
    <n v="74"/>
    <n v="133"/>
    <x v="1"/>
    <x v="0"/>
    <x v="1"/>
    <s v="N"/>
    <x v="0"/>
    <n v="180"/>
    <n v="0.41699999999999998"/>
    <x v="2"/>
    <n v="145"/>
    <n v="84"/>
    <x v="1"/>
    <n v="15"/>
    <n v="0.2"/>
    <x v="0"/>
    <n v="18.71"/>
    <x v="0"/>
    <x v="0"/>
    <x v="0"/>
    <n v="0"/>
    <x v="0"/>
  </r>
  <r>
    <s v="M"/>
    <x v="25"/>
    <n v="61"/>
    <n v="1.82"/>
    <n v="18.399999999999999"/>
    <n v="18.415650283782149"/>
    <n v="0"/>
    <x v="3"/>
    <m/>
    <s v="97/73"/>
    <n v="97"/>
    <n v="73"/>
    <n v="260"/>
    <x v="0"/>
    <n v="79"/>
    <n v="78"/>
    <x v="0"/>
    <x v="1"/>
    <x v="2"/>
    <s v="N"/>
    <x v="3"/>
    <n v="182"/>
    <n v="0.48099999999999998"/>
    <x v="0"/>
    <n v="97"/>
    <n v="73"/>
    <x v="2"/>
    <m/>
    <n v="0"/>
    <x v="0"/>
    <n v="13.73"/>
    <x v="0"/>
    <x v="0"/>
    <x v="0"/>
    <n v="0"/>
    <x v="0"/>
  </r>
  <r>
    <s v="M"/>
    <x v="1"/>
    <n v="110.3"/>
    <n v="1.61"/>
    <n v="42.6"/>
    <n v="42.552370664712001"/>
    <n v="0"/>
    <x v="1"/>
    <n v="74.5"/>
    <s v="135/96"/>
    <n v="135"/>
    <n v="96"/>
    <n v="101"/>
    <x v="2"/>
    <n v="43"/>
    <n v="117"/>
    <x v="0"/>
    <x v="1"/>
    <x v="1"/>
    <s v="N"/>
    <x v="3"/>
    <n v="161"/>
    <n v="0.46300000000000002"/>
    <x v="0"/>
    <n v="135"/>
    <m/>
    <x v="1"/>
    <n v="28"/>
    <n v="0.65"/>
    <x v="0"/>
    <m/>
    <x v="0"/>
    <x v="0"/>
    <x v="0"/>
    <n v="0"/>
    <x v="0"/>
  </r>
  <r>
    <s v="F"/>
    <x v="2"/>
    <n v="75.2"/>
    <n v="1.7"/>
    <n v="26"/>
    <n v="26.020761245674745"/>
    <n v="0"/>
    <x v="2"/>
    <n v="93.2"/>
    <s v="135/75"/>
    <n v="135"/>
    <n v="75"/>
    <n v="144"/>
    <x v="2"/>
    <n v="49"/>
    <n v="103"/>
    <x v="1"/>
    <x v="1"/>
    <x v="2"/>
    <s v="N"/>
    <x v="2"/>
    <n v="170"/>
    <n v="0.54800000000000004"/>
    <x v="1"/>
    <n v="135"/>
    <n v="75"/>
    <x v="1"/>
    <n v="65"/>
    <n v="1.33"/>
    <x v="0"/>
    <n v="14.83"/>
    <x v="0"/>
    <x v="0"/>
    <x v="0"/>
    <n v="0"/>
    <x v="0"/>
  </r>
  <r>
    <s v="M"/>
    <x v="26"/>
    <n v="96.3"/>
    <n v="1.75"/>
    <n v="31.4"/>
    <n v="31.444897959183674"/>
    <n v="0"/>
    <x v="1"/>
    <n v="90"/>
    <s v="102/71"/>
    <n v="102"/>
    <n v="71"/>
    <n v="115"/>
    <x v="2"/>
    <n v="73"/>
    <m/>
    <x v="0"/>
    <x v="0"/>
    <x v="1"/>
    <s v="N"/>
    <x v="2"/>
    <n v="175"/>
    <n v="0.51400000000000001"/>
    <x v="0"/>
    <n v="102"/>
    <m/>
    <x v="2"/>
    <n v="12"/>
    <n v="0.16"/>
    <x v="0"/>
    <n v="15.68"/>
    <x v="0"/>
    <x v="0"/>
    <x v="0"/>
    <n v="0"/>
    <x v="0"/>
  </r>
  <r>
    <s v="F"/>
    <x v="27"/>
    <n v="67.900000000000006"/>
    <n v="1.83"/>
    <n v="20.3"/>
    <n v="20.27531428230165"/>
    <n v="0"/>
    <x v="0"/>
    <n v="108.2"/>
    <s v="148/92"/>
    <n v="148"/>
    <n v="92"/>
    <n v="128"/>
    <x v="2"/>
    <n v="32"/>
    <n v="87"/>
    <x v="1"/>
    <x v="0"/>
    <x v="1"/>
    <s v="Y"/>
    <x v="1"/>
    <n v="183"/>
    <n v="0.59099999999999997"/>
    <x v="3"/>
    <n v="148"/>
    <n v="92"/>
    <x v="3"/>
    <n v="66"/>
    <n v="2.06"/>
    <x v="0"/>
    <n v="16.02"/>
    <x v="1"/>
    <x v="0"/>
    <x v="1"/>
    <n v="1"/>
    <x v="0"/>
  </r>
  <r>
    <s v="F"/>
    <x v="28"/>
    <n v="98.9"/>
    <n v="1.61"/>
    <n v="38.200000000000003"/>
    <n v="38.154392191659269"/>
    <n v="0"/>
    <x v="1"/>
    <n v="79.900000000000006"/>
    <s v="139/66"/>
    <n v="139"/>
    <n v="66"/>
    <n v="175"/>
    <x v="1"/>
    <n v="32"/>
    <n v="145"/>
    <x v="1"/>
    <x v="0"/>
    <x v="2"/>
    <s v="N"/>
    <x v="0"/>
    <n v="161"/>
    <n v="0.496"/>
    <x v="0"/>
    <n v="139"/>
    <n v="66"/>
    <x v="1"/>
    <n v="113"/>
    <n v="3.53"/>
    <x v="0"/>
    <n v="20.09"/>
    <x v="1"/>
    <x v="0"/>
    <x v="1"/>
    <n v="1"/>
    <x v="1"/>
  </r>
  <r>
    <s v="M"/>
    <x v="24"/>
    <n v="65.8"/>
    <n v="1.76"/>
    <n v="21.2"/>
    <n v="21.242252066115704"/>
    <n v="0"/>
    <x v="0"/>
    <n v="101.1"/>
    <s v="94/81"/>
    <n v="94"/>
    <n v="81"/>
    <n v="243"/>
    <x v="0"/>
    <n v="66"/>
    <n v="70"/>
    <x v="0"/>
    <x v="0"/>
    <x v="2"/>
    <s v="Y"/>
    <x v="0"/>
    <n v="176"/>
    <n v="0.57399999999999995"/>
    <x v="1"/>
    <n v="94"/>
    <n v="81"/>
    <x v="1"/>
    <n v="147"/>
    <n v="2.23"/>
    <x v="0"/>
    <n v="15.8"/>
    <x v="0"/>
    <x v="0"/>
    <x v="0"/>
    <n v="0"/>
    <x v="0"/>
  </r>
  <r>
    <s v="F"/>
    <x v="6"/>
    <n v="74.599999999999994"/>
    <n v="1.74"/>
    <n v="24.6"/>
    <n v="24.639978861144137"/>
    <n v="0"/>
    <x v="0"/>
    <n v="107.8"/>
    <s v="104/60"/>
    <n v="104"/>
    <n v="60"/>
    <n v="124"/>
    <x v="2"/>
    <n v="48"/>
    <n v="98"/>
    <x v="1"/>
    <x v="0"/>
    <x v="1"/>
    <s v="N"/>
    <x v="0"/>
    <n v="174"/>
    <n v="0.62"/>
    <x v="3"/>
    <n v="104"/>
    <n v="60"/>
    <x v="2"/>
    <n v="46"/>
    <n v="0.96"/>
    <x v="0"/>
    <n v="14.6"/>
    <x v="0"/>
    <x v="0"/>
    <x v="0"/>
    <n v="0"/>
    <x v="0"/>
  </r>
  <r>
    <s v="F"/>
    <x v="23"/>
    <n v="100.5"/>
    <n v="1.82"/>
    <n v="30.3"/>
    <n v="30.340538582296823"/>
    <n v="0"/>
    <x v="1"/>
    <n v="106.4"/>
    <s v="129/71"/>
    <n v="129"/>
    <n v="71"/>
    <n v="257"/>
    <x v="0"/>
    <n v="76"/>
    <n v="89"/>
    <x v="1"/>
    <x v="1"/>
    <x v="2"/>
    <s v="N"/>
    <x v="2"/>
    <n v="182"/>
    <n v="0.58499999999999996"/>
    <x v="3"/>
    <n v="129"/>
    <n v="71"/>
    <x v="0"/>
    <n v="151"/>
    <n v="1.99"/>
    <x v="0"/>
    <n v="17.649999999999999"/>
    <x v="1"/>
    <x v="1"/>
    <x v="1"/>
    <n v="1"/>
    <x v="0"/>
  </r>
  <r>
    <s v="F"/>
    <x v="3"/>
    <n v="101.5"/>
    <n v="1.69"/>
    <n v="35.5"/>
    <n v="35.537971359546241"/>
    <n v="0"/>
    <x v="1"/>
    <n v="91.5"/>
    <s v="98/73"/>
    <n v="98"/>
    <n v="73"/>
    <n v="103"/>
    <x v="2"/>
    <n v="74"/>
    <n v="93"/>
    <x v="0"/>
    <x v="1"/>
    <x v="2"/>
    <s v="N"/>
    <x v="3"/>
    <n v="169"/>
    <n v="0.54100000000000004"/>
    <x v="1"/>
    <n v="98"/>
    <n v="73"/>
    <x v="2"/>
    <n v="-1"/>
    <n v="-0.01"/>
    <x v="0"/>
    <n v="14.06"/>
    <x v="2"/>
    <x v="0"/>
    <x v="0"/>
    <n v="0"/>
    <x v="0"/>
  </r>
  <r>
    <s v="F"/>
    <x v="22"/>
    <n v="65.7"/>
    <n v="1.77"/>
    <n v="21"/>
    <n v="20.970985349037633"/>
    <n v="0"/>
    <x v="0"/>
    <n v="77.099999999999994"/>
    <s v="129/78"/>
    <n v="129"/>
    <n v="78"/>
    <n v="232"/>
    <x v="0"/>
    <n v="59"/>
    <n v="113"/>
    <x v="0"/>
    <x v="0"/>
    <x v="1"/>
    <s v="N"/>
    <x v="2"/>
    <n v="177"/>
    <n v="0.436"/>
    <x v="2"/>
    <n v="129"/>
    <n v="78"/>
    <x v="0"/>
    <n v="143"/>
    <n v="2.42"/>
    <x v="0"/>
    <n v="17.29"/>
    <x v="0"/>
    <x v="0"/>
    <x v="0"/>
    <n v="0"/>
    <x v="0"/>
  </r>
  <r>
    <s v="F"/>
    <x v="16"/>
    <n v="103.9"/>
    <n v="1.77"/>
    <n v="33.200000000000003"/>
    <n v="33.164161000989495"/>
    <n v="0"/>
    <x v="1"/>
    <n v="71.599999999999994"/>
    <s v="149/84"/>
    <n v="149"/>
    <n v="84"/>
    <n v="247"/>
    <x v="0"/>
    <n v="50"/>
    <n v="130"/>
    <x v="0"/>
    <x v="0"/>
    <x v="2"/>
    <s v="N"/>
    <x v="2"/>
    <n v="177"/>
    <n v="0.40500000000000003"/>
    <x v="2"/>
    <n v="149"/>
    <n v="84"/>
    <x v="1"/>
    <n v="167"/>
    <n v="3.34"/>
    <x v="0"/>
    <n v="21.03"/>
    <x v="1"/>
    <x v="0"/>
    <x v="1"/>
    <n v="1"/>
    <x v="1"/>
  </r>
  <r>
    <s v="F"/>
    <x v="25"/>
    <n v="112.1"/>
    <n v="1.78"/>
    <n v="35.4"/>
    <n v="35.380633758363842"/>
    <n v="0"/>
    <x v="1"/>
    <n v="87.4"/>
    <s v="103/98"/>
    <n v="103"/>
    <n v="98"/>
    <m/>
    <x v="2"/>
    <n v="67"/>
    <n v="89"/>
    <x v="0"/>
    <x v="0"/>
    <x v="2"/>
    <s v="Y"/>
    <x v="0"/>
    <n v="178"/>
    <n v="0.49099999999999999"/>
    <x v="0"/>
    <n v="103"/>
    <n v="98"/>
    <x v="3"/>
    <n v="50"/>
    <n v="0.75"/>
    <x v="0"/>
    <n v="17.170000000000002"/>
    <x v="1"/>
    <x v="1"/>
    <x v="1"/>
    <n v="1"/>
    <x v="1"/>
  </r>
  <r>
    <s v="M"/>
    <x v="24"/>
    <n v="118"/>
    <n v="1.64"/>
    <n v="43.9"/>
    <n v="43.872694824509232"/>
    <n v="0"/>
    <x v="1"/>
    <n v="73.599999999999994"/>
    <s v="99/92"/>
    <n v="99"/>
    <n v="92"/>
    <n v="199"/>
    <x v="0"/>
    <n v="51"/>
    <n v="129"/>
    <x v="0"/>
    <x v="1"/>
    <x v="2"/>
    <s v="Y"/>
    <x v="2"/>
    <n v="164"/>
    <n v="0.44900000000000001"/>
    <x v="2"/>
    <n v="99"/>
    <n v="92"/>
    <x v="3"/>
    <n v="118"/>
    <n v="2.31"/>
    <x v="0"/>
    <n v="17.71"/>
    <x v="0"/>
    <x v="0"/>
    <x v="0"/>
    <n v="0"/>
    <x v="0"/>
  </r>
  <r>
    <s v="M"/>
    <x v="11"/>
    <n v="107.4"/>
    <n v="1.6"/>
    <n v="42"/>
    <n v="41.953124999999993"/>
    <n v="0"/>
    <x v="1"/>
    <m/>
    <s v="114/91"/>
    <n v="114"/>
    <n v="91"/>
    <m/>
    <x v="2"/>
    <n v="52"/>
    <n v="89"/>
    <x v="1"/>
    <x v="1"/>
    <x v="2"/>
    <s v="N"/>
    <x v="2"/>
    <n v="160"/>
    <n v="0.57899999999999996"/>
    <x v="1"/>
    <n v="114"/>
    <n v="91"/>
    <x v="3"/>
    <n v="89"/>
    <n v="1.71"/>
    <x v="0"/>
    <n v="17.52"/>
    <x v="0"/>
    <x v="0"/>
    <x v="0"/>
    <n v="0"/>
    <x v="0"/>
  </r>
  <r>
    <s v="F"/>
    <x v="23"/>
    <n v="60.6"/>
    <n v="1.88"/>
    <n v="17.100000000000001"/>
    <n v="17.14576731552739"/>
    <n v="0"/>
    <x v="3"/>
    <n v="75.7"/>
    <s v="116/64"/>
    <n v="116"/>
    <n v="64"/>
    <n v="146"/>
    <x v="2"/>
    <n v="50"/>
    <n v="99"/>
    <x v="0"/>
    <x v="0"/>
    <x v="0"/>
    <s v="Y"/>
    <x v="1"/>
    <n v="188"/>
    <n v="0.40300000000000002"/>
    <x v="2"/>
    <n v="116"/>
    <n v="64"/>
    <x v="2"/>
    <n v="66"/>
    <n v="1.32"/>
    <x v="0"/>
    <n v="14.14"/>
    <x v="1"/>
    <x v="0"/>
    <x v="1"/>
    <n v="1"/>
    <x v="0"/>
  </r>
  <r>
    <s v="F"/>
    <x v="28"/>
    <n v="54.7"/>
    <n v="1.61"/>
    <n v="21.1"/>
    <n v="21.102580918946028"/>
    <n v="0"/>
    <x v="0"/>
    <n v="78.099999999999994"/>
    <s v="93/65"/>
    <n v="93"/>
    <n v="65"/>
    <n v="193"/>
    <x v="0"/>
    <n v="79"/>
    <n v="127"/>
    <x v="0"/>
    <x v="0"/>
    <x v="1"/>
    <s v="Y"/>
    <x v="0"/>
    <n v="161"/>
    <n v="0.48499999999999999"/>
    <x v="0"/>
    <n v="93"/>
    <n v="65"/>
    <x v="2"/>
    <n v="84"/>
    <n v="1.06"/>
    <x v="0"/>
    <n v="14.73"/>
    <x v="0"/>
    <x v="0"/>
    <x v="0"/>
    <n v="0"/>
    <x v="0"/>
  </r>
  <r>
    <s v="F"/>
    <x v="1"/>
    <n v="117.2"/>
    <n v="1.72"/>
    <n v="39.6"/>
    <n v="39.616008653326126"/>
    <n v="0"/>
    <x v="1"/>
    <n v="74.2"/>
    <s v="113/63"/>
    <n v="113"/>
    <n v="63"/>
    <n v="164"/>
    <x v="1"/>
    <n v="57"/>
    <n v="150"/>
    <x v="0"/>
    <x v="1"/>
    <x v="0"/>
    <s v="N"/>
    <x v="2"/>
    <n v="172"/>
    <n v="0.43099999999999999"/>
    <x v="2"/>
    <n v="113"/>
    <n v="63"/>
    <x v="2"/>
    <n v="77"/>
    <n v="1.35"/>
    <x v="0"/>
    <n v="16.850000000000001"/>
    <x v="0"/>
    <x v="0"/>
    <x v="0"/>
    <n v="0"/>
    <x v="0"/>
  </r>
  <r>
    <s v="F"/>
    <x v="8"/>
    <n v="56.7"/>
    <n v="1.63"/>
    <n v="21.3"/>
    <n v="21.340660167864808"/>
    <n v="0"/>
    <x v="0"/>
    <n v="80.3"/>
    <s v="142/66"/>
    <n v="142"/>
    <n v="66"/>
    <n v="141"/>
    <x v="2"/>
    <n v="62"/>
    <n v="96"/>
    <x v="0"/>
    <x v="1"/>
    <x v="2"/>
    <s v="N"/>
    <x v="3"/>
    <n v="163"/>
    <m/>
    <x v="4"/>
    <m/>
    <n v="66"/>
    <x v="3"/>
    <n v="49"/>
    <n v="0.79"/>
    <x v="0"/>
    <n v="14.18"/>
    <x v="2"/>
    <x v="0"/>
    <x v="0"/>
    <n v="0"/>
    <x v="0"/>
  </r>
  <r>
    <s v="M"/>
    <x v="4"/>
    <n v="77"/>
    <m/>
    <n v="21.8"/>
    <s v=""/>
    <s v=""/>
    <x v="0"/>
    <n v="97.3"/>
    <s v="142/69"/>
    <n v="142"/>
    <n v="69"/>
    <n v="125"/>
    <x v="2"/>
    <n v="80"/>
    <n v="96"/>
    <x v="0"/>
    <x v="1"/>
    <x v="2"/>
    <s v="Y"/>
    <x v="2"/>
    <n v="188"/>
    <n v="0.51800000000000002"/>
    <x v="0"/>
    <n v="142"/>
    <n v="69"/>
    <x v="3"/>
    <n v="15"/>
    <n v="0.19"/>
    <x v="0"/>
    <n v="13.96"/>
    <x v="0"/>
    <x v="0"/>
    <x v="0"/>
    <n v="0"/>
    <x v="0"/>
  </r>
  <r>
    <s v="F"/>
    <x v="6"/>
    <n v="116.8"/>
    <n v="1.77"/>
    <n v="37.299999999999997"/>
    <n v="37.281751731622457"/>
    <n v="0"/>
    <x v="1"/>
    <n v="92.9"/>
    <s v="140/68"/>
    <n v="140"/>
    <n v="68"/>
    <n v="244"/>
    <x v="0"/>
    <n v="76"/>
    <n v="96"/>
    <x v="0"/>
    <x v="0"/>
    <x v="1"/>
    <s v="N"/>
    <x v="2"/>
    <n v="177"/>
    <n v="0.52500000000000002"/>
    <x v="1"/>
    <n v="140"/>
    <n v="68"/>
    <x v="3"/>
    <n v="138"/>
    <n v="1.82"/>
    <x v="0"/>
    <n v="21.34"/>
    <x v="0"/>
    <x v="0"/>
    <x v="0"/>
    <n v="0"/>
    <x v="0"/>
  </r>
  <r>
    <s v="M"/>
    <x v="1"/>
    <n v="51.4"/>
    <m/>
    <m/>
    <s v=""/>
    <s v=""/>
    <x v="3"/>
    <n v="79.8"/>
    <s v="102/79"/>
    <n v="102"/>
    <n v="79"/>
    <n v="170"/>
    <x v="1"/>
    <n v="36"/>
    <n v="138"/>
    <x v="0"/>
    <x v="1"/>
    <x v="1"/>
    <s v="N"/>
    <x v="3"/>
    <n v="168"/>
    <n v="0.47499999999999998"/>
    <x v="0"/>
    <n v="102"/>
    <n v="79"/>
    <x v="2"/>
    <n v="104"/>
    <n v="2.89"/>
    <x v="0"/>
    <n v="12.14"/>
    <x v="0"/>
    <x v="0"/>
    <x v="0"/>
    <n v="0"/>
    <x v="0"/>
  </r>
  <r>
    <s v="M"/>
    <x v="23"/>
    <n v="107.6"/>
    <n v="1.66"/>
    <n v="39"/>
    <n v="39.047757294237194"/>
    <n v="0"/>
    <x v="1"/>
    <n v="100.8"/>
    <s v="96/65"/>
    <n v="96"/>
    <n v="65"/>
    <n v="135"/>
    <x v="2"/>
    <n v="57"/>
    <n v="129"/>
    <x v="0"/>
    <x v="1"/>
    <x v="1"/>
    <s v="N"/>
    <x v="3"/>
    <n v="166"/>
    <n v="0.60699999999999998"/>
    <x v="3"/>
    <n v="96"/>
    <n v="65"/>
    <x v="2"/>
    <n v="48"/>
    <n v="0.84"/>
    <x v="0"/>
    <n v="15.3"/>
    <x v="0"/>
    <x v="0"/>
    <x v="0"/>
    <n v="0"/>
    <x v="0"/>
  </r>
  <r>
    <s v="F"/>
    <x v="10"/>
    <n v="82.5"/>
    <n v="1.76"/>
    <n v="26.6"/>
    <n v="26.633522727272727"/>
    <n v="0"/>
    <x v="2"/>
    <n v="92.8"/>
    <s v="101/81"/>
    <n v="101"/>
    <n v="81"/>
    <n v="300"/>
    <x v="0"/>
    <n v="38"/>
    <n v="98"/>
    <x v="0"/>
    <x v="0"/>
    <x v="1"/>
    <s v="N"/>
    <x v="2"/>
    <n v="176"/>
    <n v="0.52700000000000002"/>
    <x v="1"/>
    <n v="101"/>
    <n v="81"/>
    <x v="1"/>
    <n v="232"/>
    <n v="6.11"/>
    <x v="0"/>
    <n v="18.37"/>
    <x v="1"/>
    <x v="0"/>
    <x v="1"/>
    <n v="1"/>
    <x v="1"/>
  </r>
  <r>
    <s v="M"/>
    <x v="3"/>
    <n v="114.3"/>
    <n v="1.72"/>
    <n v="38.6"/>
    <n v="38.635749053542462"/>
    <n v="0"/>
    <x v="1"/>
    <n v="100"/>
    <s v="112/83"/>
    <n v="112"/>
    <n v="83"/>
    <n v="228"/>
    <x v="0"/>
    <n v="77"/>
    <n v="91"/>
    <x v="1"/>
    <x v="0"/>
    <x v="1"/>
    <s v="N"/>
    <x v="0"/>
    <n v="172"/>
    <n v="0.58099999999999996"/>
    <x v="1"/>
    <n v="112"/>
    <n v="83"/>
    <x v="1"/>
    <n v="121"/>
    <n v="1.57"/>
    <x v="0"/>
    <n v="19.88"/>
    <x v="1"/>
    <x v="1"/>
    <x v="1"/>
    <n v="1"/>
    <x v="0"/>
  </r>
  <r>
    <s v="M"/>
    <x v="7"/>
    <n v="63.3"/>
    <n v="1.7"/>
    <n v="21.9"/>
    <n v="21.903114186851212"/>
    <n v="0"/>
    <x v="0"/>
    <n v="93.8"/>
    <s v="93/67"/>
    <n v="93"/>
    <n v="67"/>
    <m/>
    <x v="2"/>
    <n v="76"/>
    <n v="73"/>
    <x v="0"/>
    <x v="0"/>
    <x v="1"/>
    <s v="N"/>
    <x v="2"/>
    <n v="170"/>
    <n v="0.55200000000000005"/>
    <x v="1"/>
    <n v="93"/>
    <n v="67"/>
    <x v="2"/>
    <n v="182"/>
    <n v="2.39"/>
    <x v="0"/>
    <n v="16.79"/>
    <x v="0"/>
    <x v="0"/>
    <x v="0"/>
    <n v="0"/>
    <x v="0"/>
  </r>
  <r>
    <s v="F"/>
    <x v="29"/>
    <n v="91.6"/>
    <n v="1.64"/>
    <n v="34.1"/>
    <n v="34.057108863771568"/>
    <n v="0"/>
    <x v="1"/>
    <n v="94.4"/>
    <s v="132/73"/>
    <n v="132"/>
    <n v="73"/>
    <n v="258"/>
    <x v="0"/>
    <n v="31"/>
    <n v="142"/>
    <x v="1"/>
    <x v="0"/>
    <x v="1"/>
    <s v="Y"/>
    <x v="1"/>
    <n v="164"/>
    <n v="0.57599999999999996"/>
    <x v="1"/>
    <n v="132"/>
    <m/>
    <x v="1"/>
    <n v="197"/>
    <n v="6.35"/>
    <x v="0"/>
    <n v="20.58"/>
    <x v="1"/>
    <x v="0"/>
    <x v="1"/>
    <n v="1"/>
    <x v="1"/>
  </r>
  <r>
    <s v="F"/>
    <x v="23"/>
    <n v="52.5"/>
    <n v="1.78"/>
    <n v="16.600000000000001"/>
    <n v="16.569877540714554"/>
    <n v="0"/>
    <x v="3"/>
    <n v="75.8"/>
    <s v="98/63"/>
    <n v="98"/>
    <n v="63"/>
    <n v="119"/>
    <x v="2"/>
    <n v="50"/>
    <n v="128"/>
    <x v="1"/>
    <x v="0"/>
    <x v="1"/>
    <s v="Y"/>
    <x v="1"/>
    <n v="178"/>
    <n v="0.42599999999999999"/>
    <x v="2"/>
    <n v="98"/>
    <n v="63"/>
    <x v="2"/>
    <n v="39"/>
    <n v="0.78"/>
    <x v="0"/>
    <n v="12.6"/>
    <x v="1"/>
    <x v="0"/>
    <x v="1"/>
    <n v="1"/>
    <x v="0"/>
  </r>
  <r>
    <s v="F"/>
    <x v="24"/>
    <n v="109.7"/>
    <n v="1.81"/>
    <n v="33.5"/>
    <n v="33.48493635725405"/>
    <n v="0"/>
    <x v="1"/>
    <n v="80.8"/>
    <s v="120/74"/>
    <n v="120"/>
    <n v="74"/>
    <n v="278"/>
    <x v="0"/>
    <n v="63"/>
    <n v="142"/>
    <x v="0"/>
    <x v="0"/>
    <x v="2"/>
    <s v="Y"/>
    <x v="0"/>
    <n v="181"/>
    <n v="0.44600000000000001"/>
    <x v="2"/>
    <n v="120"/>
    <n v="74"/>
    <x v="0"/>
    <n v="185"/>
    <n v="2.94"/>
    <x v="0"/>
    <n v="20.260000000000002"/>
    <x v="1"/>
    <x v="1"/>
    <x v="1"/>
    <n v="1"/>
    <x v="0"/>
  </r>
  <r>
    <s v="M"/>
    <x v="30"/>
    <n v="115.6"/>
    <n v="1.72"/>
    <n v="39.1"/>
    <n v="39.075175770686862"/>
    <n v="0"/>
    <x v="1"/>
    <n v="109.3"/>
    <s v="90/95"/>
    <n v="90"/>
    <n v="95"/>
    <n v="155"/>
    <x v="1"/>
    <n v="71"/>
    <n v="110"/>
    <x v="0"/>
    <x v="0"/>
    <x v="2"/>
    <s v="N"/>
    <x v="2"/>
    <n v="172"/>
    <n v="0.63500000000000001"/>
    <x v="3"/>
    <n v="90"/>
    <n v="95"/>
    <x v="3"/>
    <n v="54"/>
    <n v="0.76"/>
    <x v="0"/>
    <n v="17.420000000000002"/>
    <x v="0"/>
    <x v="0"/>
    <x v="0"/>
    <n v="0"/>
    <x v="0"/>
  </r>
  <r>
    <s v="M"/>
    <x v="29"/>
    <n v="78.900000000000006"/>
    <n v="1.85"/>
    <n v="23.1"/>
    <n v="23.053323593864135"/>
    <n v="0"/>
    <x v="0"/>
    <n v="101.5"/>
    <s v="94/78"/>
    <n v="94"/>
    <n v="78"/>
    <n v="133"/>
    <x v="2"/>
    <n v="39"/>
    <n v="149"/>
    <x v="0"/>
    <x v="0"/>
    <x v="0"/>
    <s v="Y"/>
    <x v="1"/>
    <n v="185"/>
    <n v="0.54900000000000004"/>
    <x v="1"/>
    <n v="94"/>
    <n v="78"/>
    <x v="2"/>
    <n v="64"/>
    <n v="1.64"/>
    <x v="0"/>
    <m/>
    <x v="1"/>
    <x v="0"/>
    <x v="1"/>
    <n v="1"/>
    <x v="0"/>
  </r>
  <r>
    <s v="M"/>
    <x v="6"/>
    <n v="78.400000000000006"/>
    <n v="1.63"/>
    <n v="29.5"/>
    <n v="29.508073318529117"/>
    <n v="0"/>
    <x v="2"/>
    <n v="70.2"/>
    <s v="127/96"/>
    <n v="127"/>
    <n v="96"/>
    <n v="103"/>
    <x v="2"/>
    <n v="57"/>
    <n v="74"/>
    <x v="0"/>
    <x v="1"/>
    <x v="1"/>
    <s v="N"/>
    <x v="3"/>
    <n v="163"/>
    <n v="0.43099999999999999"/>
    <x v="2"/>
    <n v="127"/>
    <n v="96"/>
    <x v="3"/>
    <n v="16"/>
    <n v="0.28000000000000003"/>
    <x v="0"/>
    <n v="14.31"/>
    <x v="2"/>
    <x v="0"/>
    <x v="0"/>
    <n v="0"/>
    <x v="0"/>
  </r>
  <r>
    <s v="F"/>
    <x v="28"/>
    <n v="65.3"/>
    <n v="1.61"/>
    <n v="25.2"/>
    <n v="25.191929323714358"/>
    <n v="0"/>
    <x v="2"/>
    <n v="74.900000000000006"/>
    <s v="120/87"/>
    <n v="120"/>
    <n v="87"/>
    <n v="251"/>
    <x v="0"/>
    <n v="50"/>
    <n v="83"/>
    <x v="1"/>
    <x v="1"/>
    <x v="0"/>
    <s v="N"/>
    <x v="0"/>
    <m/>
    <n v="0.46500000000000002"/>
    <x v="0"/>
    <n v="120"/>
    <n v="87"/>
    <x v="1"/>
    <n v="171"/>
    <n v="3.42"/>
    <x v="0"/>
    <n v="16.059999999999999"/>
    <x v="1"/>
    <x v="0"/>
    <x v="1"/>
    <n v="1"/>
    <x v="0"/>
  </r>
  <r>
    <s v="F"/>
    <x v="6"/>
    <n v="114.4"/>
    <n v="1.72"/>
    <n v="38.700000000000003"/>
    <n v="38.669551108707417"/>
    <n v="0"/>
    <x v="1"/>
    <n v="105"/>
    <s v="99/90"/>
    <n v="99"/>
    <n v="90"/>
    <n v="203"/>
    <x v="0"/>
    <n v="60"/>
    <n v="103"/>
    <x v="0"/>
    <x v="0"/>
    <x v="2"/>
    <s v="N"/>
    <x v="2"/>
    <n v="172"/>
    <n v="0.61"/>
    <x v="3"/>
    <n v="99"/>
    <n v="90"/>
    <x v="3"/>
    <n v="113"/>
    <n v="1.88"/>
    <x v="0"/>
    <n v="18.75"/>
    <x v="0"/>
    <x v="0"/>
    <x v="0"/>
    <n v="0"/>
    <x v="0"/>
  </r>
  <r>
    <s v="M"/>
    <x v="10"/>
    <n v="114.5"/>
    <n v="1.83"/>
    <n v="34.200000000000003"/>
    <n v="34.190331153513092"/>
    <n v="0"/>
    <x v="1"/>
    <n v="93.8"/>
    <s v="114/63"/>
    <n v="114"/>
    <n v="63"/>
    <n v="204"/>
    <x v="0"/>
    <n v="48"/>
    <n v="140"/>
    <x v="0"/>
    <x v="0"/>
    <x v="2"/>
    <s v="N"/>
    <x v="2"/>
    <n v="183"/>
    <n v="0.51300000000000001"/>
    <x v="0"/>
    <n v="114"/>
    <n v="63"/>
    <x v="2"/>
    <n v="126"/>
    <n v="2.63"/>
    <x v="1"/>
    <n v="18.62"/>
    <x v="1"/>
    <x v="0"/>
    <x v="1"/>
    <n v="1"/>
    <x v="0"/>
  </r>
  <r>
    <s v="M"/>
    <x v="25"/>
    <n v="81.8"/>
    <n v="1.76"/>
    <n v="26.4"/>
    <n v="26.407541322314049"/>
    <n v="0"/>
    <x v="2"/>
    <n v="72.099999999999994"/>
    <s v="132/97"/>
    <n v="132"/>
    <n v="97"/>
    <n v="109"/>
    <x v="2"/>
    <n v="78"/>
    <n v="111"/>
    <x v="0"/>
    <x v="1"/>
    <x v="1"/>
    <s v="Y"/>
    <x v="2"/>
    <n v="176"/>
    <n v="0.41"/>
    <x v="2"/>
    <n v="132"/>
    <n v="97"/>
    <x v="1"/>
    <n v="1"/>
    <n v="0.01"/>
    <x v="0"/>
    <n v="14.06"/>
    <x v="0"/>
    <x v="0"/>
    <x v="0"/>
    <n v="0"/>
    <x v="0"/>
  </r>
  <r>
    <s v="M"/>
    <x v="0"/>
    <n v="85.5"/>
    <n v="1.63"/>
    <n v="32.200000000000003"/>
    <n v="32.180360570589791"/>
    <n v="0"/>
    <x v="1"/>
    <n v="81.599999999999994"/>
    <s v="111/68"/>
    <n v="111"/>
    <n v="68"/>
    <n v="102"/>
    <x v="2"/>
    <n v="79"/>
    <n v="97"/>
    <x v="1"/>
    <x v="1"/>
    <x v="0"/>
    <s v="N"/>
    <x v="0"/>
    <n v="163"/>
    <n v="0.501"/>
    <x v="0"/>
    <n v="111"/>
    <n v="68"/>
    <x v="2"/>
    <m/>
    <n v="0"/>
    <x v="0"/>
    <n v="14.03"/>
    <x v="0"/>
    <x v="0"/>
    <x v="0"/>
    <n v="0"/>
    <x v="0"/>
  </r>
  <r>
    <s v="F"/>
    <x v="4"/>
    <n v="82.1"/>
    <m/>
    <n v="26.2"/>
    <s v=""/>
    <s v=""/>
    <x v="2"/>
    <n v="82.6"/>
    <s v="97/69"/>
    <n v="97"/>
    <n v="69"/>
    <n v="133"/>
    <x v="2"/>
    <n v="43"/>
    <m/>
    <x v="1"/>
    <x v="1"/>
    <x v="0"/>
    <s v="N"/>
    <x v="0"/>
    <n v="177"/>
    <n v="0.46700000000000003"/>
    <x v="0"/>
    <n v="97"/>
    <n v="69"/>
    <x v="2"/>
    <n v="60"/>
    <n v="1.4"/>
    <x v="0"/>
    <n v="12.75"/>
    <x v="1"/>
    <x v="0"/>
    <x v="1"/>
    <n v="1"/>
    <x v="0"/>
  </r>
  <r>
    <s v="F"/>
    <x v="6"/>
    <n v="113.4"/>
    <n v="1.68"/>
    <n v="40.200000000000003"/>
    <n v="40.178571428571438"/>
    <n v="0"/>
    <x v="1"/>
    <n v="109.2"/>
    <s v="120/71"/>
    <n v="120"/>
    <n v="71"/>
    <n v="281"/>
    <x v="0"/>
    <n v="70"/>
    <n v="140"/>
    <x v="0"/>
    <x v="1"/>
    <x v="1"/>
    <s v="N"/>
    <x v="3"/>
    <n v="168"/>
    <n v="0.65"/>
    <x v="3"/>
    <n v="120"/>
    <n v="71"/>
    <x v="0"/>
    <n v="181"/>
    <n v="2.59"/>
    <x v="0"/>
    <n v="19.66"/>
    <x v="0"/>
    <x v="0"/>
    <x v="0"/>
    <n v="0"/>
    <x v="0"/>
  </r>
  <r>
    <s v="F"/>
    <x v="11"/>
    <n v="50.7"/>
    <n v="1.65"/>
    <n v="18.600000000000001"/>
    <n v="18.622589531680443"/>
    <n v="0"/>
    <x v="0"/>
    <n v="80.900000000000006"/>
    <s v="130/97"/>
    <n v="130"/>
    <n v="97"/>
    <n v="228"/>
    <x v="0"/>
    <n v="56"/>
    <n v="76"/>
    <x v="1"/>
    <x v="0"/>
    <x v="0"/>
    <s v="N"/>
    <x v="1"/>
    <n v="165"/>
    <n v="0.49"/>
    <x v="0"/>
    <n v="130"/>
    <n v="97"/>
    <x v="1"/>
    <n v="142"/>
    <n v="2.54"/>
    <x v="0"/>
    <n v="16.78"/>
    <x v="1"/>
    <x v="0"/>
    <x v="1"/>
    <n v="1"/>
    <x v="0"/>
  </r>
  <r>
    <s v="M"/>
    <x v="4"/>
    <n v="118.3"/>
    <n v="1.66"/>
    <n v="42.9"/>
    <n v="42.930759181303529"/>
    <n v="0"/>
    <x v="1"/>
    <m/>
    <s v="119/65"/>
    <n v="119"/>
    <n v="65"/>
    <n v="149"/>
    <x v="2"/>
    <n v="66"/>
    <n v="127"/>
    <x v="0"/>
    <x v="0"/>
    <x v="2"/>
    <s v="N"/>
    <x v="2"/>
    <n v="166"/>
    <n v="0.622"/>
    <x v="3"/>
    <n v="119"/>
    <n v="65"/>
    <x v="2"/>
    <n v="53"/>
    <n v="0.8"/>
    <x v="0"/>
    <m/>
    <x v="0"/>
    <x v="0"/>
    <x v="0"/>
    <n v="0"/>
    <x v="0"/>
  </r>
  <r>
    <s v="F"/>
    <x v="26"/>
    <n v="85.7"/>
    <n v="1.78"/>
    <n v="27"/>
    <n v="27.048352480747379"/>
    <n v="0"/>
    <x v="2"/>
    <n v="74.3"/>
    <s v="120/96"/>
    <n v="120"/>
    <n v="96"/>
    <n v="268"/>
    <x v="0"/>
    <n v="73"/>
    <n v="77"/>
    <x v="0"/>
    <x v="1"/>
    <x v="0"/>
    <s v="N"/>
    <x v="2"/>
    <n v="178"/>
    <n v="0.41699999999999998"/>
    <x v="2"/>
    <n v="120"/>
    <n v="96"/>
    <x v="3"/>
    <n v="165"/>
    <n v="2.2599999999999998"/>
    <x v="0"/>
    <n v="16.760000000000002"/>
    <x v="1"/>
    <x v="1"/>
    <x v="1"/>
    <n v="1"/>
    <x v="0"/>
  </r>
  <r>
    <s v="F"/>
    <x v="29"/>
    <n v="110.1"/>
    <m/>
    <n v="35.5"/>
    <s v=""/>
    <s v=""/>
    <x v="1"/>
    <n v="95.6"/>
    <s v="145/84"/>
    <n v="145"/>
    <n v="84"/>
    <n v="108"/>
    <x v="2"/>
    <n v="66"/>
    <n v="78"/>
    <x v="0"/>
    <x v="0"/>
    <x v="2"/>
    <s v="N"/>
    <x v="2"/>
    <n v="176"/>
    <n v="0.54300000000000004"/>
    <x v="1"/>
    <n v="145"/>
    <n v="84"/>
    <x v="1"/>
    <n v="12"/>
    <n v="0.18"/>
    <x v="0"/>
    <n v="18.510000000000002"/>
    <x v="0"/>
    <x v="0"/>
    <x v="0"/>
    <n v="0"/>
    <x v="1"/>
  </r>
  <r>
    <s v="F"/>
    <x v="11"/>
    <n v="70.5"/>
    <n v="1.68"/>
    <n v="25"/>
    <n v="24.978741496598644"/>
    <n v="0"/>
    <x v="2"/>
    <m/>
    <s v="111/93"/>
    <n v="111"/>
    <n v="93"/>
    <n v="154"/>
    <x v="1"/>
    <n v="47"/>
    <n v="119"/>
    <x v="1"/>
    <x v="1"/>
    <x v="0"/>
    <s v="N"/>
    <x v="0"/>
    <n v="168"/>
    <n v="0.495"/>
    <x v="0"/>
    <n v="111"/>
    <n v="93"/>
    <x v="3"/>
    <n v="77"/>
    <n v="1.64"/>
    <x v="0"/>
    <n v="13.63"/>
    <x v="0"/>
    <x v="0"/>
    <x v="0"/>
    <n v="0"/>
    <x v="0"/>
  </r>
  <r>
    <s v="F"/>
    <x v="8"/>
    <n v="109.3"/>
    <n v="1.81"/>
    <n v="33.4"/>
    <n v="33.362839962150119"/>
    <n v="0"/>
    <x v="1"/>
    <n v="83.2"/>
    <s v="105/100"/>
    <n v="105"/>
    <n v="100"/>
    <n v="135"/>
    <x v="2"/>
    <n v="65"/>
    <n v="119"/>
    <x v="1"/>
    <x v="0"/>
    <x v="1"/>
    <s v="N"/>
    <x v="0"/>
    <n v="181"/>
    <n v="0.46"/>
    <x v="2"/>
    <n v="105"/>
    <n v="100"/>
    <x v="3"/>
    <n v="40"/>
    <n v="0.62"/>
    <x v="0"/>
    <n v="16.63"/>
    <x v="1"/>
    <x v="1"/>
    <x v="1"/>
    <n v="1"/>
    <x v="0"/>
  </r>
  <r>
    <s v="F"/>
    <x v="11"/>
    <n v="84.6"/>
    <n v="1.81"/>
    <n v="25.8"/>
    <n v="25.823387564482157"/>
    <n v="0"/>
    <x v="2"/>
    <n v="74.5"/>
    <s v="100/91"/>
    <n v="100"/>
    <n v="91"/>
    <n v="220"/>
    <x v="0"/>
    <n v="47"/>
    <n v="77"/>
    <x v="0"/>
    <x v="1"/>
    <x v="1"/>
    <s v="Y"/>
    <x v="2"/>
    <n v="181"/>
    <n v="0.41199999999999998"/>
    <x v="2"/>
    <n v="100"/>
    <n v="91"/>
    <x v="3"/>
    <n v="143"/>
    <n v="3.04"/>
    <x v="0"/>
    <n v="14.56"/>
    <x v="0"/>
    <x v="0"/>
    <x v="0"/>
    <n v="0"/>
    <x v="0"/>
  </r>
  <r>
    <s v="M"/>
    <x v="8"/>
    <n v="111"/>
    <n v="1.69"/>
    <n v="38.9"/>
    <n v="38.864185427681107"/>
    <n v="0"/>
    <x v="1"/>
    <n v="94.8"/>
    <s v="98/64"/>
    <n v="98"/>
    <n v="64"/>
    <m/>
    <x v="2"/>
    <n v="48"/>
    <n v="119"/>
    <x v="1"/>
    <x v="1"/>
    <x v="2"/>
    <s v="N"/>
    <x v="2"/>
    <n v="169"/>
    <n v="0.56100000000000005"/>
    <x v="1"/>
    <n v="98"/>
    <n v="64"/>
    <x v="2"/>
    <n v="178"/>
    <n v="3.71"/>
    <x v="1"/>
    <n v="17.8"/>
    <x v="1"/>
    <x v="0"/>
    <x v="1"/>
    <n v="1"/>
    <x v="0"/>
  </r>
  <r>
    <s v="M"/>
    <x v="6"/>
    <n v="78.8"/>
    <n v="1.81"/>
    <n v="24.1"/>
    <n v="24.052989835475106"/>
    <n v="0"/>
    <x v="0"/>
    <n v="101.8"/>
    <s v="135/80"/>
    <n v="135"/>
    <n v="80"/>
    <n v="194"/>
    <x v="0"/>
    <n v="73"/>
    <n v="90"/>
    <x v="0"/>
    <x v="1"/>
    <x v="0"/>
    <s v="Y"/>
    <x v="0"/>
    <n v="181"/>
    <n v="0.56200000000000006"/>
    <x v="1"/>
    <n v="135"/>
    <n v="80"/>
    <x v="1"/>
    <n v="91"/>
    <n v="1.25"/>
    <x v="0"/>
    <n v="15.45"/>
    <x v="0"/>
    <x v="0"/>
    <x v="0"/>
    <n v="0"/>
    <x v="0"/>
  </r>
  <r>
    <s v="F"/>
    <x v="11"/>
    <n v="116.9"/>
    <n v="1.66"/>
    <n v="42.4"/>
    <n v="42.4227028596313"/>
    <n v="0"/>
    <x v="1"/>
    <n v="78.099999999999994"/>
    <s v="124/72"/>
    <n v="124"/>
    <n v="72"/>
    <n v="211"/>
    <x v="0"/>
    <n v="75"/>
    <n v="117"/>
    <x v="1"/>
    <x v="1"/>
    <x v="1"/>
    <s v="Y"/>
    <x v="0"/>
    <n v="166"/>
    <n v="0.47"/>
    <x v="0"/>
    <n v="124"/>
    <n v="72"/>
    <x v="0"/>
    <n v="106"/>
    <n v="1.41"/>
    <x v="0"/>
    <n v="18.899999999999999"/>
    <x v="1"/>
    <x v="1"/>
    <x v="1"/>
    <n v="1"/>
    <x v="0"/>
  </r>
  <r>
    <s v="F"/>
    <x v="0"/>
    <n v="98.3"/>
    <n v="1.78"/>
    <n v="31"/>
    <n v="31.025123090518871"/>
    <n v="0"/>
    <x v="1"/>
    <n v="93"/>
    <s v="127/98"/>
    <n v="127"/>
    <n v="98"/>
    <n v="261"/>
    <x v="0"/>
    <n v="42"/>
    <n v="94"/>
    <x v="1"/>
    <x v="0"/>
    <x v="1"/>
    <s v="Y"/>
    <x v="1"/>
    <n v="178"/>
    <n v="0.52200000000000002"/>
    <x v="0"/>
    <n v="127"/>
    <n v="98"/>
    <x v="3"/>
    <n v="189"/>
    <n v="4.5"/>
    <x v="0"/>
    <n v="19.77"/>
    <x v="1"/>
    <x v="0"/>
    <x v="1"/>
    <n v="1"/>
    <x v="0"/>
  </r>
  <r>
    <s v="M"/>
    <x v="25"/>
    <n v="84.1"/>
    <n v="1.86"/>
    <m/>
    <n v="24.309168690021963"/>
    <n v="1"/>
    <x v="3"/>
    <n v="74.599999999999994"/>
    <s v="90/78"/>
    <n v="90"/>
    <n v="78"/>
    <n v="249"/>
    <x v="0"/>
    <n v="62"/>
    <n v="118"/>
    <x v="0"/>
    <x v="1"/>
    <x v="2"/>
    <s v="Y"/>
    <x v="2"/>
    <n v="186"/>
    <m/>
    <x v="4"/>
    <n v="90"/>
    <n v="78"/>
    <x v="2"/>
    <n v="157"/>
    <n v="2.5299999999999998"/>
    <x v="0"/>
    <n v="14.34"/>
    <x v="0"/>
    <x v="0"/>
    <x v="0"/>
    <n v="0"/>
    <x v="0"/>
  </r>
  <r>
    <s v="M"/>
    <x v="10"/>
    <n v="99.1"/>
    <n v="1.6"/>
    <n v="38.700000000000003"/>
    <n v="38.710937499999993"/>
    <n v="0"/>
    <x v="1"/>
    <m/>
    <s v="103/96"/>
    <n v="103"/>
    <n v="96"/>
    <n v="237"/>
    <x v="0"/>
    <n v="58"/>
    <n v="132"/>
    <x v="0"/>
    <x v="0"/>
    <x v="1"/>
    <s v="N"/>
    <x v="2"/>
    <n v="160"/>
    <n v="0.66500000000000004"/>
    <x v="3"/>
    <n v="103"/>
    <n v="96"/>
    <x v="3"/>
    <n v="149"/>
    <n v="2.57"/>
    <x v="0"/>
    <n v="19.63"/>
    <x v="1"/>
    <x v="0"/>
    <x v="1"/>
    <n v="1"/>
    <x v="1"/>
  </r>
  <r>
    <s v="F"/>
    <x v="23"/>
    <n v="63.5"/>
    <n v="1.8"/>
    <n v="19.600000000000001"/>
    <n v="19.598765432098766"/>
    <n v="0"/>
    <x v="0"/>
    <n v="75.099999999999994"/>
    <s v="103/81"/>
    <n v="103"/>
    <n v="81"/>
    <n v="154"/>
    <x v="1"/>
    <n v="54"/>
    <n v="102"/>
    <x v="0"/>
    <x v="0"/>
    <x v="1"/>
    <s v="Y"/>
    <x v="0"/>
    <n v="180"/>
    <n v="0.41699999999999998"/>
    <x v="2"/>
    <n v="103"/>
    <n v="81"/>
    <x v="1"/>
    <n v="70"/>
    <n v="1.3"/>
    <x v="0"/>
    <n v="14.15"/>
    <x v="0"/>
    <x v="0"/>
    <x v="0"/>
    <n v="0"/>
    <x v="1"/>
  </r>
  <r>
    <s v="M"/>
    <x v="8"/>
    <n v="113.6"/>
    <n v="1.79"/>
    <n v="35.5"/>
    <n v="35.454573827283788"/>
    <n v="0"/>
    <x v="1"/>
    <m/>
    <s v="111/98"/>
    <n v="111"/>
    <n v="98"/>
    <n v="286"/>
    <x v="0"/>
    <n v="56"/>
    <n v="133"/>
    <x v="1"/>
    <x v="1"/>
    <x v="2"/>
    <s v="N"/>
    <x v="2"/>
    <n v="179"/>
    <n v="0.55800000000000005"/>
    <x v="1"/>
    <n v="111"/>
    <n v="98"/>
    <x v="3"/>
    <n v="200"/>
    <n v="3.57"/>
    <x v="0"/>
    <n v="18.37"/>
    <x v="1"/>
    <x v="0"/>
    <x v="1"/>
    <n v="1"/>
    <x v="0"/>
  </r>
  <r>
    <s v="F"/>
    <x v="16"/>
    <n v="70.3"/>
    <n v="1.67"/>
    <m/>
    <n v="25.207070888163791"/>
    <n v="1"/>
    <x v="3"/>
    <n v="88.8"/>
    <s v="130/97"/>
    <n v="130"/>
    <n v="97"/>
    <n v="277"/>
    <x v="0"/>
    <n v="60"/>
    <n v="113"/>
    <x v="0"/>
    <x v="1"/>
    <x v="0"/>
    <s v="Y"/>
    <x v="0"/>
    <n v="167"/>
    <n v="0.53200000000000003"/>
    <x v="1"/>
    <n v="130"/>
    <n v="97"/>
    <x v="1"/>
    <n v="187"/>
    <n v="3.12"/>
    <x v="0"/>
    <n v="17.079999999999998"/>
    <x v="1"/>
    <x v="1"/>
    <x v="1"/>
    <n v="1"/>
    <x v="0"/>
  </r>
  <r>
    <s v="F"/>
    <x v="9"/>
    <n v="54.8"/>
    <n v="1.78"/>
    <n v="17.3"/>
    <n v="17.295795985355383"/>
    <n v="0"/>
    <x v="3"/>
    <n v="105.4"/>
    <s v="92/73"/>
    <n v="92"/>
    <n v="73"/>
    <m/>
    <x v="2"/>
    <n v="49"/>
    <n v="83"/>
    <x v="0"/>
    <x v="0"/>
    <x v="0"/>
    <s v="Y"/>
    <x v="1"/>
    <m/>
    <n v="0.59199999999999997"/>
    <x v="3"/>
    <n v="92"/>
    <n v="73"/>
    <x v="2"/>
    <n v="26"/>
    <n v="0.53"/>
    <x v="0"/>
    <n v="12.16"/>
    <x v="0"/>
    <x v="0"/>
    <x v="0"/>
    <n v="0"/>
    <x v="0"/>
  </r>
  <r>
    <s v="M"/>
    <x v="5"/>
    <n v="119.7"/>
    <n v="1.74"/>
    <n v="39.5"/>
    <n v="39.536266349583826"/>
    <n v="0"/>
    <x v="1"/>
    <n v="96"/>
    <s v="99/97"/>
    <n v="99"/>
    <n v="97"/>
    <n v="163"/>
    <x v="1"/>
    <n v="57"/>
    <n v="116"/>
    <x v="1"/>
    <x v="1"/>
    <x v="2"/>
    <s v="N"/>
    <x v="2"/>
    <n v="174"/>
    <n v="0.55200000000000005"/>
    <x v="1"/>
    <n v="99"/>
    <n v="97"/>
    <x v="3"/>
    <n v="76"/>
    <n v="1.33"/>
    <x v="0"/>
    <n v="16.11"/>
    <x v="0"/>
    <x v="0"/>
    <x v="0"/>
    <n v="0"/>
    <x v="0"/>
  </r>
  <r>
    <s v="F"/>
    <x v="26"/>
    <n v="89.5"/>
    <n v="1.71"/>
    <n v="30.6"/>
    <n v="30.607708354707434"/>
    <n v="0"/>
    <x v="1"/>
    <n v="104.3"/>
    <s v="107/67"/>
    <n v="107"/>
    <n v="67"/>
    <n v="132"/>
    <x v="2"/>
    <n v="69"/>
    <n v="140"/>
    <x v="0"/>
    <x v="0"/>
    <x v="0"/>
    <s v="Y"/>
    <x v="1"/>
    <n v="171"/>
    <n v="0.61"/>
    <x v="3"/>
    <n v="107"/>
    <n v="67"/>
    <x v="2"/>
    <n v="33"/>
    <n v="0.48"/>
    <x v="0"/>
    <n v="16.11"/>
    <x v="1"/>
    <x v="1"/>
    <x v="1"/>
    <n v="1"/>
    <x v="0"/>
  </r>
  <r>
    <s v="F"/>
    <x v="21"/>
    <n v="59.2"/>
    <n v="1.78"/>
    <n v="18.7"/>
    <n v="18.684509531624794"/>
    <n v="0"/>
    <x v="0"/>
    <n v="88.6"/>
    <s v="137/68"/>
    <n v="137"/>
    <n v="68"/>
    <n v="122"/>
    <x v="2"/>
    <n v="80"/>
    <n v="110"/>
    <x v="1"/>
    <x v="1"/>
    <x v="0"/>
    <s v="Y"/>
    <x v="1"/>
    <n v="178"/>
    <n v="0.498"/>
    <x v="0"/>
    <n v="137"/>
    <n v="68"/>
    <x v="1"/>
    <n v="12"/>
    <n v="0.15"/>
    <x v="0"/>
    <n v="13.03"/>
    <x v="0"/>
    <x v="0"/>
    <x v="0"/>
    <n v="0"/>
    <x v="0"/>
  </r>
  <r>
    <s v="F"/>
    <x v="22"/>
    <n v="77.7"/>
    <n v="1.61"/>
    <n v="30"/>
    <n v="29.975695382122602"/>
    <n v="0"/>
    <x v="1"/>
    <n v="93.1"/>
    <s v="104/81"/>
    <n v="104"/>
    <n v="81"/>
    <n v="225"/>
    <x v="0"/>
    <n v="43"/>
    <n v="121"/>
    <x v="1"/>
    <x v="0"/>
    <x v="1"/>
    <s v="Y"/>
    <x v="1"/>
    <n v="161"/>
    <n v="0.57799999999999996"/>
    <x v="1"/>
    <n v="104"/>
    <n v="81"/>
    <x v="1"/>
    <n v="152"/>
    <n v="3.53"/>
    <x v="0"/>
    <n v="17.7"/>
    <x v="1"/>
    <x v="0"/>
    <x v="1"/>
    <n v="1"/>
    <x v="0"/>
  </r>
  <r>
    <s v="F"/>
    <x v="2"/>
    <n v="100.9"/>
    <n v="1.78"/>
    <n v="31.8"/>
    <n v="31.845726549678073"/>
    <n v="0"/>
    <x v="1"/>
    <n v="109.4"/>
    <s v="113/99"/>
    <n v="113"/>
    <n v="99"/>
    <n v="176"/>
    <x v="1"/>
    <n v="35"/>
    <n v="136"/>
    <x v="1"/>
    <x v="1"/>
    <x v="0"/>
    <s v="Y"/>
    <x v="1"/>
    <n v="178"/>
    <n v="0.61499999999999999"/>
    <x v="3"/>
    <n v="113"/>
    <n v="99"/>
    <x v="3"/>
    <n v="111"/>
    <n v="3.17"/>
    <x v="0"/>
    <n v="15.53"/>
    <x v="1"/>
    <x v="0"/>
    <x v="1"/>
    <n v="1"/>
    <x v="0"/>
  </r>
  <r>
    <s v="M"/>
    <x v="11"/>
    <n v="53.3"/>
    <n v="1.63"/>
    <n v="20.100000000000001"/>
    <n v="20.060973314765327"/>
    <n v="0"/>
    <x v="0"/>
    <m/>
    <s v="90/67"/>
    <n v="90"/>
    <n v="67"/>
    <n v="142"/>
    <x v="2"/>
    <n v="40"/>
    <n v="129"/>
    <x v="0"/>
    <x v="0"/>
    <x v="1"/>
    <s v="N"/>
    <x v="2"/>
    <n v="163"/>
    <n v="0.65600000000000003"/>
    <x v="3"/>
    <n v="90"/>
    <n v="67"/>
    <x v="2"/>
    <n v="72"/>
    <n v="1.8"/>
    <x v="0"/>
    <n v="13.36"/>
    <x v="2"/>
    <x v="0"/>
    <x v="0"/>
    <n v="0"/>
    <x v="0"/>
  </r>
  <r>
    <s v="M"/>
    <x v="30"/>
    <n v="74.8"/>
    <n v="1.84"/>
    <n v="22.1"/>
    <n v="22.093572778827976"/>
    <n v="0"/>
    <x v="0"/>
    <n v="103.4"/>
    <s v="122/88"/>
    <n v="122"/>
    <n v="88"/>
    <n v="228"/>
    <x v="0"/>
    <n v="76"/>
    <n v="99"/>
    <x v="1"/>
    <x v="0"/>
    <x v="0"/>
    <s v="N"/>
    <x v="1"/>
    <m/>
    <n v="0.56200000000000006"/>
    <x v="1"/>
    <n v="122"/>
    <n v="88"/>
    <x v="1"/>
    <n v="122"/>
    <n v="1.61"/>
    <x v="0"/>
    <n v="17.079999999999998"/>
    <x v="1"/>
    <x v="1"/>
    <x v="1"/>
    <n v="1"/>
    <x v="0"/>
  </r>
  <r>
    <s v="F"/>
    <x v="18"/>
    <n v="89.6"/>
    <n v="1.78"/>
    <n v="28.3"/>
    <n v="28.279257669486174"/>
    <n v="0"/>
    <x v="2"/>
    <n v="70.099999999999994"/>
    <s v="133/97"/>
    <n v="133"/>
    <n v="97"/>
    <n v="239"/>
    <x v="0"/>
    <n v="79"/>
    <n v="121"/>
    <x v="0"/>
    <x v="0"/>
    <x v="0"/>
    <s v="N"/>
    <x v="0"/>
    <m/>
    <n v="0.39400000000000002"/>
    <x v="2"/>
    <n v="133"/>
    <n v="97"/>
    <x v="1"/>
    <n v="130"/>
    <n v="1.65"/>
    <x v="0"/>
    <n v="19.09"/>
    <x v="1"/>
    <x v="1"/>
    <x v="1"/>
    <n v="1"/>
    <x v="0"/>
  </r>
  <r>
    <s v="F"/>
    <x v="12"/>
    <n v="55.7"/>
    <n v="1.68"/>
    <n v="19.7"/>
    <n v="19.734977324263042"/>
    <n v="0"/>
    <x v="0"/>
    <n v="78.900000000000006"/>
    <s v="135/100"/>
    <n v="135"/>
    <n v="100"/>
    <n v="252"/>
    <x v="0"/>
    <n v="43"/>
    <n v="123"/>
    <x v="1"/>
    <x v="0"/>
    <x v="0"/>
    <s v="Y"/>
    <x v="4"/>
    <n v="168"/>
    <m/>
    <x v="4"/>
    <n v="135"/>
    <n v="100"/>
    <x v="1"/>
    <n v="179"/>
    <n v="4.16"/>
    <x v="0"/>
    <m/>
    <x v="1"/>
    <x v="0"/>
    <x v="1"/>
    <n v="1"/>
    <x v="0"/>
  </r>
  <r>
    <s v="F"/>
    <x v="9"/>
    <n v="93"/>
    <n v="1.88"/>
    <n v="26.3"/>
    <n v="26.312811226799457"/>
    <n v="0"/>
    <x v="2"/>
    <n v="99.2"/>
    <s v="114/96"/>
    <n v="114"/>
    <n v="96"/>
    <n v="158"/>
    <x v="1"/>
    <n v="58"/>
    <n v="138"/>
    <x v="1"/>
    <x v="1"/>
    <x v="2"/>
    <s v="Y"/>
    <x v="0"/>
    <n v="188"/>
    <n v="0.52800000000000002"/>
    <x v="1"/>
    <n v="114"/>
    <m/>
    <x v="3"/>
    <n v="70"/>
    <n v="1.21"/>
    <x v="0"/>
    <n v="14.12"/>
    <x v="0"/>
    <x v="0"/>
    <x v="0"/>
    <n v="0"/>
    <x v="0"/>
  </r>
  <r>
    <s v="F"/>
    <x v="27"/>
    <n v="73"/>
    <n v="1.79"/>
    <n v="22.8"/>
    <n v="22.783308885490467"/>
    <n v="0"/>
    <x v="0"/>
    <n v="77.400000000000006"/>
    <s v="117/97"/>
    <n v="117"/>
    <n v="97"/>
    <n v="183"/>
    <x v="0"/>
    <n v="69"/>
    <n v="119"/>
    <x v="1"/>
    <x v="0"/>
    <x v="0"/>
    <s v="N"/>
    <x v="1"/>
    <n v="179"/>
    <n v="0.432"/>
    <x v="2"/>
    <n v="117"/>
    <n v="97"/>
    <x v="3"/>
    <n v="84"/>
    <n v="1.22"/>
    <x v="0"/>
    <n v="16.07"/>
    <x v="1"/>
    <x v="1"/>
    <x v="1"/>
    <n v="1"/>
    <x v="0"/>
  </r>
  <r>
    <s v="M"/>
    <x v="27"/>
    <n v="94.3"/>
    <n v="1.68"/>
    <n v="33.4"/>
    <n v="33.411281179138328"/>
    <n v="0"/>
    <x v="1"/>
    <n v="96.3"/>
    <s v="103/96"/>
    <n v="103"/>
    <n v="96"/>
    <n v="106"/>
    <x v="2"/>
    <n v="38"/>
    <n v="118"/>
    <x v="0"/>
    <x v="0"/>
    <x v="0"/>
    <s v="Y"/>
    <x v="1"/>
    <n v="168"/>
    <n v="0.57299999999999995"/>
    <x v="1"/>
    <n v="103"/>
    <n v="96"/>
    <x v="3"/>
    <n v="38"/>
    <n v="1"/>
    <x v="0"/>
    <n v="15.95"/>
    <x v="1"/>
    <x v="0"/>
    <x v="1"/>
    <n v="1"/>
    <x v="0"/>
  </r>
  <r>
    <s v="F"/>
    <x v="29"/>
    <m/>
    <n v="1.64"/>
    <n v="30"/>
    <n v="0"/>
    <n v="1"/>
    <x v="1"/>
    <n v="95.9"/>
    <s v="114/63"/>
    <n v="114"/>
    <n v="63"/>
    <n v="178"/>
    <x v="1"/>
    <n v="62"/>
    <n v="90"/>
    <x v="1"/>
    <x v="0"/>
    <x v="0"/>
    <s v="Y"/>
    <x v="4"/>
    <n v="164"/>
    <n v="0.58499999999999996"/>
    <x v="3"/>
    <m/>
    <n v="63"/>
    <x v="2"/>
    <n v="86"/>
    <n v="1.39"/>
    <x v="0"/>
    <n v="17.260000000000002"/>
    <x v="1"/>
    <x v="1"/>
    <x v="1"/>
    <n v="1"/>
    <x v="0"/>
  </r>
  <r>
    <s v="M"/>
    <x v="9"/>
    <n v="71.3"/>
    <n v="1.73"/>
    <n v="23.8"/>
    <n v="23.823047879982624"/>
    <n v="0"/>
    <x v="0"/>
    <n v="107.9"/>
    <s v="139/61"/>
    <n v="139"/>
    <n v="61"/>
    <n v="253"/>
    <x v="0"/>
    <n v="77"/>
    <n v="94"/>
    <x v="1"/>
    <x v="1"/>
    <x v="0"/>
    <s v="Y"/>
    <x v="1"/>
    <n v="173"/>
    <m/>
    <x v="4"/>
    <n v="139"/>
    <m/>
    <x v="1"/>
    <n v="146"/>
    <n v="1.9"/>
    <x v="0"/>
    <n v="16.77"/>
    <x v="1"/>
    <x v="1"/>
    <x v="1"/>
    <n v="1"/>
    <x v="0"/>
  </r>
  <r>
    <s v="M"/>
    <x v="26"/>
    <n v="103.9"/>
    <n v="1.66"/>
    <n v="37.700000000000003"/>
    <n v="37.705037015532014"/>
    <n v="0"/>
    <x v="1"/>
    <n v="87.1"/>
    <s v="117/61"/>
    <n v="117"/>
    <n v="61"/>
    <n v="272"/>
    <x v="0"/>
    <n v="31"/>
    <n v="117"/>
    <x v="0"/>
    <x v="1"/>
    <x v="0"/>
    <s v="N"/>
    <x v="2"/>
    <n v="166"/>
    <n v="0.52500000000000002"/>
    <x v="1"/>
    <n v="117"/>
    <n v="61"/>
    <x v="2"/>
    <n v="211"/>
    <n v="6.81"/>
    <x v="1"/>
    <n v="18.829999999999998"/>
    <x v="1"/>
    <x v="0"/>
    <x v="1"/>
    <n v="1"/>
    <x v="0"/>
  </r>
  <r>
    <s v="F"/>
    <x v="29"/>
    <n v="54.8"/>
    <n v="1.77"/>
    <n v="17.5"/>
    <n v="17.491780778192727"/>
    <n v="0"/>
    <x v="3"/>
    <n v="81.2"/>
    <s v="108/81"/>
    <n v="108"/>
    <n v="81"/>
    <n v="108"/>
    <x v="2"/>
    <n v="80"/>
    <n v="108"/>
    <x v="1"/>
    <x v="1"/>
    <x v="2"/>
    <s v="N"/>
    <x v="2"/>
    <n v="177"/>
    <n v="0.45900000000000002"/>
    <x v="2"/>
    <n v="108"/>
    <n v="81"/>
    <x v="1"/>
    <n v="-2"/>
    <n v="-0.03"/>
    <x v="0"/>
    <n v="11.06"/>
    <x v="0"/>
    <x v="0"/>
    <x v="0"/>
    <n v="0"/>
    <x v="0"/>
  </r>
  <r>
    <s v="F"/>
    <x v="11"/>
    <n v="113.8"/>
    <n v="1.84"/>
    <n v="33.6"/>
    <n v="33.612948960302454"/>
    <n v="0"/>
    <x v="1"/>
    <n v="96.9"/>
    <s v="94/92"/>
    <n v="94"/>
    <n v="92"/>
    <n v="203"/>
    <x v="0"/>
    <n v="56"/>
    <n v="109"/>
    <x v="1"/>
    <x v="1"/>
    <x v="2"/>
    <s v="N"/>
    <x v="2"/>
    <n v="184"/>
    <n v="0.52700000000000002"/>
    <x v="1"/>
    <n v="94"/>
    <n v="92"/>
    <x v="3"/>
    <n v="117"/>
    <n v="2.09"/>
    <x v="0"/>
    <n v="15.48"/>
    <x v="0"/>
    <x v="0"/>
    <x v="0"/>
    <n v="0"/>
    <x v="0"/>
  </r>
  <r>
    <s v="F"/>
    <x v="28"/>
    <n v="117.7"/>
    <n v="1.62"/>
    <n v="44.8"/>
    <n v="44.848346288675501"/>
    <n v="0"/>
    <x v="1"/>
    <n v="80.8"/>
    <s v="137/82"/>
    <n v="137"/>
    <n v="82"/>
    <n v="202"/>
    <x v="0"/>
    <n v="77"/>
    <n v="75"/>
    <x v="0"/>
    <x v="0"/>
    <x v="0"/>
    <s v="N"/>
    <x v="0"/>
    <n v="162"/>
    <n v="0.499"/>
    <x v="0"/>
    <n v="137"/>
    <n v="82"/>
    <x v="1"/>
    <n v="95"/>
    <n v="1.23"/>
    <x v="0"/>
    <n v="21.85"/>
    <x v="1"/>
    <x v="1"/>
    <x v="1"/>
    <n v="1"/>
    <x v="1"/>
  </r>
  <r>
    <s v="M"/>
    <x v="20"/>
    <n v="100.4"/>
    <n v="1.62"/>
    <n v="38.299999999999997"/>
    <n v="38.256363359244013"/>
    <n v="0"/>
    <x v="1"/>
    <n v="76.3"/>
    <s v="128/91"/>
    <n v="128"/>
    <n v="91"/>
    <n v="254"/>
    <x v="0"/>
    <n v="31"/>
    <n v="130"/>
    <x v="0"/>
    <x v="0"/>
    <x v="0"/>
    <s v="N"/>
    <x v="0"/>
    <n v="162"/>
    <n v="0.47099999999999997"/>
    <x v="0"/>
    <n v="128"/>
    <n v="91"/>
    <x v="3"/>
    <n v="193"/>
    <n v="6.23"/>
    <x v="0"/>
    <n v="21.14"/>
    <x v="1"/>
    <x v="0"/>
    <x v="1"/>
    <n v="1"/>
    <x v="0"/>
  </r>
  <r>
    <s v="F"/>
    <x v="30"/>
    <n v="101"/>
    <n v="1.74"/>
    <n v="33.4"/>
    <n v="33.359756903157617"/>
    <n v="0"/>
    <x v="1"/>
    <n v="80.599999999999994"/>
    <s v="94/79"/>
    <n v="94"/>
    <n v="79"/>
    <n v="172"/>
    <x v="1"/>
    <n v="50"/>
    <n v="128"/>
    <x v="0"/>
    <x v="0"/>
    <x v="2"/>
    <s v="Y"/>
    <x v="0"/>
    <n v="174"/>
    <n v="0.46300000000000002"/>
    <x v="0"/>
    <n v="94"/>
    <n v="79"/>
    <x v="2"/>
    <n v="92"/>
    <n v="1.84"/>
    <x v="0"/>
    <n v="16.82"/>
    <x v="1"/>
    <x v="0"/>
    <x v="1"/>
    <n v="1"/>
    <x v="0"/>
  </r>
  <r>
    <s v="M"/>
    <x v="20"/>
    <n v="67.5"/>
    <n v="1.83"/>
    <n v="20.2"/>
    <n v="20.155872077398545"/>
    <n v="0"/>
    <x v="0"/>
    <n v="91.3"/>
    <s v="149/66"/>
    <n v="149"/>
    <n v="66"/>
    <n v="166"/>
    <x v="1"/>
    <n v="59"/>
    <n v="98"/>
    <x v="0"/>
    <x v="1"/>
    <x v="2"/>
    <s v="N"/>
    <x v="3"/>
    <n v="183"/>
    <n v="0.499"/>
    <x v="0"/>
    <n v="149"/>
    <n v="66"/>
    <x v="3"/>
    <n v="77"/>
    <n v="1.31"/>
    <x v="0"/>
    <n v="14.81"/>
    <x v="2"/>
    <x v="0"/>
    <x v="0"/>
    <n v="0"/>
    <x v="0"/>
  </r>
  <r>
    <s v="F"/>
    <x v="6"/>
    <n v="117.3"/>
    <n v="1.78"/>
    <n v="37"/>
    <n v="37.021840676682238"/>
    <n v="0"/>
    <x v="1"/>
    <n v="84.6"/>
    <s v="135/77"/>
    <n v="135"/>
    <n v="77"/>
    <n v="206"/>
    <x v="0"/>
    <n v="51"/>
    <n v="120"/>
    <x v="0"/>
    <x v="0"/>
    <x v="1"/>
    <s v="N"/>
    <x v="2"/>
    <n v="178"/>
    <n v="0.47499999999999998"/>
    <x v="0"/>
    <n v="135"/>
    <n v="77"/>
    <x v="1"/>
    <n v="125"/>
    <n v="2.4500000000000002"/>
    <x v="0"/>
    <n v="20.27"/>
    <x v="0"/>
    <x v="0"/>
    <x v="0"/>
    <n v="0"/>
    <x v="0"/>
  </r>
  <r>
    <s v="F"/>
    <x v="13"/>
    <n v="94.4"/>
    <n v="1.8"/>
    <n v="29.1"/>
    <n v="29.135802469135804"/>
    <n v="0"/>
    <x v="2"/>
    <n v="90.9"/>
    <s v="100/76"/>
    <n v="100"/>
    <n v="76"/>
    <m/>
    <x v="2"/>
    <m/>
    <n v="89"/>
    <x v="0"/>
    <x v="1"/>
    <x v="0"/>
    <s v="N"/>
    <x v="2"/>
    <n v="180"/>
    <n v="0.505"/>
    <x v="0"/>
    <n v="100"/>
    <n v="76"/>
    <x v="2"/>
    <n v="139"/>
    <s v=""/>
    <x v="0"/>
    <n v="15.54"/>
    <x v="0"/>
    <x v="0"/>
    <x v="0"/>
    <n v="0"/>
    <x v="0"/>
  </r>
  <r>
    <s v="M"/>
    <x v="19"/>
    <n v="104.1"/>
    <n v="1.69"/>
    <n v="36.4"/>
    <n v="36.448303630825251"/>
    <n v="0"/>
    <x v="1"/>
    <n v="74.099999999999994"/>
    <s v="95/84"/>
    <n v="95"/>
    <n v="84"/>
    <n v="143"/>
    <x v="2"/>
    <n v="50"/>
    <n v="73"/>
    <x v="0"/>
    <x v="1"/>
    <x v="1"/>
    <s v="N"/>
    <x v="3"/>
    <n v="169"/>
    <n v="0.438"/>
    <x v="2"/>
    <n v="95"/>
    <n v="84"/>
    <x v="1"/>
    <n v="63"/>
    <n v="1.26"/>
    <x v="0"/>
    <n v="14.89"/>
    <x v="2"/>
    <x v="0"/>
    <x v="0"/>
    <n v="0"/>
    <x v="0"/>
  </r>
  <r>
    <s v="F"/>
    <x v="19"/>
    <n v="113.4"/>
    <n v="1.76"/>
    <n v="36.6"/>
    <n v="36.608987603305785"/>
    <n v="0"/>
    <x v="1"/>
    <n v="101"/>
    <s v="110/83"/>
    <n v="110"/>
    <n v="83"/>
    <n v="101"/>
    <x v="2"/>
    <n v="31"/>
    <n v="98"/>
    <x v="1"/>
    <x v="1"/>
    <x v="1"/>
    <s v="N"/>
    <x v="2"/>
    <n v="176"/>
    <n v="0.57399999999999995"/>
    <x v="1"/>
    <n v="110"/>
    <n v="83"/>
    <x v="1"/>
    <n v="40"/>
    <n v="1.29"/>
    <x v="0"/>
    <n v="14.84"/>
    <x v="0"/>
    <x v="0"/>
    <x v="0"/>
    <n v="0"/>
    <x v="0"/>
  </r>
  <r>
    <s v="M"/>
    <x v="26"/>
    <n v="97.1"/>
    <n v="1.61"/>
    <n v="37.5"/>
    <n v="37.45997453801936"/>
    <n v="0"/>
    <x v="1"/>
    <m/>
    <s v="92/90"/>
    <n v="92"/>
    <n v="90"/>
    <n v="120"/>
    <x v="2"/>
    <n v="45"/>
    <n v="90"/>
    <x v="1"/>
    <x v="1"/>
    <x v="1"/>
    <s v="Y"/>
    <x v="0"/>
    <n v="161"/>
    <n v="0.50900000000000001"/>
    <x v="0"/>
    <n v="92"/>
    <n v="90"/>
    <x v="3"/>
    <m/>
    <n v="0"/>
    <x v="0"/>
    <n v="14.5"/>
    <x v="1"/>
    <x v="0"/>
    <x v="1"/>
    <n v="1"/>
    <x v="0"/>
  </r>
  <r>
    <s v="M"/>
    <x v="31"/>
    <m/>
    <n v="1.7"/>
    <n v="27.8"/>
    <n v="0"/>
    <n v="1"/>
    <x v="2"/>
    <n v="70.400000000000006"/>
    <s v="111/94"/>
    <n v="111"/>
    <n v="94"/>
    <m/>
    <x v="2"/>
    <n v="41"/>
    <n v="110"/>
    <x v="1"/>
    <x v="0"/>
    <x v="1"/>
    <s v="N"/>
    <x v="0"/>
    <n v="170"/>
    <n v="0.41399999999999998"/>
    <x v="2"/>
    <n v="111"/>
    <n v="94"/>
    <x v="3"/>
    <n v="150"/>
    <n v="3.66"/>
    <x v="0"/>
    <n v="17.53"/>
    <x v="1"/>
    <x v="0"/>
    <x v="1"/>
    <n v="1"/>
    <x v="1"/>
  </r>
  <r>
    <s v="F"/>
    <x v="13"/>
    <n v="116.1"/>
    <n v="1.79"/>
    <n v="36.200000000000003"/>
    <n v="36.234824131581412"/>
    <n v="0"/>
    <x v="1"/>
    <n v="78.599999999999994"/>
    <s v="107/66"/>
    <n v="107"/>
    <n v="66"/>
    <n v="167"/>
    <x v="1"/>
    <n v="62"/>
    <n v="140"/>
    <x v="1"/>
    <x v="0"/>
    <x v="1"/>
    <s v="N"/>
    <x v="0"/>
    <n v="179"/>
    <n v="0.439"/>
    <x v="2"/>
    <n v="107"/>
    <n v="66"/>
    <x v="2"/>
    <n v="75"/>
    <n v="1.21"/>
    <x v="0"/>
    <n v="17.93"/>
    <x v="0"/>
    <x v="0"/>
    <x v="0"/>
    <n v="0"/>
    <x v="0"/>
  </r>
  <r>
    <s v="M"/>
    <x v="14"/>
    <n v="75.3"/>
    <n v="1.72"/>
    <n v="25.5"/>
    <n v="25.452947539210385"/>
    <n v="0"/>
    <x v="2"/>
    <n v="95.4"/>
    <s v="98/72"/>
    <n v="98"/>
    <n v="72"/>
    <n v="137"/>
    <x v="2"/>
    <n v="53"/>
    <n v="73"/>
    <x v="1"/>
    <x v="0"/>
    <x v="1"/>
    <s v="N"/>
    <x v="0"/>
    <n v="172"/>
    <n v="0.55500000000000005"/>
    <x v="1"/>
    <n v="98"/>
    <n v="72"/>
    <x v="2"/>
    <n v="54"/>
    <n v="1.02"/>
    <x v="0"/>
    <n v="14.74"/>
    <x v="0"/>
    <x v="0"/>
    <x v="0"/>
    <n v="0"/>
    <x v="0"/>
  </r>
  <r>
    <s v="F"/>
    <x v="19"/>
    <n v="113.5"/>
    <n v="1.74"/>
    <n v="37.5"/>
    <n v="37.488439688201872"/>
    <n v="0"/>
    <x v="1"/>
    <n v="85.8"/>
    <s v="150/96"/>
    <n v="150"/>
    <n v="96"/>
    <n v="290"/>
    <x v="0"/>
    <n v="64"/>
    <n v="118"/>
    <x v="1"/>
    <x v="1"/>
    <x v="2"/>
    <s v="Y"/>
    <x v="0"/>
    <n v="174"/>
    <n v="0.49299999999999999"/>
    <x v="0"/>
    <n v="150"/>
    <n v="96"/>
    <x v="3"/>
    <n v="196"/>
    <n v="3.06"/>
    <x v="0"/>
    <n v="20.8"/>
    <x v="1"/>
    <x v="1"/>
    <x v="1"/>
    <n v="1"/>
    <x v="0"/>
  </r>
  <r>
    <s v="M"/>
    <x v="19"/>
    <n v="75.599999999999994"/>
    <n v="1.73"/>
    <n v="25.3"/>
    <n v="25.259781482842726"/>
    <n v="0"/>
    <x v="2"/>
    <n v="74.5"/>
    <s v="96/69"/>
    <n v="96"/>
    <n v="69"/>
    <n v="182"/>
    <x v="0"/>
    <n v="67"/>
    <n v="148"/>
    <x v="1"/>
    <x v="1"/>
    <x v="1"/>
    <s v="N"/>
    <x v="2"/>
    <n v="173"/>
    <n v="0.43099999999999999"/>
    <x v="2"/>
    <n v="96"/>
    <n v="69"/>
    <x v="2"/>
    <n v="85"/>
    <n v="1.27"/>
    <x v="0"/>
    <n v="13.5"/>
    <x v="0"/>
    <x v="0"/>
    <x v="0"/>
    <n v="0"/>
    <x v="0"/>
  </r>
  <r>
    <s v="F"/>
    <x v="26"/>
    <n v="66.099999999999994"/>
    <n v="1.67"/>
    <n v="23.7"/>
    <n v="23.70110079242712"/>
    <n v="0"/>
    <x v="0"/>
    <n v="85.2"/>
    <s v="130/95"/>
    <n v="130"/>
    <n v="95"/>
    <n v="169"/>
    <x v="1"/>
    <n v="52"/>
    <n v="75"/>
    <x v="0"/>
    <x v="1"/>
    <x v="0"/>
    <s v="N"/>
    <x v="2"/>
    <n v="167"/>
    <n v="0.51"/>
    <x v="0"/>
    <n v="130"/>
    <n v="95"/>
    <x v="1"/>
    <n v="87"/>
    <n v="1.67"/>
    <x v="0"/>
    <n v="14.62"/>
    <x v="0"/>
    <x v="0"/>
    <x v="0"/>
    <n v="0"/>
    <x v="0"/>
  </r>
  <r>
    <s v="M"/>
    <x v="5"/>
    <n v="108.4"/>
    <n v="1.9"/>
    <n v="30"/>
    <n v="30.027700831024934"/>
    <n v="0"/>
    <x v="1"/>
    <n v="84.8"/>
    <s v="140/85"/>
    <n v="140"/>
    <n v="85"/>
    <n v="132"/>
    <x v="2"/>
    <n v="54"/>
    <n v="130"/>
    <x v="0"/>
    <x v="1"/>
    <x v="2"/>
    <s v="Y"/>
    <x v="2"/>
    <n v="190"/>
    <n v="0.44600000000000001"/>
    <x v="2"/>
    <n v="140"/>
    <n v="85"/>
    <x v="1"/>
    <n v="48"/>
    <n v="0.89"/>
    <x v="0"/>
    <n v="15.64"/>
    <x v="0"/>
    <x v="0"/>
    <x v="0"/>
    <n v="0"/>
    <x v="0"/>
  </r>
  <r>
    <s v="F"/>
    <x v="31"/>
    <n v="74.099999999999994"/>
    <n v="1.87"/>
    <n v="21.2"/>
    <n v="21.190197031656606"/>
    <n v="0"/>
    <x v="0"/>
    <n v="105.8"/>
    <s v="138/73"/>
    <n v="138"/>
    <n v="73"/>
    <n v="171"/>
    <x v="1"/>
    <n v="37"/>
    <n v="84"/>
    <x v="1"/>
    <x v="1"/>
    <x v="0"/>
    <s v="N"/>
    <x v="0"/>
    <n v="187"/>
    <n v="0.56599999999999995"/>
    <x v="1"/>
    <n v="138"/>
    <n v="73"/>
    <x v="1"/>
    <n v="104"/>
    <n v="2.81"/>
    <x v="0"/>
    <n v="14.56"/>
    <x v="1"/>
    <x v="0"/>
    <x v="1"/>
    <n v="1"/>
    <x v="0"/>
  </r>
  <r>
    <s v="F"/>
    <x v="28"/>
    <n v="102.6"/>
    <m/>
    <n v="40.1"/>
    <s v=""/>
    <s v=""/>
    <x v="1"/>
    <n v="103.2"/>
    <s v="101/82"/>
    <n v="101"/>
    <n v="82"/>
    <n v="144"/>
    <x v="2"/>
    <n v="63"/>
    <n v="148"/>
    <x v="1"/>
    <x v="0"/>
    <x v="2"/>
    <s v="Y"/>
    <x v="1"/>
    <n v="160"/>
    <n v="0.64500000000000002"/>
    <x v="3"/>
    <n v="101"/>
    <n v="82"/>
    <x v="1"/>
    <n v="51"/>
    <n v="0.81"/>
    <x v="0"/>
    <n v="17.95"/>
    <x v="1"/>
    <x v="1"/>
    <x v="1"/>
    <n v="1"/>
    <x v="1"/>
  </r>
  <r>
    <s v="M"/>
    <x v="31"/>
    <n v="69.5"/>
    <n v="1.71"/>
    <n v="23.8"/>
    <n v="23.767996990527003"/>
    <n v="0"/>
    <x v="0"/>
    <n v="77.400000000000006"/>
    <s v="126/64"/>
    <n v="126"/>
    <n v="64"/>
    <n v="151"/>
    <x v="1"/>
    <n v="74"/>
    <n v="116"/>
    <x v="1"/>
    <x v="0"/>
    <x v="1"/>
    <s v="N"/>
    <x v="0"/>
    <n v="171"/>
    <n v="0.45300000000000001"/>
    <x v="2"/>
    <n v="126"/>
    <n v="64"/>
    <x v="0"/>
    <n v="47"/>
    <n v="0.64"/>
    <x v="0"/>
    <n v="16.079999999999998"/>
    <x v="0"/>
    <x v="0"/>
    <x v="0"/>
    <n v="0"/>
    <x v="0"/>
  </r>
  <r>
    <s v="F"/>
    <x v="16"/>
    <n v="119.5"/>
    <n v="1.82"/>
    <n v="36.1"/>
    <n v="36.076560801835527"/>
    <n v="0"/>
    <x v="1"/>
    <n v="102.5"/>
    <s v="135/82"/>
    <n v="135"/>
    <n v="82"/>
    <n v="256"/>
    <x v="0"/>
    <n v="33"/>
    <n v="125"/>
    <x v="0"/>
    <x v="0"/>
    <x v="2"/>
    <s v="Y"/>
    <x v="0"/>
    <n v="182"/>
    <n v="0.56299999999999994"/>
    <x v="1"/>
    <n v="135"/>
    <n v="82"/>
    <x v="1"/>
    <n v="193"/>
    <n v="5.85"/>
    <x v="0"/>
    <n v="21.09"/>
    <x v="1"/>
    <x v="0"/>
    <x v="1"/>
    <n v="1"/>
    <x v="1"/>
  </r>
  <r>
    <s v="M"/>
    <x v="10"/>
    <n v="108.7"/>
    <n v="1.81"/>
    <n v="33.200000000000003"/>
    <n v="33.179695369494219"/>
    <n v="0"/>
    <x v="1"/>
    <n v="84"/>
    <s v="150/71"/>
    <n v="150"/>
    <n v="71"/>
    <n v="158"/>
    <x v="1"/>
    <n v="33"/>
    <n v="114"/>
    <x v="1"/>
    <x v="0"/>
    <x v="1"/>
    <s v="N"/>
    <x v="0"/>
    <n v="181"/>
    <n v="0.46400000000000002"/>
    <x v="0"/>
    <m/>
    <n v="71"/>
    <x v="3"/>
    <n v="95"/>
    <n v="2.88"/>
    <x v="0"/>
    <n v="19.3"/>
    <x v="1"/>
    <x v="0"/>
    <x v="1"/>
    <n v="1"/>
    <x v="1"/>
  </r>
  <r>
    <s v="M"/>
    <x v="5"/>
    <n v="118.3"/>
    <n v="1.69"/>
    <n v="41.4"/>
    <n v="41.42011834319527"/>
    <n v="0"/>
    <x v="1"/>
    <n v="72.099999999999994"/>
    <s v="116/93"/>
    <n v="116"/>
    <n v="93"/>
    <n v="171"/>
    <x v="1"/>
    <n v="44"/>
    <n v="145"/>
    <x v="0"/>
    <x v="1"/>
    <x v="2"/>
    <s v="N"/>
    <x v="3"/>
    <m/>
    <n v="0.42699999999999999"/>
    <x v="2"/>
    <n v="116"/>
    <n v="93"/>
    <x v="3"/>
    <n v="97"/>
    <n v="2.2000000000000002"/>
    <x v="0"/>
    <n v="17.5"/>
    <x v="2"/>
    <x v="0"/>
    <x v="0"/>
    <n v="0"/>
    <x v="0"/>
  </r>
  <r>
    <s v="F"/>
    <x v="31"/>
    <n v="67.2"/>
    <n v="1.88"/>
    <n v="19"/>
    <n v="19.013128112267996"/>
    <n v="0"/>
    <x v="0"/>
    <n v="71.400000000000006"/>
    <s v="96/90"/>
    <n v="96"/>
    <n v="90"/>
    <n v="128"/>
    <x v="2"/>
    <m/>
    <n v="133"/>
    <x v="0"/>
    <x v="0"/>
    <x v="2"/>
    <s v="N"/>
    <x v="2"/>
    <n v="188"/>
    <n v="0.38"/>
    <x v="2"/>
    <m/>
    <n v="90"/>
    <x v="3"/>
    <n v="55"/>
    <s v=""/>
    <x v="0"/>
    <n v="13.16"/>
    <x v="0"/>
    <x v="0"/>
    <x v="0"/>
    <n v="0"/>
    <x v="1"/>
  </r>
  <r>
    <s v="F"/>
    <x v="7"/>
    <n v="111.4"/>
    <n v="1.76"/>
    <n v="36"/>
    <n v="35.963326446280995"/>
    <n v="0"/>
    <x v="1"/>
    <n v="98.7"/>
    <s v="117/93"/>
    <n v="117"/>
    <n v="93"/>
    <n v="263"/>
    <x v="0"/>
    <n v="45"/>
    <n v="98"/>
    <x v="0"/>
    <x v="0"/>
    <x v="1"/>
    <s v="N"/>
    <x v="2"/>
    <n v="176"/>
    <n v="0.56100000000000005"/>
    <x v="1"/>
    <n v="117"/>
    <n v="93"/>
    <x v="3"/>
    <n v="188"/>
    <n v="4.18"/>
    <x v="0"/>
    <n v="20.309999999999999"/>
    <x v="0"/>
    <x v="0"/>
    <x v="0"/>
    <n v="0"/>
    <x v="0"/>
  </r>
  <r>
    <s v="M"/>
    <x v="23"/>
    <n v="57.5"/>
    <n v="1.69"/>
    <n v="20.100000000000001"/>
    <n v="20.132348307132105"/>
    <n v="0"/>
    <x v="0"/>
    <n v="99.1"/>
    <s v="105/64"/>
    <n v="105"/>
    <n v="64"/>
    <n v="137"/>
    <x v="2"/>
    <n v="57"/>
    <n v="84"/>
    <x v="1"/>
    <x v="0"/>
    <x v="0"/>
    <s v="Y"/>
    <x v="4"/>
    <n v="169"/>
    <n v="0.58599999999999997"/>
    <x v="3"/>
    <n v="105"/>
    <n v="64"/>
    <x v="2"/>
    <n v="50"/>
    <n v="0.88"/>
    <x v="0"/>
    <n v="14.01"/>
    <x v="1"/>
    <x v="0"/>
    <x v="1"/>
    <n v="1"/>
    <x v="0"/>
  </r>
  <r>
    <s v="M"/>
    <x v="23"/>
    <n v="57.6"/>
    <n v="1.81"/>
    <n v="17.600000000000001"/>
    <n v="17.581880894966577"/>
    <n v="0"/>
    <x v="3"/>
    <n v="100"/>
    <s v="97/84"/>
    <n v="97"/>
    <n v="84"/>
    <n v="137"/>
    <x v="2"/>
    <n v="48"/>
    <n v="113"/>
    <x v="1"/>
    <x v="1"/>
    <x v="1"/>
    <s v="N"/>
    <x v="2"/>
    <n v="181"/>
    <n v="0.55200000000000005"/>
    <x v="1"/>
    <n v="97"/>
    <n v="84"/>
    <x v="1"/>
    <n v="59"/>
    <n v="1.23"/>
    <x v="0"/>
    <n v="11.11"/>
    <x v="0"/>
    <x v="0"/>
    <x v="0"/>
    <n v="0"/>
    <x v="0"/>
  </r>
  <r>
    <s v="F"/>
    <x v="31"/>
    <n v="98.8"/>
    <n v="1.69"/>
    <n v="34.6"/>
    <n v="34.592626308602647"/>
    <n v="0"/>
    <x v="1"/>
    <n v="108.6"/>
    <s v="145/96"/>
    <n v="145"/>
    <n v="96"/>
    <n v="258"/>
    <x v="0"/>
    <n v="44"/>
    <n v="83"/>
    <x v="0"/>
    <x v="1"/>
    <x v="0"/>
    <s v="N"/>
    <x v="2"/>
    <n v="169"/>
    <n v="0.64300000000000002"/>
    <x v="3"/>
    <n v="145"/>
    <n v="96"/>
    <x v="3"/>
    <n v="184"/>
    <n v="4.18"/>
    <x v="0"/>
    <n v="19.329999999999998"/>
    <x v="1"/>
    <x v="0"/>
    <x v="1"/>
    <n v="1"/>
    <x v="0"/>
  </r>
  <r>
    <s v="M"/>
    <x v="30"/>
    <n v="50.6"/>
    <n v="1.81"/>
    <n v="15.4"/>
    <n v="15.445193980647721"/>
    <n v="0"/>
    <x v="3"/>
    <m/>
    <s v="127/77"/>
    <n v="127"/>
    <n v="77"/>
    <n v="227"/>
    <x v="0"/>
    <n v="32"/>
    <n v="88"/>
    <x v="1"/>
    <x v="1"/>
    <x v="0"/>
    <s v="N"/>
    <x v="0"/>
    <n v="181"/>
    <n v="0.40200000000000002"/>
    <x v="2"/>
    <m/>
    <n v="77"/>
    <x v="0"/>
    <n v="165"/>
    <n v="5.16"/>
    <x v="0"/>
    <n v="13.97"/>
    <x v="1"/>
    <x v="0"/>
    <x v="1"/>
    <n v="1"/>
    <x v="0"/>
  </r>
  <r>
    <s v="M"/>
    <x v="20"/>
    <n v="110.9"/>
    <n v="1.62"/>
    <n v="42.3"/>
    <n v="42.25727785398567"/>
    <n v="0"/>
    <x v="1"/>
    <n v="109.5"/>
    <s v="98/60"/>
    <n v="98"/>
    <n v="60"/>
    <n v="199"/>
    <x v="0"/>
    <n v="30"/>
    <n v="150"/>
    <x v="1"/>
    <x v="1"/>
    <x v="2"/>
    <s v="Y"/>
    <x v="0"/>
    <n v="162"/>
    <n v="0.67600000000000005"/>
    <x v="3"/>
    <n v="98"/>
    <n v="60"/>
    <x v="2"/>
    <n v="139"/>
    <n v="4.63"/>
    <x v="1"/>
    <n v="17.34"/>
    <x v="1"/>
    <x v="0"/>
    <x v="1"/>
    <n v="1"/>
    <x v="0"/>
  </r>
  <r>
    <s v="M"/>
    <x v="27"/>
    <n v="90.7"/>
    <n v="1.75"/>
    <n v="29.6"/>
    <n v="29.616326530612245"/>
    <n v="0"/>
    <x v="2"/>
    <n v="97.6"/>
    <s v="91/79"/>
    <n v="91"/>
    <n v="79"/>
    <n v="264"/>
    <x v="0"/>
    <n v="36"/>
    <n v="138"/>
    <x v="1"/>
    <x v="0"/>
    <x v="2"/>
    <s v="Y"/>
    <x v="1"/>
    <n v="175"/>
    <n v="0.55800000000000005"/>
    <x v="1"/>
    <n v="91"/>
    <n v="79"/>
    <x v="2"/>
    <n v="198"/>
    <n v="5.5"/>
    <x v="1"/>
    <n v="17.75"/>
    <x v="1"/>
    <x v="0"/>
    <x v="1"/>
    <n v="1"/>
    <x v="0"/>
  </r>
  <r>
    <s v="F"/>
    <x v="26"/>
    <n v="66.7"/>
    <n v="1.67"/>
    <n v="23.9"/>
    <n v="23.916239377532364"/>
    <n v="0"/>
    <x v="0"/>
    <n v="90.1"/>
    <s v="147/82"/>
    <n v="147"/>
    <n v="82"/>
    <n v="116"/>
    <x v="2"/>
    <n v="35"/>
    <n v="104"/>
    <x v="1"/>
    <x v="1"/>
    <x v="1"/>
    <s v="Y"/>
    <x v="0"/>
    <m/>
    <n v="0.54"/>
    <x v="1"/>
    <n v="147"/>
    <n v="82"/>
    <x v="1"/>
    <n v="51"/>
    <n v="1.46"/>
    <x v="0"/>
    <n v="14.45"/>
    <x v="1"/>
    <x v="0"/>
    <x v="1"/>
    <n v="1"/>
    <x v="0"/>
  </r>
  <r>
    <s v="M"/>
    <x v="10"/>
    <n v="95.9"/>
    <n v="1.62"/>
    <n v="36.5"/>
    <n v="36.541685718640444"/>
    <n v="0"/>
    <x v="1"/>
    <n v="81.7"/>
    <s v="117/91"/>
    <n v="117"/>
    <n v="91"/>
    <n v="281"/>
    <x v="0"/>
    <n v="40"/>
    <n v="150"/>
    <x v="0"/>
    <x v="1"/>
    <x v="0"/>
    <s v="Y"/>
    <x v="0"/>
    <n v="162"/>
    <n v="0.504"/>
    <x v="0"/>
    <m/>
    <n v="91"/>
    <x v="3"/>
    <n v="211"/>
    <n v="5.28"/>
    <x v="0"/>
    <n v="18.77"/>
    <x v="1"/>
    <x v="0"/>
    <x v="1"/>
    <n v="1"/>
    <x v="0"/>
  </r>
  <r>
    <s v="M"/>
    <x v="8"/>
    <n v="73.099999999999994"/>
    <n v="1.76"/>
    <n v="23.6"/>
    <n v="23.598915289256198"/>
    <n v="0"/>
    <x v="0"/>
    <n v="87.8"/>
    <s v="119/81"/>
    <n v="119"/>
    <n v="81"/>
    <n v="294"/>
    <x v="0"/>
    <n v="40"/>
    <n v="113"/>
    <x v="0"/>
    <x v="0"/>
    <x v="0"/>
    <s v="N"/>
    <x v="0"/>
    <n v="176"/>
    <n v="0.499"/>
    <x v="0"/>
    <n v="119"/>
    <n v="81"/>
    <x v="1"/>
    <n v="224"/>
    <n v="5.6"/>
    <x v="0"/>
    <n v="18.55"/>
    <x v="1"/>
    <x v="0"/>
    <x v="1"/>
    <n v="1"/>
    <x v="0"/>
  </r>
  <r>
    <s v="F"/>
    <x v="20"/>
    <n v="94.5"/>
    <n v="1.85"/>
    <n v="27.6"/>
    <n v="27.611395178962745"/>
    <n v="0"/>
    <x v="2"/>
    <n v="78.5"/>
    <s v="136/61"/>
    <n v="136"/>
    <n v="61"/>
    <n v="177"/>
    <x v="1"/>
    <n v="38"/>
    <n v="145"/>
    <x v="1"/>
    <x v="0"/>
    <x v="2"/>
    <s v="Y"/>
    <x v="1"/>
    <n v="185"/>
    <n v="0.42399999999999999"/>
    <x v="2"/>
    <n v="136"/>
    <n v="61"/>
    <x v="1"/>
    <n v="109"/>
    <n v="2.87"/>
    <x v="0"/>
    <n v="17.86"/>
    <x v="1"/>
    <x v="0"/>
    <x v="1"/>
    <n v="1"/>
    <x v="0"/>
  </r>
  <r>
    <s v="M"/>
    <x v="8"/>
    <n v="81.400000000000006"/>
    <n v="1.63"/>
    <n v="30.6"/>
    <n v="30.637208777146302"/>
    <n v="0"/>
    <x v="1"/>
    <n v="106.7"/>
    <s v="149/81"/>
    <n v="149"/>
    <n v="81"/>
    <n v="191"/>
    <x v="0"/>
    <n v="41"/>
    <n v="71"/>
    <x v="1"/>
    <x v="0"/>
    <x v="2"/>
    <s v="N"/>
    <x v="0"/>
    <n v="163"/>
    <n v="0.65500000000000003"/>
    <x v="3"/>
    <n v="149"/>
    <m/>
    <x v="1"/>
    <m/>
    <n v="0"/>
    <x v="0"/>
    <n v="19.39"/>
    <x v="1"/>
    <x v="0"/>
    <x v="1"/>
    <n v="1"/>
    <x v="0"/>
  </r>
  <r>
    <s v="M"/>
    <x v="14"/>
    <n v="85.2"/>
    <n v="1.79"/>
    <n v="26.6"/>
    <n v="26.590930370462846"/>
    <n v="0"/>
    <x v="2"/>
    <n v="73.5"/>
    <s v="97/79"/>
    <n v="97"/>
    <n v="79"/>
    <n v="262"/>
    <x v="0"/>
    <n v="39"/>
    <n v="70"/>
    <x v="0"/>
    <x v="0"/>
    <x v="1"/>
    <s v="N"/>
    <x v="2"/>
    <n v="179"/>
    <n v="0.41099999999999998"/>
    <x v="2"/>
    <n v="97"/>
    <n v="79"/>
    <x v="2"/>
    <n v="193"/>
    <n v="4.95"/>
    <x v="1"/>
    <n v="17.41"/>
    <x v="1"/>
    <x v="0"/>
    <x v="1"/>
    <n v="1"/>
    <x v="0"/>
  </r>
  <r>
    <s v="M"/>
    <x v="16"/>
    <n v="118.8"/>
    <n v="1.68"/>
    <n v="42.1"/>
    <n v="42.091836734693885"/>
    <n v="0"/>
    <x v="1"/>
    <n v="88.2"/>
    <s v="140/86"/>
    <n v="140"/>
    <n v="86"/>
    <n v="233"/>
    <x v="0"/>
    <n v="63"/>
    <n v="73"/>
    <x v="1"/>
    <x v="1"/>
    <x v="0"/>
    <s v="Y"/>
    <x v="1"/>
    <n v="168"/>
    <n v="0.52500000000000002"/>
    <x v="1"/>
    <n v="140"/>
    <n v="86"/>
    <x v="1"/>
    <n v="140"/>
    <n v="2.2200000000000002"/>
    <x v="0"/>
    <n v="20.079999999999998"/>
    <x v="1"/>
    <x v="1"/>
    <x v="1"/>
    <n v="1"/>
    <x v="0"/>
  </r>
  <r>
    <s v="M"/>
    <x v="5"/>
    <n v="99.4"/>
    <n v="1.88"/>
    <n v="28.1"/>
    <n v="28.123585332729746"/>
    <n v="0"/>
    <x v="2"/>
    <n v="75.599999999999994"/>
    <s v="121/67"/>
    <n v="121"/>
    <n v="67"/>
    <n v="182"/>
    <x v="0"/>
    <n v="35"/>
    <n v="126"/>
    <x v="0"/>
    <x v="0"/>
    <x v="2"/>
    <s v="N"/>
    <x v="2"/>
    <n v="188"/>
    <n v="0.40200000000000002"/>
    <x v="2"/>
    <n v="121"/>
    <n v="67"/>
    <x v="0"/>
    <n v="117"/>
    <n v="3.34"/>
    <x v="0"/>
    <n v="17.309999999999999"/>
    <x v="0"/>
    <x v="0"/>
    <x v="0"/>
    <n v="0"/>
    <x v="0"/>
  </r>
  <r>
    <s v="F"/>
    <x v="0"/>
    <n v="71.7"/>
    <n v="1.72"/>
    <n v="24.2"/>
    <n v="24.236073553272043"/>
    <n v="0"/>
    <x v="0"/>
    <n v="109.9"/>
    <s v="150/84"/>
    <n v="150"/>
    <n v="84"/>
    <n v="170"/>
    <x v="1"/>
    <n v="38"/>
    <n v="92"/>
    <x v="1"/>
    <x v="1"/>
    <x v="2"/>
    <s v="Y"/>
    <x v="0"/>
    <n v="172"/>
    <n v="0.63900000000000001"/>
    <x v="3"/>
    <n v="150"/>
    <n v="84"/>
    <x v="1"/>
    <n v="102"/>
    <n v="2.68"/>
    <x v="0"/>
    <n v="15.74"/>
    <x v="0"/>
    <x v="0"/>
    <x v="0"/>
    <n v="0"/>
    <x v="0"/>
  </r>
  <r>
    <s v="M"/>
    <x v="18"/>
    <n v="78.5"/>
    <n v="1.77"/>
    <n v="25.1"/>
    <n v="25.056656771681187"/>
    <n v="0"/>
    <x v="2"/>
    <n v="100.6"/>
    <s v="131/79"/>
    <n v="131"/>
    <n v="79"/>
    <n v="162"/>
    <x v="1"/>
    <n v="42"/>
    <n v="126"/>
    <x v="1"/>
    <x v="1"/>
    <x v="0"/>
    <s v="Y"/>
    <x v="1"/>
    <n v="177"/>
    <n v="0.56799999999999995"/>
    <x v="1"/>
    <n v="131"/>
    <m/>
    <x v="1"/>
    <n v="90"/>
    <n v="2.14"/>
    <x v="0"/>
    <n v="14.81"/>
    <x v="1"/>
    <x v="0"/>
    <x v="1"/>
    <n v="1"/>
    <x v="0"/>
  </r>
  <r>
    <s v="F"/>
    <x v="8"/>
    <n v="57.4"/>
    <n v="1.76"/>
    <n v="18.5"/>
    <n v="18.53047520661157"/>
    <n v="0"/>
    <x v="0"/>
    <n v="96.6"/>
    <s v="119/92"/>
    <n v="119"/>
    <n v="92"/>
    <n v="212"/>
    <x v="0"/>
    <n v="58"/>
    <n v="76"/>
    <x v="1"/>
    <x v="1"/>
    <x v="1"/>
    <s v="N"/>
    <x v="2"/>
    <n v="176"/>
    <n v="0.54900000000000004"/>
    <x v="1"/>
    <n v="119"/>
    <n v="92"/>
    <x v="3"/>
    <n v="124"/>
    <n v="2.14"/>
    <x v="0"/>
    <n v="13.89"/>
    <x v="0"/>
    <x v="0"/>
    <x v="0"/>
    <n v="0"/>
    <x v="0"/>
  </r>
  <r>
    <s v="F"/>
    <x v="1"/>
    <n v="73.5"/>
    <n v="1.88"/>
    <n v="20.8"/>
    <n v="20.795608872793121"/>
    <n v="0"/>
    <x v="0"/>
    <n v="82.7"/>
    <s v="144/72"/>
    <n v="144"/>
    <n v="72"/>
    <m/>
    <x v="2"/>
    <n v="36"/>
    <n v="116"/>
    <x v="0"/>
    <x v="0"/>
    <x v="0"/>
    <s v="Y"/>
    <x v="1"/>
    <n v="188"/>
    <n v="0.44"/>
    <x v="2"/>
    <n v="144"/>
    <n v="72"/>
    <x v="3"/>
    <n v="100"/>
    <n v="2.78"/>
    <x v="0"/>
    <n v="16.68"/>
    <x v="1"/>
    <x v="0"/>
    <x v="1"/>
    <n v="1"/>
    <x v="1"/>
  </r>
  <r>
    <s v="M"/>
    <x v="19"/>
    <n v="56.8"/>
    <n v="1.85"/>
    <n v="16.600000000000001"/>
    <n v="16.596055514974431"/>
    <n v="0"/>
    <x v="3"/>
    <n v="86.8"/>
    <s v="144/70"/>
    <n v="144"/>
    <n v="70"/>
    <n v="193"/>
    <x v="0"/>
    <n v="50"/>
    <n v="112"/>
    <x v="1"/>
    <x v="1"/>
    <x v="0"/>
    <s v="N"/>
    <x v="0"/>
    <n v="185"/>
    <n v="0.46899999999999997"/>
    <x v="0"/>
    <n v="144"/>
    <n v="70"/>
    <x v="3"/>
    <n v="113"/>
    <n v="2.2599999999999998"/>
    <x v="0"/>
    <n v="14.38"/>
    <x v="0"/>
    <x v="0"/>
    <x v="0"/>
    <n v="0"/>
    <x v="0"/>
  </r>
  <r>
    <s v="F"/>
    <x v="5"/>
    <n v="72.8"/>
    <n v="1.64"/>
    <n v="27.1"/>
    <n v="27.067221891731116"/>
    <n v="0"/>
    <x v="2"/>
    <n v="96.6"/>
    <s v="137/64"/>
    <n v="137"/>
    <n v="64"/>
    <n v="214"/>
    <x v="0"/>
    <n v="69"/>
    <n v="73"/>
    <x v="0"/>
    <x v="0"/>
    <x v="0"/>
    <s v="N"/>
    <x v="0"/>
    <n v="164"/>
    <n v="0.58899999999999997"/>
    <x v="3"/>
    <n v="137"/>
    <n v="64"/>
    <x v="1"/>
    <n v="115"/>
    <n v="1.67"/>
    <x v="0"/>
    <n v="18.55"/>
    <x v="1"/>
    <x v="1"/>
    <x v="1"/>
    <n v="1"/>
    <x v="0"/>
  </r>
  <r>
    <s v="F"/>
    <x v="18"/>
    <n v="60.2"/>
    <n v="1.76"/>
    <n v="19.399999999999999"/>
    <n v="19.434400826446282"/>
    <n v="0"/>
    <x v="0"/>
    <n v="83.6"/>
    <s v="124/76"/>
    <n v="124"/>
    <n v="76"/>
    <n v="118"/>
    <x v="2"/>
    <n v="36"/>
    <n v="101"/>
    <x v="1"/>
    <x v="1"/>
    <x v="1"/>
    <s v="Y"/>
    <x v="0"/>
    <n v="176"/>
    <n v="0.47499999999999998"/>
    <x v="0"/>
    <n v="124"/>
    <n v="76"/>
    <x v="0"/>
    <n v="52"/>
    <n v="1.44"/>
    <x v="0"/>
    <n v="12.44"/>
    <x v="0"/>
    <x v="0"/>
    <x v="0"/>
    <n v="0"/>
    <x v="0"/>
  </r>
  <r>
    <s v="F"/>
    <x v="8"/>
    <n v="57.5"/>
    <n v="1.76"/>
    <n v="18.600000000000001"/>
    <n v="18.562758264462811"/>
    <n v="0"/>
    <x v="0"/>
    <n v="82.1"/>
    <s v="142/79"/>
    <n v="142"/>
    <n v="79"/>
    <n v="181"/>
    <x v="0"/>
    <n v="72"/>
    <n v="118"/>
    <x v="0"/>
    <x v="0"/>
    <x v="1"/>
    <s v="N"/>
    <x v="2"/>
    <n v="176"/>
    <n v="0.46600000000000003"/>
    <x v="0"/>
    <n v="142"/>
    <n v="79"/>
    <x v="3"/>
    <n v="79"/>
    <n v="1.1000000000000001"/>
    <x v="0"/>
    <n v="16.440000000000001"/>
    <x v="0"/>
    <x v="0"/>
    <x v="0"/>
    <n v="0"/>
    <x v="0"/>
  </r>
  <r>
    <s v="F"/>
    <x v="23"/>
    <n v="67.3"/>
    <n v="1.67"/>
    <n v="24.1"/>
    <n v="24.1313779626376"/>
    <n v="0"/>
    <x v="0"/>
    <n v="93.5"/>
    <s v="102/79"/>
    <n v="102"/>
    <n v="79"/>
    <n v="217"/>
    <x v="0"/>
    <n v="30"/>
    <n v="99"/>
    <x v="0"/>
    <x v="1"/>
    <x v="1"/>
    <s v="Y"/>
    <x v="2"/>
    <n v="167"/>
    <n v="0.56000000000000005"/>
    <x v="1"/>
    <n v="102"/>
    <m/>
    <x v="2"/>
    <n v="157"/>
    <n v="5.23"/>
    <x v="1"/>
    <n v="14.26"/>
    <x v="1"/>
    <x v="0"/>
    <x v="1"/>
    <n v="1"/>
    <x v="0"/>
  </r>
  <r>
    <s v="F"/>
    <x v="16"/>
    <n v="58.4"/>
    <n v="1.78"/>
    <n v="18.399999999999999"/>
    <n v="18.432016159575809"/>
    <n v="0"/>
    <x v="3"/>
    <n v="90.7"/>
    <s v="92/84"/>
    <n v="92"/>
    <n v="84"/>
    <n v="166"/>
    <x v="1"/>
    <n v="40"/>
    <n v="76"/>
    <x v="1"/>
    <x v="1"/>
    <x v="1"/>
    <s v="Y"/>
    <x v="0"/>
    <n v="178"/>
    <m/>
    <x v="4"/>
    <n v="92"/>
    <n v="84"/>
    <x v="1"/>
    <n v="96"/>
    <n v="2.4"/>
    <x v="0"/>
    <n v="11.6"/>
    <x v="0"/>
    <x v="0"/>
    <x v="0"/>
    <n v="0"/>
    <x v="0"/>
  </r>
  <r>
    <s v="M"/>
    <x v="2"/>
    <n v="102.1"/>
    <n v="1.66"/>
    <n v="37.1"/>
    <n v="37.051821744810567"/>
    <n v="0"/>
    <x v="1"/>
    <n v="71.3"/>
    <s v="133/75"/>
    <n v="133"/>
    <n v="75"/>
    <n v="288"/>
    <x v="0"/>
    <m/>
    <n v="149"/>
    <x v="1"/>
    <x v="0"/>
    <x v="1"/>
    <s v="N"/>
    <x v="0"/>
    <m/>
    <n v="0.43"/>
    <x v="2"/>
    <n v="133"/>
    <n v="75"/>
    <x v="1"/>
    <n v="207"/>
    <s v=""/>
    <x v="0"/>
    <n v="21.83"/>
    <x v="1"/>
    <x v="0"/>
    <x v="1"/>
    <n v="1"/>
    <x v="0"/>
  </r>
  <r>
    <s v="F"/>
    <x v="5"/>
    <n v="74.599999999999994"/>
    <n v="1.7"/>
    <n v="25.8"/>
    <n v="25.813148788927336"/>
    <n v="0"/>
    <x v="2"/>
    <n v="84.4"/>
    <s v="125/73"/>
    <n v="125"/>
    <n v="73"/>
    <n v="294"/>
    <x v="0"/>
    <n v="74"/>
    <n v="76"/>
    <x v="1"/>
    <x v="0"/>
    <x v="2"/>
    <s v="Y"/>
    <x v="1"/>
    <n v="170"/>
    <n v="0.496"/>
    <x v="0"/>
    <n v="125"/>
    <n v="73"/>
    <x v="0"/>
    <n v="190"/>
    <n v="2.57"/>
    <x v="0"/>
    <n v="19.29"/>
    <x v="1"/>
    <x v="1"/>
    <x v="1"/>
    <n v="1"/>
    <x v="0"/>
  </r>
  <r>
    <s v="F"/>
    <x v="2"/>
    <n v="77"/>
    <n v="1.65"/>
    <n v="28.3"/>
    <n v="28.282828282828287"/>
    <n v="0"/>
    <x v="2"/>
    <n v="88.8"/>
    <s v="97/74"/>
    <n v="97"/>
    <n v="74"/>
    <n v="101"/>
    <x v="2"/>
    <n v="40"/>
    <n v="138"/>
    <x v="0"/>
    <x v="0"/>
    <x v="1"/>
    <s v="N"/>
    <x v="2"/>
    <n v="165"/>
    <n v="0.53800000000000003"/>
    <x v="1"/>
    <m/>
    <n v="74"/>
    <x v="2"/>
    <n v="31"/>
    <n v="0.78"/>
    <x v="0"/>
    <n v="14.53"/>
    <x v="0"/>
    <x v="0"/>
    <x v="0"/>
    <n v="0"/>
    <x v="0"/>
  </r>
  <r>
    <s v="M"/>
    <x v="7"/>
    <n v="100.4"/>
    <n v="1.68"/>
    <n v="35.6"/>
    <n v="35.572562358276649"/>
    <n v="0"/>
    <x v="1"/>
    <n v="102"/>
    <s v="146/73"/>
    <n v="146"/>
    <n v="73"/>
    <n v="109"/>
    <x v="2"/>
    <n v="55"/>
    <n v="150"/>
    <x v="1"/>
    <x v="0"/>
    <x v="1"/>
    <s v="Y"/>
    <x v="1"/>
    <n v="168"/>
    <n v="0.60699999999999998"/>
    <x v="3"/>
    <n v="146"/>
    <n v="73"/>
    <x v="3"/>
    <n v="24"/>
    <n v="0.44"/>
    <x v="0"/>
    <n v="18.600000000000001"/>
    <x v="1"/>
    <x v="0"/>
    <x v="1"/>
    <n v="1"/>
    <x v="0"/>
  </r>
  <r>
    <s v="M"/>
    <x v="18"/>
    <n v="85.2"/>
    <n v="1.69"/>
    <n v="29.8"/>
    <n v="29.830888274220094"/>
    <n v="0"/>
    <x v="2"/>
    <n v="96.3"/>
    <s v="91/61"/>
    <n v="91"/>
    <n v="61"/>
    <n v="247"/>
    <x v="0"/>
    <m/>
    <n v="129"/>
    <x v="1"/>
    <x v="0"/>
    <x v="1"/>
    <s v="Y"/>
    <x v="1"/>
    <n v="169"/>
    <n v="0.56999999999999995"/>
    <x v="1"/>
    <n v="91"/>
    <m/>
    <x v="2"/>
    <n v="138"/>
    <s v=""/>
    <x v="1"/>
    <m/>
    <x v="1"/>
    <x v="0"/>
    <x v="1"/>
    <n v="1"/>
    <x v="0"/>
  </r>
  <r>
    <s v="F"/>
    <x v="31"/>
    <n v="106"/>
    <n v="1.78"/>
    <n v="33.5"/>
    <n v="33.45537179649034"/>
    <n v="0"/>
    <x v="1"/>
    <n v="82.9"/>
    <s v="119/89"/>
    <n v="119"/>
    <n v="89"/>
    <n v="117"/>
    <x v="2"/>
    <n v="36"/>
    <n v="95"/>
    <x v="1"/>
    <x v="1"/>
    <x v="2"/>
    <s v="N"/>
    <x v="2"/>
    <n v="178"/>
    <n v="0.46600000000000003"/>
    <x v="0"/>
    <n v="119"/>
    <n v="89"/>
    <x v="1"/>
    <n v="51"/>
    <n v="1.42"/>
    <x v="0"/>
    <n v="14.99"/>
    <x v="1"/>
    <x v="0"/>
    <x v="1"/>
    <n v="1"/>
    <x v="0"/>
  </r>
  <r>
    <s v="M"/>
    <x v="25"/>
    <n v="117.9"/>
    <n v="1.66"/>
    <n v="42.8"/>
    <n v="42.785600232254325"/>
    <n v="0"/>
    <x v="1"/>
    <n v="108.6"/>
    <s v="133/65"/>
    <n v="133"/>
    <n v="65"/>
    <n v="120"/>
    <x v="2"/>
    <n v="64"/>
    <n v="132"/>
    <x v="0"/>
    <x v="0"/>
    <x v="2"/>
    <s v="Y"/>
    <x v="0"/>
    <n v="166"/>
    <n v="0.65400000000000003"/>
    <x v="3"/>
    <n v="133"/>
    <n v="65"/>
    <x v="1"/>
    <n v="26"/>
    <n v="0.41"/>
    <x v="0"/>
    <n v="19.61"/>
    <x v="1"/>
    <x v="1"/>
    <x v="1"/>
    <n v="1"/>
    <x v="1"/>
  </r>
  <r>
    <s v="M"/>
    <x v="6"/>
    <n v="79.3"/>
    <n v="1.86"/>
    <n v="22.9"/>
    <n v="22.921725054919641"/>
    <n v="0"/>
    <x v="0"/>
    <n v="73.8"/>
    <s v="118/89"/>
    <n v="118"/>
    <n v="89"/>
    <n v="286"/>
    <x v="0"/>
    <n v="36"/>
    <n v="142"/>
    <x v="1"/>
    <x v="0"/>
    <x v="0"/>
    <s v="N"/>
    <x v="1"/>
    <n v="186"/>
    <n v="0.39700000000000002"/>
    <x v="2"/>
    <n v="118"/>
    <n v="89"/>
    <x v="1"/>
    <m/>
    <n v="0"/>
    <x v="0"/>
    <n v="18.2"/>
    <x v="1"/>
    <x v="0"/>
    <x v="1"/>
    <n v="1"/>
    <x v="0"/>
  </r>
  <r>
    <s v="F"/>
    <x v="26"/>
    <n v="89.4"/>
    <n v="1.67"/>
    <n v="32.1"/>
    <n v="32.055649180680561"/>
    <n v="0"/>
    <x v="1"/>
    <n v="107.2"/>
    <s v="118/89"/>
    <n v="118"/>
    <n v="89"/>
    <n v="206"/>
    <x v="0"/>
    <n v="54"/>
    <n v="140"/>
    <x v="1"/>
    <x v="0"/>
    <x v="0"/>
    <s v="Y"/>
    <x v="4"/>
    <n v="167"/>
    <n v="0.64200000000000002"/>
    <x v="3"/>
    <n v="118"/>
    <n v="89"/>
    <x v="1"/>
    <n v="122"/>
    <n v="2.2599999999999998"/>
    <x v="0"/>
    <n v="18.440000000000001"/>
    <x v="1"/>
    <x v="0"/>
    <x v="1"/>
    <n v="1"/>
    <x v="1"/>
  </r>
  <r>
    <s v="M"/>
    <x v="18"/>
    <n v="105.3"/>
    <n v="1.62"/>
    <n v="40.1"/>
    <n v="40.123456790123448"/>
    <n v="0"/>
    <x v="1"/>
    <n v="88.2"/>
    <s v="121/94"/>
    <n v="121"/>
    <n v="94"/>
    <n v="162"/>
    <x v="1"/>
    <n v="43"/>
    <n v="79"/>
    <x v="1"/>
    <x v="1"/>
    <x v="1"/>
    <s v="N"/>
    <x v="2"/>
    <n v="162"/>
    <n v="0.54400000000000004"/>
    <x v="1"/>
    <n v="121"/>
    <m/>
    <x v="3"/>
    <n v="89"/>
    <n v="2.0699999999999998"/>
    <x v="0"/>
    <n v="17.309999999999999"/>
    <x v="0"/>
    <x v="0"/>
    <x v="0"/>
    <n v="0"/>
    <x v="0"/>
  </r>
  <r>
    <s v="F"/>
    <x v="12"/>
    <m/>
    <n v="1.66"/>
    <n v="19"/>
    <n v="0"/>
    <n v="1"/>
    <x v="0"/>
    <n v="98.1"/>
    <s v="141/69"/>
    <n v="141"/>
    <n v="69"/>
    <n v="149"/>
    <x v="2"/>
    <n v="70"/>
    <n v="137"/>
    <x v="1"/>
    <x v="0"/>
    <x v="2"/>
    <s v="Y"/>
    <x v="1"/>
    <n v="166"/>
    <n v="0.59099999999999997"/>
    <x v="3"/>
    <n v="141"/>
    <n v="69"/>
    <x v="3"/>
    <n v="49"/>
    <n v="0.7"/>
    <x v="0"/>
    <n v="15.83"/>
    <x v="0"/>
    <x v="0"/>
    <x v="0"/>
    <n v="0"/>
    <x v="0"/>
  </r>
  <r>
    <s v="F"/>
    <x v="30"/>
    <n v="113.1"/>
    <n v="1.67"/>
    <n v="40.6"/>
    <n v="40.553623292337477"/>
    <n v="0"/>
    <x v="1"/>
    <n v="89.7"/>
    <s v="102/63"/>
    <n v="102"/>
    <n v="63"/>
    <n v="124"/>
    <x v="2"/>
    <n v="48"/>
    <n v="90"/>
    <x v="0"/>
    <x v="0"/>
    <x v="1"/>
    <s v="Y"/>
    <x v="0"/>
    <m/>
    <n v="0.53700000000000003"/>
    <x v="1"/>
    <n v="102"/>
    <n v="63"/>
    <x v="2"/>
    <n v="46"/>
    <n v="0.96"/>
    <x v="0"/>
    <n v="17.7"/>
    <x v="1"/>
    <x v="0"/>
    <x v="1"/>
    <n v="1"/>
    <x v="0"/>
  </r>
  <r>
    <s v="M"/>
    <x v="15"/>
    <n v="74.8"/>
    <n v="1.88"/>
    <n v="21.2"/>
    <n v="21.16342236306021"/>
    <n v="0"/>
    <x v="0"/>
    <n v="73"/>
    <s v="130/71"/>
    <n v="130"/>
    <n v="71"/>
    <m/>
    <x v="2"/>
    <n v="49"/>
    <n v="107"/>
    <x v="1"/>
    <x v="1"/>
    <x v="1"/>
    <s v="Y"/>
    <x v="0"/>
    <n v="188"/>
    <n v="0.38800000000000001"/>
    <x v="2"/>
    <n v="130"/>
    <n v="71"/>
    <x v="1"/>
    <n v="76"/>
    <n v="1.55"/>
    <x v="0"/>
    <n v="13.84"/>
    <x v="0"/>
    <x v="0"/>
    <x v="0"/>
    <n v="0"/>
    <x v="0"/>
  </r>
  <r>
    <s v="M"/>
    <x v="12"/>
    <n v="73.3"/>
    <n v="1.74"/>
    <n v="24.2"/>
    <n v="24.210595851499537"/>
    <n v="0"/>
    <x v="0"/>
    <n v="95"/>
    <s v="111/84"/>
    <n v="111"/>
    <n v="84"/>
    <n v="158"/>
    <x v="1"/>
    <n v="37"/>
    <n v="81"/>
    <x v="0"/>
    <x v="0"/>
    <x v="1"/>
    <s v="Y"/>
    <x v="0"/>
    <n v="174"/>
    <n v="0.54600000000000004"/>
    <x v="1"/>
    <n v="111"/>
    <n v="84"/>
    <x v="1"/>
    <n v="91"/>
    <n v="2.46"/>
    <x v="0"/>
    <n v="15.55"/>
    <x v="0"/>
    <x v="0"/>
    <x v="0"/>
    <n v="0"/>
    <x v="0"/>
  </r>
  <r>
    <s v="M"/>
    <x v="27"/>
    <n v="57.9"/>
    <n v="1.87"/>
    <n v="16.600000000000001"/>
    <n v="16.557522376962449"/>
    <n v="0"/>
    <x v="3"/>
    <n v="78.3"/>
    <s v="102/60"/>
    <n v="102"/>
    <n v="60"/>
    <n v="215"/>
    <x v="0"/>
    <n v="68"/>
    <n v="90"/>
    <x v="0"/>
    <x v="0"/>
    <x v="2"/>
    <s v="N"/>
    <x v="2"/>
    <n v="187"/>
    <n v="0.41899999999999998"/>
    <x v="2"/>
    <m/>
    <n v="60"/>
    <x v="2"/>
    <n v="117"/>
    <n v="1.72"/>
    <x v="0"/>
    <n v="14.72"/>
    <x v="0"/>
    <x v="0"/>
    <x v="0"/>
    <n v="0"/>
    <x v="0"/>
  </r>
  <r>
    <s v="M"/>
    <x v="24"/>
    <n v="52.7"/>
    <n v="1.85"/>
    <n v="15.4"/>
    <n v="15.398100803506209"/>
    <n v="0"/>
    <x v="3"/>
    <n v="107.7"/>
    <s v="107/61"/>
    <n v="107"/>
    <n v="61"/>
    <n v="105"/>
    <x v="2"/>
    <n v="32"/>
    <n v="70"/>
    <x v="1"/>
    <x v="1"/>
    <x v="1"/>
    <s v="N"/>
    <x v="2"/>
    <n v="185"/>
    <n v="0.58199999999999996"/>
    <x v="1"/>
    <n v="107"/>
    <n v="61"/>
    <x v="2"/>
    <n v="43"/>
    <n v="1.34"/>
    <x v="0"/>
    <n v="10.53"/>
    <x v="0"/>
    <x v="0"/>
    <x v="0"/>
    <n v="0"/>
    <x v="0"/>
  </r>
  <r>
    <s v="M"/>
    <x v="3"/>
    <n v="56.8"/>
    <n v="1.77"/>
    <n v="18.100000000000001"/>
    <n v="18.130166937980782"/>
    <n v="0"/>
    <x v="3"/>
    <n v="90.8"/>
    <s v="133/77"/>
    <n v="133"/>
    <n v="77"/>
    <n v="131"/>
    <x v="2"/>
    <n v="37"/>
    <n v="109"/>
    <x v="1"/>
    <x v="0"/>
    <x v="1"/>
    <s v="N"/>
    <x v="0"/>
    <n v="177"/>
    <n v="0.51300000000000001"/>
    <x v="0"/>
    <n v="133"/>
    <n v="77"/>
    <x v="1"/>
    <n v="64"/>
    <n v="1.73"/>
    <x v="0"/>
    <n v="14.89"/>
    <x v="0"/>
    <x v="0"/>
    <x v="0"/>
    <n v="0"/>
    <x v="0"/>
  </r>
  <r>
    <s v="M"/>
    <x v="29"/>
    <n v="84.4"/>
    <n v="1.9"/>
    <n v="23.4"/>
    <n v="23.379501385041554"/>
    <n v="0"/>
    <x v="0"/>
    <n v="77.099999999999994"/>
    <s v="112/91"/>
    <n v="112"/>
    <n v="91"/>
    <n v="134"/>
    <x v="2"/>
    <n v="31"/>
    <n v="95"/>
    <x v="0"/>
    <x v="1"/>
    <x v="2"/>
    <s v="N"/>
    <x v="3"/>
    <n v="190"/>
    <n v="0.40600000000000003"/>
    <x v="2"/>
    <n v="112"/>
    <n v="91"/>
    <x v="3"/>
    <n v="73"/>
    <n v="2.35"/>
    <x v="0"/>
    <n v="12.96"/>
    <x v="0"/>
    <x v="0"/>
    <x v="0"/>
    <n v="0"/>
    <x v="0"/>
  </r>
  <r>
    <s v="F"/>
    <x v="6"/>
    <n v="103.5"/>
    <n v="1.81"/>
    <n v="31.6"/>
    <n v="31.592442233143068"/>
    <n v="0"/>
    <x v="1"/>
    <n v="84.6"/>
    <s v="122/65"/>
    <n v="122"/>
    <n v="65"/>
    <n v="114"/>
    <x v="2"/>
    <n v="55"/>
    <n v="138"/>
    <x v="0"/>
    <x v="0"/>
    <x v="1"/>
    <s v="N"/>
    <x v="2"/>
    <n v="181"/>
    <n v="0.46700000000000003"/>
    <x v="0"/>
    <m/>
    <n v="65"/>
    <x v="0"/>
    <n v="29"/>
    <n v="0.53"/>
    <x v="0"/>
    <n v="16.7"/>
    <x v="0"/>
    <x v="0"/>
    <x v="0"/>
    <n v="0"/>
    <x v="0"/>
  </r>
  <r>
    <s v="M"/>
    <x v="17"/>
    <n v="87.6"/>
    <n v="1.81"/>
    <n v="26.7"/>
    <n v="26.739110527761667"/>
    <n v="0"/>
    <x v="2"/>
    <n v="91.3"/>
    <s v="90/92"/>
    <n v="90"/>
    <n v="92"/>
    <n v="271"/>
    <x v="0"/>
    <n v="42"/>
    <n v="108"/>
    <x v="1"/>
    <x v="1"/>
    <x v="2"/>
    <s v="Y"/>
    <x v="0"/>
    <m/>
    <n v="0.504"/>
    <x v="0"/>
    <n v="90"/>
    <n v="92"/>
    <x v="3"/>
    <n v="199"/>
    <n v="4.74"/>
    <x v="0"/>
    <n v="15.26"/>
    <x v="1"/>
    <x v="0"/>
    <x v="1"/>
    <n v="1"/>
    <x v="0"/>
  </r>
  <r>
    <s v="M"/>
    <x v="0"/>
    <n v="84.8"/>
    <n v="1.66"/>
    <n v="30.8"/>
    <n v="30.773697198432284"/>
    <n v="0"/>
    <x v="1"/>
    <n v="100.4"/>
    <s v="133/70"/>
    <n v="133"/>
    <n v="70"/>
    <n v="284"/>
    <x v="0"/>
    <n v="76"/>
    <n v="70"/>
    <x v="0"/>
    <x v="0"/>
    <x v="0"/>
    <s v="Y"/>
    <x v="1"/>
    <n v="166"/>
    <n v="0.60499999999999998"/>
    <x v="3"/>
    <n v="133"/>
    <n v="70"/>
    <x v="1"/>
    <n v="178"/>
    <n v="2.34"/>
    <x v="0"/>
    <n v="20.49"/>
    <x v="1"/>
    <x v="1"/>
    <x v="1"/>
    <n v="1"/>
    <x v="0"/>
  </r>
  <r>
    <s v="M"/>
    <x v="2"/>
    <n v="115.4"/>
    <m/>
    <n v="36.799999999999997"/>
    <s v=""/>
    <s v=""/>
    <x v="1"/>
    <n v="91.9"/>
    <s v="142/64"/>
    <n v="142"/>
    <n v="64"/>
    <m/>
    <x v="2"/>
    <n v="39"/>
    <n v="118"/>
    <x v="1"/>
    <x v="0"/>
    <x v="1"/>
    <s v="N"/>
    <x v="0"/>
    <n v="177"/>
    <n v="0.51900000000000002"/>
    <x v="0"/>
    <n v="142"/>
    <n v="64"/>
    <x v="3"/>
    <n v="67"/>
    <n v="1.72"/>
    <x v="0"/>
    <n v="19.18"/>
    <x v="1"/>
    <x v="0"/>
    <x v="1"/>
    <n v="1"/>
    <x v="0"/>
  </r>
  <r>
    <s v="F"/>
    <x v="18"/>
    <n v="70.7"/>
    <n v="1.82"/>
    <n v="21.3"/>
    <n v="21.344040574809807"/>
    <n v="0"/>
    <x v="0"/>
    <n v="109.7"/>
    <s v="117/62"/>
    <n v="117"/>
    <n v="62"/>
    <n v="157"/>
    <x v="1"/>
    <n v="37"/>
    <n v="105"/>
    <x v="0"/>
    <x v="0"/>
    <x v="2"/>
    <s v="N"/>
    <x v="2"/>
    <n v="182"/>
    <n v="0.60299999999999998"/>
    <x v="3"/>
    <n v="117"/>
    <n v="62"/>
    <x v="2"/>
    <n v="90"/>
    <n v="2.4300000000000002"/>
    <x v="0"/>
    <n v="15.25"/>
    <x v="0"/>
    <x v="0"/>
    <x v="0"/>
    <n v="0"/>
    <x v="0"/>
  </r>
  <r>
    <s v="M"/>
    <x v="24"/>
    <n v="79.8"/>
    <n v="1.86"/>
    <n v="23.1"/>
    <n v="23.066250433576133"/>
    <n v="0"/>
    <x v="0"/>
    <n v="82.2"/>
    <s v="141/65"/>
    <n v="141"/>
    <n v="65"/>
    <n v="160"/>
    <x v="1"/>
    <n v="72"/>
    <n v="70"/>
    <x v="0"/>
    <x v="1"/>
    <x v="0"/>
    <s v="Y"/>
    <x v="0"/>
    <n v="186"/>
    <n v="0.442"/>
    <x v="2"/>
    <n v="141"/>
    <n v="65"/>
    <x v="3"/>
    <n v="58"/>
    <n v="0.81"/>
    <x v="0"/>
    <n v="14.87"/>
    <x v="0"/>
    <x v="0"/>
    <x v="0"/>
    <n v="0"/>
    <x v="0"/>
  </r>
  <r>
    <s v="M"/>
    <x v="21"/>
    <n v="95.7"/>
    <n v="1.89"/>
    <n v="26.8"/>
    <n v="26.790963298899808"/>
    <n v="0"/>
    <x v="2"/>
    <n v="96.8"/>
    <s v="113/94"/>
    <n v="113"/>
    <n v="94"/>
    <n v="186"/>
    <x v="0"/>
    <m/>
    <n v="112"/>
    <x v="1"/>
    <x v="0"/>
    <x v="1"/>
    <s v="N"/>
    <x v="0"/>
    <n v="189"/>
    <n v="0.51200000000000001"/>
    <x v="0"/>
    <n v="113"/>
    <n v="94"/>
    <x v="3"/>
    <n v="84"/>
    <s v=""/>
    <x v="0"/>
    <n v="16.73"/>
    <x v="0"/>
    <x v="0"/>
    <x v="0"/>
    <n v="0"/>
    <x v="0"/>
  </r>
  <r>
    <s v="F"/>
    <x v="22"/>
    <n v="71.400000000000006"/>
    <n v="1.79"/>
    <n v="22.3"/>
    <n v="22.28394869073999"/>
    <n v="0"/>
    <x v="0"/>
    <n v="104.4"/>
    <s v="122/80"/>
    <n v="122"/>
    <n v="80"/>
    <m/>
    <x v="2"/>
    <n v="64"/>
    <n v="88"/>
    <x v="1"/>
    <x v="0"/>
    <x v="0"/>
    <s v="N"/>
    <x v="1"/>
    <n v="179"/>
    <n v="0.58299999999999996"/>
    <x v="1"/>
    <n v="122"/>
    <n v="80"/>
    <x v="1"/>
    <n v="67"/>
    <n v="1.05"/>
    <x v="0"/>
    <n v="15.78"/>
    <x v="1"/>
    <x v="1"/>
    <x v="1"/>
    <n v="1"/>
    <x v="0"/>
  </r>
  <r>
    <s v="M"/>
    <x v="14"/>
    <n v="99.6"/>
    <n v="1.81"/>
    <m/>
    <n v="30.402002380879704"/>
    <n v="1"/>
    <x v="3"/>
    <n v="77.8"/>
    <s v="97/64"/>
    <n v="97"/>
    <n v="64"/>
    <n v="152"/>
    <x v="1"/>
    <n v="79"/>
    <n v="124"/>
    <x v="1"/>
    <x v="1"/>
    <x v="2"/>
    <s v="N"/>
    <x v="2"/>
    <n v="181"/>
    <n v="0.43"/>
    <x v="2"/>
    <n v="97"/>
    <n v="64"/>
    <x v="2"/>
    <n v="43"/>
    <n v="0.54"/>
    <x v="0"/>
    <n v="13.97"/>
    <x v="0"/>
    <x v="0"/>
    <x v="0"/>
    <n v="0"/>
    <x v="0"/>
  </r>
  <r>
    <s v="M"/>
    <x v="19"/>
    <n v="56.3"/>
    <n v="1.81"/>
    <n v="17.2"/>
    <n v="17.185067610878789"/>
    <n v="0"/>
    <x v="3"/>
    <n v="73"/>
    <s v="144/74"/>
    <n v="144"/>
    <n v="74"/>
    <n v="170"/>
    <x v="1"/>
    <n v="73"/>
    <n v="84"/>
    <x v="1"/>
    <x v="1"/>
    <x v="2"/>
    <s v="N"/>
    <x v="2"/>
    <n v="181"/>
    <n v="0.40300000000000002"/>
    <x v="2"/>
    <n v="144"/>
    <n v="74"/>
    <x v="3"/>
    <n v="67"/>
    <n v="0.92"/>
    <x v="0"/>
    <n v="14.04"/>
    <x v="2"/>
    <x v="0"/>
    <x v="0"/>
    <n v="0"/>
    <x v="0"/>
  </r>
  <r>
    <s v="M"/>
    <x v="24"/>
    <n v="106"/>
    <n v="1.66"/>
    <n v="38.5"/>
    <n v="38.467121498040356"/>
    <n v="0"/>
    <x v="1"/>
    <n v="92.5"/>
    <s v="130/73"/>
    <n v="130"/>
    <n v="73"/>
    <n v="195"/>
    <x v="0"/>
    <n v="31"/>
    <n v="136"/>
    <x v="1"/>
    <x v="1"/>
    <x v="2"/>
    <s v="N"/>
    <x v="2"/>
    <n v="166"/>
    <n v="0.55700000000000005"/>
    <x v="1"/>
    <n v="130"/>
    <n v="73"/>
    <x v="1"/>
    <n v="134"/>
    <n v="4.32"/>
    <x v="0"/>
    <n v="18.100000000000001"/>
    <x v="0"/>
    <x v="0"/>
    <x v="0"/>
    <n v="0"/>
    <x v="0"/>
  </r>
  <r>
    <s v="M"/>
    <x v="25"/>
    <n v="114.6"/>
    <n v="1.88"/>
    <m/>
    <n v="32.424173834314168"/>
    <n v="1"/>
    <x v="3"/>
    <n v="109.8"/>
    <s v="95/62"/>
    <n v="95"/>
    <n v="62"/>
    <n v="174"/>
    <x v="1"/>
    <n v="52"/>
    <n v="106"/>
    <x v="1"/>
    <x v="1"/>
    <x v="1"/>
    <s v="N"/>
    <x v="2"/>
    <n v="188"/>
    <n v="0.58399999999999996"/>
    <x v="1"/>
    <m/>
    <n v="62"/>
    <x v="2"/>
    <n v="92"/>
    <n v="1.77"/>
    <x v="0"/>
    <n v="14.71"/>
    <x v="0"/>
    <x v="0"/>
    <x v="0"/>
    <n v="0"/>
    <x v="0"/>
  </r>
  <r>
    <s v="M"/>
    <x v="11"/>
    <n v="97"/>
    <n v="1.78"/>
    <n v="30.6"/>
    <n v="30.614821360939274"/>
    <n v="0"/>
    <x v="1"/>
    <n v="76.900000000000006"/>
    <s v="121/83"/>
    <n v="121"/>
    <n v="83"/>
    <n v="170"/>
    <x v="1"/>
    <n v="44"/>
    <n v="105"/>
    <x v="0"/>
    <x v="1"/>
    <x v="2"/>
    <s v="Y"/>
    <x v="2"/>
    <n v="178"/>
    <n v="0.432"/>
    <x v="2"/>
    <n v="121"/>
    <n v="83"/>
    <x v="1"/>
    <n v="96"/>
    <n v="2.1800000000000002"/>
    <x v="0"/>
    <n v="15.57"/>
    <x v="0"/>
    <x v="0"/>
    <x v="0"/>
    <n v="0"/>
    <x v="0"/>
  </r>
  <r>
    <s v="M"/>
    <x v="21"/>
    <m/>
    <n v="1.81"/>
    <n v="18"/>
    <n v="0"/>
    <n v="1"/>
    <x v="3"/>
    <n v="87.8"/>
    <s v="118/84"/>
    <n v="118"/>
    <n v="84"/>
    <n v="159"/>
    <x v="1"/>
    <n v="41"/>
    <n v="150"/>
    <x v="0"/>
    <x v="1"/>
    <x v="2"/>
    <s v="N"/>
    <x v="3"/>
    <n v="181"/>
    <n v="0.48499999999999999"/>
    <x v="0"/>
    <n v="118"/>
    <n v="84"/>
    <x v="1"/>
    <n v="88"/>
    <n v="2.15"/>
    <x v="0"/>
    <n v="12.68"/>
    <x v="2"/>
    <x v="0"/>
    <x v="0"/>
    <n v="0"/>
    <x v="0"/>
  </r>
  <r>
    <s v="F"/>
    <x v="23"/>
    <n v="52.7"/>
    <n v="1.69"/>
    <n v="18.5"/>
    <n v="18.451734883232383"/>
    <n v="0"/>
    <x v="0"/>
    <n v="102.3"/>
    <s v="143/89"/>
    <n v="143"/>
    <n v="89"/>
    <n v="140"/>
    <x v="2"/>
    <n v="31"/>
    <n v="127"/>
    <x v="1"/>
    <x v="1"/>
    <x v="0"/>
    <s v="N"/>
    <x v="0"/>
    <n v="169"/>
    <n v="0.60499999999999998"/>
    <x v="3"/>
    <n v="143"/>
    <m/>
    <x v="1"/>
    <n v="79"/>
    <n v="2.5499999999999998"/>
    <x v="0"/>
    <n v="13.65"/>
    <x v="1"/>
    <x v="0"/>
    <x v="1"/>
    <n v="1"/>
    <x v="0"/>
  </r>
  <r>
    <s v="M"/>
    <x v="18"/>
    <n v="58.3"/>
    <n v="1.64"/>
    <m/>
    <n v="21.676085663295659"/>
    <n v="1"/>
    <x v="3"/>
    <n v="93.5"/>
    <s v="139/76"/>
    <n v="139"/>
    <n v="76"/>
    <n v="113"/>
    <x v="2"/>
    <n v="53"/>
    <n v="146"/>
    <x v="1"/>
    <x v="1"/>
    <x v="2"/>
    <s v="N"/>
    <x v="2"/>
    <n v="164"/>
    <n v="0.56999999999999995"/>
    <x v="1"/>
    <n v="139"/>
    <n v="76"/>
    <x v="1"/>
    <n v="30"/>
    <n v="0.56999999999999995"/>
    <x v="0"/>
    <n v="13.55"/>
    <x v="2"/>
    <x v="0"/>
    <x v="0"/>
    <n v="0"/>
    <x v="0"/>
  </r>
  <r>
    <s v="M"/>
    <x v="2"/>
    <n v="104.3"/>
    <n v="1.6"/>
    <n v="40.700000000000003"/>
    <n v="40.742187499999993"/>
    <n v="0"/>
    <x v="1"/>
    <n v="108.2"/>
    <s v="97/89"/>
    <n v="97"/>
    <n v="89"/>
    <n v="192"/>
    <x v="0"/>
    <n v="30"/>
    <n v="132"/>
    <x v="0"/>
    <x v="1"/>
    <x v="1"/>
    <s v="N"/>
    <x v="3"/>
    <n v="160"/>
    <n v="0.67600000000000005"/>
    <x v="3"/>
    <n v="97"/>
    <n v="89"/>
    <x v="1"/>
    <n v="132"/>
    <n v="4.4000000000000004"/>
    <x v="0"/>
    <n v="16.829999999999998"/>
    <x v="0"/>
    <x v="0"/>
    <x v="0"/>
    <n v="0"/>
    <x v="0"/>
  </r>
  <r>
    <s v="M"/>
    <x v="23"/>
    <n v="117.1"/>
    <m/>
    <n v="36.5"/>
    <s v=""/>
    <s v=""/>
    <x v="1"/>
    <n v="103.2"/>
    <s v="118/61"/>
    <n v="118"/>
    <n v="61"/>
    <n v="106"/>
    <x v="2"/>
    <n v="37"/>
    <n v="130"/>
    <x v="0"/>
    <x v="1"/>
    <x v="2"/>
    <s v="Y"/>
    <x v="2"/>
    <n v="179"/>
    <n v="0.57699999999999996"/>
    <x v="1"/>
    <n v="118"/>
    <n v="61"/>
    <x v="2"/>
    <n v="39"/>
    <n v="1.05"/>
    <x v="0"/>
    <n v="15.32"/>
    <x v="1"/>
    <x v="0"/>
    <x v="1"/>
    <n v="1"/>
    <x v="0"/>
  </r>
  <r>
    <s v="F"/>
    <x v="23"/>
    <n v="83.2"/>
    <n v="1.66"/>
    <n v="30.2"/>
    <n v="30.19306140223545"/>
    <n v="0"/>
    <x v="1"/>
    <m/>
    <s v="91/64"/>
    <n v="91"/>
    <n v="64"/>
    <n v="148"/>
    <x v="2"/>
    <n v="69"/>
    <n v="138"/>
    <x v="1"/>
    <x v="0"/>
    <x v="0"/>
    <s v="N"/>
    <x v="1"/>
    <n v="166"/>
    <n v="0.48099999999999998"/>
    <x v="0"/>
    <n v="91"/>
    <n v="64"/>
    <x v="2"/>
    <n v="49"/>
    <n v="0.71"/>
    <x v="0"/>
    <n v="15.55"/>
    <x v="1"/>
    <x v="1"/>
    <x v="1"/>
    <n v="1"/>
    <x v="0"/>
  </r>
  <r>
    <s v="F"/>
    <x v="2"/>
    <n v="69.400000000000006"/>
    <n v="1.86"/>
    <n v="20.100000000000001"/>
    <n v="20.060122557521101"/>
    <n v="0"/>
    <x v="0"/>
    <n v="76.099999999999994"/>
    <s v="98/94"/>
    <n v="98"/>
    <n v="94"/>
    <n v="185"/>
    <x v="0"/>
    <n v="40"/>
    <n v="119"/>
    <x v="0"/>
    <x v="0"/>
    <x v="2"/>
    <s v="N"/>
    <x v="2"/>
    <n v="186"/>
    <n v="0.40899999999999997"/>
    <x v="2"/>
    <n v="98"/>
    <m/>
    <x v="3"/>
    <n v="115"/>
    <n v="2.88"/>
    <x v="0"/>
    <n v="14.62"/>
    <x v="0"/>
    <x v="0"/>
    <x v="0"/>
    <n v="0"/>
    <x v="0"/>
  </r>
  <r>
    <s v="M"/>
    <x v="19"/>
    <n v="77.599999999999994"/>
    <n v="1.85"/>
    <n v="22.7"/>
    <n v="22.673484295105911"/>
    <n v="0"/>
    <x v="0"/>
    <n v="101.1"/>
    <s v="114/92"/>
    <n v="114"/>
    <n v="92"/>
    <n v="147"/>
    <x v="2"/>
    <n v="59"/>
    <n v="122"/>
    <x v="0"/>
    <x v="0"/>
    <x v="2"/>
    <s v="Y"/>
    <x v="0"/>
    <n v="185"/>
    <n v="0.54600000000000004"/>
    <x v="1"/>
    <n v="114"/>
    <n v="92"/>
    <x v="3"/>
    <n v="58"/>
    <n v="0.98"/>
    <x v="0"/>
    <n v="15.18"/>
    <x v="0"/>
    <x v="0"/>
    <x v="0"/>
    <n v="0"/>
    <x v="0"/>
  </r>
  <r>
    <s v="M"/>
    <x v="7"/>
    <m/>
    <n v="1.72"/>
    <m/>
    <n v="0"/>
    <n v="0"/>
    <x v="3"/>
    <n v="107.2"/>
    <s v="110/81"/>
    <n v="110"/>
    <n v="81"/>
    <n v="237"/>
    <x v="0"/>
    <n v="46"/>
    <n v="144"/>
    <x v="1"/>
    <x v="1"/>
    <x v="2"/>
    <s v="N"/>
    <x v="2"/>
    <n v="172"/>
    <n v="0.623"/>
    <x v="3"/>
    <n v="110"/>
    <n v="81"/>
    <x v="1"/>
    <n v="161"/>
    <n v="3.5"/>
    <x v="0"/>
    <n v="15.48"/>
    <x v="0"/>
    <x v="0"/>
    <x v="0"/>
    <n v="0"/>
    <x v="0"/>
  </r>
  <r>
    <s v="M"/>
    <x v="21"/>
    <n v="99.5"/>
    <n v="1.7"/>
    <n v="34.4"/>
    <n v="34.429065743944641"/>
    <n v="0"/>
    <x v="1"/>
    <n v="93.1"/>
    <s v="98/87"/>
    <n v="98"/>
    <n v="87"/>
    <n v="150"/>
    <x v="1"/>
    <n v="30"/>
    <n v="76"/>
    <x v="1"/>
    <x v="1"/>
    <x v="1"/>
    <s v="Y"/>
    <x v="0"/>
    <n v="170"/>
    <n v="0.54800000000000004"/>
    <x v="1"/>
    <m/>
    <n v="87"/>
    <x v="1"/>
    <n v="90"/>
    <n v="3"/>
    <x v="0"/>
    <n v="14.78"/>
    <x v="1"/>
    <x v="0"/>
    <x v="1"/>
    <n v="1"/>
    <x v="0"/>
  </r>
  <r>
    <s v="F"/>
    <x v="4"/>
    <n v="69"/>
    <n v="1.87"/>
    <n v="19.7"/>
    <n v="19.731762418141781"/>
    <n v="0"/>
    <x v="0"/>
    <n v="77.5"/>
    <s v="107/88"/>
    <n v="107"/>
    <n v="88"/>
    <n v="184"/>
    <x v="0"/>
    <n v="45"/>
    <n v="75"/>
    <x v="0"/>
    <x v="0"/>
    <x v="0"/>
    <s v="Y"/>
    <x v="1"/>
    <m/>
    <n v="0.41399999999999998"/>
    <x v="2"/>
    <n v="107"/>
    <n v="88"/>
    <x v="1"/>
    <n v="109"/>
    <n v="2.42"/>
    <x v="0"/>
    <n v="14.97"/>
    <x v="1"/>
    <x v="0"/>
    <x v="1"/>
    <n v="1"/>
    <x v="1"/>
  </r>
  <r>
    <s v="M"/>
    <x v="11"/>
    <m/>
    <n v="1.9"/>
    <n v="24.3"/>
    <n v="0"/>
    <n v="1"/>
    <x v="0"/>
    <m/>
    <s v="90/72"/>
    <n v="90"/>
    <n v="72"/>
    <n v="216"/>
    <x v="0"/>
    <n v="61"/>
    <n v="146"/>
    <x v="0"/>
    <x v="1"/>
    <x v="1"/>
    <s v="N"/>
    <x v="3"/>
    <n v="190"/>
    <n v="0.38"/>
    <x v="2"/>
    <n v="90"/>
    <n v="72"/>
    <x v="2"/>
    <n v="125"/>
    <n v="2.0499999999999998"/>
    <x v="0"/>
    <n v="13.68"/>
    <x v="2"/>
    <x v="0"/>
    <x v="0"/>
    <n v="0"/>
    <x v="0"/>
  </r>
  <r>
    <s v="M"/>
    <x v="22"/>
    <n v="53.9"/>
    <n v="1.61"/>
    <n v="20.8"/>
    <n v="20.793950850661624"/>
    <n v="0"/>
    <x v="0"/>
    <n v="99.5"/>
    <s v="150/96"/>
    <n v="150"/>
    <n v="96"/>
    <n v="205"/>
    <x v="0"/>
    <n v="63"/>
    <n v="75"/>
    <x v="0"/>
    <x v="1"/>
    <x v="2"/>
    <s v="N"/>
    <x v="3"/>
    <n v="161"/>
    <n v="0.61799999999999999"/>
    <x v="3"/>
    <m/>
    <n v="96"/>
    <x v="3"/>
    <n v="112"/>
    <n v="1.78"/>
    <x v="0"/>
    <n v="15.76"/>
    <x v="0"/>
    <x v="0"/>
    <x v="0"/>
    <n v="0"/>
    <x v="0"/>
  </r>
  <r>
    <s v="F"/>
    <x v="14"/>
    <n v="51.1"/>
    <n v="1.73"/>
    <n v="17.100000000000001"/>
    <n v="17.07374118747703"/>
    <n v="0"/>
    <x v="3"/>
    <n v="106.2"/>
    <s v="149/68"/>
    <n v="149"/>
    <n v="68"/>
    <n v="215"/>
    <x v="0"/>
    <n v="65"/>
    <n v="79"/>
    <x v="1"/>
    <x v="1"/>
    <x v="0"/>
    <s v="N"/>
    <x v="0"/>
    <n v="173"/>
    <n v="0.61399999999999999"/>
    <x v="3"/>
    <n v="149"/>
    <n v="68"/>
    <x v="3"/>
    <n v="120"/>
    <n v="1.85"/>
    <x v="0"/>
    <n v="15.17"/>
    <x v="0"/>
    <x v="0"/>
    <x v="0"/>
    <n v="0"/>
    <x v="0"/>
  </r>
  <r>
    <s v="M"/>
    <x v="24"/>
    <m/>
    <n v="1.62"/>
    <n v="28.3"/>
    <n v="0"/>
    <n v="1"/>
    <x v="2"/>
    <n v="91.6"/>
    <s v="90/80"/>
    <n v="90"/>
    <n v="80"/>
    <n v="195"/>
    <x v="0"/>
    <n v="43"/>
    <n v="90"/>
    <x v="1"/>
    <x v="0"/>
    <x v="1"/>
    <s v="Y"/>
    <x v="1"/>
    <n v="162"/>
    <n v="0.56499999999999995"/>
    <x v="1"/>
    <n v="90"/>
    <n v="80"/>
    <x v="1"/>
    <n v="122"/>
    <n v="2.84"/>
    <x v="0"/>
    <n v="16.059999999999999"/>
    <x v="1"/>
    <x v="0"/>
    <x v="1"/>
    <n v="1"/>
    <x v="0"/>
  </r>
  <r>
    <s v="F"/>
    <x v="25"/>
    <n v="70.8"/>
    <n v="1.66"/>
    <n v="25.7"/>
    <n v="25.693133981709973"/>
    <n v="0"/>
    <x v="2"/>
    <n v="85.8"/>
    <s v="135/61"/>
    <n v="135"/>
    <n v="61"/>
    <n v="248"/>
    <x v="0"/>
    <n v="67"/>
    <n v="102"/>
    <x v="1"/>
    <x v="1"/>
    <x v="2"/>
    <s v="N"/>
    <x v="2"/>
    <n v="166"/>
    <n v="0.51700000000000002"/>
    <x v="0"/>
    <n v="135"/>
    <n v="61"/>
    <x v="1"/>
    <n v="151"/>
    <n v="2.25"/>
    <x v="0"/>
    <n v="16.850000000000001"/>
    <x v="1"/>
    <x v="1"/>
    <x v="1"/>
    <n v="1"/>
    <x v="0"/>
  </r>
  <r>
    <s v="M"/>
    <x v="8"/>
    <n v="71.900000000000006"/>
    <n v="1.74"/>
    <n v="23.7"/>
    <n v="23.748183379574581"/>
    <n v="0"/>
    <x v="0"/>
    <n v="90.9"/>
    <s v="127/71"/>
    <n v="127"/>
    <n v="71"/>
    <n v="116"/>
    <x v="2"/>
    <n v="44"/>
    <n v="131"/>
    <x v="1"/>
    <x v="0"/>
    <x v="0"/>
    <s v="Y"/>
    <x v="4"/>
    <n v="174"/>
    <n v="0.52200000000000002"/>
    <x v="0"/>
    <n v="127"/>
    <n v="71"/>
    <x v="0"/>
    <n v="42"/>
    <n v="0.95"/>
    <x v="0"/>
    <n v="15.41"/>
    <x v="1"/>
    <x v="0"/>
    <x v="1"/>
    <n v="1"/>
    <x v="0"/>
  </r>
  <r>
    <s v="F"/>
    <x v="6"/>
    <n v="54.5"/>
    <n v="1.65"/>
    <n v="20"/>
    <n v="20.018365472910929"/>
    <n v="0"/>
    <x v="0"/>
    <n v="83.1"/>
    <s v="97/75"/>
    <n v="97"/>
    <n v="75"/>
    <n v="113"/>
    <x v="2"/>
    <n v="33"/>
    <n v="76"/>
    <x v="1"/>
    <x v="1"/>
    <x v="2"/>
    <s v="Y"/>
    <x v="0"/>
    <n v="165"/>
    <n v="0.504"/>
    <x v="0"/>
    <n v="97"/>
    <n v="75"/>
    <x v="2"/>
    <n v="50"/>
    <n v="1.52"/>
    <x v="0"/>
    <n v="11.11"/>
    <x v="0"/>
    <x v="0"/>
    <x v="0"/>
    <n v="0"/>
    <x v="0"/>
  </r>
  <r>
    <s v="F"/>
    <x v="11"/>
    <n v="102"/>
    <n v="1.63"/>
    <n v="38.4"/>
    <n v="38.390605592984308"/>
    <n v="0"/>
    <x v="1"/>
    <n v="97.1"/>
    <s v="111/86"/>
    <n v="111"/>
    <n v="86"/>
    <n v="215"/>
    <x v="0"/>
    <n v="38"/>
    <n v="98"/>
    <x v="0"/>
    <x v="0"/>
    <x v="0"/>
    <s v="N"/>
    <x v="0"/>
    <n v="163"/>
    <n v="0.59599999999999997"/>
    <x v="3"/>
    <n v="111"/>
    <n v="86"/>
    <x v="1"/>
    <n v="147"/>
    <n v="3.87"/>
    <x v="0"/>
    <n v="19.53"/>
    <x v="1"/>
    <x v="0"/>
    <x v="1"/>
    <n v="1"/>
    <x v="0"/>
  </r>
  <r>
    <s v="M"/>
    <x v="30"/>
    <n v="114.2"/>
    <n v="1.77"/>
    <n v="36.5"/>
    <n v="36.451849723897986"/>
    <n v="0"/>
    <x v="1"/>
    <n v="78.400000000000006"/>
    <s v="140/70"/>
    <n v="140"/>
    <n v="70"/>
    <n v="277"/>
    <x v="0"/>
    <n v="33"/>
    <n v="109"/>
    <x v="0"/>
    <x v="0"/>
    <x v="1"/>
    <s v="N"/>
    <x v="2"/>
    <n v="177"/>
    <n v="0.443"/>
    <x v="2"/>
    <n v="140"/>
    <n v="70"/>
    <x v="3"/>
    <m/>
    <n v="0"/>
    <x v="0"/>
    <n v="21.84"/>
    <x v="1"/>
    <x v="0"/>
    <x v="1"/>
    <n v="1"/>
    <x v="0"/>
  </r>
  <r>
    <s v="F"/>
    <x v="27"/>
    <n v="94.6"/>
    <n v="1.89"/>
    <n v="26.5"/>
    <n v="26.483021192015901"/>
    <n v="0"/>
    <x v="2"/>
    <n v="96.7"/>
    <s v="96/73"/>
    <n v="96"/>
    <n v="73"/>
    <m/>
    <x v="2"/>
    <n v="45"/>
    <m/>
    <x v="0"/>
    <x v="0"/>
    <x v="0"/>
    <s v="Y"/>
    <x v="1"/>
    <n v="189"/>
    <n v="0.51200000000000001"/>
    <x v="0"/>
    <n v="96"/>
    <n v="73"/>
    <x v="2"/>
    <n v="144"/>
    <n v="3.2"/>
    <x v="1"/>
    <n v="16.48"/>
    <x v="1"/>
    <x v="0"/>
    <x v="1"/>
    <n v="1"/>
    <x v="0"/>
  </r>
  <r>
    <s v="M"/>
    <x v="0"/>
    <n v="104"/>
    <n v="1.69"/>
    <n v="36.4"/>
    <n v="36.413290851160681"/>
    <n v="0"/>
    <x v="1"/>
    <n v="105.5"/>
    <s v="143/67"/>
    <n v="143"/>
    <n v="67"/>
    <n v="148"/>
    <x v="2"/>
    <n v="60"/>
    <n v="107"/>
    <x v="1"/>
    <x v="0"/>
    <x v="0"/>
    <s v="N"/>
    <x v="1"/>
    <n v="169"/>
    <n v="0.624"/>
    <x v="3"/>
    <n v="143"/>
    <n v="67"/>
    <x v="3"/>
    <n v="58"/>
    <n v="0.97"/>
    <x v="0"/>
    <n v="19.39"/>
    <x v="1"/>
    <x v="1"/>
    <x v="1"/>
    <n v="1"/>
    <x v="0"/>
  </r>
  <r>
    <s v="M"/>
    <x v="31"/>
    <n v="52.9"/>
    <n v="1.7"/>
    <n v="18.3"/>
    <n v="18.304498269896197"/>
    <n v="0"/>
    <x v="3"/>
    <m/>
    <s v="139/66"/>
    <n v="139"/>
    <n v="66"/>
    <n v="170"/>
    <x v="1"/>
    <n v="41"/>
    <n v="118"/>
    <x v="1"/>
    <x v="1"/>
    <x v="1"/>
    <s v="Y"/>
    <x v="0"/>
    <n v="170"/>
    <n v="0.433"/>
    <x v="2"/>
    <n v="139"/>
    <n v="66"/>
    <x v="1"/>
    <n v="99"/>
    <n v="2.41"/>
    <x v="0"/>
    <n v="14.01"/>
    <x v="0"/>
    <x v="0"/>
    <x v="0"/>
    <n v="0"/>
    <x v="0"/>
  </r>
  <r>
    <s v="M"/>
    <x v="18"/>
    <n v="82.9"/>
    <n v="1.75"/>
    <n v="27.1"/>
    <n v="27.069387755102042"/>
    <n v="0"/>
    <x v="2"/>
    <n v="77.3"/>
    <s v="148/91"/>
    <n v="148"/>
    <n v="91"/>
    <n v="157"/>
    <x v="1"/>
    <m/>
    <n v="141"/>
    <x v="1"/>
    <x v="0"/>
    <x v="1"/>
    <s v="Y"/>
    <x v="1"/>
    <n v="175"/>
    <m/>
    <x v="4"/>
    <n v="148"/>
    <n v="91"/>
    <x v="3"/>
    <n v="73"/>
    <s v=""/>
    <x v="0"/>
    <n v="17.96"/>
    <x v="1"/>
    <x v="0"/>
    <x v="1"/>
    <n v="1"/>
    <x v="0"/>
  </r>
  <r>
    <s v="F"/>
    <x v="24"/>
    <n v="98.2"/>
    <n v="1.74"/>
    <n v="32.4"/>
    <n v="32.434931959307704"/>
    <n v="0"/>
    <x v="1"/>
    <n v="106"/>
    <s v="103/98"/>
    <n v="103"/>
    <n v="98"/>
    <m/>
    <x v="2"/>
    <n v="52"/>
    <n v="113"/>
    <x v="1"/>
    <x v="0"/>
    <x v="2"/>
    <s v="N"/>
    <x v="0"/>
    <n v="174"/>
    <m/>
    <x v="4"/>
    <n v="103"/>
    <n v="98"/>
    <x v="3"/>
    <n v="35"/>
    <n v="0.67"/>
    <x v="0"/>
    <n v="15.97"/>
    <x v="0"/>
    <x v="0"/>
    <x v="0"/>
    <n v="0"/>
    <x v="0"/>
  </r>
  <r>
    <s v="F"/>
    <x v="13"/>
    <n v="93.1"/>
    <m/>
    <n v="27.5"/>
    <s v=""/>
    <s v=""/>
    <x v="2"/>
    <n v="101.2"/>
    <s v="124/70"/>
    <n v="124"/>
    <n v="70"/>
    <n v="165"/>
    <x v="1"/>
    <n v="31"/>
    <n v="140"/>
    <x v="1"/>
    <x v="1"/>
    <x v="2"/>
    <s v="Y"/>
    <x v="0"/>
    <n v="184"/>
    <n v="0.55000000000000004"/>
    <x v="1"/>
    <n v="124"/>
    <n v="70"/>
    <x v="0"/>
    <n v="104"/>
    <n v="3.35"/>
    <x v="0"/>
    <n v="15"/>
    <x v="1"/>
    <x v="0"/>
    <x v="1"/>
    <n v="1"/>
    <x v="0"/>
  </r>
  <r>
    <s v="M"/>
    <x v="7"/>
    <n v="97"/>
    <n v="1.66"/>
    <n v="35.200000000000003"/>
    <n v="35.201045144433159"/>
    <n v="0"/>
    <x v="1"/>
    <n v="86.9"/>
    <s v="128/81"/>
    <n v="128"/>
    <n v="81"/>
    <n v="221"/>
    <x v="0"/>
    <n v="41"/>
    <n v="83"/>
    <x v="0"/>
    <x v="0"/>
    <x v="2"/>
    <s v="Y"/>
    <x v="0"/>
    <n v="166"/>
    <n v="0.52300000000000002"/>
    <x v="1"/>
    <n v="128"/>
    <n v="81"/>
    <x v="1"/>
    <n v="150"/>
    <n v="3.66"/>
    <x v="0"/>
    <n v="19.86"/>
    <x v="1"/>
    <x v="0"/>
    <x v="1"/>
    <n v="1"/>
    <x v="0"/>
  </r>
  <r>
    <s v="M"/>
    <x v="25"/>
    <n v="116.2"/>
    <n v="1.67"/>
    <n v="41.7"/>
    <n v="41.665172648714552"/>
    <n v="0"/>
    <x v="1"/>
    <n v="97.6"/>
    <s v="149/66"/>
    <n v="149"/>
    <n v="66"/>
    <n v="173"/>
    <x v="1"/>
    <n v="40"/>
    <n v="133"/>
    <x v="0"/>
    <x v="0"/>
    <x v="1"/>
    <s v="N"/>
    <x v="2"/>
    <n v="167"/>
    <n v="0.58399999999999996"/>
    <x v="1"/>
    <n v="149"/>
    <n v="66"/>
    <x v="3"/>
    <n v="103"/>
    <n v="2.58"/>
    <x v="0"/>
    <n v="21.25"/>
    <x v="0"/>
    <x v="0"/>
    <x v="0"/>
    <n v="0"/>
    <x v="1"/>
  </r>
  <r>
    <s v="F"/>
    <x v="14"/>
    <n v="113.3"/>
    <n v="1.78"/>
    <n v="35.799999999999997"/>
    <n v="35.759373816437318"/>
    <n v="0"/>
    <x v="1"/>
    <n v="79.599999999999994"/>
    <s v="92/89"/>
    <n v="92"/>
    <n v="89"/>
    <n v="158"/>
    <x v="1"/>
    <n v="34"/>
    <n v="111"/>
    <x v="1"/>
    <x v="1"/>
    <x v="2"/>
    <s v="Y"/>
    <x v="0"/>
    <n v="178"/>
    <n v="0.44700000000000001"/>
    <x v="2"/>
    <n v="92"/>
    <n v="89"/>
    <x v="1"/>
    <n v="94"/>
    <n v="2.76"/>
    <x v="0"/>
    <n v="14.92"/>
    <x v="1"/>
    <x v="0"/>
    <x v="1"/>
    <n v="1"/>
    <x v="0"/>
  </r>
  <r>
    <s v="M"/>
    <x v="27"/>
    <n v="83"/>
    <n v="1.85"/>
    <n v="24.3"/>
    <n v="24.251278305332356"/>
    <n v="0"/>
    <x v="0"/>
    <n v="91.7"/>
    <s v="141/78"/>
    <n v="141"/>
    <n v="78"/>
    <n v="279"/>
    <x v="0"/>
    <n v="59"/>
    <n v="116"/>
    <x v="1"/>
    <x v="0"/>
    <x v="0"/>
    <s v="N"/>
    <x v="1"/>
    <m/>
    <n v="0.496"/>
    <x v="0"/>
    <n v="141"/>
    <n v="78"/>
    <x v="3"/>
    <n v="190"/>
    <n v="3.22"/>
    <x v="0"/>
    <n v="19.489999999999998"/>
    <x v="1"/>
    <x v="0"/>
    <x v="1"/>
    <n v="1"/>
    <x v="0"/>
  </r>
  <r>
    <s v="M"/>
    <x v="22"/>
    <n v="78.7"/>
    <n v="1.64"/>
    <m/>
    <n v="29.260856632956578"/>
    <n v="1"/>
    <x v="3"/>
    <n v="105.5"/>
    <s v="137/76"/>
    <n v="137"/>
    <n v="76"/>
    <n v="196"/>
    <x v="0"/>
    <n v="37"/>
    <n v="102"/>
    <x v="0"/>
    <x v="1"/>
    <x v="1"/>
    <s v="Y"/>
    <x v="2"/>
    <n v="164"/>
    <n v="0.64300000000000002"/>
    <x v="3"/>
    <n v="137"/>
    <n v="76"/>
    <x v="1"/>
    <n v="129"/>
    <n v="3.49"/>
    <x v="0"/>
    <n v="16.63"/>
    <x v="1"/>
    <x v="0"/>
    <x v="1"/>
    <n v="1"/>
    <x v="0"/>
  </r>
  <r>
    <s v="M"/>
    <x v="28"/>
    <n v="108.6"/>
    <n v="1.86"/>
    <n v="31.4"/>
    <n v="31.390912244190073"/>
    <n v="0"/>
    <x v="1"/>
    <n v="93.9"/>
    <s v="133/63"/>
    <n v="133"/>
    <n v="63"/>
    <n v="109"/>
    <x v="2"/>
    <n v="42"/>
    <n v="79"/>
    <x v="0"/>
    <x v="0"/>
    <x v="2"/>
    <s v="N"/>
    <x v="2"/>
    <n v="186"/>
    <n v="0.505"/>
    <x v="0"/>
    <n v="133"/>
    <n v="63"/>
    <x v="1"/>
    <m/>
    <n v="0"/>
    <x v="0"/>
    <n v="17.11"/>
    <x v="0"/>
    <x v="0"/>
    <x v="0"/>
    <n v="0"/>
    <x v="1"/>
  </r>
  <r>
    <s v="F"/>
    <x v="24"/>
    <n v="61"/>
    <n v="1.73"/>
    <n v="20.399999999999999"/>
    <n v="20.381569714992146"/>
    <n v="0"/>
    <x v="0"/>
    <n v="79.7"/>
    <s v="131/95"/>
    <n v="131"/>
    <n v="95"/>
    <n v="299"/>
    <x v="0"/>
    <n v="79"/>
    <n v="130"/>
    <x v="1"/>
    <x v="1"/>
    <x v="2"/>
    <s v="Y"/>
    <x v="0"/>
    <n v="173"/>
    <n v="0.46100000000000002"/>
    <x v="0"/>
    <n v="131"/>
    <n v="95"/>
    <x v="1"/>
    <n v="190"/>
    <n v="2.41"/>
    <x v="0"/>
    <n v="16.61"/>
    <x v="0"/>
    <x v="0"/>
    <x v="0"/>
    <n v="0"/>
    <x v="0"/>
  </r>
  <r>
    <s v="F"/>
    <x v="19"/>
    <n v="98.9"/>
    <m/>
    <n v="30.2"/>
    <s v=""/>
    <s v=""/>
    <x v="1"/>
    <n v="77.900000000000006"/>
    <s v="129/86"/>
    <n v="129"/>
    <n v="86"/>
    <n v="174"/>
    <x v="1"/>
    <n v="37"/>
    <n v="149"/>
    <x v="0"/>
    <x v="1"/>
    <x v="0"/>
    <s v="Y"/>
    <x v="0"/>
    <n v="181"/>
    <m/>
    <x v="4"/>
    <n v="129"/>
    <n v="86"/>
    <x v="1"/>
    <n v="107"/>
    <n v="2.89"/>
    <x v="0"/>
    <n v="15.97"/>
    <x v="1"/>
    <x v="0"/>
    <x v="1"/>
    <n v="1"/>
    <x v="0"/>
  </r>
  <r>
    <s v="F"/>
    <x v="0"/>
    <n v="55.1"/>
    <n v="1.77"/>
    <n v="17.600000000000001"/>
    <n v="17.587538702160938"/>
    <n v="0"/>
    <x v="3"/>
    <n v="109.7"/>
    <s v="119/61"/>
    <n v="119"/>
    <n v="61"/>
    <n v="204"/>
    <x v="0"/>
    <n v="68"/>
    <n v="137"/>
    <x v="0"/>
    <x v="1"/>
    <x v="1"/>
    <s v="N"/>
    <x v="3"/>
    <n v="177"/>
    <m/>
    <x v="4"/>
    <n v="119"/>
    <n v="61"/>
    <x v="2"/>
    <n v="106"/>
    <n v="1.56"/>
    <x v="0"/>
    <n v="13.55"/>
    <x v="2"/>
    <x v="0"/>
    <x v="0"/>
    <n v="0"/>
    <x v="0"/>
  </r>
  <r>
    <s v="M"/>
    <x v="21"/>
    <n v="52.5"/>
    <n v="1.64"/>
    <n v="19.5"/>
    <n v="19.519631171921478"/>
    <n v="0"/>
    <x v="0"/>
    <n v="102.4"/>
    <s v="143/67"/>
    <n v="143"/>
    <n v="67"/>
    <n v="118"/>
    <x v="2"/>
    <n v="30"/>
    <n v="102"/>
    <x v="1"/>
    <x v="0"/>
    <x v="1"/>
    <s v="Y"/>
    <x v="1"/>
    <n v="164"/>
    <n v="0.624"/>
    <x v="3"/>
    <n v="143"/>
    <n v="67"/>
    <x v="3"/>
    <n v="58"/>
    <n v="1.93"/>
    <x v="0"/>
    <n v="15.41"/>
    <x v="1"/>
    <x v="0"/>
    <x v="1"/>
    <n v="1"/>
    <x v="0"/>
  </r>
  <r>
    <s v="M"/>
    <x v="7"/>
    <n v="105.6"/>
    <n v="1.8"/>
    <n v="32.6"/>
    <n v="32.592592592592588"/>
    <n v="0"/>
    <x v="1"/>
    <n v="71.7"/>
    <s v="127/84"/>
    <n v="127"/>
    <n v="84"/>
    <n v="252"/>
    <x v="0"/>
    <n v="48"/>
    <n v="134"/>
    <x v="1"/>
    <x v="0"/>
    <x v="2"/>
    <s v="Y"/>
    <x v="1"/>
    <n v="180"/>
    <n v="0.39800000000000002"/>
    <x v="2"/>
    <n v="127"/>
    <n v="84"/>
    <x v="1"/>
    <n v="174"/>
    <n v="3.63"/>
    <x v="0"/>
    <n v="19.91"/>
    <x v="1"/>
    <x v="0"/>
    <x v="1"/>
    <n v="1"/>
    <x v="0"/>
  </r>
  <r>
    <s v="F"/>
    <x v="9"/>
    <n v="93.6"/>
    <n v="1.71"/>
    <m/>
    <n v="32.00984918436442"/>
    <n v="1"/>
    <x v="3"/>
    <n v="102.7"/>
    <s v="139/86"/>
    <n v="139"/>
    <n v="86"/>
    <n v="137"/>
    <x v="2"/>
    <n v="49"/>
    <n v="134"/>
    <x v="1"/>
    <x v="0"/>
    <x v="0"/>
    <s v="N"/>
    <x v="1"/>
    <n v="171"/>
    <n v="0.60099999999999998"/>
    <x v="3"/>
    <n v="139"/>
    <m/>
    <x v="1"/>
    <n v="58"/>
    <n v="1.18"/>
    <x v="0"/>
    <n v="18.09"/>
    <x v="1"/>
    <x v="0"/>
    <x v="1"/>
    <n v="1"/>
    <x v="0"/>
  </r>
  <r>
    <s v="M"/>
    <x v="11"/>
    <n v="96.7"/>
    <n v="1.64"/>
    <n v="36"/>
    <n v="35.953301606186798"/>
    <n v="0"/>
    <x v="1"/>
    <n v="74.5"/>
    <s v="126/71"/>
    <n v="126"/>
    <n v="71"/>
    <n v="238"/>
    <x v="0"/>
    <n v="58"/>
    <n v="125"/>
    <x v="1"/>
    <x v="0"/>
    <x v="1"/>
    <s v="Y"/>
    <x v="1"/>
    <n v="164"/>
    <n v="0.45400000000000001"/>
    <x v="2"/>
    <n v="126"/>
    <n v="71"/>
    <x v="0"/>
    <n v="150"/>
    <n v="2.59"/>
    <x v="0"/>
    <n v="20.260000000000002"/>
    <x v="1"/>
    <x v="0"/>
    <x v="1"/>
    <n v="1"/>
    <x v="0"/>
  </r>
  <r>
    <s v="M"/>
    <x v="6"/>
    <n v="112.3"/>
    <n v="1.71"/>
    <n v="38.4"/>
    <n v="38.404979309873127"/>
    <n v="0"/>
    <x v="1"/>
    <n v="70.3"/>
    <s v="140/69"/>
    <n v="140"/>
    <n v="69"/>
    <m/>
    <x v="2"/>
    <n v="34"/>
    <m/>
    <x v="0"/>
    <x v="1"/>
    <x v="0"/>
    <s v="Y"/>
    <x v="0"/>
    <n v="171"/>
    <n v="0.41099999999999998"/>
    <x v="2"/>
    <n v="140"/>
    <n v="69"/>
    <x v="3"/>
    <n v="174"/>
    <n v="5.12"/>
    <x v="0"/>
    <n v="19.440000000000001"/>
    <x v="1"/>
    <x v="0"/>
    <x v="1"/>
    <n v="1"/>
    <x v="0"/>
  </r>
  <r>
    <s v="F"/>
    <x v="2"/>
    <n v="94.5"/>
    <n v="1.88"/>
    <n v="26.7"/>
    <n v="26.73721140787687"/>
    <n v="0"/>
    <x v="2"/>
    <n v="102.6"/>
    <s v="127/91"/>
    <n v="127"/>
    <n v="91"/>
    <n v="211"/>
    <x v="0"/>
    <n v="79"/>
    <n v="131"/>
    <x v="1"/>
    <x v="0"/>
    <x v="1"/>
    <s v="Y"/>
    <x v="1"/>
    <n v="188"/>
    <n v="0.54600000000000004"/>
    <x v="1"/>
    <n v="127"/>
    <n v="91"/>
    <x v="3"/>
    <n v="102"/>
    <n v="1.29"/>
    <x v="0"/>
    <n v="17.91"/>
    <x v="1"/>
    <x v="1"/>
    <x v="1"/>
    <n v="1"/>
    <x v="0"/>
  </r>
  <r>
    <s v="M"/>
    <x v="4"/>
    <n v="110.5"/>
    <n v="1.64"/>
    <n v="41.1"/>
    <n v="41.084176085663302"/>
    <n v="0"/>
    <x v="1"/>
    <n v="88.3"/>
    <s v="103/73"/>
    <n v="103"/>
    <n v="73"/>
    <n v="119"/>
    <x v="2"/>
    <n v="35"/>
    <n v="141"/>
    <x v="1"/>
    <x v="0"/>
    <x v="2"/>
    <s v="Y"/>
    <x v="1"/>
    <n v="164"/>
    <n v="0.53800000000000003"/>
    <x v="1"/>
    <n v="103"/>
    <n v="73"/>
    <x v="2"/>
    <n v="54"/>
    <n v="1.54"/>
    <x v="0"/>
    <n v="17.75"/>
    <x v="1"/>
    <x v="0"/>
    <x v="1"/>
    <n v="1"/>
    <x v="0"/>
  </r>
  <r>
    <s v="F"/>
    <x v="21"/>
    <n v="77.099999999999994"/>
    <n v="1.74"/>
    <n v="25.5"/>
    <n v="25.465715418152989"/>
    <n v="0"/>
    <x v="2"/>
    <n v="107.6"/>
    <s v="126/86"/>
    <n v="126"/>
    <n v="86"/>
    <n v="186"/>
    <x v="0"/>
    <n v="66"/>
    <n v="143"/>
    <x v="1"/>
    <x v="1"/>
    <x v="2"/>
    <s v="N"/>
    <x v="2"/>
    <n v="174"/>
    <n v="0.61799999999999999"/>
    <x v="3"/>
    <n v="126"/>
    <n v="86"/>
    <x v="1"/>
    <n v="90"/>
    <n v="1.36"/>
    <x v="0"/>
    <n v="15.12"/>
    <x v="0"/>
    <x v="0"/>
    <x v="0"/>
    <n v="0"/>
    <x v="0"/>
  </r>
  <r>
    <s v="F"/>
    <x v="18"/>
    <n v="113.3"/>
    <n v="1.81"/>
    <n v="34.6"/>
    <n v="34.583803913189463"/>
    <n v="0"/>
    <x v="1"/>
    <m/>
    <s v="150/61"/>
    <n v="150"/>
    <n v="61"/>
    <n v="160"/>
    <x v="1"/>
    <n v="31"/>
    <n v="111"/>
    <x v="0"/>
    <x v="0"/>
    <x v="2"/>
    <s v="Y"/>
    <x v="0"/>
    <n v="181"/>
    <m/>
    <x v="4"/>
    <n v="150"/>
    <n v="61"/>
    <x v="3"/>
    <n v="99"/>
    <n v="3.19"/>
    <x v="0"/>
    <n v="19.62"/>
    <x v="1"/>
    <x v="0"/>
    <x v="1"/>
    <n v="1"/>
    <x v="0"/>
  </r>
  <r>
    <s v="M"/>
    <x v="22"/>
    <n v="88.6"/>
    <n v="1.64"/>
    <n v="32.9"/>
    <n v="32.941701368233197"/>
    <n v="0"/>
    <x v="1"/>
    <n v="109.5"/>
    <s v="94/64"/>
    <n v="94"/>
    <n v="64"/>
    <n v="276"/>
    <x v="0"/>
    <n v="78"/>
    <n v="112"/>
    <x v="0"/>
    <x v="1"/>
    <x v="1"/>
    <s v="Y"/>
    <x v="2"/>
    <n v="164"/>
    <n v="0.66800000000000004"/>
    <x v="3"/>
    <n v="94"/>
    <n v="64"/>
    <x v="2"/>
    <n v="168"/>
    <n v="2.15"/>
    <x v="1"/>
    <n v="16.8"/>
    <x v="1"/>
    <x v="1"/>
    <x v="1"/>
    <n v="1"/>
    <x v="0"/>
  </r>
  <r>
    <s v="M"/>
    <x v="19"/>
    <n v="91.4"/>
    <n v="1.82"/>
    <n v="27.6"/>
    <n v="27.593285835044078"/>
    <n v="0"/>
    <x v="2"/>
    <m/>
    <s v="110/92"/>
    <n v="110"/>
    <n v="92"/>
    <n v="146"/>
    <x v="2"/>
    <n v="80"/>
    <n v="112"/>
    <x v="1"/>
    <x v="1"/>
    <x v="1"/>
    <s v="Y"/>
    <x v="0"/>
    <n v="182"/>
    <n v="0.55400000000000005"/>
    <x v="1"/>
    <n v="110"/>
    <n v="92"/>
    <x v="3"/>
    <n v="36"/>
    <n v="0.45"/>
    <x v="0"/>
    <m/>
    <x v="0"/>
    <x v="0"/>
    <x v="0"/>
    <n v="0"/>
    <x v="0"/>
  </r>
  <r>
    <s v="F"/>
    <x v="7"/>
    <n v="72.900000000000006"/>
    <n v="1.77"/>
    <n v="23.3"/>
    <n v="23.269175524274633"/>
    <n v="0"/>
    <x v="0"/>
    <n v="70.599999999999994"/>
    <s v="98/66"/>
    <n v="98"/>
    <n v="66"/>
    <n v="124"/>
    <x v="2"/>
    <n v="61"/>
    <n v="84"/>
    <x v="1"/>
    <x v="1"/>
    <x v="1"/>
    <s v="Y"/>
    <x v="0"/>
    <n v="177"/>
    <n v="0.39900000000000002"/>
    <x v="2"/>
    <n v="98"/>
    <n v="66"/>
    <x v="2"/>
    <n v="33"/>
    <n v="0.54"/>
    <x v="0"/>
    <n v="12.04"/>
    <x v="0"/>
    <x v="0"/>
    <x v="0"/>
    <n v="0"/>
    <x v="0"/>
  </r>
  <r>
    <s v="M"/>
    <x v="2"/>
    <n v="91.9"/>
    <n v="1.75"/>
    <n v="30"/>
    <n v="30.008163265306123"/>
    <n v="0"/>
    <x v="1"/>
    <n v="78.2"/>
    <s v="125/65"/>
    <n v="125"/>
    <n v="65"/>
    <n v="185"/>
    <x v="0"/>
    <n v="52"/>
    <n v="148"/>
    <x v="1"/>
    <x v="0"/>
    <x v="0"/>
    <s v="N"/>
    <x v="1"/>
    <n v="175"/>
    <n v="0.44700000000000001"/>
    <x v="2"/>
    <n v="125"/>
    <n v="65"/>
    <x v="0"/>
    <n v="103"/>
    <n v="1.98"/>
    <x v="0"/>
    <n v="17.95"/>
    <x v="1"/>
    <x v="0"/>
    <x v="1"/>
    <n v="1"/>
    <x v="0"/>
  </r>
  <r>
    <s v="F"/>
    <x v="8"/>
    <n v="102.2"/>
    <n v="1.75"/>
    <n v="33.4"/>
    <n v="33.371428571428574"/>
    <n v="0"/>
    <x v="1"/>
    <n v="106.7"/>
    <s v="121/68"/>
    <n v="121"/>
    <n v="68"/>
    <n v="207"/>
    <x v="0"/>
    <n v="49"/>
    <n v="147"/>
    <x v="1"/>
    <x v="0"/>
    <x v="0"/>
    <s v="Y"/>
    <x v="4"/>
    <n v="175"/>
    <n v="0.61"/>
    <x v="3"/>
    <n v="121"/>
    <n v="68"/>
    <x v="0"/>
    <n v="128"/>
    <n v="2.61"/>
    <x v="0"/>
    <n v="18.87"/>
    <x v="1"/>
    <x v="0"/>
    <x v="1"/>
    <n v="1"/>
    <x v="0"/>
  </r>
  <r>
    <s v="M"/>
    <x v="12"/>
    <n v="54.3"/>
    <n v="1.73"/>
    <n v="18.100000000000001"/>
    <n v="18.142938287279893"/>
    <n v="0"/>
    <x v="3"/>
    <n v="98.6"/>
    <s v="133/86"/>
    <n v="133"/>
    <n v="86"/>
    <n v="220"/>
    <x v="0"/>
    <m/>
    <n v="86"/>
    <x v="0"/>
    <x v="1"/>
    <x v="2"/>
    <s v="Y"/>
    <x v="2"/>
    <n v="173"/>
    <n v="0.56999999999999995"/>
    <x v="1"/>
    <n v="133"/>
    <n v="86"/>
    <x v="1"/>
    <n v="121"/>
    <s v=""/>
    <x v="0"/>
    <n v="14.67"/>
    <x v="0"/>
    <x v="0"/>
    <x v="0"/>
    <n v="0"/>
    <x v="0"/>
  </r>
  <r>
    <s v="M"/>
    <x v="12"/>
    <n v="100.7"/>
    <n v="1.75"/>
    <n v="32.9"/>
    <n v="32.881632653061224"/>
    <n v="0"/>
    <x v="1"/>
    <n v="101.1"/>
    <s v="101/98"/>
    <n v="101"/>
    <n v="98"/>
    <n v="192"/>
    <x v="0"/>
    <n v="59"/>
    <n v="72"/>
    <x v="0"/>
    <x v="1"/>
    <x v="0"/>
    <s v="N"/>
    <x v="2"/>
    <n v="175"/>
    <n v="0.57799999999999996"/>
    <x v="1"/>
    <n v="101"/>
    <n v="98"/>
    <x v="3"/>
    <n v="103"/>
    <n v="1.75"/>
    <x v="0"/>
    <n v="15.47"/>
    <x v="0"/>
    <x v="0"/>
    <x v="0"/>
    <n v="0"/>
    <x v="0"/>
  </r>
  <r>
    <s v="F"/>
    <x v="31"/>
    <n v="101.8"/>
    <n v="1.61"/>
    <n v="39.299999999999997"/>
    <n v="39.273176189190224"/>
    <n v="0"/>
    <x v="1"/>
    <n v="98.5"/>
    <s v="121/100"/>
    <n v="121"/>
    <n v="100"/>
    <n v="161"/>
    <x v="1"/>
    <m/>
    <n v="108"/>
    <x v="0"/>
    <x v="1"/>
    <x v="0"/>
    <s v="Y"/>
    <x v="0"/>
    <n v="161"/>
    <n v="0.61199999999999999"/>
    <x v="3"/>
    <n v="121"/>
    <n v="100"/>
    <x v="3"/>
    <n v="58"/>
    <s v=""/>
    <x v="0"/>
    <n v="17.13"/>
    <x v="1"/>
    <x v="0"/>
    <x v="1"/>
    <n v="1"/>
    <x v="0"/>
  </r>
  <r>
    <s v="F"/>
    <x v="0"/>
    <n v="112.3"/>
    <n v="1.76"/>
    <n v="36.299999999999997"/>
    <n v="36.253873966942152"/>
    <n v="0"/>
    <x v="1"/>
    <n v="102"/>
    <s v="148/96"/>
    <n v="148"/>
    <n v="96"/>
    <n v="149"/>
    <x v="2"/>
    <n v="59"/>
    <n v="103"/>
    <x v="0"/>
    <x v="0"/>
    <x v="2"/>
    <s v="Y"/>
    <x v="0"/>
    <n v="176"/>
    <n v="0.57999999999999996"/>
    <x v="1"/>
    <n v="148"/>
    <n v="96"/>
    <x v="3"/>
    <n v="60"/>
    <n v="1.02"/>
    <x v="0"/>
    <n v="19.64"/>
    <x v="0"/>
    <x v="0"/>
    <x v="0"/>
    <n v="0"/>
    <x v="0"/>
  </r>
  <r>
    <s v="F"/>
    <x v="11"/>
    <n v="110"/>
    <n v="1.69"/>
    <n v="38.5"/>
    <n v="38.514057631035335"/>
    <n v="0"/>
    <x v="1"/>
    <n v="85.6"/>
    <s v="100/62"/>
    <n v="100"/>
    <n v="62"/>
    <n v="101"/>
    <x v="2"/>
    <n v="40"/>
    <n v="105"/>
    <x v="1"/>
    <x v="0"/>
    <x v="0"/>
    <s v="Y"/>
    <x v="4"/>
    <n v="169"/>
    <n v="0.50700000000000001"/>
    <x v="0"/>
    <n v="100"/>
    <n v="62"/>
    <x v="2"/>
    <n v="31"/>
    <n v="0.78"/>
    <x v="0"/>
    <n v="16.72"/>
    <x v="1"/>
    <x v="0"/>
    <x v="1"/>
    <n v="1"/>
    <x v="0"/>
  </r>
  <r>
    <s v="M"/>
    <x v="7"/>
    <n v="60.6"/>
    <n v="1.68"/>
    <n v="21.5"/>
    <n v="21.471088435374153"/>
    <n v="0"/>
    <x v="0"/>
    <n v="105.2"/>
    <s v="103/82"/>
    <n v="103"/>
    <n v="82"/>
    <m/>
    <x v="2"/>
    <n v="75"/>
    <n v="107"/>
    <x v="1"/>
    <x v="0"/>
    <x v="1"/>
    <s v="Y"/>
    <x v="1"/>
    <n v="168"/>
    <n v="0.626"/>
    <x v="3"/>
    <n v="103"/>
    <n v="82"/>
    <x v="1"/>
    <n v="48"/>
    <n v="0.64"/>
    <x v="0"/>
    <n v="14.51"/>
    <x v="0"/>
    <x v="0"/>
    <x v="0"/>
    <n v="0"/>
    <x v="0"/>
  </r>
  <r>
    <s v="F"/>
    <x v="10"/>
    <n v="100.8"/>
    <n v="1.84"/>
    <n v="29.8"/>
    <n v="29.77315689981096"/>
    <n v="0"/>
    <x v="2"/>
    <n v="88.4"/>
    <s v="110/78"/>
    <n v="110"/>
    <n v="78"/>
    <n v="102"/>
    <x v="2"/>
    <n v="33"/>
    <n v="128"/>
    <x v="1"/>
    <x v="0"/>
    <x v="1"/>
    <s v="N"/>
    <x v="0"/>
    <m/>
    <n v="0.48"/>
    <x v="0"/>
    <n v="110"/>
    <n v="78"/>
    <x v="2"/>
    <n v="39"/>
    <n v="1.18"/>
    <x v="0"/>
    <n v="15.5"/>
    <x v="1"/>
    <x v="0"/>
    <x v="1"/>
    <n v="1"/>
    <x v="0"/>
  </r>
  <r>
    <s v="M"/>
    <x v="7"/>
    <n v="103.8"/>
    <n v="1.65"/>
    <n v="38.1"/>
    <n v="38.126721763085399"/>
    <n v="0"/>
    <x v="1"/>
    <n v="101.7"/>
    <s v="94/73"/>
    <n v="94"/>
    <n v="73"/>
    <n v="177"/>
    <x v="1"/>
    <m/>
    <n v="131"/>
    <x v="1"/>
    <x v="1"/>
    <x v="1"/>
    <s v="Y"/>
    <x v="0"/>
    <n v="165"/>
    <n v="0.61599999999999999"/>
    <x v="3"/>
    <n v="94"/>
    <n v="73"/>
    <x v="2"/>
    <n v="89"/>
    <s v=""/>
    <x v="0"/>
    <n v="15.86"/>
    <x v="0"/>
    <x v="0"/>
    <x v="0"/>
    <n v="0"/>
    <x v="0"/>
  </r>
  <r>
    <s v="M"/>
    <x v="10"/>
    <n v="78.400000000000006"/>
    <n v="1.84"/>
    <n v="23.2"/>
    <n v="23.156899810964084"/>
    <n v="0"/>
    <x v="0"/>
    <n v="101.1"/>
    <s v="109/83"/>
    <n v="109"/>
    <n v="83"/>
    <n v="186"/>
    <x v="0"/>
    <n v="70"/>
    <n v="70"/>
    <x v="1"/>
    <x v="1"/>
    <x v="2"/>
    <s v="N"/>
    <x v="2"/>
    <n v="184"/>
    <n v="0.54900000000000004"/>
    <x v="1"/>
    <n v="109"/>
    <n v="83"/>
    <x v="1"/>
    <n v="86"/>
    <n v="1.23"/>
    <x v="0"/>
    <n v="13.81"/>
    <x v="0"/>
    <x v="0"/>
    <x v="0"/>
    <n v="0"/>
    <x v="0"/>
  </r>
  <r>
    <s v="M"/>
    <x v="12"/>
    <n v="64.099999999999994"/>
    <n v="1.7"/>
    <n v="22.2"/>
    <n v="22.179930795847753"/>
    <n v="0"/>
    <x v="0"/>
    <n v="99.1"/>
    <s v="113/69"/>
    <n v="113"/>
    <n v="69"/>
    <n v="175"/>
    <x v="1"/>
    <n v="55"/>
    <n v="125"/>
    <x v="1"/>
    <x v="1"/>
    <x v="2"/>
    <s v="Y"/>
    <x v="0"/>
    <n v="170"/>
    <n v="0.58299999999999996"/>
    <x v="1"/>
    <n v="113"/>
    <n v="69"/>
    <x v="2"/>
    <n v="90"/>
    <n v="1.64"/>
    <x v="0"/>
    <n v="13.59"/>
    <x v="0"/>
    <x v="0"/>
    <x v="0"/>
    <n v="0"/>
    <x v="0"/>
  </r>
  <r>
    <s v="M"/>
    <x v="11"/>
    <n v="64.8"/>
    <n v="1.76"/>
    <n v="20.9"/>
    <n v="20.919421487603305"/>
    <n v="0"/>
    <x v="0"/>
    <n v="109.1"/>
    <s v="135/96"/>
    <n v="135"/>
    <n v="96"/>
    <n v="294"/>
    <x v="0"/>
    <n v="70"/>
    <n v="89"/>
    <x v="0"/>
    <x v="0"/>
    <x v="1"/>
    <s v="N"/>
    <x v="2"/>
    <n v="176"/>
    <n v="0.62"/>
    <x v="3"/>
    <n v="135"/>
    <n v="96"/>
    <x v="1"/>
    <n v="194"/>
    <n v="2.77"/>
    <x v="0"/>
    <n v="18.809999999999999"/>
    <x v="0"/>
    <x v="0"/>
    <x v="0"/>
    <n v="0"/>
    <x v="0"/>
  </r>
  <r>
    <s v="M"/>
    <x v="25"/>
    <n v="106.4"/>
    <n v="1.73"/>
    <n v="35.6"/>
    <n v="35.550803568445318"/>
    <n v="0"/>
    <x v="1"/>
    <n v="70.3"/>
    <s v="136/76"/>
    <n v="136"/>
    <n v="76"/>
    <m/>
    <x v="2"/>
    <n v="69"/>
    <n v="90"/>
    <x v="1"/>
    <x v="1"/>
    <x v="1"/>
    <s v="N"/>
    <x v="2"/>
    <n v="173"/>
    <n v="0.40600000000000003"/>
    <x v="2"/>
    <n v="136"/>
    <n v="76"/>
    <x v="1"/>
    <n v="29"/>
    <n v="0.42"/>
    <x v="0"/>
    <n v="16.48"/>
    <x v="0"/>
    <x v="0"/>
    <x v="0"/>
    <n v="0"/>
    <x v="0"/>
  </r>
  <r>
    <s v="F"/>
    <x v="13"/>
    <n v="55.5"/>
    <n v="1.62"/>
    <n v="21.1"/>
    <n v="21.147690900777317"/>
    <n v="0"/>
    <x v="0"/>
    <n v="74.3"/>
    <s v="139/64"/>
    <n v="139"/>
    <n v="64"/>
    <n v="168"/>
    <x v="1"/>
    <n v="37"/>
    <n v="120"/>
    <x v="1"/>
    <x v="0"/>
    <x v="1"/>
    <s v="Y"/>
    <x v="1"/>
    <n v="162"/>
    <n v="0.45900000000000002"/>
    <x v="2"/>
    <n v="139"/>
    <n v="64"/>
    <x v="1"/>
    <n v="101"/>
    <n v="2.73"/>
    <x v="0"/>
    <m/>
    <x v="1"/>
    <x v="0"/>
    <x v="1"/>
    <n v="1"/>
    <x v="0"/>
  </r>
  <r>
    <s v="F"/>
    <x v="29"/>
    <n v="75.400000000000006"/>
    <n v="1.68"/>
    <n v="26.7"/>
    <n v="26.714852607709755"/>
    <n v="0"/>
    <x v="2"/>
    <n v="94.1"/>
    <s v="141/69"/>
    <n v="141"/>
    <n v="69"/>
    <n v="138"/>
    <x v="2"/>
    <n v="77"/>
    <n v="80"/>
    <x v="0"/>
    <x v="1"/>
    <x v="2"/>
    <s v="Y"/>
    <x v="2"/>
    <n v="168"/>
    <n v="0.56000000000000005"/>
    <x v="1"/>
    <n v="141"/>
    <n v="69"/>
    <x v="3"/>
    <m/>
    <n v="0"/>
    <x v="0"/>
    <n v="15.15"/>
    <x v="0"/>
    <x v="0"/>
    <x v="0"/>
    <n v="0"/>
    <x v="0"/>
  </r>
  <r>
    <s v="F"/>
    <x v="17"/>
    <n v="80.599999999999994"/>
    <n v="1.83"/>
    <n v="24.1"/>
    <n v="24.067604287975151"/>
    <n v="0"/>
    <x v="0"/>
    <n v="83.5"/>
    <s v="114/69"/>
    <n v="114"/>
    <n v="69"/>
    <n v="289"/>
    <x v="0"/>
    <n v="45"/>
    <n v="93"/>
    <x v="0"/>
    <x v="0"/>
    <x v="2"/>
    <s v="N"/>
    <x v="2"/>
    <n v="183"/>
    <n v="0.45600000000000002"/>
    <x v="2"/>
    <n v="114"/>
    <n v="69"/>
    <x v="2"/>
    <n v="214"/>
    <n v="4.76"/>
    <x v="0"/>
    <n v="18.3"/>
    <x v="0"/>
    <x v="0"/>
    <x v="0"/>
    <n v="0"/>
    <x v="0"/>
  </r>
  <r>
    <s v="F"/>
    <x v="31"/>
    <n v="93.7"/>
    <n v="1.84"/>
    <n v="27.7"/>
    <n v="27.676039697542532"/>
    <n v="0"/>
    <x v="2"/>
    <n v="102.7"/>
    <s v="118/64"/>
    <n v="118"/>
    <n v="64"/>
    <n v="231"/>
    <x v="0"/>
    <m/>
    <n v="72"/>
    <x v="1"/>
    <x v="1"/>
    <x v="0"/>
    <s v="N"/>
    <x v="0"/>
    <n v="184"/>
    <n v="0.55800000000000005"/>
    <x v="1"/>
    <n v="118"/>
    <n v="64"/>
    <x v="2"/>
    <n v="147"/>
    <s v=""/>
    <x v="1"/>
    <n v="16.059999999999999"/>
    <x v="1"/>
    <x v="0"/>
    <x v="1"/>
    <n v="1"/>
    <x v="0"/>
  </r>
  <r>
    <s v="M"/>
    <x v="15"/>
    <n v="106.2"/>
    <n v="1.76"/>
    <n v="34.299999999999997"/>
    <n v="34.284607438016529"/>
    <n v="0"/>
    <x v="1"/>
    <n v="74.8"/>
    <s v="124/66"/>
    <n v="124"/>
    <n v="66"/>
    <n v="171"/>
    <x v="1"/>
    <n v="48"/>
    <n v="141"/>
    <x v="1"/>
    <x v="1"/>
    <x v="1"/>
    <s v="N"/>
    <x v="2"/>
    <n v="176"/>
    <n v="0.42499999999999999"/>
    <x v="2"/>
    <n v="124"/>
    <n v="66"/>
    <x v="0"/>
    <n v="93"/>
    <n v="1.94"/>
    <x v="0"/>
    <n v="16.48"/>
    <x v="0"/>
    <x v="0"/>
    <x v="0"/>
    <n v="0"/>
    <x v="0"/>
  </r>
  <r>
    <s v="F"/>
    <x v="17"/>
    <n v="100.6"/>
    <n v="1.66"/>
    <n v="36.5"/>
    <n v="36.507475685876031"/>
    <n v="0"/>
    <x v="1"/>
    <n v="107.3"/>
    <s v="94/93"/>
    <n v="94"/>
    <n v="93"/>
    <n v="287"/>
    <x v="0"/>
    <n v="63"/>
    <n v="150"/>
    <x v="0"/>
    <x v="1"/>
    <x v="1"/>
    <s v="N"/>
    <x v="3"/>
    <n v="166"/>
    <n v="0.64600000000000002"/>
    <x v="3"/>
    <n v="94"/>
    <n v="93"/>
    <x v="3"/>
    <n v="194"/>
    <n v="3.08"/>
    <x v="0"/>
    <n v="17.739999999999998"/>
    <x v="0"/>
    <x v="0"/>
    <x v="0"/>
    <n v="0"/>
    <x v="0"/>
  </r>
  <r>
    <s v="M"/>
    <x v="2"/>
    <n v="93.9"/>
    <n v="1.72"/>
    <n v="31.7"/>
    <n v="31.740129799891839"/>
    <n v="0"/>
    <x v="1"/>
    <n v="82.1"/>
    <s v="104/60"/>
    <n v="104"/>
    <n v="60"/>
    <n v="144"/>
    <x v="2"/>
    <n v="50"/>
    <n v="137"/>
    <x v="0"/>
    <x v="1"/>
    <x v="1"/>
    <s v="Y"/>
    <x v="2"/>
    <n v="172"/>
    <n v="0.47699999999999998"/>
    <x v="0"/>
    <n v="104"/>
    <n v="60"/>
    <x v="2"/>
    <n v="64"/>
    <n v="1.28"/>
    <x v="0"/>
    <n v="14.42"/>
    <x v="0"/>
    <x v="0"/>
    <x v="0"/>
    <n v="0"/>
    <x v="0"/>
  </r>
  <r>
    <s v="M"/>
    <x v="10"/>
    <n v="107"/>
    <n v="1.62"/>
    <n v="40.799999999999997"/>
    <n v="40.77122389879591"/>
    <n v="0"/>
    <x v="1"/>
    <n v="101.7"/>
    <s v="117/66"/>
    <n v="117"/>
    <n v="66"/>
    <n v="147"/>
    <x v="2"/>
    <n v="45"/>
    <n v="106"/>
    <x v="1"/>
    <x v="0"/>
    <x v="2"/>
    <s v="Y"/>
    <x v="1"/>
    <n v="162"/>
    <n v="0.628"/>
    <x v="3"/>
    <n v="117"/>
    <n v="66"/>
    <x v="2"/>
    <n v="72"/>
    <n v="1.6"/>
    <x v="0"/>
    <n v="18.95"/>
    <x v="1"/>
    <x v="0"/>
    <x v="1"/>
    <n v="1"/>
    <x v="0"/>
  </r>
  <r>
    <s v="F"/>
    <x v="28"/>
    <n v="109.7"/>
    <n v="1.78"/>
    <n v="34.6"/>
    <n v="34.623153642216892"/>
    <n v="0"/>
    <x v="1"/>
    <n v="104.4"/>
    <s v="103/99"/>
    <n v="103"/>
    <n v="99"/>
    <n v="197"/>
    <x v="0"/>
    <m/>
    <n v="99"/>
    <x v="0"/>
    <x v="0"/>
    <x v="1"/>
    <s v="N"/>
    <x v="2"/>
    <n v="178"/>
    <n v="0.58699999999999997"/>
    <x v="3"/>
    <n v="103"/>
    <n v="99"/>
    <x v="3"/>
    <m/>
    <s v=""/>
    <x v="0"/>
    <n v="18.010000000000002"/>
    <x v="1"/>
    <x v="0"/>
    <x v="1"/>
    <n v="1"/>
    <x v="1"/>
  </r>
  <r>
    <s v="M"/>
    <x v="20"/>
    <n v="84.2"/>
    <n v="1.77"/>
    <n v="26.9"/>
    <n v="26.876057327077149"/>
    <n v="0"/>
    <x v="2"/>
    <n v="106"/>
    <s v="114/90"/>
    <n v="114"/>
    <n v="90"/>
    <n v="180"/>
    <x v="1"/>
    <n v="39"/>
    <n v="115"/>
    <x v="1"/>
    <x v="1"/>
    <x v="0"/>
    <s v="Y"/>
    <x v="1"/>
    <n v="177"/>
    <m/>
    <x v="4"/>
    <n v="114"/>
    <n v="90"/>
    <x v="3"/>
    <n v="111"/>
    <n v="2.85"/>
    <x v="0"/>
    <n v="14.68"/>
    <x v="1"/>
    <x v="0"/>
    <x v="1"/>
    <n v="1"/>
    <x v="0"/>
  </r>
  <r>
    <s v="M"/>
    <x v="19"/>
    <n v="85"/>
    <n v="1.66"/>
    <n v="30.8"/>
    <n v="30.84627667295689"/>
    <n v="0"/>
    <x v="1"/>
    <n v="79.900000000000006"/>
    <s v="116/69"/>
    <n v="116"/>
    <n v="69"/>
    <n v="130"/>
    <x v="2"/>
    <n v="70"/>
    <n v="125"/>
    <x v="0"/>
    <x v="1"/>
    <x v="2"/>
    <s v="Y"/>
    <x v="2"/>
    <n v="166"/>
    <n v="0.48099999999999998"/>
    <x v="0"/>
    <n v="116"/>
    <n v="69"/>
    <x v="2"/>
    <n v="30"/>
    <n v="0.43"/>
    <x v="0"/>
    <n v="14.56"/>
    <x v="0"/>
    <x v="0"/>
    <x v="0"/>
    <n v="0"/>
    <x v="0"/>
  </r>
  <r>
    <s v="F"/>
    <x v="30"/>
    <n v="73.2"/>
    <n v="1.68"/>
    <n v="25.9"/>
    <n v="25.935374149659868"/>
    <n v="0"/>
    <x v="2"/>
    <n v="104.9"/>
    <s v="136/93"/>
    <n v="136"/>
    <n v="93"/>
    <n v="138"/>
    <x v="2"/>
    <n v="39"/>
    <n v="81"/>
    <x v="1"/>
    <x v="0"/>
    <x v="1"/>
    <s v="Y"/>
    <x v="1"/>
    <n v="168"/>
    <n v="0.624"/>
    <x v="3"/>
    <n v="136"/>
    <n v="93"/>
    <x v="1"/>
    <m/>
    <n v="0"/>
    <x v="0"/>
    <n v="16.739999999999998"/>
    <x v="1"/>
    <x v="0"/>
    <x v="1"/>
    <n v="1"/>
    <x v="0"/>
  </r>
  <r>
    <s v="M"/>
    <x v="8"/>
    <n v="94.6"/>
    <n v="1.74"/>
    <n v="31.2"/>
    <n v="31.245871317214952"/>
    <n v="0"/>
    <x v="1"/>
    <n v="99.1"/>
    <s v="99/82"/>
    <n v="99"/>
    <n v="82"/>
    <n v="209"/>
    <x v="0"/>
    <n v="60"/>
    <n v="127"/>
    <x v="0"/>
    <x v="0"/>
    <x v="2"/>
    <s v="N"/>
    <x v="2"/>
    <n v="174"/>
    <n v="0.56999999999999995"/>
    <x v="1"/>
    <n v="99"/>
    <n v="82"/>
    <x v="1"/>
    <n v="119"/>
    <n v="1.98"/>
    <x v="0"/>
    <n v="17.37"/>
    <x v="1"/>
    <x v="1"/>
    <x v="1"/>
    <n v="1"/>
    <x v="0"/>
  </r>
  <r>
    <s v="F"/>
    <x v="6"/>
    <n v="50.5"/>
    <n v="1.64"/>
    <n v="18.8"/>
    <n v="18.776026174895897"/>
    <n v="0"/>
    <x v="0"/>
    <n v="75.400000000000006"/>
    <s v="100/96"/>
    <n v="100"/>
    <n v="96"/>
    <n v="240"/>
    <x v="0"/>
    <n v="53"/>
    <n v="98"/>
    <x v="0"/>
    <x v="0"/>
    <x v="0"/>
    <s v="N"/>
    <x v="0"/>
    <n v="164"/>
    <n v="0.46"/>
    <x v="2"/>
    <n v="100"/>
    <n v="96"/>
    <x v="3"/>
    <n v="157"/>
    <n v="2.96"/>
    <x v="0"/>
    <n v="15.56"/>
    <x v="0"/>
    <x v="0"/>
    <x v="0"/>
    <n v="0"/>
    <x v="0"/>
  </r>
  <r>
    <s v="F"/>
    <x v="30"/>
    <n v="58.3"/>
    <n v="1.7"/>
    <n v="20.2"/>
    <n v="20.173010380622838"/>
    <n v="0"/>
    <x v="0"/>
    <n v="96.7"/>
    <s v="140/95"/>
    <n v="140"/>
    <n v="95"/>
    <n v="280"/>
    <x v="0"/>
    <n v="33"/>
    <n v="93"/>
    <x v="1"/>
    <x v="0"/>
    <x v="2"/>
    <s v="Y"/>
    <x v="1"/>
    <n v="170"/>
    <n v="0.56899999999999995"/>
    <x v="1"/>
    <n v="140"/>
    <n v="95"/>
    <x v="3"/>
    <n v="217"/>
    <n v="6.58"/>
    <x v="0"/>
    <n v="18.64"/>
    <x v="1"/>
    <x v="0"/>
    <x v="1"/>
    <n v="1"/>
    <x v="0"/>
  </r>
  <r>
    <s v="M"/>
    <x v="30"/>
    <n v="64.8"/>
    <n v="1.61"/>
    <n v="25"/>
    <n v="24.999035531036608"/>
    <n v="0"/>
    <x v="2"/>
    <n v="77.900000000000006"/>
    <s v="101/72"/>
    <n v="101"/>
    <n v="72"/>
    <n v="276"/>
    <x v="0"/>
    <n v="30"/>
    <n v="128"/>
    <x v="1"/>
    <x v="1"/>
    <x v="2"/>
    <s v="N"/>
    <x v="2"/>
    <n v="161"/>
    <n v="0.48399999999999999"/>
    <x v="0"/>
    <n v="101"/>
    <n v="72"/>
    <x v="2"/>
    <n v="216"/>
    <n v="7.2"/>
    <x v="1"/>
    <n v="15.57"/>
    <x v="1"/>
    <x v="0"/>
    <x v="1"/>
    <n v="1"/>
    <x v="0"/>
  </r>
  <r>
    <s v="M"/>
    <x v="29"/>
    <n v="101.1"/>
    <n v="1.89"/>
    <n v="28.3"/>
    <n v="28.302679096329889"/>
    <n v="0"/>
    <x v="2"/>
    <n v="76.3"/>
    <s v="99/76"/>
    <n v="99"/>
    <n v="76"/>
    <n v="165"/>
    <x v="1"/>
    <n v="67"/>
    <n v="107"/>
    <x v="0"/>
    <x v="1"/>
    <x v="1"/>
    <s v="Y"/>
    <x v="2"/>
    <n v="189"/>
    <n v="0.40400000000000003"/>
    <x v="2"/>
    <n v="99"/>
    <n v="76"/>
    <x v="2"/>
    <n v="68"/>
    <n v="1.01"/>
    <x v="0"/>
    <n v="13.91"/>
    <x v="0"/>
    <x v="0"/>
    <x v="0"/>
    <n v="0"/>
    <x v="0"/>
  </r>
  <r>
    <s v="M"/>
    <x v="30"/>
    <n v="62.2"/>
    <n v="1.7"/>
    <n v="21.5"/>
    <n v="21.522491349480973"/>
    <n v="0"/>
    <x v="0"/>
    <n v="75.900000000000006"/>
    <s v="150/91"/>
    <n v="150"/>
    <n v="91"/>
    <n v="211"/>
    <x v="0"/>
    <n v="72"/>
    <n v="86"/>
    <x v="1"/>
    <x v="1"/>
    <x v="2"/>
    <s v="Y"/>
    <x v="0"/>
    <n v="170"/>
    <m/>
    <x v="4"/>
    <n v="150"/>
    <n v="91"/>
    <x v="3"/>
    <n v="109"/>
    <n v="1.51"/>
    <x v="0"/>
    <n v="16.02"/>
    <x v="1"/>
    <x v="1"/>
    <x v="1"/>
    <n v="1"/>
    <x v="0"/>
  </r>
  <r>
    <s v="M"/>
    <x v="19"/>
    <n v="96"/>
    <n v="1.85"/>
    <n v="28"/>
    <n v="28.049671292914532"/>
    <n v="0"/>
    <x v="2"/>
    <n v="78.099999999999994"/>
    <s v="139/81"/>
    <n v="139"/>
    <n v="81"/>
    <n v="257"/>
    <x v="0"/>
    <n v="38"/>
    <n v="125"/>
    <x v="1"/>
    <x v="1"/>
    <x v="1"/>
    <s v="Y"/>
    <x v="0"/>
    <n v="185"/>
    <n v="0.42199999999999999"/>
    <x v="2"/>
    <n v="139"/>
    <n v="81"/>
    <x v="1"/>
    <n v="189"/>
    <n v="4.97"/>
    <x v="0"/>
    <n v="17.690000000000001"/>
    <x v="1"/>
    <x v="0"/>
    <x v="1"/>
    <n v="1"/>
    <x v="0"/>
  </r>
  <r>
    <s v="F"/>
    <x v="28"/>
    <n v="116.8"/>
    <n v="1.62"/>
    <n v="44.5"/>
    <n v="44.505410760554781"/>
    <n v="0"/>
    <x v="1"/>
    <n v="102.6"/>
    <s v="104/83"/>
    <n v="104"/>
    <n v="83"/>
    <n v="208"/>
    <x v="0"/>
    <n v="46"/>
    <n v="123"/>
    <x v="1"/>
    <x v="0"/>
    <x v="0"/>
    <s v="N"/>
    <x v="1"/>
    <n v="162"/>
    <n v="0.63300000000000001"/>
    <x v="3"/>
    <n v="104"/>
    <n v="83"/>
    <x v="1"/>
    <n v="132"/>
    <n v="2.87"/>
    <x v="0"/>
    <n v="20.260000000000002"/>
    <x v="1"/>
    <x v="0"/>
    <x v="1"/>
    <n v="1"/>
    <x v="1"/>
  </r>
  <r>
    <s v="M"/>
    <x v="13"/>
    <n v="99.4"/>
    <n v="1.7"/>
    <n v="34.4"/>
    <n v="34.394463667820077"/>
    <n v="0"/>
    <x v="1"/>
    <n v="87.4"/>
    <s v="111/84"/>
    <n v="111"/>
    <n v="84"/>
    <n v="113"/>
    <x v="2"/>
    <n v="33"/>
    <n v="116"/>
    <x v="1"/>
    <x v="1"/>
    <x v="0"/>
    <s v="N"/>
    <x v="0"/>
    <n v="170"/>
    <n v="0.51400000000000001"/>
    <x v="0"/>
    <n v="111"/>
    <n v="84"/>
    <x v="1"/>
    <n v="50"/>
    <n v="1.52"/>
    <x v="0"/>
    <n v="14.69"/>
    <x v="1"/>
    <x v="0"/>
    <x v="1"/>
    <n v="1"/>
    <x v="0"/>
  </r>
  <r>
    <s v="F"/>
    <x v="29"/>
    <n v="53.4"/>
    <n v="1.88"/>
    <n v="15.1"/>
    <n v="15.108646446355818"/>
    <n v="0"/>
    <x v="3"/>
    <n v="79.8"/>
    <s v="147/64"/>
    <n v="147"/>
    <n v="64"/>
    <n v="146"/>
    <x v="2"/>
    <n v="44"/>
    <n v="127"/>
    <x v="0"/>
    <x v="1"/>
    <x v="1"/>
    <s v="Y"/>
    <x v="2"/>
    <n v="188"/>
    <n v="0.42399999999999999"/>
    <x v="2"/>
    <n v="147"/>
    <n v="64"/>
    <x v="3"/>
    <n v="72"/>
    <n v="1.64"/>
    <x v="0"/>
    <n v="13.29"/>
    <x v="0"/>
    <x v="0"/>
    <x v="0"/>
    <n v="0"/>
    <x v="0"/>
  </r>
  <r>
    <s v="F"/>
    <x v="13"/>
    <n v="94"/>
    <n v="1.6"/>
    <n v="36.700000000000003"/>
    <n v="36.718749999999993"/>
    <n v="0"/>
    <x v="1"/>
    <n v="84.7"/>
    <s v="117/69"/>
    <n v="117"/>
    <n v="69"/>
    <n v="156"/>
    <x v="1"/>
    <n v="80"/>
    <n v="90"/>
    <x v="1"/>
    <x v="1"/>
    <x v="0"/>
    <s v="Y"/>
    <x v="1"/>
    <n v="160"/>
    <n v="0.52900000000000003"/>
    <x v="1"/>
    <n v="117"/>
    <n v="69"/>
    <x v="2"/>
    <n v="46"/>
    <n v="0.57999999999999996"/>
    <x v="0"/>
    <n v="16.309999999999999"/>
    <x v="1"/>
    <x v="1"/>
    <x v="1"/>
    <n v="1"/>
    <x v="0"/>
  </r>
  <r>
    <s v="M"/>
    <x v="0"/>
    <n v="55.1"/>
    <n v="1.76"/>
    <n v="17.8"/>
    <n v="17.787964876033058"/>
    <n v="0"/>
    <x v="3"/>
    <n v="107.6"/>
    <s v="115/100"/>
    <n v="115"/>
    <n v="100"/>
    <n v="243"/>
    <x v="0"/>
    <n v="42"/>
    <n v="88"/>
    <x v="0"/>
    <x v="0"/>
    <x v="2"/>
    <s v="N"/>
    <x v="2"/>
    <n v="176"/>
    <m/>
    <x v="4"/>
    <n v="115"/>
    <n v="100"/>
    <x v="3"/>
    <n v="171"/>
    <n v="4.07"/>
    <x v="0"/>
    <n v="16.170000000000002"/>
    <x v="0"/>
    <x v="0"/>
    <x v="0"/>
    <n v="0"/>
    <x v="0"/>
  </r>
  <r>
    <s v="M"/>
    <x v="1"/>
    <n v="69.3"/>
    <n v="1.79"/>
    <n v="21.6"/>
    <n v="21.62853843512999"/>
    <n v="0"/>
    <x v="0"/>
    <m/>
    <s v="141/85"/>
    <n v="141"/>
    <n v="85"/>
    <n v="224"/>
    <x v="0"/>
    <n v="43"/>
    <n v="141"/>
    <x v="0"/>
    <x v="0"/>
    <x v="1"/>
    <s v="Y"/>
    <x v="0"/>
    <n v="179"/>
    <n v="0.53"/>
    <x v="1"/>
    <n v="141"/>
    <n v="85"/>
    <x v="1"/>
    <n v="151"/>
    <n v="3.51"/>
    <x v="0"/>
    <n v="17.850000000000001"/>
    <x v="1"/>
    <x v="0"/>
    <x v="1"/>
    <n v="1"/>
    <x v="1"/>
  </r>
  <r>
    <s v="M"/>
    <x v="8"/>
    <n v="72.2"/>
    <n v="1.72"/>
    <n v="24.4"/>
    <n v="24.405083829096814"/>
    <n v="0"/>
    <x v="0"/>
    <n v="86.9"/>
    <s v="110/77"/>
    <n v="110"/>
    <n v="77"/>
    <n v="127"/>
    <x v="2"/>
    <n v="35"/>
    <m/>
    <x v="1"/>
    <x v="1"/>
    <x v="1"/>
    <s v="N"/>
    <x v="2"/>
    <n v="172"/>
    <m/>
    <x v="4"/>
    <n v="110"/>
    <n v="77"/>
    <x v="2"/>
    <n v="62"/>
    <n v="1.77"/>
    <x v="0"/>
    <n v="12.92"/>
    <x v="0"/>
    <x v="0"/>
    <x v="0"/>
    <n v="0"/>
    <x v="0"/>
  </r>
  <r>
    <s v="F"/>
    <x v="25"/>
    <n v="77.7"/>
    <n v="1.62"/>
    <n v="29.6"/>
    <n v="29.606767261088244"/>
    <n v="0"/>
    <x v="2"/>
    <n v="94.7"/>
    <s v="102/71"/>
    <n v="102"/>
    <n v="71"/>
    <m/>
    <x v="2"/>
    <n v="52"/>
    <n v="144"/>
    <x v="0"/>
    <x v="1"/>
    <x v="0"/>
    <s v="N"/>
    <x v="2"/>
    <n v="162"/>
    <n v="0.58499999999999996"/>
    <x v="3"/>
    <n v="102"/>
    <n v="71"/>
    <x v="2"/>
    <n v="188"/>
    <n v="3.62"/>
    <x v="1"/>
    <n v="16.420000000000002"/>
    <x v="1"/>
    <x v="0"/>
    <x v="1"/>
    <n v="1"/>
    <x v="0"/>
  </r>
  <r>
    <s v="F"/>
    <x v="17"/>
    <n v="112.9"/>
    <n v="1.75"/>
    <n v="36.9"/>
    <n v="36.865306122448985"/>
    <n v="0"/>
    <x v="1"/>
    <n v="98"/>
    <s v="136/85"/>
    <n v="136"/>
    <n v="85"/>
    <n v="163"/>
    <x v="1"/>
    <n v="64"/>
    <n v="82"/>
    <x v="1"/>
    <x v="0"/>
    <x v="1"/>
    <s v="Y"/>
    <x v="1"/>
    <n v="175"/>
    <m/>
    <x v="4"/>
    <n v="136"/>
    <n v="85"/>
    <x v="1"/>
    <n v="69"/>
    <n v="1.08"/>
    <x v="0"/>
    <n v="19.440000000000001"/>
    <x v="1"/>
    <x v="1"/>
    <x v="1"/>
    <n v="1"/>
    <x v="0"/>
  </r>
  <r>
    <s v="M"/>
    <x v="26"/>
    <n v="104.6"/>
    <n v="1.67"/>
    <n v="37.5"/>
    <n v="37.505826670013263"/>
    <n v="0"/>
    <x v="1"/>
    <n v="108.7"/>
    <s v="145/62"/>
    <n v="145"/>
    <n v="62"/>
    <n v="152"/>
    <x v="1"/>
    <n v="67"/>
    <n v="83"/>
    <x v="0"/>
    <x v="0"/>
    <x v="2"/>
    <s v="Y"/>
    <x v="0"/>
    <n v="167"/>
    <n v="0.65100000000000002"/>
    <x v="3"/>
    <n v="145"/>
    <n v="62"/>
    <x v="3"/>
    <n v="55"/>
    <n v="0.82"/>
    <x v="0"/>
    <n v="19.79"/>
    <x v="1"/>
    <x v="1"/>
    <x v="1"/>
    <n v="1"/>
    <x v="1"/>
  </r>
  <r>
    <s v="M"/>
    <x v="21"/>
    <n v="67.599999999999994"/>
    <n v="1.81"/>
    <n v="20.6"/>
    <n v="20.634290772564938"/>
    <n v="0"/>
    <x v="0"/>
    <n v="98.3"/>
    <s v="113/72"/>
    <n v="113"/>
    <n v="72"/>
    <n v="258"/>
    <x v="0"/>
    <n v="69"/>
    <n v="80"/>
    <x v="1"/>
    <x v="0"/>
    <x v="2"/>
    <s v="N"/>
    <x v="0"/>
    <n v="181"/>
    <n v="0.54300000000000004"/>
    <x v="1"/>
    <n v="113"/>
    <n v="72"/>
    <x v="2"/>
    <n v="159"/>
    <n v="2.2999999999999998"/>
    <x v="0"/>
    <n v="16.93"/>
    <x v="0"/>
    <x v="0"/>
    <x v="0"/>
    <n v="0"/>
    <x v="0"/>
  </r>
  <r>
    <s v="F"/>
    <x v="3"/>
    <n v="110.3"/>
    <n v="1.7"/>
    <n v="38.200000000000003"/>
    <n v="38.16608996539793"/>
    <n v="0"/>
    <x v="1"/>
    <n v="100.9"/>
    <s v="123/75"/>
    <n v="123"/>
    <n v="75"/>
    <n v="139"/>
    <x v="2"/>
    <n v="34"/>
    <n v="86"/>
    <x v="1"/>
    <x v="1"/>
    <x v="0"/>
    <s v="Y"/>
    <x v="1"/>
    <n v="170"/>
    <m/>
    <x v="4"/>
    <n v="123"/>
    <n v="75"/>
    <x v="0"/>
    <n v="75"/>
    <n v="2.21"/>
    <x v="0"/>
    <n v="16.57"/>
    <x v="1"/>
    <x v="0"/>
    <x v="1"/>
    <n v="1"/>
    <x v="0"/>
  </r>
  <r>
    <s v="F"/>
    <x v="26"/>
    <n v="78.8"/>
    <n v="1.76"/>
    <n v="25.4"/>
    <n v="25.439049586776861"/>
    <n v="0"/>
    <x v="2"/>
    <n v="84"/>
    <s v="99/75"/>
    <n v="99"/>
    <n v="75"/>
    <n v="105"/>
    <x v="2"/>
    <n v="60"/>
    <n v="99"/>
    <x v="0"/>
    <x v="1"/>
    <x v="2"/>
    <s v="N"/>
    <x v="3"/>
    <n v="176"/>
    <m/>
    <x v="4"/>
    <n v="99"/>
    <n v="75"/>
    <x v="2"/>
    <n v="15"/>
    <n v="0.25"/>
    <x v="0"/>
    <n v="12.13"/>
    <x v="0"/>
    <x v="0"/>
    <x v="0"/>
    <n v="0"/>
    <x v="0"/>
  </r>
  <r>
    <s v="F"/>
    <x v="30"/>
    <n v="61.5"/>
    <n v="1.86"/>
    <n v="17.8"/>
    <n v="17.776621574748525"/>
    <n v="0"/>
    <x v="3"/>
    <n v="102.5"/>
    <s v="106/61"/>
    <n v="106"/>
    <n v="61"/>
    <n v="151"/>
    <x v="1"/>
    <n v="80"/>
    <n v="92"/>
    <x v="0"/>
    <x v="0"/>
    <x v="1"/>
    <s v="Y"/>
    <x v="0"/>
    <n v="186"/>
    <n v="0.55100000000000005"/>
    <x v="1"/>
    <n v="106"/>
    <n v="61"/>
    <x v="2"/>
    <n v="41"/>
    <n v="0.51"/>
    <x v="0"/>
    <n v="13.88"/>
    <x v="0"/>
    <x v="0"/>
    <x v="0"/>
    <n v="0"/>
    <x v="0"/>
  </r>
  <r>
    <s v="M"/>
    <x v="14"/>
    <n v="71.8"/>
    <n v="1.61"/>
    <n v="27.7"/>
    <n v="27.699548628525129"/>
    <n v="0"/>
    <x v="2"/>
    <n v="107.4"/>
    <s v="129/77"/>
    <n v="129"/>
    <n v="77"/>
    <n v="179"/>
    <x v="1"/>
    <n v="77"/>
    <m/>
    <x v="0"/>
    <x v="1"/>
    <x v="1"/>
    <s v="N"/>
    <x v="3"/>
    <n v="161"/>
    <n v="0.66700000000000004"/>
    <x v="3"/>
    <m/>
    <n v="77"/>
    <x v="0"/>
    <n v="72"/>
    <n v="0.94"/>
    <x v="0"/>
    <n v="15.57"/>
    <x v="2"/>
    <x v="0"/>
    <x v="0"/>
    <n v="0"/>
    <x v="0"/>
  </r>
  <r>
    <s v="M"/>
    <x v="22"/>
    <n v="78.8"/>
    <n v="1.7"/>
    <n v="27.3"/>
    <n v="27.26643598615917"/>
    <n v="0"/>
    <x v="2"/>
    <n v="71.900000000000006"/>
    <s v="101/78"/>
    <n v="101"/>
    <n v="78"/>
    <n v="131"/>
    <x v="2"/>
    <n v="62"/>
    <n v="84"/>
    <x v="0"/>
    <x v="0"/>
    <x v="0"/>
    <s v="Y"/>
    <x v="1"/>
    <n v="170"/>
    <n v="0.42299999999999999"/>
    <x v="2"/>
    <n v="101"/>
    <n v="78"/>
    <x v="2"/>
    <n v="39"/>
    <n v="0.63"/>
    <x v="0"/>
    <n v="15.13"/>
    <x v="1"/>
    <x v="1"/>
    <x v="1"/>
    <n v="1"/>
    <x v="0"/>
  </r>
  <r>
    <s v="M"/>
    <x v="20"/>
    <n v="106.9"/>
    <n v="1.79"/>
    <n v="33.4"/>
    <n v="33.363503011766177"/>
    <n v="0"/>
    <x v="1"/>
    <n v="94.5"/>
    <s v="98/76"/>
    <n v="98"/>
    <n v="76"/>
    <n v="228"/>
    <x v="0"/>
    <n v="74"/>
    <n v="140"/>
    <x v="1"/>
    <x v="0"/>
    <x v="2"/>
    <s v="N"/>
    <x v="0"/>
    <n v="179"/>
    <n v="0.52800000000000002"/>
    <x v="1"/>
    <n v="98"/>
    <n v="76"/>
    <x v="2"/>
    <n v="124"/>
    <n v="1.68"/>
    <x v="1"/>
    <n v="18.14"/>
    <x v="1"/>
    <x v="1"/>
    <x v="1"/>
    <n v="1"/>
    <x v="0"/>
  </r>
  <r>
    <s v="M"/>
    <x v="1"/>
    <n v="83"/>
    <n v="1.68"/>
    <n v="29.4"/>
    <n v="29.407596371882089"/>
    <n v="0"/>
    <x v="2"/>
    <n v="75.099999999999994"/>
    <s v="108/67"/>
    <n v="108"/>
    <n v="67"/>
    <n v="104"/>
    <x v="2"/>
    <n v="65"/>
    <n v="138"/>
    <x v="0"/>
    <x v="1"/>
    <x v="0"/>
    <s v="N"/>
    <x v="2"/>
    <n v="168"/>
    <n v="0.44700000000000001"/>
    <x v="2"/>
    <n v="108"/>
    <m/>
    <x v="2"/>
    <n v="9"/>
    <n v="0.14000000000000001"/>
    <x v="0"/>
    <n v="13.36"/>
    <x v="0"/>
    <x v="0"/>
    <x v="0"/>
    <n v="0"/>
    <x v="0"/>
  </r>
  <r>
    <s v="F"/>
    <x v="20"/>
    <n v="90.3"/>
    <n v="1.68"/>
    <n v="32"/>
    <n v="31.994047619047624"/>
    <n v="0"/>
    <x v="1"/>
    <n v="84.5"/>
    <s v="121/88"/>
    <n v="121"/>
    <n v="88"/>
    <n v="224"/>
    <x v="0"/>
    <n v="52"/>
    <n v="121"/>
    <x v="0"/>
    <x v="0"/>
    <x v="0"/>
    <s v="Y"/>
    <x v="1"/>
    <n v="168"/>
    <n v="0.503"/>
    <x v="0"/>
    <n v="121"/>
    <n v="88"/>
    <x v="1"/>
    <n v="142"/>
    <n v="2.73"/>
    <x v="0"/>
    <m/>
    <x v="1"/>
    <x v="0"/>
    <x v="1"/>
    <n v="1"/>
    <x v="0"/>
  </r>
  <r>
    <s v="F"/>
    <x v="16"/>
    <n v="114"/>
    <n v="1.74"/>
    <n v="37.700000000000003"/>
    <n v="37.653586999603647"/>
    <n v="0"/>
    <x v="1"/>
    <n v="102.6"/>
    <s v="91/79"/>
    <n v="91"/>
    <n v="79"/>
    <n v="270"/>
    <x v="0"/>
    <n v="66"/>
    <n v="82"/>
    <x v="0"/>
    <x v="1"/>
    <x v="0"/>
    <s v="Y"/>
    <x v="0"/>
    <n v="174"/>
    <n v="0.59"/>
    <x v="3"/>
    <n v="91"/>
    <n v="79"/>
    <x v="2"/>
    <n v="174"/>
    <n v="2.64"/>
    <x v="1"/>
    <n v="17.489999999999998"/>
    <x v="1"/>
    <x v="1"/>
    <x v="1"/>
    <n v="1"/>
    <x v="0"/>
  </r>
  <r>
    <s v="M"/>
    <x v="23"/>
    <n v="64.900000000000006"/>
    <n v="1.85"/>
    <n v="19"/>
    <n v="18.962746530314099"/>
    <n v="0"/>
    <x v="0"/>
    <n v="95.4"/>
    <s v="91/88"/>
    <n v="91"/>
    <n v="88"/>
    <n v="247"/>
    <x v="0"/>
    <n v="55"/>
    <n v="119"/>
    <x v="0"/>
    <x v="0"/>
    <x v="0"/>
    <s v="N"/>
    <x v="0"/>
    <n v="185"/>
    <n v="0.51600000000000001"/>
    <x v="0"/>
    <n v="91"/>
    <m/>
    <x v="1"/>
    <n v="162"/>
    <n v="2.95"/>
    <x v="0"/>
    <n v="15.29"/>
    <x v="1"/>
    <x v="0"/>
    <x v="1"/>
    <n v="1"/>
    <x v="1"/>
  </r>
  <r>
    <s v="M"/>
    <x v="22"/>
    <n v="72"/>
    <n v="1.75"/>
    <n v="23.5"/>
    <n v="23.510204081632654"/>
    <n v="0"/>
    <x v="0"/>
    <n v="89.1"/>
    <s v="100/90"/>
    <n v="100"/>
    <n v="90"/>
    <n v="198"/>
    <x v="0"/>
    <n v="76"/>
    <n v="141"/>
    <x v="0"/>
    <x v="1"/>
    <x v="0"/>
    <s v="N"/>
    <x v="2"/>
    <n v="175"/>
    <n v="0.50900000000000001"/>
    <x v="0"/>
    <n v="100"/>
    <n v="90"/>
    <x v="3"/>
    <n v="92"/>
    <n v="1.21"/>
    <x v="0"/>
    <n v="13.66"/>
    <x v="0"/>
    <x v="0"/>
    <x v="0"/>
    <n v="0"/>
    <x v="0"/>
  </r>
  <r>
    <s v="M"/>
    <x v="5"/>
    <n v="94.4"/>
    <n v="1.7"/>
    <m/>
    <n v="32.664359861591699"/>
    <n v="1"/>
    <x v="3"/>
    <n v="77"/>
    <s v="104/85"/>
    <n v="104"/>
    <n v="85"/>
    <n v="127"/>
    <x v="2"/>
    <n v="71"/>
    <n v="147"/>
    <x v="0"/>
    <x v="0"/>
    <x v="2"/>
    <s v="Y"/>
    <x v="0"/>
    <n v="170"/>
    <n v="0.45300000000000001"/>
    <x v="2"/>
    <n v="104"/>
    <n v="85"/>
    <x v="1"/>
    <n v="26"/>
    <n v="0.37"/>
    <x v="0"/>
    <n v="16.28"/>
    <x v="0"/>
    <x v="0"/>
    <x v="0"/>
    <n v="0"/>
    <x v="0"/>
  </r>
  <r>
    <s v="F"/>
    <x v="22"/>
    <n v="104.5"/>
    <n v="1.65"/>
    <m/>
    <n v="38.383838383838388"/>
    <n v="1"/>
    <x v="3"/>
    <n v="106.4"/>
    <s v="129/63"/>
    <n v="129"/>
    <n v="63"/>
    <m/>
    <x v="2"/>
    <n v="48"/>
    <n v="88"/>
    <x v="0"/>
    <x v="0"/>
    <x v="1"/>
    <s v="N"/>
    <x v="2"/>
    <n v="165"/>
    <n v="0.64500000000000002"/>
    <x v="3"/>
    <n v="129"/>
    <n v="63"/>
    <x v="0"/>
    <n v="59"/>
    <n v="1.23"/>
    <x v="0"/>
    <n v="18.87"/>
    <x v="0"/>
    <x v="0"/>
    <x v="0"/>
    <n v="0"/>
    <x v="0"/>
  </r>
  <r>
    <s v="M"/>
    <x v="18"/>
    <n v="79.2"/>
    <n v="1.63"/>
    <n v="29.8"/>
    <n v="29.809176107493698"/>
    <n v="0"/>
    <x v="2"/>
    <n v="72.2"/>
    <s v="128/88"/>
    <n v="128"/>
    <n v="88"/>
    <n v="108"/>
    <x v="2"/>
    <n v="45"/>
    <n v="88"/>
    <x v="1"/>
    <x v="0"/>
    <x v="0"/>
    <s v="Y"/>
    <x v="4"/>
    <n v="163"/>
    <n v="0.443"/>
    <x v="2"/>
    <n v="128"/>
    <n v="88"/>
    <x v="1"/>
    <n v="33"/>
    <n v="0.73"/>
    <x v="0"/>
    <m/>
    <x v="1"/>
    <x v="0"/>
    <x v="1"/>
    <n v="1"/>
    <x v="0"/>
  </r>
  <r>
    <s v="F"/>
    <x v="24"/>
    <n v="95.6"/>
    <n v="1.68"/>
    <n v="33.9"/>
    <n v="33.871882086167801"/>
    <n v="0"/>
    <x v="1"/>
    <n v="94"/>
    <s v="124/91"/>
    <n v="124"/>
    <n v="91"/>
    <n v="116"/>
    <x v="2"/>
    <n v="52"/>
    <n v="103"/>
    <x v="0"/>
    <x v="0"/>
    <x v="1"/>
    <s v="N"/>
    <x v="2"/>
    <n v="168"/>
    <n v="0.56000000000000005"/>
    <x v="1"/>
    <n v="124"/>
    <n v="91"/>
    <x v="3"/>
    <n v="34"/>
    <n v="0.65"/>
    <x v="0"/>
    <n v="17.3"/>
    <x v="0"/>
    <x v="0"/>
    <x v="0"/>
    <n v="0"/>
    <x v="0"/>
  </r>
  <r>
    <s v="M"/>
    <x v="20"/>
    <n v="74.7"/>
    <n v="1.84"/>
    <n v="22.1"/>
    <n v="22.064035916824196"/>
    <n v="0"/>
    <x v="0"/>
    <n v="89.1"/>
    <s v="131/67"/>
    <n v="131"/>
    <n v="67"/>
    <n v="291"/>
    <x v="0"/>
    <n v="39"/>
    <n v="132"/>
    <x v="1"/>
    <x v="1"/>
    <x v="2"/>
    <s v="N"/>
    <x v="2"/>
    <n v="184"/>
    <n v="0.48399999999999999"/>
    <x v="0"/>
    <n v="131"/>
    <n v="67"/>
    <x v="1"/>
    <n v="222"/>
    <n v="5.69"/>
    <x v="0"/>
    <n v="16.79"/>
    <x v="0"/>
    <x v="0"/>
    <x v="0"/>
    <n v="0"/>
    <x v="0"/>
  </r>
  <r>
    <s v="F"/>
    <x v="14"/>
    <n v="77.599999999999994"/>
    <n v="1.78"/>
    <n v="24.5"/>
    <n v="24.491857088751416"/>
    <n v="0"/>
    <x v="0"/>
    <n v="84.6"/>
    <s v="124/90"/>
    <n v="124"/>
    <n v="90"/>
    <n v="143"/>
    <x v="2"/>
    <n v="76"/>
    <n v="108"/>
    <x v="0"/>
    <x v="1"/>
    <x v="0"/>
    <s v="N"/>
    <x v="2"/>
    <n v="178"/>
    <n v="0.47499999999999998"/>
    <x v="0"/>
    <n v="124"/>
    <n v="90"/>
    <x v="3"/>
    <n v="37"/>
    <n v="0.49"/>
    <x v="0"/>
    <n v="13.96"/>
    <x v="2"/>
    <x v="0"/>
    <x v="0"/>
    <n v="0"/>
    <x v="0"/>
  </r>
  <r>
    <s v="F"/>
    <x v="4"/>
    <n v="91.4"/>
    <n v="1.61"/>
    <n v="35.299999999999997"/>
    <n v="35.260985301492994"/>
    <n v="0"/>
    <x v="1"/>
    <n v="93.3"/>
    <s v="111/78"/>
    <n v="111"/>
    <n v="78"/>
    <m/>
    <x v="2"/>
    <n v="69"/>
    <n v="117"/>
    <x v="1"/>
    <x v="0"/>
    <x v="2"/>
    <s v="N"/>
    <x v="0"/>
    <n v="161"/>
    <n v="0.57999999999999996"/>
    <x v="1"/>
    <n v="111"/>
    <n v="78"/>
    <x v="2"/>
    <n v="18"/>
    <n v="0.26"/>
    <x v="0"/>
    <n v="16.95"/>
    <x v="1"/>
    <x v="1"/>
    <x v="1"/>
    <n v="1"/>
    <x v="0"/>
  </r>
  <r>
    <s v="F"/>
    <x v="13"/>
    <n v="91.9"/>
    <n v="1.74"/>
    <n v="30.4"/>
    <n v="30.354075835645396"/>
    <n v="0"/>
    <x v="1"/>
    <n v="72.2"/>
    <s v="137/82"/>
    <n v="137"/>
    <n v="82"/>
    <n v="186"/>
    <x v="0"/>
    <m/>
    <m/>
    <x v="0"/>
    <x v="1"/>
    <x v="2"/>
    <s v="Y"/>
    <x v="2"/>
    <n v="174"/>
    <n v="0.41499999999999998"/>
    <x v="2"/>
    <n v="137"/>
    <n v="82"/>
    <x v="1"/>
    <n v="95"/>
    <s v=""/>
    <x v="0"/>
    <n v="16.649999999999999"/>
    <x v="0"/>
    <x v="0"/>
    <x v="0"/>
    <n v="0"/>
    <x v="0"/>
  </r>
  <r>
    <s v="M"/>
    <x v="19"/>
    <n v="87.9"/>
    <n v="1.9"/>
    <n v="24.3"/>
    <n v="24.34903047091413"/>
    <n v="0"/>
    <x v="0"/>
    <n v="103.7"/>
    <s v="128/93"/>
    <n v="128"/>
    <n v="93"/>
    <n v="178"/>
    <x v="1"/>
    <n v="56"/>
    <n v="78"/>
    <x v="1"/>
    <x v="0"/>
    <x v="0"/>
    <s v="N"/>
    <x v="1"/>
    <n v="190"/>
    <n v="0.54600000000000004"/>
    <x v="1"/>
    <n v="128"/>
    <n v="93"/>
    <x v="3"/>
    <n v="92"/>
    <n v="1.64"/>
    <x v="0"/>
    <n v="16.82"/>
    <x v="0"/>
    <x v="0"/>
    <x v="0"/>
    <n v="0"/>
    <x v="0"/>
  </r>
  <r>
    <s v="M"/>
    <x v="7"/>
    <n v="69.099999999999994"/>
    <n v="1.84"/>
    <n v="20.399999999999999"/>
    <n v="20.409971644612472"/>
    <n v="0"/>
    <x v="0"/>
    <n v="95.9"/>
    <s v="129/78"/>
    <n v="129"/>
    <n v="78"/>
    <n v="131"/>
    <x v="2"/>
    <n v="66"/>
    <n v="113"/>
    <x v="0"/>
    <x v="1"/>
    <x v="0"/>
    <s v="N"/>
    <x v="2"/>
    <n v="184"/>
    <n v="0.52100000000000002"/>
    <x v="0"/>
    <n v="129"/>
    <n v="78"/>
    <x v="0"/>
    <n v="35"/>
    <n v="0.53"/>
    <x v="0"/>
    <n v="13.15"/>
    <x v="2"/>
    <x v="0"/>
    <x v="0"/>
    <n v="0"/>
    <x v="0"/>
  </r>
  <r>
    <s v="F"/>
    <x v="25"/>
    <n v="90"/>
    <n v="1.69"/>
    <n v="31.5"/>
    <n v="31.511501698119819"/>
    <n v="0"/>
    <x v="1"/>
    <n v="72.599999999999994"/>
    <s v="109/67"/>
    <n v="109"/>
    <n v="67"/>
    <n v="256"/>
    <x v="0"/>
    <m/>
    <n v="142"/>
    <x v="1"/>
    <x v="1"/>
    <x v="1"/>
    <s v="N"/>
    <x v="2"/>
    <n v="169"/>
    <n v="0.43"/>
    <x v="2"/>
    <n v="109"/>
    <n v="67"/>
    <x v="2"/>
    <n v="164"/>
    <s v=""/>
    <x v="1"/>
    <n v="16.87"/>
    <x v="1"/>
    <x v="0"/>
    <x v="1"/>
    <n v="1"/>
    <x v="0"/>
  </r>
  <r>
    <s v="F"/>
    <x v="2"/>
    <n v="59.2"/>
    <n v="1.8"/>
    <n v="18.3"/>
    <n v="18.271604938271604"/>
    <n v="0"/>
    <x v="3"/>
    <n v="71.900000000000006"/>
    <s v="116/83"/>
    <n v="116"/>
    <n v="83"/>
    <n v="280"/>
    <x v="0"/>
    <n v="79"/>
    <n v="84"/>
    <x v="0"/>
    <x v="1"/>
    <x v="1"/>
    <s v="N"/>
    <x v="3"/>
    <n v="180"/>
    <n v="0.39900000000000002"/>
    <x v="2"/>
    <n v="116"/>
    <n v="83"/>
    <x v="1"/>
    <n v="171"/>
    <n v="2.16"/>
    <x v="0"/>
    <n v="15.06"/>
    <x v="0"/>
    <x v="0"/>
    <x v="0"/>
    <n v="0"/>
    <x v="0"/>
  </r>
  <r>
    <s v="M"/>
    <x v="15"/>
    <n v="83.7"/>
    <n v="1.83"/>
    <n v="25"/>
    <n v="24.993281375974199"/>
    <n v="0"/>
    <x v="2"/>
    <n v="85.6"/>
    <s v="136/60"/>
    <n v="136"/>
    <n v="60"/>
    <n v="117"/>
    <x v="2"/>
    <m/>
    <n v="86"/>
    <x v="1"/>
    <x v="1"/>
    <x v="1"/>
    <s v="N"/>
    <x v="2"/>
    <n v="183"/>
    <n v="0.46800000000000003"/>
    <x v="0"/>
    <n v="136"/>
    <n v="60"/>
    <x v="1"/>
    <n v="57"/>
    <s v=""/>
    <x v="0"/>
    <n v="14.14"/>
    <x v="0"/>
    <x v="0"/>
    <x v="0"/>
    <n v="0"/>
    <x v="0"/>
  </r>
  <r>
    <s v="F"/>
    <x v="10"/>
    <n v="116.3"/>
    <n v="1.62"/>
    <n v="44.3"/>
    <n v="44.314891022709944"/>
    <n v="0"/>
    <x v="1"/>
    <n v="99.1"/>
    <s v="149/61"/>
    <n v="149"/>
    <n v="61"/>
    <n v="293"/>
    <x v="0"/>
    <n v="52"/>
    <n v="139"/>
    <x v="0"/>
    <x v="0"/>
    <x v="2"/>
    <s v="Y"/>
    <x v="0"/>
    <n v="162"/>
    <n v="0.61199999999999999"/>
    <x v="3"/>
    <n v="149"/>
    <n v="61"/>
    <x v="3"/>
    <m/>
    <n v="0"/>
    <x v="0"/>
    <n v="24.17"/>
    <x v="1"/>
    <x v="0"/>
    <x v="1"/>
    <n v="1"/>
    <x v="1"/>
  </r>
  <r>
    <s v="F"/>
    <x v="26"/>
    <n v="50.4"/>
    <n v="1.62"/>
    <n v="19.2"/>
    <n v="19.20438957475994"/>
    <n v="0"/>
    <x v="0"/>
    <n v="92.6"/>
    <s v="133/74"/>
    <n v="133"/>
    <n v="74"/>
    <n v="288"/>
    <x v="0"/>
    <n v="48"/>
    <n v="134"/>
    <x v="0"/>
    <x v="1"/>
    <x v="2"/>
    <s v="N"/>
    <x v="3"/>
    <n v="162"/>
    <n v="0.57199999999999995"/>
    <x v="1"/>
    <n v="133"/>
    <n v="74"/>
    <x v="1"/>
    <n v="210"/>
    <n v="4.38"/>
    <x v="0"/>
    <n v="16.25"/>
    <x v="0"/>
    <x v="0"/>
    <x v="0"/>
    <n v="0"/>
    <x v="0"/>
  </r>
  <r>
    <s v="M"/>
    <x v="7"/>
    <n v="66.8"/>
    <n v="1.81"/>
    <n v="20.399999999999999"/>
    <n v="20.390097982357069"/>
    <n v="0"/>
    <x v="0"/>
    <n v="100.8"/>
    <s v="142/67"/>
    <n v="142"/>
    <n v="67"/>
    <m/>
    <x v="2"/>
    <n v="45"/>
    <n v="93"/>
    <x v="0"/>
    <x v="1"/>
    <x v="0"/>
    <s v="Y"/>
    <x v="0"/>
    <n v="181"/>
    <n v="0.55700000000000005"/>
    <x v="1"/>
    <m/>
    <n v="67"/>
    <x v="3"/>
    <n v="57"/>
    <n v="1.27"/>
    <x v="0"/>
    <n v="13.82"/>
    <x v="0"/>
    <x v="0"/>
    <x v="0"/>
    <n v="0"/>
    <x v="0"/>
  </r>
  <r>
    <s v="M"/>
    <x v="1"/>
    <m/>
    <n v="1.72"/>
    <n v="30.4"/>
    <n v="0"/>
    <n v="1"/>
    <x v="1"/>
    <n v="92.4"/>
    <s v="149/93"/>
    <n v="149"/>
    <n v="93"/>
    <n v="187"/>
    <x v="0"/>
    <n v="72"/>
    <n v="149"/>
    <x v="1"/>
    <x v="0"/>
    <x v="1"/>
    <s v="N"/>
    <x v="0"/>
    <n v="172"/>
    <n v="0.53700000000000003"/>
    <x v="1"/>
    <n v="149"/>
    <n v="93"/>
    <x v="3"/>
    <n v="85"/>
    <n v="1.18"/>
    <x v="0"/>
    <n v="19.27"/>
    <x v="1"/>
    <x v="1"/>
    <x v="1"/>
    <n v="1"/>
    <x v="1"/>
  </r>
  <r>
    <s v="M"/>
    <x v="27"/>
    <n v="59"/>
    <n v="1.71"/>
    <n v="20.2"/>
    <n v="20.177148524332274"/>
    <n v="0"/>
    <x v="0"/>
    <n v="107.6"/>
    <s v="138/96"/>
    <n v="138"/>
    <n v="96"/>
    <n v="271"/>
    <x v="0"/>
    <n v="56"/>
    <n v="111"/>
    <x v="1"/>
    <x v="0"/>
    <x v="0"/>
    <s v="N"/>
    <x v="1"/>
    <n v="171"/>
    <n v="0.629"/>
    <x v="3"/>
    <n v="138"/>
    <n v="96"/>
    <x v="1"/>
    <n v="185"/>
    <n v="3.3"/>
    <x v="0"/>
    <n v="18.36"/>
    <x v="1"/>
    <x v="0"/>
    <x v="1"/>
    <n v="1"/>
    <x v="0"/>
  </r>
  <r>
    <s v="F"/>
    <x v="26"/>
    <n v="76.900000000000006"/>
    <n v="1.8"/>
    <n v="23.7"/>
    <n v="23.73456790123457"/>
    <n v="0"/>
    <x v="0"/>
    <m/>
    <s v="93/89"/>
    <n v="93"/>
    <n v="89"/>
    <n v="294"/>
    <x v="0"/>
    <n v="57"/>
    <n v="150"/>
    <x v="1"/>
    <x v="1"/>
    <x v="2"/>
    <s v="Y"/>
    <x v="0"/>
    <n v="180"/>
    <n v="0.48399999999999999"/>
    <x v="0"/>
    <n v="93"/>
    <n v="89"/>
    <x v="1"/>
    <n v="207"/>
    <n v="3.63"/>
    <x v="0"/>
    <n v="15.27"/>
    <x v="1"/>
    <x v="0"/>
    <x v="1"/>
    <n v="1"/>
    <x v="0"/>
  </r>
  <r>
    <s v="F"/>
    <x v="7"/>
    <n v="67.400000000000006"/>
    <n v="1.63"/>
    <n v="25.4"/>
    <n v="25.367909970266105"/>
    <n v="0"/>
    <x v="2"/>
    <n v="100"/>
    <s v="123/77"/>
    <n v="123"/>
    <n v="77"/>
    <n v="196"/>
    <x v="0"/>
    <n v="30"/>
    <n v="71"/>
    <x v="0"/>
    <x v="0"/>
    <x v="2"/>
    <s v="N"/>
    <x v="2"/>
    <n v="163"/>
    <n v="0.61299999999999999"/>
    <x v="3"/>
    <n v="123"/>
    <n v="77"/>
    <x v="0"/>
    <n v="136"/>
    <n v="4.53"/>
    <x v="0"/>
    <n v="17.149999999999999"/>
    <x v="0"/>
    <x v="0"/>
    <x v="0"/>
    <n v="0"/>
    <x v="0"/>
  </r>
  <r>
    <s v="M"/>
    <x v="18"/>
    <n v="91.4"/>
    <m/>
    <n v="30.9"/>
    <s v=""/>
    <s v=""/>
    <x v="1"/>
    <n v="96.3"/>
    <s v="106/83"/>
    <n v="106"/>
    <n v="83"/>
    <n v="126"/>
    <x v="2"/>
    <n v="32"/>
    <n v="72"/>
    <x v="0"/>
    <x v="0"/>
    <x v="2"/>
    <s v="N"/>
    <x v="2"/>
    <n v="172"/>
    <n v="0.56000000000000005"/>
    <x v="1"/>
    <n v="106"/>
    <n v="83"/>
    <x v="1"/>
    <n v="64"/>
    <n v="2"/>
    <x v="0"/>
    <m/>
    <x v="0"/>
    <x v="0"/>
    <x v="0"/>
    <n v="0"/>
    <x v="0"/>
  </r>
  <r>
    <s v="F"/>
    <x v="11"/>
    <n v="91.4"/>
    <n v="1.74"/>
    <n v="30.2"/>
    <n v="30.188928524243625"/>
    <n v="0"/>
    <x v="1"/>
    <n v="98.7"/>
    <s v="117/64"/>
    <n v="117"/>
    <n v="64"/>
    <m/>
    <x v="2"/>
    <n v="35"/>
    <n v="101"/>
    <x v="1"/>
    <x v="0"/>
    <x v="2"/>
    <s v="Y"/>
    <x v="1"/>
    <n v="174"/>
    <n v="0.56699999999999995"/>
    <x v="1"/>
    <n v="117"/>
    <n v="64"/>
    <x v="2"/>
    <n v="90"/>
    <n v="2.57"/>
    <x v="0"/>
    <n v="16.989999999999998"/>
    <x v="1"/>
    <x v="0"/>
    <x v="1"/>
    <n v="1"/>
    <x v="0"/>
  </r>
  <r>
    <s v="M"/>
    <x v="13"/>
    <n v="100.8"/>
    <n v="1.7"/>
    <n v="34.9"/>
    <n v="34.878892733564015"/>
    <n v="0"/>
    <x v="1"/>
    <n v="108.8"/>
    <s v="100/80"/>
    <n v="100"/>
    <n v="80"/>
    <m/>
    <x v="2"/>
    <n v="71"/>
    <n v="148"/>
    <x v="0"/>
    <x v="1"/>
    <x v="0"/>
    <s v="Y"/>
    <x v="0"/>
    <n v="170"/>
    <n v="0.64"/>
    <x v="3"/>
    <n v="100"/>
    <n v="80"/>
    <x v="1"/>
    <n v="11"/>
    <n v="0.15"/>
    <x v="0"/>
    <n v="14.22"/>
    <x v="0"/>
    <x v="0"/>
    <x v="0"/>
    <n v="0"/>
    <x v="0"/>
  </r>
  <r>
    <s v="F"/>
    <x v="7"/>
    <n v="104.3"/>
    <n v="1.78"/>
    <n v="32.9"/>
    <n v="32.918823380886252"/>
    <n v="0"/>
    <x v="1"/>
    <n v="108.7"/>
    <s v="99/70"/>
    <n v="99"/>
    <n v="70"/>
    <n v="164"/>
    <x v="1"/>
    <n v="56"/>
    <n v="120"/>
    <x v="0"/>
    <x v="1"/>
    <x v="2"/>
    <s v="Y"/>
    <x v="2"/>
    <n v="178"/>
    <n v="0.61099999999999999"/>
    <x v="3"/>
    <n v="99"/>
    <n v="70"/>
    <x v="2"/>
    <n v="78"/>
    <n v="1.39"/>
    <x v="0"/>
    <n v="14.81"/>
    <x v="0"/>
    <x v="0"/>
    <x v="0"/>
    <n v="0"/>
    <x v="0"/>
  </r>
  <r>
    <s v="F"/>
    <x v="15"/>
    <n v="96.2"/>
    <n v="1.89"/>
    <n v="26.9"/>
    <n v="26.93093698384704"/>
    <n v="0"/>
    <x v="2"/>
    <n v="91.8"/>
    <s v="145/60"/>
    <n v="145"/>
    <n v="60"/>
    <n v="227"/>
    <x v="0"/>
    <n v="66"/>
    <n v="137"/>
    <x v="0"/>
    <x v="1"/>
    <x v="2"/>
    <s v="Y"/>
    <x v="2"/>
    <m/>
    <n v="0.48599999999999999"/>
    <x v="0"/>
    <n v="145"/>
    <n v="60"/>
    <x v="3"/>
    <n v="131"/>
    <n v="1.98"/>
    <x v="0"/>
    <n v="17.170000000000002"/>
    <x v="0"/>
    <x v="0"/>
    <x v="0"/>
    <n v="0"/>
    <x v="0"/>
  </r>
  <r>
    <s v="M"/>
    <x v="18"/>
    <n v="117.6"/>
    <n v="1.76"/>
    <n v="38"/>
    <n v="37.964876033057848"/>
    <n v="0"/>
    <x v="1"/>
    <n v="105"/>
    <s v="104/96"/>
    <n v="104"/>
    <n v="96"/>
    <n v="173"/>
    <x v="1"/>
    <n v="58"/>
    <n v="113"/>
    <x v="0"/>
    <x v="1"/>
    <x v="1"/>
    <s v="N"/>
    <x v="3"/>
    <n v="176"/>
    <n v="0.59699999999999998"/>
    <x v="3"/>
    <n v="104"/>
    <n v="96"/>
    <x v="3"/>
    <n v="85"/>
    <n v="1.47"/>
    <x v="0"/>
    <n v="16.260000000000002"/>
    <x v="2"/>
    <x v="0"/>
    <x v="0"/>
    <n v="0"/>
    <x v="0"/>
  </r>
  <r>
    <s v="F"/>
    <x v="30"/>
    <n v="106.4"/>
    <n v="1.83"/>
    <n v="31.8"/>
    <n v="31.771626504225267"/>
    <n v="0"/>
    <x v="1"/>
    <n v="89"/>
    <s v="110/71"/>
    <n v="110"/>
    <n v="71"/>
    <n v="103"/>
    <x v="2"/>
    <n v="72"/>
    <n v="108"/>
    <x v="1"/>
    <x v="0"/>
    <x v="1"/>
    <s v="Y"/>
    <x v="1"/>
    <n v="183"/>
    <n v="0.48599999999999999"/>
    <x v="0"/>
    <n v="110"/>
    <n v="71"/>
    <x v="2"/>
    <n v="1"/>
    <n v="0.01"/>
    <x v="0"/>
    <n v="15.92"/>
    <x v="1"/>
    <x v="1"/>
    <x v="1"/>
    <n v="1"/>
    <x v="0"/>
  </r>
  <r>
    <s v="F"/>
    <x v="3"/>
    <n v="73.3"/>
    <n v="1.63"/>
    <n v="27.6"/>
    <n v="27.588543038879898"/>
    <n v="0"/>
    <x v="2"/>
    <n v="108.7"/>
    <s v="123/89"/>
    <n v="123"/>
    <n v="89"/>
    <n v="169"/>
    <x v="1"/>
    <n v="32"/>
    <n v="93"/>
    <x v="0"/>
    <x v="0"/>
    <x v="2"/>
    <s v="N"/>
    <x v="2"/>
    <n v="163"/>
    <n v="0.66700000000000004"/>
    <x v="3"/>
    <n v="123"/>
    <n v="89"/>
    <x v="1"/>
    <n v="107"/>
    <n v="3.34"/>
    <x v="0"/>
    <n v="17.05"/>
    <x v="0"/>
    <x v="0"/>
    <x v="0"/>
    <n v="0"/>
    <x v="0"/>
  </r>
  <r>
    <s v="M"/>
    <x v="12"/>
    <n v="57.2"/>
    <n v="1.86"/>
    <n v="16.5"/>
    <n v="16.533703318302692"/>
    <n v="0"/>
    <x v="3"/>
    <n v="88.8"/>
    <s v="93/85"/>
    <n v="93"/>
    <n v="85"/>
    <n v="115"/>
    <x v="2"/>
    <n v="36"/>
    <n v="142"/>
    <x v="0"/>
    <x v="0"/>
    <x v="2"/>
    <s v="Y"/>
    <x v="0"/>
    <n v="186"/>
    <n v="0.47699999999999998"/>
    <x v="0"/>
    <n v="93"/>
    <n v="85"/>
    <x v="1"/>
    <n v="49"/>
    <n v="1.36"/>
    <x v="0"/>
    <n v="12.25"/>
    <x v="0"/>
    <x v="0"/>
    <x v="0"/>
    <n v="0"/>
    <x v="0"/>
  </r>
  <r>
    <s v="M"/>
    <x v="7"/>
    <n v="63.6"/>
    <n v="1.81"/>
    <n v="19.399999999999999"/>
    <n v="19.413326821525594"/>
    <n v="0"/>
    <x v="0"/>
    <m/>
    <s v="95/66"/>
    <n v="95"/>
    <n v="66"/>
    <n v="169"/>
    <x v="1"/>
    <n v="69"/>
    <n v="115"/>
    <x v="1"/>
    <x v="1"/>
    <x v="1"/>
    <s v="Y"/>
    <x v="0"/>
    <n v="181"/>
    <n v="0.50700000000000001"/>
    <x v="0"/>
    <n v="95"/>
    <n v="66"/>
    <x v="2"/>
    <n v="70"/>
    <n v="1.01"/>
    <x v="0"/>
    <n v="12.01"/>
    <x v="0"/>
    <x v="0"/>
    <x v="0"/>
    <n v="0"/>
    <x v="0"/>
  </r>
  <r>
    <s v="M"/>
    <x v="0"/>
    <n v="65.400000000000006"/>
    <n v="1.7"/>
    <n v="22.6"/>
    <n v="22.629757785467131"/>
    <n v="0"/>
    <x v="0"/>
    <m/>
    <s v="129/94"/>
    <n v="129"/>
    <n v="94"/>
    <n v="129"/>
    <x v="2"/>
    <n v="52"/>
    <n v="89"/>
    <x v="0"/>
    <x v="1"/>
    <x v="0"/>
    <s v="N"/>
    <x v="2"/>
    <n v="170"/>
    <n v="0.44800000000000001"/>
    <x v="2"/>
    <n v="129"/>
    <n v="94"/>
    <x v="3"/>
    <n v="47"/>
    <n v="0.9"/>
    <x v="0"/>
    <n v="13.55"/>
    <x v="2"/>
    <x v="0"/>
    <x v="0"/>
    <n v="0"/>
    <x v="0"/>
  </r>
  <r>
    <s v="F"/>
    <x v="21"/>
    <n v="96.3"/>
    <n v="1.71"/>
    <n v="32.9"/>
    <n v="32.933210218528778"/>
    <n v="0"/>
    <x v="1"/>
    <n v="74.2"/>
    <s v="99/83"/>
    <n v="99"/>
    <n v="83"/>
    <n v="290"/>
    <x v="0"/>
    <n v="35"/>
    <n v="132"/>
    <x v="0"/>
    <x v="1"/>
    <x v="1"/>
    <s v="Y"/>
    <x v="2"/>
    <m/>
    <n v="0.434"/>
    <x v="2"/>
    <n v="99"/>
    <n v="83"/>
    <x v="1"/>
    <n v="225"/>
    <n v="6.43"/>
    <x v="0"/>
    <n v="17.329999999999998"/>
    <x v="1"/>
    <x v="0"/>
    <x v="1"/>
    <n v="1"/>
    <x v="0"/>
  </r>
  <r>
    <s v="M"/>
    <x v="13"/>
    <n v="54"/>
    <n v="1.61"/>
    <m/>
    <n v="20.832529609197174"/>
    <n v="1"/>
    <x v="3"/>
    <n v="96.7"/>
    <s v="116/72"/>
    <n v="116"/>
    <n v="72"/>
    <n v="253"/>
    <x v="0"/>
    <n v="37"/>
    <m/>
    <x v="0"/>
    <x v="1"/>
    <x v="1"/>
    <s v="Y"/>
    <x v="2"/>
    <n v="161"/>
    <n v="0.60099999999999998"/>
    <x v="3"/>
    <n v="116"/>
    <n v="72"/>
    <x v="2"/>
    <n v="186"/>
    <n v="5.03"/>
    <x v="0"/>
    <n v="15.02"/>
    <x v="0"/>
    <x v="0"/>
    <x v="0"/>
    <n v="0"/>
    <x v="0"/>
  </r>
  <r>
    <s v="M"/>
    <x v="11"/>
    <n v="62.1"/>
    <n v="1.68"/>
    <n v="22"/>
    <n v="22.002551020408166"/>
    <n v="0"/>
    <x v="0"/>
    <n v="71"/>
    <s v="110/93"/>
    <n v="110"/>
    <n v="93"/>
    <n v="184"/>
    <x v="0"/>
    <n v="51"/>
    <n v="144"/>
    <x v="1"/>
    <x v="0"/>
    <x v="0"/>
    <s v="N"/>
    <x v="1"/>
    <n v="168"/>
    <n v="0.42299999999999999"/>
    <x v="2"/>
    <n v="110"/>
    <n v="93"/>
    <x v="3"/>
    <m/>
    <n v="0"/>
    <x v="0"/>
    <n v="15.58"/>
    <x v="0"/>
    <x v="0"/>
    <x v="0"/>
    <n v="0"/>
    <x v="0"/>
  </r>
  <r>
    <s v="F"/>
    <x v="9"/>
    <n v="119"/>
    <n v="1.64"/>
    <n v="44.2"/>
    <n v="44.244497323022017"/>
    <n v="0"/>
    <x v="1"/>
    <n v="73.599999999999994"/>
    <s v="116/69"/>
    <n v="116"/>
    <n v="69"/>
    <n v="139"/>
    <x v="2"/>
    <n v="38"/>
    <n v="128"/>
    <x v="0"/>
    <x v="0"/>
    <x v="2"/>
    <s v="N"/>
    <x v="2"/>
    <n v="164"/>
    <n v="0.44900000000000001"/>
    <x v="2"/>
    <n v="116"/>
    <n v="69"/>
    <x v="2"/>
    <n v="71"/>
    <n v="1.87"/>
    <x v="0"/>
    <n v="19.420000000000002"/>
    <x v="0"/>
    <x v="0"/>
    <x v="0"/>
    <n v="0"/>
    <x v="0"/>
  </r>
  <r>
    <s v="M"/>
    <x v="12"/>
    <n v="88.7"/>
    <n v="1.62"/>
    <n v="33.799999999999997"/>
    <n v="33.798201493674739"/>
    <n v="0"/>
    <x v="1"/>
    <n v="109.2"/>
    <s v="111/76"/>
    <n v="111"/>
    <n v="76"/>
    <n v="285"/>
    <x v="0"/>
    <n v="53"/>
    <n v="120"/>
    <x v="0"/>
    <x v="0"/>
    <x v="0"/>
    <s v="Y"/>
    <x v="1"/>
    <n v="162"/>
    <n v="0.67400000000000004"/>
    <x v="3"/>
    <n v="111"/>
    <m/>
    <x v="2"/>
    <n v="202"/>
    <n v="3.81"/>
    <x v="1"/>
    <n v="20.010000000000002"/>
    <x v="1"/>
    <x v="0"/>
    <x v="1"/>
    <n v="1"/>
    <x v="0"/>
  </r>
  <r>
    <s v="M"/>
    <x v="25"/>
    <n v="58.4"/>
    <n v="1.71"/>
    <n v="20"/>
    <n v="19.971957183406861"/>
    <n v="0"/>
    <x v="0"/>
    <n v="86.4"/>
    <s v="123/75"/>
    <n v="123"/>
    <n v="75"/>
    <n v="210"/>
    <x v="0"/>
    <n v="43"/>
    <n v="111"/>
    <x v="0"/>
    <x v="1"/>
    <x v="1"/>
    <s v="Y"/>
    <x v="2"/>
    <n v="171"/>
    <n v="0.505"/>
    <x v="0"/>
    <n v="123"/>
    <n v="75"/>
    <x v="0"/>
    <n v="137"/>
    <n v="3.19"/>
    <x v="0"/>
    <n v="14.35"/>
    <x v="0"/>
    <x v="0"/>
    <x v="0"/>
    <n v="0"/>
    <x v="0"/>
  </r>
  <r>
    <s v="F"/>
    <x v="29"/>
    <n v="54.1"/>
    <n v="1.86"/>
    <n v="15.6"/>
    <n v="15.637645970632441"/>
    <n v="0"/>
    <x v="3"/>
    <n v="74.099999999999994"/>
    <s v="125/61"/>
    <n v="125"/>
    <n v="61"/>
    <n v="299"/>
    <x v="0"/>
    <n v="32"/>
    <n v="120"/>
    <x v="0"/>
    <x v="0"/>
    <x v="1"/>
    <s v="Y"/>
    <x v="0"/>
    <n v="186"/>
    <n v="0.39800000000000002"/>
    <x v="2"/>
    <n v="125"/>
    <n v="61"/>
    <x v="0"/>
    <n v="237"/>
    <n v="7.41"/>
    <x v="0"/>
    <n v="17.350000000000001"/>
    <x v="1"/>
    <x v="0"/>
    <x v="1"/>
    <n v="1"/>
    <x v="0"/>
  </r>
  <r>
    <s v="F"/>
    <x v="11"/>
    <n v="61.8"/>
    <n v="1.87"/>
    <n v="17.7"/>
    <n v="17.672795904944376"/>
    <n v="0"/>
    <x v="3"/>
    <n v="94.3"/>
    <s v="93/63"/>
    <n v="93"/>
    <n v="63"/>
    <n v="188"/>
    <x v="0"/>
    <n v="77"/>
    <n v="125"/>
    <x v="0"/>
    <x v="0"/>
    <x v="2"/>
    <s v="N"/>
    <x v="2"/>
    <n v="187"/>
    <n v="0.504"/>
    <x v="0"/>
    <n v="93"/>
    <n v="63"/>
    <x v="2"/>
    <n v="81"/>
    <n v="1.05"/>
    <x v="0"/>
    <n v="13.95"/>
    <x v="2"/>
    <x v="0"/>
    <x v="0"/>
    <n v="0"/>
    <x v="0"/>
  </r>
  <r>
    <s v="F"/>
    <x v="18"/>
    <n v="64.900000000000006"/>
    <n v="1.77"/>
    <n v="20.7"/>
    <n v="20.715630885122412"/>
    <n v="0"/>
    <x v="0"/>
    <n v="98.2"/>
    <s v="141/79"/>
    <n v="141"/>
    <n v="79"/>
    <n v="178"/>
    <x v="1"/>
    <n v="45"/>
    <n v="77"/>
    <x v="0"/>
    <x v="1"/>
    <x v="0"/>
    <s v="N"/>
    <x v="2"/>
    <n v="177"/>
    <n v="0.55500000000000005"/>
    <x v="1"/>
    <n v="141"/>
    <m/>
    <x v="3"/>
    <n v="103"/>
    <n v="2.29"/>
    <x v="0"/>
    <n v="14.75"/>
    <x v="2"/>
    <x v="0"/>
    <x v="0"/>
    <n v="0"/>
    <x v="0"/>
  </r>
  <r>
    <s v="M"/>
    <x v="31"/>
    <n v="91.5"/>
    <n v="1.84"/>
    <n v="27"/>
    <n v="27.026228733459355"/>
    <n v="0"/>
    <x v="2"/>
    <n v="106.6"/>
    <s v="138/100"/>
    <n v="138"/>
    <n v="100"/>
    <n v="209"/>
    <x v="0"/>
    <n v="35"/>
    <n v="107"/>
    <x v="0"/>
    <x v="0"/>
    <x v="1"/>
    <s v="N"/>
    <x v="2"/>
    <n v="184"/>
    <m/>
    <x v="4"/>
    <n v="138"/>
    <n v="100"/>
    <x v="1"/>
    <n v="144"/>
    <n v="4.1100000000000003"/>
    <x v="0"/>
    <n v="18.48"/>
    <x v="1"/>
    <x v="0"/>
    <x v="1"/>
    <n v="1"/>
    <x v="1"/>
  </r>
  <r>
    <s v="F"/>
    <x v="15"/>
    <n v="99.2"/>
    <n v="1.8"/>
    <n v="30.6"/>
    <n v="30.617283950617281"/>
    <n v="0"/>
    <x v="1"/>
    <n v="71.599999999999994"/>
    <s v="108/65"/>
    <n v="108"/>
    <n v="65"/>
    <n v="206"/>
    <x v="0"/>
    <n v="78"/>
    <n v="95"/>
    <x v="1"/>
    <x v="1"/>
    <x v="1"/>
    <s v="Y"/>
    <x v="0"/>
    <n v="180"/>
    <m/>
    <x v="4"/>
    <m/>
    <n v="65"/>
    <x v="2"/>
    <n v="98"/>
    <n v="1.26"/>
    <x v="0"/>
    <n v="15.64"/>
    <x v="1"/>
    <x v="1"/>
    <x v="1"/>
    <n v="1"/>
    <x v="0"/>
  </r>
  <r>
    <s v="M"/>
    <x v="13"/>
    <n v="102.6"/>
    <m/>
    <m/>
    <s v=""/>
    <s v=""/>
    <x v="3"/>
    <n v="96.9"/>
    <s v="137/81"/>
    <n v="137"/>
    <n v="81"/>
    <n v="240"/>
    <x v="0"/>
    <n v="77"/>
    <n v="120"/>
    <x v="1"/>
    <x v="1"/>
    <x v="1"/>
    <s v="N"/>
    <x v="2"/>
    <m/>
    <n v="0.58699999999999997"/>
    <x v="3"/>
    <n v="137"/>
    <n v="81"/>
    <x v="1"/>
    <n v="133"/>
    <n v="1.73"/>
    <x v="0"/>
    <n v="19.190000000000001"/>
    <x v="0"/>
    <x v="0"/>
    <x v="0"/>
    <n v="0"/>
    <x v="0"/>
  </r>
  <r>
    <s v="M"/>
    <x v="14"/>
    <n v="87.7"/>
    <n v="1.86"/>
    <n v="25.3"/>
    <n v="25.34975141634871"/>
    <n v="0"/>
    <x v="2"/>
    <n v="87.9"/>
    <s v="135/91"/>
    <n v="135"/>
    <n v="91"/>
    <n v="253"/>
    <x v="0"/>
    <n v="74"/>
    <n v="124"/>
    <x v="1"/>
    <x v="1"/>
    <x v="1"/>
    <s v="Y"/>
    <x v="0"/>
    <n v="186"/>
    <n v="0.47299999999999998"/>
    <x v="0"/>
    <n v="135"/>
    <n v="91"/>
    <x v="1"/>
    <n v="149"/>
    <n v="2.0099999999999998"/>
    <x v="0"/>
    <n v="16.87"/>
    <x v="1"/>
    <x v="1"/>
    <x v="1"/>
    <n v="1"/>
    <x v="0"/>
  </r>
  <r>
    <s v="F"/>
    <x v="18"/>
    <n v="103.1"/>
    <n v="1.81"/>
    <n v="31.5"/>
    <n v="31.47034583803913"/>
    <n v="0"/>
    <x v="1"/>
    <n v="74"/>
    <s v="109/70"/>
    <n v="109"/>
    <n v="70"/>
    <n v="120"/>
    <x v="2"/>
    <m/>
    <n v="144"/>
    <x v="1"/>
    <x v="0"/>
    <x v="1"/>
    <s v="Y"/>
    <x v="1"/>
    <n v="181"/>
    <n v="0.40899999999999997"/>
    <x v="2"/>
    <n v="109"/>
    <n v="70"/>
    <x v="2"/>
    <n v="53"/>
    <s v=""/>
    <x v="0"/>
    <n v="16.149999999999999"/>
    <x v="1"/>
    <x v="0"/>
    <x v="1"/>
    <n v="1"/>
    <x v="0"/>
  </r>
  <r>
    <s v="F"/>
    <x v="2"/>
    <n v="59.8"/>
    <n v="1.67"/>
    <n v="21.4"/>
    <n v="21.442145648822116"/>
    <n v="0"/>
    <x v="0"/>
    <n v="97.1"/>
    <s v="129/80"/>
    <n v="129"/>
    <n v="80"/>
    <n v="196"/>
    <x v="0"/>
    <n v="41"/>
    <n v="125"/>
    <x v="1"/>
    <x v="1"/>
    <x v="0"/>
    <s v="N"/>
    <x v="0"/>
    <n v="167"/>
    <n v="0.58099999999999996"/>
    <x v="1"/>
    <n v="129"/>
    <n v="80"/>
    <x v="1"/>
    <n v="125"/>
    <n v="3.05"/>
    <x v="0"/>
    <n v="14.65"/>
    <x v="0"/>
    <x v="0"/>
    <x v="0"/>
    <n v="0"/>
    <x v="0"/>
  </r>
  <r>
    <s v="M"/>
    <x v="14"/>
    <n v="53.9"/>
    <n v="1.79"/>
    <n v="16.8"/>
    <n v="16.822196560656657"/>
    <n v="0"/>
    <x v="3"/>
    <n v="74.3"/>
    <s v="136/97"/>
    <n v="136"/>
    <n v="97"/>
    <n v="129"/>
    <x v="2"/>
    <n v="47"/>
    <n v="138"/>
    <x v="0"/>
    <x v="0"/>
    <x v="1"/>
    <s v="N"/>
    <x v="2"/>
    <n v="179"/>
    <n v="0.41499999999999998"/>
    <x v="2"/>
    <n v="136"/>
    <n v="97"/>
    <x v="1"/>
    <n v="52"/>
    <n v="1.1100000000000001"/>
    <x v="0"/>
    <n v="14.74"/>
    <x v="2"/>
    <x v="0"/>
    <x v="0"/>
    <n v="0"/>
    <x v="0"/>
  </r>
  <r>
    <s v="M"/>
    <x v="23"/>
    <n v="108.8"/>
    <n v="1.77"/>
    <n v="34.700000000000003"/>
    <n v="34.728207092470228"/>
    <n v="0"/>
    <x v="1"/>
    <n v="104.2"/>
    <s v="96/93"/>
    <n v="96"/>
    <n v="93"/>
    <n v="277"/>
    <x v="0"/>
    <n v="38"/>
    <n v="113"/>
    <x v="1"/>
    <x v="0"/>
    <x v="2"/>
    <s v="Y"/>
    <x v="1"/>
    <n v="177"/>
    <m/>
    <x v="4"/>
    <n v="96"/>
    <n v="93"/>
    <x v="3"/>
    <n v="209"/>
    <n v="5.5"/>
    <x v="0"/>
    <n v="19.28"/>
    <x v="1"/>
    <x v="0"/>
    <x v="1"/>
    <n v="1"/>
    <x v="1"/>
  </r>
  <r>
    <s v="F"/>
    <x v="0"/>
    <n v="51.3"/>
    <n v="1.6"/>
    <n v="20"/>
    <n v="20.039062499999996"/>
    <n v="0"/>
    <x v="0"/>
    <n v="86.8"/>
    <s v="136/61"/>
    <n v="136"/>
    <n v="61"/>
    <n v="162"/>
    <x v="1"/>
    <n v="46"/>
    <n v="88"/>
    <x v="1"/>
    <x v="1"/>
    <x v="1"/>
    <s v="N"/>
    <x v="2"/>
    <n v="160"/>
    <n v="0.54200000000000004"/>
    <x v="1"/>
    <n v="136"/>
    <n v="61"/>
    <x v="1"/>
    <n v="86"/>
    <n v="1.87"/>
    <x v="0"/>
    <n v="14.04"/>
    <x v="2"/>
    <x v="0"/>
    <x v="0"/>
    <n v="0"/>
    <x v="0"/>
  </r>
  <r>
    <s v="M"/>
    <x v="17"/>
    <n v="90.9"/>
    <n v="1.61"/>
    <m/>
    <n v="35.068091508815243"/>
    <n v="1"/>
    <x v="3"/>
    <n v="97.9"/>
    <s v="103/69"/>
    <n v="103"/>
    <n v="69"/>
    <n v="233"/>
    <x v="0"/>
    <n v="72"/>
    <n v="138"/>
    <x v="1"/>
    <x v="1"/>
    <x v="2"/>
    <s v="Y"/>
    <x v="0"/>
    <n v="161"/>
    <n v="0.60799999999999998"/>
    <x v="3"/>
    <n v="103"/>
    <n v="69"/>
    <x v="2"/>
    <n v="131"/>
    <n v="1.82"/>
    <x v="1"/>
    <n v="16.829999999999998"/>
    <x v="1"/>
    <x v="1"/>
    <x v="1"/>
    <n v="1"/>
    <x v="0"/>
  </r>
  <r>
    <s v="M"/>
    <x v="4"/>
    <n v="108.5"/>
    <m/>
    <n v="40.799999999999997"/>
    <s v=""/>
    <s v=""/>
    <x v="1"/>
    <n v="90.3"/>
    <s v="135/90"/>
    <n v="135"/>
    <n v="90"/>
    <n v="208"/>
    <x v="0"/>
    <n v="40"/>
    <n v="142"/>
    <x v="1"/>
    <x v="0"/>
    <x v="2"/>
    <s v="Y"/>
    <x v="1"/>
    <n v="163"/>
    <n v="0.55400000000000005"/>
    <x v="1"/>
    <n v="135"/>
    <m/>
    <x v="1"/>
    <n v="138"/>
    <n v="3.45"/>
    <x v="0"/>
    <n v="21.07"/>
    <x v="1"/>
    <x v="0"/>
    <x v="1"/>
    <n v="1"/>
    <x v="1"/>
  </r>
  <r>
    <s v="M"/>
    <x v="9"/>
    <n v="59.3"/>
    <n v="1.61"/>
    <n v="22.9"/>
    <n v="22.877203811581339"/>
    <n v="0"/>
    <x v="0"/>
    <n v="87.6"/>
    <s v="121/68"/>
    <n v="121"/>
    <n v="68"/>
    <n v="168"/>
    <x v="1"/>
    <n v="34"/>
    <n v="124"/>
    <x v="0"/>
    <x v="0"/>
    <x v="1"/>
    <s v="Y"/>
    <x v="0"/>
    <n v="161"/>
    <m/>
    <x v="4"/>
    <n v="121"/>
    <n v="68"/>
    <x v="0"/>
    <n v="104"/>
    <n v="3.06"/>
    <x v="0"/>
    <n v="15.99"/>
    <x v="0"/>
    <x v="0"/>
    <x v="0"/>
    <n v="0"/>
    <x v="0"/>
  </r>
  <r>
    <s v="M"/>
    <x v="15"/>
    <n v="110.5"/>
    <n v="1.88"/>
    <n v="31.3"/>
    <n v="31.264146672702584"/>
    <n v="0"/>
    <x v="1"/>
    <n v="106.6"/>
    <s v="148/64"/>
    <n v="148"/>
    <n v="64"/>
    <n v="208"/>
    <x v="0"/>
    <n v="52"/>
    <n v="135"/>
    <x v="0"/>
    <x v="1"/>
    <x v="1"/>
    <s v="Y"/>
    <x v="2"/>
    <n v="188"/>
    <n v="0.56699999999999995"/>
    <x v="1"/>
    <n v="148"/>
    <n v="64"/>
    <x v="3"/>
    <n v="126"/>
    <n v="2.42"/>
    <x v="0"/>
    <n v="17.82"/>
    <x v="0"/>
    <x v="0"/>
    <x v="0"/>
    <n v="0"/>
    <x v="0"/>
  </r>
  <r>
    <s v="M"/>
    <x v="12"/>
    <m/>
    <n v="1.61"/>
    <n v="26.7"/>
    <n v="0"/>
    <n v="1"/>
    <x v="2"/>
    <m/>
    <s v="150/78"/>
    <n v="150"/>
    <n v="78"/>
    <n v="269"/>
    <x v="0"/>
    <n v="43"/>
    <n v="122"/>
    <x v="0"/>
    <x v="0"/>
    <x v="1"/>
    <s v="Y"/>
    <x v="0"/>
    <n v="161"/>
    <n v="0.61199999999999999"/>
    <x v="3"/>
    <n v="150"/>
    <n v="78"/>
    <x v="3"/>
    <n v="196"/>
    <n v="4.5599999999999996"/>
    <x v="0"/>
    <n v="20.22"/>
    <x v="1"/>
    <x v="0"/>
    <x v="1"/>
    <n v="1"/>
    <x v="0"/>
  </r>
  <r>
    <s v="F"/>
    <x v="16"/>
    <n v="59.8"/>
    <n v="1.74"/>
    <m/>
    <n v="19.751618443651736"/>
    <n v="1"/>
    <x v="3"/>
    <n v="103.9"/>
    <s v="127/78"/>
    <n v="127"/>
    <n v="78"/>
    <n v="208"/>
    <x v="0"/>
    <n v="73"/>
    <n v="143"/>
    <x v="0"/>
    <x v="1"/>
    <x v="1"/>
    <s v="Y"/>
    <x v="2"/>
    <n v="174"/>
    <n v="0.59699999999999998"/>
    <x v="3"/>
    <n v="127"/>
    <n v="78"/>
    <x v="0"/>
    <n v="105"/>
    <n v="1.44"/>
    <x v="0"/>
    <n v="14.47"/>
    <x v="0"/>
    <x v="0"/>
    <x v="0"/>
    <n v="0"/>
    <x v="0"/>
  </r>
  <r>
    <s v="F"/>
    <x v="24"/>
    <n v="54.2"/>
    <n v="1.78"/>
    <n v="17.100000000000001"/>
    <n v="17.106425956318645"/>
    <n v="0"/>
    <x v="3"/>
    <n v="91.8"/>
    <s v="117/81"/>
    <n v="117"/>
    <n v="81"/>
    <n v="274"/>
    <x v="0"/>
    <n v="38"/>
    <n v="144"/>
    <x v="1"/>
    <x v="0"/>
    <x v="1"/>
    <s v="Y"/>
    <x v="1"/>
    <n v="178"/>
    <n v="0.51600000000000001"/>
    <x v="0"/>
    <n v="117"/>
    <n v="81"/>
    <x v="1"/>
    <n v="206"/>
    <n v="5.42"/>
    <x v="0"/>
    <n v="16.75"/>
    <x v="1"/>
    <x v="0"/>
    <x v="1"/>
    <n v="1"/>
    <x v="0"/>
  </r>
  <r>
    <s v="M"/>
    <x v="4"/>
    <n v="91.2"/>
    <n v="1.78"/>
    <m/>
    <n v="28.784244413584144"/>
    <n v="1"/>
    <x v="3"/>
    <n v="78.599999999999994"/>
    <s v="125/100"/>
    <n v="125"/>
    <n v="100"/>
    <n v="190"/>
    <x v="0"/>
    <n v="74"/>
    <n v="89"/>
    <x v="1"/>
    <x v="0"/>
    <x v="0"/>
    <s v="N"/>
    <x v="1"/>
    <n v="178"/>
    <n v="0.442"/>
    <x v="2"/>
    <n v="125"/>
    <n v="100"/>
    <x v="3"/>
    <n v="86"/>
    <n v="1.1599999999999999"/>
    <x v="0"/>
    <n v="17.809999999999999"/>
    <x v="1"/>
    <x v="1"/>
    <x v="1"/>
    <n v="1"/>
    <x v="1"/>
  </r>
  <r>
    <s v="M"/>
    <x v="26"/>
    <n v="98.7"/>
    <n v="1.64"/>
    <m/>
    <n v="36.696906603212383"/>
    <n v="1"/>
    <x v="3"/>
    <n v="72.599999999999994"/>
    <s v="126/80"/>
    <n v="126"/>
    <n v="80"/>
    <n v="234"/>
    <x v="0"/>
    <n v="30"/>
    <n v="95"/>
    <x v="1"/>
    <x v="1"/>
    <x v="1"/>
    <s v="N"/>
    <x v="2"/>
    <n v="164"/>
    <n v="0.443"/>
    <x v="2"/>
    <n v="126"/>
    <n v="80"/>
    <x v="1"/>
    <n v="174"/>
    <n v="5.8"/>
    <x v="0"/>
    <n v="18.32"/>
    <x v="1"/>
    <x v="0"/>
    <x v="1"/>
    <n v="1"/>
    <x v="0"/>
  </r>
  <r>
    <s v="F"/>
    <x v="21"/>
    <n v="104.1"/>
    <n v="1.88"/>
    <n v="29.5"/>
    <n v="29.453372566772295"/>
    <n v="0"/>
    <x v="2"/>
    <n v="83.4"/>
    <s v="132/86"/>
    <n v="132"/>
    <n v="86"/>
    <n v="196"/>
    <x v="0"/>
    <n v="68"/>
    <n v="110"/>
    <x v="1"/>
    <x v="1"/>
    <x v="0"/>
    <s v="Y"/>
    <x v="1"/>
    <n v="188"/>
    <m/>
    <x v="4"/>
    <n v="132"/>
    <n v="86"/>
    <x v="1"/>
    <n v="98"/>
    <n v="1.44"/>
    <x v="0"/>
    <n v="16.420000000000002"/>
    <x v="1"/>
    <x v="1"/>
    <x v="1"/>
    <n v="1"/>
    <x v="0"/>
  </r>
  <r>
    <s v="F"/>
    <x v="22"/>
    <n v="73.7"/>
    <n v="1.66"/>
    <n v="26.7"/>
    <n v="26.745536362316738"/>
    <n v="0"/>
    <x v="2"/>
    <n v="108.9"/>
    <s v="92/74"/>
    <n v="92"/>
    <n v="74"/>
    <n v="173"/>
    <x v="1"/>
    <n v="45"/>
    <n v="80"/>
    <x v="1"/>
    <x v="0"/>
    <x v="1"/>
    <s v="N"/>
    <x v="0"/>
    <n v="166"/>
    <n v="0.65600000000000003"/>
    <x v="3"/>
    <n v="92"/>
    <n v="74"/>
    <x v="2"/>
    <n v="98"/>
    <n v="2.1800000000000002"/>
    <x v="0"/>
    <n v="15.4"/>
    <x v="1"/>
    <x v="0"/>
    <x v="1"/>
    <n v="1"/>
    <x v="0"/>
  </r>
  <r>
    <s v="F"/>
    <x v="21"/>
    <n v="114.1"/>
    <n v="1.66"/>
    <n v="41.4"/>
    <n v="41.406590216286837"/>
    <n v="0"/>
    <x v="1"/>
    <m/>
    <s v="93/88"/>
    <n v="93"/>
    <n v="88"/>
    <n v="222"/>
    <x v="0"/>
    <n v="59"/>
    <n v="146"/>
    <x v="1"/>
    <x v="0"/>
    <x v="1"/>
    <s v="N"/>
    <x v="0"/>
    <n v="166"/>
    <n v="0.46700000000000003"/>
    <x v="0"/>
    <n v="93"/>
    <n v="88"/>
    <x v="1"/>
    <n v="133"/>
    <n v="2.25"/>
    <x v="0"/>
    <n v="19.37"/>
    <x v="1"/>
    <x v="0"/>
    <x v="1"/>
    <n v="1"/>
    <x v="0"/>
  </r>
  <r>
    <s v="M"/>
    <x v="31"/>
    <n v="98.5"/>
    <n v="1.69"/>
    <n v="34.5"/>
    <n v="34.48758796960891"/>
    <n v="0"/>
    <x v="1"/>
    <n v="105.8"/>
    <s v="126/60"/>
    <n v="126"/>
    <n v="60"/>
    <n v="257"/>
    <x v="0"/>
    <n v="34"/>
    <n v="109"/>
    <x v="1"/>
    <x v="0"/>
    <x v="2"/>
    <s v="Y"/>
    <x v="1"/>
    <n v="169"/>
    <n v="0.626"/>
    <x v="3"/>
    <n v="126"/>
    <n v="60"/>
    <x v="0"/>
    <n v="193"/>
    <n v="5.68"/>
    <x v="0"/>
    <n v="20.34"/>
    <x v="1"/>
    <x v="0"/>
    <x v="1"/>
    <n v="1"/>
    <x v="0"/>
  </r>
  <r>
    <s v="M"/>
    <x v="26"/>
    <n v="75.3"/>
    <n v="1.65"/>
    <n v="27.7"/>
    <n v="27.658402203856753"/>
    <n v="0"/>
    <x v="2"/>
    <n v="95.6"/>
    <s v="120/83"/>
    <n v="120"/>
    <n v="83"/>
    <n v="131"/>
    <x v="2"/>
    <n v="53"/>
    <n v="81"/>
    <x v="0"/>
    <x v="0"/>
    <x v="2"/>
    <s v="N"/>
    <x v="2"/>
    <n v="165"/>
    <n v="0.57899999999999996"/>
    <x v="1"/>
    <n v="120"/>
    <m/>
    <x v="1"/>
    <n v="48"/>
    <n v="0.91"/>
    <x v="0"/>
    <m/>
    <x v="0"/>
    <x v="0"/>
    <x v="0"/>
    <n v="0"/>
    <x v="1"/>
  </r>
  <r>
    <s v="F"/>
    <x v="31"/>
    <n v="106.6"/>
    <n v="1.69"/>
    <n v="37.299999999999997"/>
    <n v="37.323623122439692"/>
    <n v="0"/>
    <x v="1"/>
    <n v="101"/>
    <s v="134/82"/>
    <n v="134"/>
    <n v="82"/>
    <n v="252"/>
    <x v="0"/>
    <n v="44"/>
    <n v="124"/>
    <x v="0"/>
    <x v="1"/>
    <x v="0"/>
    <s v="N"/>
    <x v="2"/>
    <n v="169"/>
    <n v="0.59799999999999998"/>
    <x v="3"/>
    <n v="134"/>
    <n v="82"/>
    <x v="1"/>
    <m/>
    <n v="0"/>
    <x v="0"/>
    <n v="19.2"/>
    <x v="1"/>
    <x v="0"/>
    <x v="1"/>
    <n v="1"/>
    <x v="0"/>
  </r>
  <r>
    <s v="M"/>
    <x v="17"/>
    <n v="118.1"/>
    <m/>
    <n v="35.700000000000003"/>
    <s v=""/>
    <s v=""/>
    <x v="1"/>
    <n v="93.4"/>
    <s v="130/87"/>
    <n v="130"/>
    <n v="87"/>
    <n v="151"/>
    <x v="1"/>
    <n v="39"/>
    <m/>
    <x v="1"/>
    <x v="0"/>
    <x v="0"/>
    <s v="Y"/>
    <x v="4"/>
    <n v="182"/>
    <n v="0.51300000000000001"/>
    <x v="0"/>
    <n v="130"/>
    <n v="87"/>
    <x v="1"/>
    <n v="82"/>
    <n v="2.1"/>
    <x v="0"/>
    <n v="18.66"/>
    <x v="1"/>
    <x v="0"/>
    <x v="1"/>
    <n v="1"/>
    <x v="0"/>
  </r>
  <r>
    <s v="M"/>
    <x v="22"/>
    <n v="73"/>
    <n v="1.79"/>
    <n v="22.8"/>
    <n v="22.783308885490467"/>
    <n v="0"/>
    <x v="0"/>
    <m/>
    <s v="95/60"/>
    <n v="95"/>
    <n v="60"/>
    <n v="260"/>
    <x v="0"/>
    <n v="61"/>
    <n v="72"/>
    <x v="1"/>
    <x v="1"/>
    <x v="2"/>
    <s v="Y"/>
    <x v="0"/>
    <n v="179"/>
    <n v="0.434"/>
    <x v="2"/>
    <n v="95"/>
    <n v="60"/>
    <x v="2"/>
    <n v="169"/>
    <n v="2.77"/>
    <x v="1"/>
    <n v="14.51"/>
    <x v="1"/>
    <x v="1"/>
    <x v="1"/>
    <n v="1"/>
    <x v="0"/>
  </r>
  <r>
    <s v="M"/>
    <x v="28"/>
    <m/>
    <n v="1.85"/>
    <n v="26.1"/>
    <n v="0"/>
    <n v="1"/>
    <x v="2"/>
    <n v="98.5"/>
    <s v="114/92"/>
    <n v="114"/>
    <n v="92"/>
    <n v="295"/>
    <x v="0"/>
    <n v="39"/>
    <m/>
    <x v="0"/>
    <x v="1"/>
    <x v="2"/>
    <s v="N"/>
    <x v="3"/>
    <n v="185"/>
    <n v="0.53200000000000003"/>
    <x v="1"/>
    <n v="114"/>
    <n v="92"/>
    <x v="3"/>
    <n v="226"/>
    <n v="5.79"/>
    <x v="0"/>
    <n v="16.82"/>
    <x v="1"/>
    <x v="0"/>
    <x v="1"/>
    <n v="1"/>
    <x v="0"/>
  </r>
  <r>
    <s v="M"/>
    <x v="24"/>
    <n v="108.8"/>
    <n v="1.87"/>
    <n v="31.1"/>
    <n v="31.113271754982978"/>
    <n v="0"/>
    <x v="1"/>
    <n v="74.2"/>
    <s v="128/75"/>
    <n v="128"/>
    <n v="75"/>
    <n v="216"/>
    <x v="0"/>
    <n v="55"/>
    <n v="115"/>
    <x v="0"/>
    <x v="1"/>
    <x v="1"/>
    <s v="Y"/>
    <x v="2"/>
    <n v="187"/>
    <n v="0.39700000000000002"/>
    <x v="2"/>
    <n v="128"/>
    <n v="75"/>
    <x v="0"/>
    <n v="131"/>
    <n v="2.38"/>
    <x v="0"/>
    <n v="16.940000000000001"/>
    <x v="0"/>
    <x v="0"/>
    <x v="0"/>
    <n v="0"/>
    <x v="0"/>
  </r>
  <r>
    <s v="F"/>
    <x v="21"/>
    <n v="68.5"/>
    <n v="1.83"/>
    <n v="20.5"/>
    <n v="20.454477589656303"/>
    <n v="0"/>
    <x v="0"/>
    <n v="84.1"/>
    <s v="140/89"/>
    <n v="140"/>
    <n v="89"/>
    <n v="184"/>
    <x v="0"/>
    <n v="77"/>
    <n v="122"/>
    <x v="1"/>
    <x v="0"/>
    <x v="1"/>
    <s v="Y"/>
    <x v="1"/>
    <n v="183"/>
    <n v="0.46"/>
    <x v="2"/>
    <n v="140"/>
    <n v="89"/>
    <x v="1"/>
    <n v="77"/>
    <n v="1"/>
    <x v="0"/>
    <n v="16.78"/>
    <x v="0"/>
    <x v="0"/>
    <x v="0"/>
    <n v="0"/>
    <x v="0"/>
  </r>
  <r>
    <s v="F"/>
    <x v="6"/>
    <n v="60.7"/>
    <n v="1.63"/>
    <n v="22.8"/>
    <n v="22.84617411268772"/>
    <n v="0"/>
    <x v="0"/>
    <n v="78.900000000000006"/>
    <s v="116/100"/>
    <n v="116"/>
    <n v="100"/>
    <n v="200"/>
    <x v="0"/>
    <n v="68"/>
    <n v="136"/>
    <x v="1"/>
    <x v="1"/>
    <x v="2"/>
    <s v="N"/>
    <x v="2"/>
    <n v="163"/>
    <n v="0.48399999999999999"/>
    <x v="0"/>
    <n v="116"/>
    <n v="100"/>
    <x v="3"/>
    <n v="102"/>
    <n v="1.5"/>
    <x v="0"/>
    <n v="14.36"/>
    <x v="2"/>
    <x v="0"/>
    <x v="0"/>
    <n v="0"/>
    <x v="0"/>
  </r>
  <r>
    <s v="M"/>
    <x v="5"/>
    <n v="99.5"/>
    <n v="1.75"/>
    <n v="32.5"/>
    <n v="32.489795918367349"/>
    <n v="0"/>
    <x v="1"/>
    <n v="73.2"/>
    <s v="100/80"/>
    <n v="100"/>
    <n v="80"/>
    <n v="149"/>
    <x v="2"/>
    <n v="78"/>
    <n v="73"/>
    <x v="1"/>
    <x v="1"/>
    <x v="0"/>
    <s v="Y"/>
    <x v="1"/>
    <n v="175"/>
    <n v="0.41799999999999998"/>
    <x v="2"/>
    <n v="100"/>
    <n v="80"/>
    <x v="1"/>
    <n v="41"/>
    <n v="0.53"/>
    <x v="0"/>
    <n v="14.48"/>
    <x v="1"/>
    <x v="1"/>
    <x v="1"/>
    <n v="1"/>
    <x v="0"/>
  </r>
  <r>
    <s v="M"/>
    <x v="8"/>
    <n v="95.2"/>
    <n v="1.89"/>
    <n v="26.7"/>
    <n v="26.650989613952579"/>
    <n v="0"/>
    <x v="2"/>
    <n v="81.599999999999994"/>
    <s v="133/94"/>
    <n v="133"/>
    <n v="94"/>
    <n v="249"/>
    <x v="0"/>
    <n v="53"/>
    <n v="134"/>
    <x v="0"/>
    <x v="1"/>
    <x v="2"/>
    <s v="Y"/>
    <x v="2"/>
    <n v="189"/>
    <n v="0.432"/>
    <x v="2"/>
    <n v="133"/>
    <n v="94"/>
    <x v="1"/>
    <m/>
    <n v="0"/>
    <x v="0"/>
    <n v="16.97"/>
    <x v="1"/>
    <x v="0"/>
    <x v="1"/>
    <n v="1"/>
    <x v="0"/>
  </r>
  <r>
    <s v="F"/>
    <x v="11"/>
    <n v="83.9"/>
    <n v="1.85"/>
    <n v="24.5"/>
    <n v="24.514243973703433"/>
    <n v="0"/>
    <x v="0"/>
    <n v="109.2"/>
    <s v="143/93"/>
    <n v="143"/>
    <n v="93"/>
    <n v="179"/>
    <x v="1"/>
    <m/>
    <n v="105"/>
    <x v="0"/>
    <x v="0"/>
    <x v="0"/>
    <s v="N"/>
    <x v="0"/>
    <n v="185"/>
    <n v="0.59"/>
    <x v="3"/>
    <n v="143"/>
    <n v="93"/>
    <x v="3"/>
    <n v="107"/>
    <s v=""/>
    <x v="0"/>
    <n v="17.63"/>
    <x v="0"/>
    <x v="0"/>
    <x v="0"/>
    <n v="0"/>
    <x v="0"/>
  </r>
  <r>
    <s v="M"/>
    <x v="19"/>
    <n v="73.7"/>
    <n v="1.7"/>
    <n v="25.5"/>
    <n v="25.501730103806231"/>
    <n v="0"/>
    <x v="2"/>
    <n v="88.2"/>
    <s v="146/61"/>
    <n v="146"/>
    <n v="61"/>
    <n v="190"/>
    <x v="0"/>
    <n v="66"/>
    <n v="89"/>
    <x v="0"/>
    <x v="1"/>
    <x v="0"/>
    <s v="N"/>
    <x v="2"/>
    <n v="170"/>
    <n v="0.51900000000000002"/>
    <x v="0"/>
    <n v="146"/>
    <n v="61"/>
    <x v="3"/>
    <n v="94"/>
    <n v="1.42"/>
    <x v="0"/>
    <n v="16.2"/>
    <x v="0"/>
    <x v="0"/>
    <x v="0"/>
    <n v="0"/>
    <x v="0"/>
  </r>
  <r>
    <s v="M"/>
    <x v="17"/>
    <n v="67.5"/>
    <n v="1.83"/>
    <n v="20.2"/>
    <n v="20.155872077398545"/>
    <n v="0"/>
    <x v="0"/>
    <n v="100"/>
    <s v="119/75"/>
    <n v="119"/>
    <n v="75"/>
    <n v="185"/>
    <x v="0"/>
    <n v="49"/>
    <n v="79"/>
    <x v="0"/>
    <x v="1"/>
    <x v="2"/>
    <s v="Y"/>
    <x v="2"/>
    <n v="183"/>
    <n v="0.54600000000000004"/>
    <x v="1"/>
    <n v="119"/>
    <m/>
    <x v="2"/>
    <n v="106"/>
    <n v="2.16"/>
    <x v="0"/>
    <n v="13.69"/>
    <x v="0"/>
    <x v="0"/>
    <x v="0"/>
    <n v="0"/>
    <x v="0"/>
  </r>
  <r>
    <s v="M"/>
    <x v="30"/>
    <n v="88.7"/>
    <n v="1.62"/>
    <n v="33.799999999999997"/>
    <n v="33.798201493674739"/>
    <n v="0"/>
    <x v="1"/>
    <n v="99.9"/>
    <s v="139/85"/>
    <n v="139"/>
    <n v="85"/>
    <n v="257"/>
    <x v="0"/>
    <n v="76"/>
    <n v="138"/>
    <x v="0"/>
    <x v="0"/>
    <x v="0"/>
    <s v="N"/>
    <x v="0"/>
    <n v="162"/>
    <n v="0.61699999999999999"/>
    <x v="3"/>
    <n v="139"/>
    <m/>
    <x v="1"/>
    <n v="151"/>
    <n v="1.99"/>
    <x v="0"/>
    <n v="20.85"/>
    <x v="1"/>
    <x v="1"/>
    <x v="1"/>
    <n v="1"/>
    <x v="0"/>
  </r>
  <r>
    <s v="M"/>
    <x v="21"/>
    <n v="57.2"/>
    <n v="1.61"/>
    <n v="22.1"/>
    <n v="22.067049882334786"/>
    <n v="0"/>
    <x v="0"/>
    <n v="98.1"/>
    <s v="139/61"/>
    <n v="139"/>
    <n v="61"/>
    <n v="137"/>
    <x v="2"/>
    <n v="54"/>
    <n v="75"/>
    <x v="1"/>
    <x v="0"/>
    <x v="0"/>
    <s v="N"/>
    <x v="1"/>
    <n v="161"/>
    <n v="0.60899999999999999"/>
    <x v="3"/>
    <n v="139"/>
    <m/>
    <x v="1"/>
    <n v="53"/>
    <n v="0.98"/>
    <x v="0"/>
    <n v="16.11"/>
    <x v="0"/>
    <x v="0"/>
    <x v="0"/>
    <n v="0"/>
    <x v="0"/>
  </r>
  <r>
    <s v="M"/>
    <x v="4"/>
    <m/>
    <n v="1.84"/>
    <n v="25.8"/>
    <n v="0"/>
    <n v="1"/>
    <x v="2"/>
    <n v="70.599999999999994"/>
    <s v="113/96"/>
    <n v="113"/>
    <n v="96"/>
    <n v="276"/>
    <x v="0"/>
    <n v="48"/>
    <n v="89"/>
    <x v="0"/>
    <x v="1"/>
    <x v="1"/>
    <s v="N"/>
    <x v="3"/>
    <n v="184"/>
    <n v="0.38400000000000001"/>
    <x v="2"/>
    <n v="113"/>
    <n v="96"/>
    <x v="3"/>
    <n v="198"/>
    <n v="4.13"/>
    <x v="0"/>
    <n v="16.329999999999998"/>
    <x v="0"/>
    <x v="0"/>
    <x v="0"/>
    <n v="0"/>
    <x v="0"/>
  </r>
  <r>
    <s v="M"/>
    <x v="16"/>
    <n v="51.5"/>
    <n v="1.85"/>
    <n v="15"/>
    <n v="15.047479912344777"/>
    <n v="0"/>
    <x v="3"/>
    <m/>
    <s v="108/61"/>
    <n v="108"/>
    <n v="61"/>
    <n v="167"/>
    <x v="1"/>
    <n v="50"/>
    <n v="117"/>
    <x v="0"/>
    <x v="1"/>
    <x v="0"/>
    <s v="Y"/>
    <x v="0"/>
    <n v="185"/>
    <n v="0.59299999999999997"/>
    <x v="3"/>
    <n v="108"/>
    <n v="61"/>
    <x v="2"/>
    <n v="87"/>
    <n v="1.74"/>
    <x v="0"/>
    <n v="11.74"/>
    <x v="0"/>
    <x v="0"/>
    <x v="0"/>
    <n v="0"/>
    <x v="0"/>
  </r>
  <r>
    <s v="M"/>
    <x v="2"/>
    <n v="82.2"/>
    <n v="1.77"/>
    <n v="26.2"/>
    <n v="26.237671167289093"/>
    <n v="0"/>
    <x v="2"/>
    <n v="108.4"/>
    <s v="105/88"/>
    <n v="105"/>
    <n v="88"/>
    <n v="237"/>
    <x v="0"/>
    <n v="72"/>
    <n v="128"/>
    <x v="1"/>
    <x v="0"/>
    <x v="0"/>
    <s v="Y"/>
    <x v="4"/>
    <n v="177"/>
    <n v="0.61199999999999999"/>
    <x v="3"/>
    <n v="105"/>
    <n v="88"/>
    <x v="1"/>
    <n v="135"/>
    <n v="1.88"/>
    <x v="0"/>
    <n v="17.23"/>
    <x v="1"/>
    <x v="1"/>
    <x v="1"/>
    <n v="1"/>
    <x v="0"/>
  </r>
  <r>
    <s v="F"/>
    <x v="14"/>
    <n v="101.7"/>
    <n v="1.68"/>
    <n v="36"/>
    <n v="36.033163265306129"/>
    <n v="0"/>
    <x v="1"/>
    <n v="107.2"/>
    <s v="143/98"/>
    <n v="143"/>
    <n v="98"/>
    <n v="160"/>
    <x v="1"/>
    <n v="41"/>
    <n v="86"/>
    <x v="0"/>
    <x v="1"/>
    <x v="1"/>
    <s v="Y"/>
    <x v="2"/>
    <n v="168"/>
    <n v="0.63800000000000001"/>
    <x v="3"/>
    <n v="143"/>
    <n v="98"/>
    <x v="3"/>
    <n v="89"/>
    <n v="2.17"/>
    <x v="0"/>
    <n v="17.55"/>
    <x v="0"/>
    <x v="0"/>
    <x v="0"/>
    <n v="0"/>
    <x v="0"/>
  </r>
  <r>
    <s v="F"/>
    <x v="29"/>
    <n v="93"/>
    <n v="1.89"/>
    <n v="26"/>
    <n v="26.035105400184765"/>
    <n v="0"/>
    <x v="2"/>
    <n v="85.3"/>
    <s v="117/84"/>
    <n v="117"/>
    <n v="84"/>
    <n v="124"/>
    <x v="2"/>
    <n v="49"/>
    <n v="103"/>
    <x v="1"/>
    <x v="0"/>
    <x v="2"/>
    <s v="N"/>
    <x v="0"/>
    <n v="189"/>
    <n v="0.45100000000000001"/>
    <x v="2"/>
    <n v="117"/>
    <n v="84"/>
    <x v="1"/>
    <n v="45"/>
    <n v="0.92"/>
    <x v="0"/>
    <n v="15.53"/>
    <x v="1"/>
    <x v="0"/>
    <x v="1"/>
    <n v="1"/>
    <x v="1"/>
  </r>
  <r>
    <s v="F"/>
    <x v="18"/>
    <n v="115"/>
    <n v="1.83"/>
    <n v="34.299999999999997"/>
    <n v="34.339633909641968"/>
    <n v="0"/>
    <x v="1"/>
    <n v="93.6"/>
    <s v="139/79"/>
    <n v="139"/>
    <n v="79"/>
    <n v="100"/>
    <x v="2"/>
    <n v="31"/>
    <n v="125"/>
    <x v="1"/>
    <x v="1"/>
    <x v="2"/>
    <s v="N"/>
    <x v="2"/>
    <n v="183"/>
    <n v="0.51100000000000001"/>
    <x v="0"/>
    <n v="139"/>
    <n v="79"/>
    <x v="1"/>
    <n v="39"/>
    <n v="1.26"/>
    <x v="0"/>
    <n v="15.81"/>
    <x v="0"/>
    <x v="0"/>
    <x v="0"/>
    <n v="0"/>
    <x v="0"/>
  </r>
  <r>
    <s v="M"/>
    <x v="4"/>
    <n v="77.400000000000006"/>
    <n v="1.65"/>
    <n v="28.4"/>
    <n v="28.429752066115707"/>
    <n v="0"/>
    <x v="2"/>
    <n v="80.5"/>
    <s v="98/63"/>
    <n v="98"/>
    <n v="63"/>
    <n v="265"/>
    <x v="0"/>
    <n v="31"/>
    <n v="79"/>
    <x v="0"/>
    <x v="1"/>
    <x v="2"/>
    <s v="Y"/>
    <x v="2"/>
    <n v="165"/>
    <n v="0.48799999999999999"/>
    <x v="0"/>
    <n v="98"/>
    <n v="63"/>
    <x v="2"/>
    <n v="204"/>
    <n v="6.58"/>
    <x v="1"/>
    <n v="15.88"/>
    <x v="1"/>
    <x v="0"/>
    <x v="1"/>
    <n v="1"/>
    <x v="0"/>
  </r>
  <r>
    <s v="M"/>
    <x v="8"/>
    <n v="110.8"/>
    <n v="1.82"/>
    <n v="33.5"/>
    <n v="33.450066417099379"/>
    <n v="0"/>
    <x v="1"/>
    <n v="108.3"/>
    <s v="120/72"/>
    <n v="120"/>
    <n v="72"/>
    <n v="177"/>
    <x v="1"/>
    <n v="39"/>
    <n v="82"/>
    <x v="0"/>
    <x v="0"/>
    <x v="1"/>
    <s v="N"/>
    <x v="2"/>
    <n v="182"/>
    <n v="0.59499999999999997"/>
    <x v="3"/>
    <n v="120"/>
    <n v="72"/>
    <x v="0"/>
    <n v="108"/>
    <n v="2.77"/>
    <x v="0"/>
    <n v="18.239999999999998"/>
    <x v="1"/>
    <x v="0"/>
    <x v="1"/>
    <n v="1"/>
    <x v="0"/>
  </r>
  <r>
    <s v="F"/>
    <x v="4"/>
    <m/>
    <n v="1.75"/>
    <n v="31.8"/>
    <n v="0"/>
    <n v="1"/>
    <x v="1"/>
    <n v="71.400000000000006"/>
    <s v="135/88"/>
    <n v="135"/>
    <n v="88"/>
    <n v="272"/>
    <x v="0"/>
    <n v="58"/>
    <n v="132"/>
    <x v="0"/>
    <x v="1"/>
    <x v="0"/>
    <s v="N"/>
    <x v="2"/>
    <n v="175"/>
    <n v="0.40799999999999997"/>
    <x v="2"/>
    <n v="135"/>
    <n v="88"/>
    <x v="1"/>
    <n v="184"/>
    <n v="3.17"/>
    <x v="0"/>
    <n v="18.55"/>
    <x v="1"/>
    <x v="0"/>
    <x v="1"/>
    <n v="1"/>
    <x v="0"/>
  </r>
  <r>
    <s v="M"/>
    <x v="16"/>
    <n v="82.4"/>
    <n v="1.74"/>
    <n v="27.2"/>
    <n v="27.216276919011761"/>
    <n v="0"/>
    <x v="2"/>
    <n v="100.7"/>
    <s v="139/63"/>
    <n v="139"/>
    <n v="63"/>
    <m/>
    <x v="2"/>
    <n v="37"/>
    <n v="140"/>
    <x v="0"/>
    <x v="0"/>
    <x v="1"/>
    <s v="N"/>
    <x v="2"/>
    <n v="174"/>
    <n v="0.57899999999999996"/>
    <x v="1"/>
    <n v="139"/>
    <n v="63"/>
    <x v="1"/>
    <n v="226"/>
    <n v="6.11"/>
    <x v="0"/>
    <n v="20.25"/>
    <x v="1"/>
    <x v="0"/>
    <x v="1"/>
    <n v="1"/>
    <x v="1"/>
  </r>
  <r>
    <s v="M"/>
    <x v="28"/>
    <n v="50.7"/>
    <n v="1.69"/>
    <n v="17.8"/>
    <n v="17.751479289940832"/>
    <n v="0"/>
    <x v="3"/>
    <n v="72.7"/>
    <s v="107/74"/>
    <n v="107"/>
    <n v="74"/>
    <n v="274"/>
    <x v="0"/>
    <n v="33"/>
    <n v="143"/>
    <x v="0"/>
    <x v="0"/>
    <x v="0"/>
    <s v="Y"/>
    <x v="1"/>
    <n v="169"/>
    <n v="0.43"/>
    <x v="2"/>
    <n v="107"/>
    <n v="74"/>
    <x v="2"/>
    <n v="211"/>
    <n v="6.39"/>
    <x v="1"/>
    <n v="16.39"/>
    <x v="1"/>
    <x v="0"/>
    <x v="1"/>
    <n v="1"/>
    <x v="0"/>
  </r>
  <r>
    <s v="M"/>
    <x v="15"/>
    <n v="110.4"/>
    <n v="1.6"/>
    <n v="43.1"/>
    <n v="43.124999999999993"/>
    <n v="0"/>
    <x v="1"/>
    <n v="92.5"/>
    <s v="123/93"/>
    <n v="123"/>
    <n v="93"/>
    <n v="159"/>
    <x v="1"/>
    <n v="38"/>
    <n v="95"/>
    <x v="1"/>
    <x v="0"/>
    <x v="2"/>
    <s v="Y"/>
    <x v="1"/>
    <n v="160"/>
    <n v="0.57799999999999996"/>
    <x v="1"/>
    <n v="123"/>
    <n v="93"/>
    <x v="3"/>
    <n v="91"/>
    <n v="2.39"/>
    <x v="0"/>
    <n v="19.95"/>
    <x v="1"/>
    <x v="0"/>
    <x v="1"/>
    <n v="1"/>
    <x v="0"/>
  </r>
  <r>
    <s v="F"/>
    <x v="24"/>
    <n v="62.7"/>
    <n v="1.83"/>
    <m/>
    <n v="18.722565618561315"/>
    <n v="1"/>
    <x v="3"/>
    <n v="72.5"/>
    <s v="148/85"/>
    <n v="148"/>
    <n v="85"/>
    <n v="134"/>
    <x v="2"/>
    <n v="55"/>
    <n v="92"/>
    <x v="1"/>
    <x v="0"/>
    <x v="0"/>
    <s v="N"/>
    <x v="1"/>
    <n v="183"/>
    <m/>
    <x v="4"/>
    <n v="148"/>
    <n v="85"/>
    <x v="1"/>
    <n v="49"/>
    <n v="0.89"/>
    <x v="0"/>
    <n v="15.82"/>
    <x v="0"/>
    <x v="0"/>
    <x v="0"/>
    <n v="0"/>
    <x v="0"/>
  </r>
  <r>
    <s v="F"/>
    <x v="29"/>
    <n v="96.7"/>
    <n v="1.82"/>
    <n v="29.2"/>
    <n v="29.193334138389083"/>
    <n v="0"/>
    <x v="2"/>
    <m/>
    <s v="122/71"/>
    <n v="122"/>
    <n v="71"/>
    <n v="195"/>
    <x v="0"/>
    <n v="57"/>
    <n v="120"/>
    <x v="1"/>
    <x v="1"/>
    <x v="1"/>
    <s v="N"/>
    <x v="2"/>
    <n v="182"/>
    <n v="0.40100000000000002"/>
    <x v="2"/>
    <n v="122"/>
    <n v="71"/>
    <x v="0"/>
    <n v="108"/>
    <n v="1.89"/>
    <x v="0"/>
    <n v="15.84"/>
    <x v="0"/>
    <x v="0"/>
    <x v="0"/>
    <n v="0"/>
    <x v="0"/>
  </r>
  <r>
    <s v="F"/>
    <x v="30"/>
    <n v="110.5"/>
    <n v="1.72"/>
    <n v="37.4"/>
    <n v="37.35127095727421"/>
    <n v="0"/>
    <x v="1"/>
    <n v="70.8"/>
    <s v="96/72"/>
    <n v="96"/>
    <n v="72"/>
    <m/>
    <x v="2"/>
    <n v="33"/>
    <n v="104"/>
    <x v="1"/>
    <x v="1"/>
    <x v="1"/>
    <s v="Y"/>
    <x v="0"/>
    <n v="172"/>
    <n v="0.41199999999999998"/>
    <x v="2"/>
    <n v="96"/>
    <n v="72"/>
    <x v="2"/>
    <n v="91"/>
    <n v="2.76"/>
    <x v="0"/>
    <n v="15.36"/>
    <x v="1"/>
    <x v="0"/>
    <x v="1"/>
    <n v="1"/>
    <x v="0"/>
  </r>
  <r>
    <s v="F"/>
    <x v="12"/>
    <n v="94.1"/>
    <n v="1.79"/>
    <n v="29.4"/>
    <n v="29.368621453762366"/>
    <n v="0"/>
    <x v="2"/>
    <n v="101.6"/>
    <s v="119/69"/>
    <n v="119"/>
    <n v="69"/>
    <n v="276"/>
    <x v="0"/>
    <n v="36"/>
    <n v="98"/>
    <x v="1"/>
    <x v="1"/>
    <x v="2"/>
    <s v="N"/>
    <x v="2"/>
    <n v="179"/>
    <n v="0.56799999999999995"/>
    <x v="1"/>
    <n v="119"/>
    <n v="69"/>
    <x v="2"/>
    <n v="210"/>
    <n v="5.83"/>
    <x v="1"/>
    <m/>
    <x v="1"/>
    <x v="0"/>
    <x v="1"/>
    <n v="1"/>
    <x v="0"/>
  </r>
  <r>
    <s v="M"/>
    <x v="15"/>
    <n v="117.6"/>
    <n v="1.89"/>
    <n v="32.9"/>
    <n v="32.921810699588477"/>
    <n v="0"/>
    <x v="1"/>
    <n v="76"/>
    <s v="97/87"/>
    <n v="97"/>
    <n v="87"/>
    <n v="272"/>
    <x v="0"/>
    <n v="45"/>
    <n v="143"/>
    <x v="0"/>
    <x v="1"/>
    <x v="2"/>
    <s v="N"/>
    <x v="3"/>
    <n v="189"/>
    <n v="0.40200000000000002"/>
    <x v="2"/>
    <n v="97"/>
    <n v="87"/>
    <x v="1"/>
    <n v="197"/>
    <n v="4.38"/>
    <x v="0"/>
    <n v="16.87"/>
    <x v="0"/>
    <x v="0"/>
    <x v="0"/>
    <n v="0"/>
    <x v="0"/>
  </r>
  <r>
    <s v="F"/>
    <x v="30"/>
    <n v="93.4"/>
    <n v="1.73"/>
    <n v="31.2"/>
    <n v="31.207190350496177"/>
    <n v="0"/>
    <x v="1"/>
    <n v="86.9"/>
    <s v="111/90"/>
    <n v="111"/>
    <n v="90"/>
    <n v="167"/>
    <x v="1"/>
    <n v="36"/>
    <n v="106"/>
    <x v="0"/>
    <x v="0"/>
    <x v="2"/>
    <s v="Y"/>
    <x v="0"/>
    <n v="173"/>
    <n v="0.502"/>
    <x v="0"/>
    <n v="111"/>
    <n v="90"/>
    <x v="3"/>
    <n v="101"/>
    <n v="2.81"/>
    <x v="0"/>
    <n v="17.13"/>
    <x v="1"/>
    <x v="0"/>
    <x v="1"/>
    <n v="1"/>
    <x v="0"/>
  </r>
  <r>
    <s v="M"/>
    <x v="7"/>
    <m/>
    <n v="1.82"/>
    <n v="22.6"/>
    <n v="0"/>
    <n v="1"/>
    <x v="0"/>
    <m/>
    <s v="113/94"/>
    <n v="113"/>
    <n v="94"/>
    <n v="165"/>
    <x v="1"/>
    <n v="56"/>
    <n v="137"/>
    <x v="1"/>
    <x v="1"/>
    <x v="2"/>
    <s v="Y"/>
    <x v="0"/>
    <n v="182"/>
    <n v="0.54100000000000004"/>
    <x v="1"/>
    <n v="113"/>
    <n v="94"/>
    <x v="3"/>
    <n v="79"/>
    <n v="1.41"/>
    <x v="0"/>
    <n v="13.47"/>
    <x v="0"/>
    <x v="0"/>
    <x v="0"/>
    <n v="0"/>
    <x v="0"/>
  </r>
  <r>
    <s v="F"/>
    <x v="30"/>
    <n v="52.5"/>
    <n v="1.83"/>
    <n v="15.7"/>
    <n v="15.676789393532202"/>
    <n v="0"/>
    <x v="3"/>
    <n v="75"/>
    <s v="113/95"/>
    <n v="113"/>
    <n v="95"/>
    <n v="243"/>
    <x v="0"/>
    <n v="38"/>
    <n v="115"/>
    <x v="1"/>
    <x v="1"/>
    <x v="2"/>
    <s v="N"/>
    <x v="2"/>
    <n v="183"/>
    <n v="0.41"/>
    <x v="2"/>
    <n v="113"/>
    <n v="95"/>
    <x v="3"/>
    <n v="175"/>
    <n v="4.6100000000000003"/>
    <x v="0"/>
    <n v="13.65"/>
    <x v="1"/>
    <x v="0"/>
    <x v="1"/>
    <n v="1"/>
    <x v="0"/>
  </r>
  <r>
    <s v="M"/>
    <x v="27"/>
    <n v="66.2"/>
    <n v="1.86"/>
    <n v="19.100000000000001"/>
    <n v="19.135160134119548"/>
    <n v="0"/>
    <x v="0"/>
    <n v="93.1"/>
    <s v="133/87"/>
    <n v="133"/>
    <n v="87"/>
    <n v="166"/>
    <x v="1"/>
    <n v="30"/>
    <n v="132"/>
    <x v="0"/>
    <x v="0"/>
    <x v="0"/>
    <s v="N"/>
    <x v="0"/>
    <n v="186"/>
    <n v="0.501"/>
    <x v="0"/>
    <n v="133"/>
    <n v="87"/>
    <x v="1"/>
    <n v="106"/>
    <n v="3.53"/>
    <x v="0"/>
    <n v="15.79"/>
    <x v="1"/>
    <x v="0"/>
    <x v="1"/>
    <n v="1"/>
    <x v="0"/>
  </r>
  <r>
    <s v="M"/>
    <x v="24"/>
    <n v="111.9"/>
    <n v="1.71"/>
    <n v="38.299999999999997"/>
    <n v="38.268185082589518"/>
    <n v="0"/>
    <x v="1"/>
    <n v="109.4"/>
    <s v="102/91"/>
    <n v="102"/>
    <n v="91"/>
    <n v="241"/>
    <x v="0"/>
    <n v="49"/>
    <n v="96"/>
    <x v="0"/>
    <x v="0"/>
    <x v="0"/>
    <s v="N"/>
    <x v="0"/>
    <n v="171"/>
    <n v="0.64"/>
    <x v="3"/>
    <n v="102"/>
    <m/>
    <x v="3"/>
    <n v="162"/>
    <n v="3.31"/>
    <x v="0"/>
    <n v="19.579999999999998"/>
    <x v="1"/>
    <x v="0"/>
    <x v="1"/>
    <n v="1"/>
    <x v="0"/>
  </r>
  <r>
    <s v="M"/>
    <x v="12"/>
    <n v="54.7"/>
    <n v="1.83"/>
    <n v="16.3"/>
    <n v="16.333721520499267"/>
    <n v="0"/>
    <x v="3"/>
    <n v="101.1"/>
    <s v="103/88"/>
    <n v="103"/>
    <n v="88"/>
    <n v="270"/>
    <x v="0"/>
    <n v="31"/>
    <n v="97"/>
    <x v="0"/>
    <x v="0"/>
    <x v="0"/>
    <s v="Y"/>
    <x v="1"/>
    <n v="183"/>
    <n v="0.55200000000000005"/>
    <x v="1"/>
    <n v="103"/>
    <n v="88"/>
    <x v="1"/>
    <n v="209"/>
    <n v="6.74"/>
    <x v="0"/>
    <n v="15.81"/>
    <x v="1"/>
    <x v="0"/>
    <x v="1"/>
    <n v="1"/>
    <x v="0"/>
  </r>
  <r>
    <s v="M"/>
    <x v="27"/>
    <n v="66"/>
    <n v="1.75"/>
    <n v="21.6"/>
    <n v="21.551020408163264"/>
    <n v="0"/>
    <x v="0"/>
    <n v="76.3"/>
    <s v="135/85"/>
    <n v="135"/>
    <n v="85"/>
    <n v="241"/>
    <x v="0"/>
    <n v="41"/>
    <n v="141"/>
    <x v="0"/>
    <x v="0"/>
    <x v="2"/>
    <s v="Y"/>
    <x v="0"/>
    <n v="175"/>
    <n v="0.436"/>
    <x v="2"/>
    <n v="135"/>
    <n v="85"/>
    <x v="1"/>
    <n v="170"/>
    <n v="4.1500000000000004"/>
    <x v="0"/>
    <n v="17.89"/>
    <x v="1"/>
    <x v="0"/>
    <x v="1"/>
    <n v="1"/>
    <x v="0"/>
  </r>
  <r>
    <s v="M"/>
    <x v="29"/>
    <n v="95.2"/>
    <n v="1.67"/>
    <n v="34.1"/>
    <n v="34.135322170031195"/>
    <n v="0"/>
    <x v="1"/>
    <n v="91.6"/>
    <s v="97/71"/>
    <n v="97"/>
    <n v="71"/>
    <n v="279"/>
    <x v="0"/>
    <n v="42"/>
    <n v="98"/>
    <x v="1"/>
    <x v="1"/>
    <x v="2"/>
    <s v="Y"/>
    <x v="0"/>
    <n v="167"/>
    <n v="0.54900000000000004"/>
    <x v="1"/>
    <n v="97"/>
    <n v="71"/>
    <x v="2"/>
    <m/>
    <n v="0"/>
    <x v="0"/>
    <n v="17.25"/>
    <x v="1"/>
    <x v="0"/>
    <x v="1"/>
    <n v="1"/>
    <x v="0"/>
  </r>
  <r>
    <s v="F"/>
    <x v="7"/>
    <n v="61.8"/>
    <n v="1.78"/>
    <n v="19.5"/>
    <n v="19.505112990783989"/>
    <n v="0"/>
    <x v="0"/>
    <n v="71"/>
    <s v="108/87"/>
    <n v="108"/>
    <n v="87"/>
    <n v="225"/>
    <x v="0"/>
    <n v="75"/>
    <n v="138"/>
    <x v="1"/>
    <x v="1"/>
    <x v="1"/>
    <s v="N"/>
    <x v="2"/>
    <n v="178"/>
    <n v="0.39900000000000002"/>
    <x v="2"/>
    <n v="108"/>
    <n v="87"/>
    <x v="1"/>
    <n v="120"/>
    <n v="1.6"/>
    <x v="0"/>
    <n v="13.8"/>
    <x v="0"/>
    <x v="0"/>
    <x v="0"/>
    <n v="0"/>
    <x v="0"/>
  </r>
  <r>
    <s v="M"/>
    <x v="23"/>
    <n v="100.3"/>
    <n v="1.66"/>
    <n v="36.4"/>
    <n v="36.398606474089128"/>
    <n v="0"/>
    <x v="1"/>
    <n v="101.3"/>
    <s v="108/61"/>
    <n v="108"/>
    <n v="61"/>
    <n v="213"/>
    <x v="0"/>
    <n v="64"/>
    <n v="135"/>
    <x v="0"/>
    <x v="1"/>
    <x v="0"/>
    <s v="N"/>
    <x v="2"/>
    <n v="166"/>
    <n v="0.61"/>
    <x v="3"/>
    <n v="108"/>
    <n v="61"/>
    <x v="2"/>
    <n v="119"/>
    <n v="1.86"/>
    <x v="1"/>
    <n v="16.940000000000001"/>
    <x v="1"/>
    <x v="1"/>
    <x v="1"/>
    <n v="1"/>
    <x v="0"/>
  </r>
  <r>
    <s v="F"/>
    <x v="27"/>
    <n v="66.5"/>
    <n v="1.83"/>
    <n v="19.899999999999999"/>
    <n v="19.85726656514079"/>
    <n v="0"/>
    <x v="0"/>
    <n v="98"/>
    <s v="127/75"/>
    <n v="127"/>
    <n v="75"/>
    <n v="200"/>
    <x v="0"/>
    <n v="39"/>
    <n v="98"/>
    <x v="0"/>
    <x v="0"/>
    <x v="1"/>
    <s v="Y"/>
    <x v="0"/>
    <m/>
    <n v="0.53600000000000003"/>
    <x v="1"/>
    <n v="127"/>
    <n v="75"/>
    <x v="0"/>
    <n v="131"/>
    <n v="3.36"/>
    <x v="0"/>
    <n v="16.329999999999998"/>
    <x v="1"/>
    <x v="0"/>
    <x v="1"/>
    <n v="1"/>
    <x v="0"/>
  </r>
  <r>
    <s v="F"/>
    <x v="6"/>
    <n v="75.400000000000006"/>
    <n v="1.8"/>
    <n v="23.3"/>
    <n v="23.271604938271604"/>
    <n v="0"/>
    <x v="0"/>
    <n v="86.5"/>
    <s v="149/78"/>
    <n v="149"/>
    <n v="78"/>
    <n v="296"/>
    <x v="0"/>
    <m/>
    <n v="137"/>
    <x v="0"/>
    <x v="0"/>
    <x v="1"/>
    <s v="N"/>
    <x v="2"/>
    <m/>
    <n v="0.48099999999999998"/>
    <x v="0"/>
    <n v="149"/>
    <m/>
    <x v="3"/>
    <n v="209"/>
    <s v=""/>
    <x v="0"/>
    <n v="20.03"/>
    <x v="0"/>
    <x v="0"/>
    <x v="0"/>
    <n v="0"/>
    <x v="0"/>
  </r>
  <r>
    <s v="F"/>
    <x v="7"/>
    <n v="108.3"/>
    <n v="1.8"/>
    <n v="33.4"/>
    <n v="33.425925925925924"/>
    <n v="0"/>
    <x v="1"/>
    <n v="76.2"/>
    <s v="149/91"/>
    <n v="149"/>
    <n v="91"/>
    <n v="278"/>
    <x v="0"/>
    <n v="61"/>
    <n v="106"/>
    <x v="1"/>
    <x v="1"/>
    <x v="1"/>
    <s v="Y"/>
    <x v="0"/>
    <n v="180"/>
    <n v="0.42299999999999999"/>
    <x v="2"/>
    <n v="149"/>
    <n v="91"/>
    <x v="3"/>
    <n v="187"/>
    <n v="3.07"/>
    <x v="0"/>
    <n v="19.690000000000001"/>
    <x v="1"/>
    <x v="1"/>
    <x v="1"/>
    <n v="1"/>
    <x v="0"/>
  </r>
  <r>
    <s v="M"/>
    <x v="26"/>
    <n v="69.2"/>
    <n v="1.87"/>
    <n v="19.8"/>
    <n v="19.788955932397265"/>
    <n v="0"/>
    <x v="0"/>
    <n v="96.8"/>
    <s v="93/78"/>
    <n v="93"/>
    <n v="78"/>
    <n v="218"/>
    <x v="0"/>
    <n v="56"/>
    <n v="71"/>
    <x v="0"/>
    <x v="0"/>
    <x v="2"/>
    <s v="N"/>
    <x v="2"/>
    <n v="187"/>
    <n v="0.51800000000000002"/>
    <x v="0"/>
    <n v="93"/>
    <n v="78"/>
    <x v="2"/>
    <n v="132"/>
    <n v="2.36"/>
    <x v="0"/>
    <n v="14.97"/>
    <x v="0"/>
    <x v="0"/>
    <x v="0"/>
    <n v="0"/>
    <x v="0"/>
  </r>
  <r>
    <s v="F"/>
    <x v="24"/>
    <n v="90.5"/>
    <n v="1.79"/>
    <n v="28.2"/>
    <n v="28.245061015573796"/>
    <n v="0"/>
    <x v="2"/>
    <n v="82.1"/>
    <s v="141/95"/>
    <n v="141"/>
    <n v="95"/>
    <n v="282"/>
    <x v="0"/>
    <n v="34"/>
    <n v="101"/>
    <x v="0"/>
    <x v="0"/>
    <x v="2"/>
    <s v="N"/>
    <x v="2"/>
    <n v="179"/>
    <n v="0.45900000000000002"/>
    <x v="2"/>
    <n v="141"/>
    <n v="95"/>
    <x v="3"/>
    <n v="218"/>
    <n v="6.41"/>
    <x v="0"/>
    <n v="20.329999999999998"/>
    <x v="1"/>
    <x v="0"/>
    <x v="1"/>
    <n v="1"/>
    <x v="0"/>
  </r>
  <r>
    <s v="M"/>
    <x v="2"/>
    <n v="100.8"/>
    <n v="1.87"/>
    <n v="28.8"/>
    <n v="28.825531184763641"/>
    <n v="0"/>
    <x v="2"/>
    <n v="96.5"/>
    <s v="112/97"/>
    <n v="112"/>
    <n v="97"/>
    <n v="130"/>
    <x v="2"/>
    <n v="41"/>
    <n v="84"/>
    <x v="1"/>
    <x v="0"/>
    <x v="1"/>
    <s v="N"/>
    <x v="0"/>
    <n v="187"/>
    <n v="0.51600000000000001"/>
    <x v="0"/>
    <n v="112"/>
    <n v="97"/>
    <x v="3"/>
    <n v="59"/>
    <n v="1.44"/>
    <x v="0"/>
    <n v="15.96"/>
    <x v="1"/>
    <x v="0"/>
    <x v="1"/>
    <n v="1"/>
    <x v="0"/>
  </r>
  <r>
    <s v="M"/>
    <x v="0"/>
    <n v="98.5"/>
    <n v="1.72"/>
    <n v="33.299999999999997"/>
    <n v="33.295024337479724"/>
    <n v="0"/>
    <x v="1"/>
    <n v="87.6"/>
    <s v="127/77"/>
    <n v="127"/>
    <n v="77"/>
    <n v="245"/>
    <x v="0"/>
    <n v="60"/>
    <n v="131"/>
    <x v="1"/>
    <x v="0"/>
    <x v="2"/>
    <s v="N"/>
    <x v="0"/>
    <n v="172"/>
    <n v="0.50900000000000001"/>
    <x v="0"/>
    <n v="127"/>
    <n v="77"/>
    <x v="0"/>
    <n v="155"/>
    <n v="2.58"/>
    <x v="0"/>
    <n v="19.91"/>
    <x v="1"/>
    <x v="1"/>
    <x v="1"/>
    <n v="1"/>
    <x v="0"/>
  </r>
  <r>
    <s v="M"/>
    <x v="0"/>
    <n v="68.099999999999994"/>
    <n v="1.88"/>
    <n v="19.3"/>
    <n v="19.267768220914441"/>
    <n v="0"/>
    <x v="0"/>
    <n v="70.900000000000006"/>
    <s v="145/96"/>
    <n v="145"/>
    <n v="96"/>
    <n v="285"/>
    <x v="0"/>
    <n v="32"/>
    <n v="77"/>
    <x v="0"/>
    <x v="0"/>
    <x v="2"/>
    <s v="Y"/>
    <x v="0"/>
    <n v="188"/>
    <n v="0.377"/>
    <x v="2"/>
    <n v="145"/>
    <n v="96"/>
    <x v="3"/>
    <n v="223"/>
    <n v="6.97"/>
    <x v="0"/>
    <n v="18.809999999999999"/>
    <x v="1"/>
    <x v="0"/>
    <x v="1"/>
    <n v="1"/>
    <x v="0"/>
  </r>
  <r>
    <s v="F"/>
    <x v="0"/>
    <n v="54.2"/>
    <n v="1.85"/>
    <n v="15.8"/>
    <n v="15.836376917457997"/>
    <n v="0"/>
    <x v="3"/>
    <n v="89.8"/>
    <s v="94/78"/>
    <n v="94"/>
    <n v="78"/>
    <n v="223"/>
    <x v="0"/>
    <n v="78"/>
    <n v="71"/>
    <x v="0"/>
    <x v="0"/>
    <x v="2"/>
    <s v="N"/>
    <x v="2"/>
    <n v="185"/>
    <n v="0.48499999999999999"/>
    <x v="0"/>
    <n v="94"/>
    <n v="78"/>
    <x v="2"/>
    <n v="115"/>
    <n v="1.47"/>
    <x v="0"/>
    <n v="14.32"/>
    <x v="0"/>
    <x v="0"/>
    <x v="0"/>
    <n v="0"/>
    <x v="0"/>
  </r>
  <r>
    <s v="M"/>
    <x v="17"/>
    <n v="89.7"/>
    <n v="1.6"/>
    <n v="35"/>
    <n v="35.039062499999993"/>
    <n v="0"/>
    <x v="1"/>
    <n v="95.5"/>
    <s v="133/64"/>
    <n v="133"/>
    <n v="64"/>
    <n v="172"/>
    <x v="1"/>
    <n v="45"/>
    <n v="142"/>
    <x v="0"/>
    <x v="1"/>
    <x v="0"/>
    <s v="Y"/>
    <x v="0"/>
    <n v="160"/>
    <n v="0.59699999999999998"/>
    <x v="3"/>
    <n v="133"/>
    <n v="64"/>
    <x v="1"/>
    <n v="97"/>
    <n v="2.16"/>
    <x v="0"/>
    <n v="17.09"/>
    <x v="1"/>
    <x v="0"/>
    <x v="1"/>
    <n v="1"/>
    <x v="0"/>
  </r>
  <r>
    <s v="F"/>
    <x v="6"/>
    <n v="85.1"/>
    <n v="1.73"/>
    <n v="28.4"/>
    <n v="28.433960372882485"/>
    <n v="0"/>
    <x v="2"/>
    <n v="75.099999999999994"/>
    <s v="150/64"/>
    <n v="150"/>
    <n v="64"/>
    <n v="292"/>
    <x v="0"/>
    <n v="59"/>
    <n v="89"/>
    <x v="1"/>
    <x v="1"/>
    <x v="2"/>
    <s v="Y"/>
    <x v="0"/>
    <n v="173"/>
    <n v="0.434"/>
    <x v="2"/>
    <n v="150"/>
    <n v="64"/>
    <x v="3"/>
    <n v="203"/>
    <n v="3.44"/>
    <x v="0"/>
    <n v="19.02"/>
    <x v="1"/>
    <x v="0"/>
    <x v="1"/>
    <n v="1"/>
    <x v="0"/>
  </r>
  <r>
    <s v="F"/>
    <x v="5"/>
    <n v="94.7"/>
    <n v="1.82"/>
    <n v="28.6"/>
    <n v="28.589542325806061"/>
    <n v="0"/>
    <x v="2"/>
    <n v="76.7"/>
    <s v="132/92"/>
    <n v="132"/>
    <n v="92"/>
    <n v="243"/>
    <x v="0"/>
    <n v="34"/>
    <n v="121"/>
    <x v="1"/>
    <x v="1"/>
    <x v="2"/>
    <s v="Y"/>
    <x v="0"/>
    <n v="182"/>
    <n v="0.42099999999999999"/>
    <x v="2"/>
    <n v="132"/>
    <n v="92"/>
    <x v="1"/>
    <n v="179"/>
    <n v="5.26"/>
    <x v="0"/>
    <n v="17.18"/>
    <x v="1"/>
    <x v="0"/>
    <x v="1"/>
    <n v="1"/>
    <x v="0"/>
  </r>
  <r>
    <s v="F"/>
    <x v="17"/>
    <n v="110.2"/>
    <n v="1.75"/>
    <n v="36"/>
    <n v="35.983673469387753"/>
    <n v="0"/>
    <x v="1"/>
    <n v="93.4"/>
    <s v="143/89"/>
    <n v="143"/>
    <n v="89"/>
    <n v="269"/>
    <x v="0"/>
    <n v="73"/>
    <n v="77"/>
    <x v="0"/>
    <x v="0"/>
    <x v="0"/>
    <s v="N"/>
    <x v="0"/>
    <n v="175"/>
    <n v="0.53400000000000003"/>
    <x v="1"/>
    <n v="143"/>
    <n v="89"/>
    <x v="1"/>
    <m/>
    <n v="0"/>
    <x v="0"/>
    <n v="21.73"/>
    <x v="1"/>
    <x v="1"/>
    <x v="1"/>
    <n v="1"/>
    <x v="0"/>
  </r>
  <r>
    <s v="F"/>
    <x v="4"/>
    <n v="91.2"/>
    <m/>
    <n v="33.5"/>
    <s v=""/>
    <s v=""/>
    <x v="1"/>
    <n v="76.400000000000006"/>
    <s v="98/88"/>
    <n v="98"/>
    <n v="88"/>
    <n v="189"/>
    <x v="0"/>
    <n v="45"/>
    <n v="141"/>
    <x v="0"/>
    <x v="0"/>
    <x v="0"/>
    <s v="Y"/>
    <x v="1"/>
    <n v="165"/>
    <n v="0.46300000000000002"/>
    <x v="0"/>
    <n v="98"/>
    <n v="88"/>
    <x v="1"/>
    <n v="114"/>
    <n v="2.5299999999999998"/>
    <x v="0"/>
    <n v="17.38"/>
    <x v="1"/>
    <x v="0"/>
    <x v="1"/>
    <n v="1"/>
    <x v="1"/>
  </r>
  <r>
    <s v="M"/>
    <x v="21"/>
    <n v="61.7"/>
    <n v="1.86"/>
    <n v="17.8"/>
    <n v="17.834431726211122"/>
    <n v="0"/>
    <x v="3"/>
    <n v="74.400000000000006"/>
    <s v="128/64"/>
    <n v="128"/>
    <n v="64"/>
    <n v="181"/>
    <x v="0"/>
    <n v="46"/>
    <n v="71"/>
    <x v="0"/>
    <x v="0"/>
    <x v="2"/>
    <s v="N"/>
    <x v="2"/>
    <n v="186"/>
    <n v="0.4"/>
    <x v="2"/>
    <n v="128"/>
    <n v="64"/>
    <x v="0"/>
    <n v="105"/>
    <n v="2.2799999999999998"/>
    <x v="0"/>
    <m/>
    <x v="2"/>
    <x v="0"/>
    <x v="0"/>
    <n v="0"/>
    <x v="0"/>
  </r>
  <r>
    <s v="F"/>
    <x v="26"/>
    <n v="87"/>
    <n v="1.62"/>
    <n v="33.200000000000003"/>
    <n v="33.150434385002278"/>
    <n v="0"/>
    <x v="1"/>
    <n v="109.8"/>
    <s v="142/87"/>
    <n v="142"/>
    <n v="87"/>
    <n v="120"/>
    <x v="2"/>
    <n v="78"/>
    <n v="85"/>
    <x v="1"/>
    <x v="1"/>
    <x v="1"/>
    <s v="Y"/>
    <x v="0"/>
    <n v="162"/>
    <n v="0.67800000000000005"/>
    <x v="3"/>
    <m/>
    <n v="87"/>
    <x v="1"/>
    <n v="12"/>
    <n v="0.15"/>
    <x v="0"/>
    <n v="16.14"/>
    <x v="1"/>
    <x v="1"/>
    <x v="1"/>
    <n v="1"/>
    <x v="0"/>
  </r>
  <r>
    <s v="M"/>
    <x v="25"/>
    <n v="77"/>
    <n v="1.61"/>
    <n v="29.7"/>
    <n v="29.705644072373747"/>
    <n v="0"/>
    <x v="2"/>
    <n v="99.7"/>
    <s v="96/85"/>
    <n v="96"/>
    <n v="85"/>
    <n v="220"/>
    <x v="0"/>
    <n v="55"/>
    <n v="105"/>
    <x v="1"/>
    <x v="1"/>
    <x v="0"/>
    <s v="Y"/>
    <x v="1"/>
    <n v="161"/>
    <n v="0.61899999999999999"/>
    <x v="3"/>
    <n v="96"/>
    <n v="85"/>
    <x v="1"/>
    <n v="135"/>
    <n v="2.4500000000000002"/>
    <x v="0"/>
    <n v="15.14"/>
    <x v="1"/>
    <x v="0"/>
    <x v="1"/>
    <n v="1"/>
    <x v="0"/>
  </r>
  <r>
    <s v="M"/>
    <x v="5"/>
    <n v="79.8"/>
    <n v="1.67"/>
    <n v="28.6"/>
    <n v="28.613431818996737"/>
    <n v="0"/>
    <x v="2"/>
    <n v="93.5"/>
    <s v="104/84"/>
    <n v="104"/>
    <n v="84"/>
    <n v="174"/>
    <x v="1"/>
    <n v="56"/>
    <n v="119"/>
    <x v="1"/>
    <x v="0"/>
    <x v="2"/>
    <s v="Y"/>
    <x v="1"/>
    <n v="167"/>
    <n v="0.56000000000000005"/>
    <x v="1"/>
    <n v="104"/>
    <n v="84"/>
    <x v="1"/>
    <n v="88"/>
    <n v="1.57"/>
    <x v="0"/>
    <n v="16.399999999999999"/>
    <x v="1"/>
    <x v="0"/>
    <x v="1"/>
    <n v="1"/>
    <x v="0"/>
  </r>
  <r>
    <s v="M"/>
    <x v="25"/>
    <n v="70.400000000000006"/>
    <n v="1.69"/>
    <n v="24.6"/>
    <n v="24.648996883862615"/>
    <n v="0"/>
    <x v="0"/>
    <n v="75.900000000000006"/>
    <s v="132/87"/>
    <n v="132"/>
    <n v="87"/>
    <n v="113"/>
    <x v="2"/>
    <n v="33"/>
    <n v="130"/>
    <x v="0"/>
    <x v="1"/>
    <x v="0"/>
    <s v="Y"/>
    <x v="0"/>
    <m/>
    <n v="0.44900000000000001"/>
    <x v="2"/>
    <n v="132"/>
    <n v="87"/>
    <x v="1"/>
    <n v="50"/>
    <n v="1.52"/>
    <x v="0"/>
    <n v="13.78"/>
    <x v="1"/>
    <x v="0"/>
    <x v="1"/>
    <n v="1"/>
    <x v="0"/>
  </r>
  <r>
    <s v="F"/>
    <x v="3"/>
    <n v="113.6"/>
    <n v="1.85"/>
    <n v="33.200000000000003"/>
    <n v="33.192111029948862"/>
    <n v="0"/>
    <x v="1"/>
    <n v="107.6"/>
    <s v="131/88"/>
    <n v="131"/>
    <n v="88"/>
    <n v="123"/>
    <x v="2"/>
    <m/>
    <n v="132"/>
    <x v="0"/>
    <x v="0"/>
    <x v="1"/>
    <s v="Y"/>
    <x v="0"/>
    <n v="185"/>
    <n v="0.58199999999999996"/>
    <x v="1"/>
    <n v="131"/>
    <n v="88"/>
    <x v="1"/>
    <n v="15"/>
    <s v=""/>
    <x v="0"/>
    <n v="17.649999999999999"/>
    <x v="0"/>
    <x v="0"/>
    <x v="0"/>
    <n v="0"/>
    <x v="0"/>
  </r>
  <r>
    <s v="M"/>
    <x v="0"/>
    <n v="108.8"/>
    <n v="1.89"/>
    <n v="30.5"/>
    <n v="30.45827384451723"/>
    <n v="0"/>
    <x v="1"/>
    <n v="83"/>
    <s v="122/75"/>
    <n v="122"/>
    <n v="75"/>
    <n v="228"/>
    <x v="0"/>
    <n v="46"/>
    <n v="116"/>
    <x v="1"/>
    <x v="0"/>
    <x v="0"/>
    <s v="Y"/>
    <x v="4"/>
    <n v="189"/>
    <n v="0.439"/>
    <x v="2"/>
    <n v="122"/>
    <n v="75"/>
    <x v="0"/>
    <n v="152"/>
    <n v="3.3"/>
    <x v="0"/>
    <n v="18.760000000000002"/>
    <x v="1"/>
    <x v="0"/>
    <x v="1"/>
    <n v="1"/>
    <x v="0"/>
  </r>
  <r>
    <s v="M"/>
    <x v="4"/>
    <n v="118.1"/>
    <n v="1.66"/>
    <n v="42.9"/>
    <n v="42.858179706778927"/>
    <n v="0"/>
    <x v="1"/>
    <n v="99.9"/>
    <s v="142/79"/>
    <n v="142"/>
    <n v="79"/>
    <n v="295"/>
    <x v="0"/>
    <n v="60"/>
    <n v="115"/>
    <x v="0"/>
    <x v="0"/>
    <x v="1"/>
    <s v="Y"/>
    <x v="0"/>
    <n v="166"/>
    <n v="0.60199999999999998"/>
    <x v="3"/>
    <n v="142"/>
    <n v="79"/>
    <x v="3"/>
    <n v="205"/>
    <n v="3.42"/>
    <x v="0"/>
    <n v="23.58"/>
    <x v="1"/>
    <x v="1"/>
    <x v="1"/>
    <n v="1"/>
    <x v="1"/>
  </r>
  <r>
    <s v="F"/>
    <x v="29"/>
    <m/>
    <n v="1.62"/>
    <m/>
    <n v="0"/>
    <n v="0"/>
    <x v="3"/>
    <n v="87.2"/>
    <s v="141/70"/>
    <n v="141"/>
    <n v="70"/>
    <n v="174"/>
    <x v="1"/>
    <n v="71"/>
    <n v="94"/>
    <x v="0"/>
    <x v="0"/>
    <x v="0"/>
    <s v="N"/>
    <x v="0"/>
    <n v="162"/>
    <n v="0.53800000000000003"/>
    <x v="1"/>
    <n v="141"/>
    <n v="70"/>
    <x v="3"/>
    <n v="73"/>
    <n v="1.03"/>
    <x v="0"/>
    <n v="17.89"/>
    <x v="1"/>
    <x v="1"/>
    <x v="1"/>
    <n v="1"/>
    <x v="1"/>
  </r>
  <r>
    <s v="M"/>
    <x v="14"/>
    <n v="105.7"/>
    <m/>
    <n v="36.1"/>
    <s v=""/>
    <s v=""/>
    <x v="1"/>
    <n v="78.8"/>
    <s v="101/81"/>
    <n v="101"/>
    <n v="81"/>
    <n v="232"/>
    <x v="0"/>
    <n v="79"/>
    <n v="82"/>
    <x v="0"/>
    <x v="1"/>
    <x v="2"/>
    <s v="Y"/>
    <x v="2"/>
    <n v="171"/>
    <n v="0.46100000000000002"/>
    <x v="0"/>
    <n v="101"/>
    <n v="81"/>
    <x v="1"/>
    <n v="123"/>
    <n v="1.56"/>
    <x v="0"/>
    <n v="16.91"/>
    <x v="0"/>
    <x v="0"/>
    <x v="0"/>
    <n v="0"/>
    <x v="0"/>
  </r>
  <r>
    <s v="M"/>
    <x v="1"/>
    <n v="67.400000000000006"/>
    <n v="1.75"/>
    <n v="22"/>
    <n v="22.008163265306123"/>
    <n v="0"/>
    <x v="0"/>
    <n v="71.099999999999994"/>
    <s v="95/97"/>
    <n v="95"/>
    <n v="97"/>
    <n v="293"/>
    <x v="0"/>
    <n v="70"/>
    <n v="87"/>
    <x v="1"/>
    <x v="1"/>
    <x v="2"/>
    <s v="Y"/>
    <x v="0"/>
    <n v="175"/>
    <n v="0.40600000000000003"/>
    <x v="2"/>
    <n v="95"/>
    <n v="97"/>
    <x v="3"/>
    <n v="193"/>
    <n v="2.76"/>
    <x v="0"/>
    <n v="15.01"/>
    <x v="1"/>
    <x v="1"/>
    <x v="1"/>
    <n v="1"/>
    <x v="0"/>
  </r>
  <r>
    <s v="F"/>
    <x v="21"/>
    <n v="107.6"/>
    <n v="1.87"/>
    <n v="30.8"/>
    <n v="30.770110669450077"/>
    <n v="0"/>
    <x v="1"/>
    <n v="97.8"/>
    <s v="108/64"/>
    <n v="108"/>
    <n v="64"/>
    <n v="176"/>
    <x v="1"/>
    <n v="73"/>
    <n v="98"/>
    <x v="1"/>
    <x v="1"/>
    <x v="0"/>
    <s v="N"/>
    <x v="0"/>
    <n v="187"/>
    <n v="0.52300000000000002"/>
    <x v="1"/>
    <n v="108"/>
    <n v="64"/>
    <x v="2"/>
    <n v="73"/>
    <n v="1"/>
    <x v="0"/>
    <n v="15.08"/>
    <x v="0"/>
    <x v="0"/>
    <x v="0"/>
    <n v="0"/>
    <x v="0"/>
  </r>
  <r>
    <s v="F"/>
    <x v="12"/>
    <n v="89.8"/>
    <n v="1.84"/>
    <n v="26.5"/>
    <n v="26.524102079395082"/>
    <n v="0"/>
    <x v="2"/>
    <n v="97.7"/>
    <s v="91/65"/>
    <n v="91"/>
    <n v="65"/>
    <n v="260"/>
    <x v="0"/>
    <n v="75"/>
    <n v="85"/>
    <x v="1"/>
    <x v="0"/>
    <x v="2"/>
    <s v="Y"/>
    <x v="1"/>
    <n v="184"/>
    <n v="0.53100000000000003"/>
    <x v="1"/>
    <n v="91"/>
    <n v="65"/>
    <x v="2"/>
    <n v="155"/>
    <n v="2.0699999999999998"/>
    <x v="1"/>
    <n v="17.05"/>
    <x v="1"/>
    <x v="1"/>
    <x v="1"/>
    <n v="1"/>
    <x v="0"/>
  </r>
  <r>
    <s v="M"/>
    <x v="27"/>
    <n v="116.2"/>
    <n v="1.9"/>
    <n v="32.200000000000003"/>
    <n v="32.18836565096953"/>
    <n v="0"/>
    <x v="1"/>
    <n v="96.2"/>
    <s v="143/70"/>
    <n v="143"/>
    <n v="70"/>
    <n v="105"/>
    <x v="2"/>
    <n v="40"/>
    <n v="130"/>
    <x v="1"/>
    <x v="0"/>
    <x v="0"/>
    <s v="Y"/>
    <x v="4"/>
    <n v="190"/>
    <n v="0.50600000000000001"/>
    <x v="0"/>
    <n v="143"/>
    <m/>
    <x v="3"/>
    <n v="35"/>
    <n v="0.88"/>
    <x v="0"/>
    <n v="17.690000000000001"/>
    <x v="1"/>
    <x v="0"/>
    <x v="1"/>
    <n v="1"/>
    <x v="0"/>
  </r>
  <r>
    <s v="F"/>
    <x v="18"/>
    <n v="105"/>
    <n v="1.73"/>
    <n v="35.1"/>
    <n v="35.083029837281565"/>
    <n v="0"/>
    <x v="1"/>
    <n v="93.4"/>
    <s v="126/74"/>
    <n v="126"/>
    <n v="74"/>
    <m/>
    <x v="2"/>
    <n v="34"/>
    <n v="94"/>
    <x v="0"/>
    <x v="0"/>
    <x v="0"/>
    <s v="Y"/>
    <x v="1"/>
    <n v="173"/>
    <n v="0.54"/>
    <x v="1"/>
    <n v="126"/>
    <n v="74"/>
    <x v="0"/>
    <n v="66"/>
    <n v="1.94"/>
    <x v="0"/>
    <n v="17.920000000000002"/>
    <x v="1"/>
    <x v="0"/>
    <x v="1"/>
    <n v="1"/>
    <x v="0"/>
  </r>
  <r>
    <s v="M"/>
    <x v="6"/>
    <n v="74.099999999999994"/>
    <n v="1.89"/>
    <n v="20.7"/>
    <n v="20.744100109179474"/>
    <n v="0"/>
    <x v="0"/>
    <n v="105.9"/>
    <s v="135/66"/>
    <n v="135"/>
    <n v="66"/>
    <n v="147"/>
    <x v="2"/>
    <n v="64"/>
    <n v="142"/>
    <x v="0"/>
    <x v="1"/>
    <x v="0"/>
    <s v="N"/>
    <x v="2"/>
    <n v="189"/>
    <n v="0.56000000000000005"/>
    <x v="1"/>
    <n v="135"/>
    <n v="66"/>
    <x v="1"/>
    <n v="53"/>
    <n v="0.83"/>
    <x v="0"/>
    <n v="13.83"/>
    <x v="2"/>
    <x v="0"/>
    <x v="0"/>
    <n v="0"/>
    <x v="0"/>
  </r>
  <r>
    <s v="M"/>
    <x v="3"/>
    <n v="112.6"/>
    <n v="1.87"/>
    <n v="32.200000000000003"/>
    <n v="32.199948525837165"/>
    <n v="0"/>
    <x v="1"/>
    <n v="82.8"/>
    <s v="115/64"/>
    <n v="115"/>
    <n v="64"/>
    <n v="226"/>
    <x v="0"/>
    <n v="33"/>
    <n v="112"/>
    <x v="0"/>
    <x v="0"/>
    <x v="2"/>
    <s v="Y"/>
    <x v="0"/>
    <n v="187"/>
    <n v="0.443"/>
    <x v="2"/>
    <n v="115"/>
    <n v="64"/>
    <x v="2"/>
    <n v="163"/>
    <n v="4.9400000000000004"/>
    <x v="1"/>
    <n v="18.71"/>
    <x v="1"/>
    <x v="0"/>
    <x v="1"/>
    <n v="1"/>
    <x v="0"/>
  </r>
  <r>
    <s v="M"/>
    <x v="17"/>
    <n v="71.900000000000006"/>
    <n v="1.86"/>
    <n v="20.8"/>
    <n v="20.782749450803561"/>
    <n v="0"/>
    <x v="0"/>
    <n v="88.6"/>
    <s v="121/92"/>
    <n v="121"/>
    <n v="92"/>
    <n v="211"/>
    <x v="0"/>
    <n v="45"/>
    <n v="106"/>
    <x v="1"/>
    <x v="0"/>
    <x v="2"/>
    <s v="Y"/>
    <x v="1"/>
    <n v="186"/>
    <n v="0.47599999999999998"/>
    <x v="0"/>
    <n v="121"/>
    <n v="92"/>
    <x v="3"/>
    <n v="136"/>
    <n v="3.02"/>
    <x v="0"/>
    <n v="16.43"/>
    <x v="1"/>
    <x v="0"/>
    <x v="1"/>
    <n v="1"/>
    <x v="0"/>
  </r>
  <r>
    <s v="M"/>
    <x v="17"/>
    <m/>
    <n v="1.88"/>
    <n v="29.1"/>
    <n v="0"/>
    <n v="1"/>
    <x v="2"/>
    <n v="78.400000000000006"/>
    <s v="119/99"/>
    <n v="119"/>
    <n v="99"/>
    <n v="213"/>
    <x v="0"/>
    <n v="54"/>
    <m/>
    <x v="0"/>
    <x v="0"/>
    <x v="2"/>
    <s v="Y"/>
    <x v="0"/>
    <n v="188"/>
    <n v="0.41699999999999998"/>
    <x v="2"/>
    <n v="119"/>
    <n v="99"/>
    <x v="3"/>
    <n v="129"/>
    <n v="2.39"/>
    <x v="0"/>
    <n v="18.03"/>
    <x v="1"/>
    <x v="0"/>
    <x v="1"/>
    <n v="1"/>
    <x v="0"/>
  </r>
  <r>
    <s v="M"/>
    <x v="12"/>
    <n v="112.8"/>
    <n v="1.88"/>
    <n v="31.9"/>
    <n v="31.914893617021278"/>
    <n v="0"/>
    <x v="1"/>
    <n v="90.6"/>
    <s v="134/89"/>
    <n v="134"/>
    <n v="89"/>
    <n v="123"/>
    <x v="2"/>
    <n v="30"/>
    <n v="131"/>
    <x v="1"/>
    <x v="1"/>
    <x v="1"/>
    <s v="Y"/>
    <x v="0"/>
    <n v="188"/>
    <n v="0.48199999999999998"/>
    <x v="0"/>
    <n v="134"/>
    <n v="89"/>
    <x v="1"/>
    <n v="63"/>
    <n v="2.1"/>
    <x v="0"/>
    <n v="15.54"/>
    <x v="1"/>
    <x v="0"/>
    <x v="1"/>
    <n v="1"/>
    <x v="0"/>
  </r>
  <r>
    <s v="F"/>
    <x v="15"/>
    <n v="81.2"/>
    <n v="1.75"/>
    <n v="26.5"/>
    <n v="26.514285714285716"/>
    <n v="0"/>
    <x v="2"/>
    <n v="74"/>
    <s v="141/76"/>
    <n v="141"/>
    <n v="76"/>
    <n v="225"/>
    <x v="0"/>
    <n v="31"/>
    <n v="124"/>
    <x v="1"/>
    <x v="1"/>
    <x v="2"/>
    <s v="Y"/>
    <x v="0"/>
    <n v="175"/>
    <n v="0.42299999999999999"/>
    <x v="2"/>
    <n v="141"/>
    <m/>
    <x v="3"/>
    <n v="164"/>
    <n v="5.29"/>
    <x v="0"/>
    <n v="16.850000000000001"/>
    <x v="1"/>
    <x v="0"/>
    <x v="1"/>
    <n v="1"/>
    <x v="0"/>
  </r>
  <r>
    <s v="F"/>
    <x v="27"/>
    <n v="73.900000000000006"/>
    <n v="1.75"/>
    <n v="24.1"/>
    <n v="24.130612244897961"/>
    <n v="0"/>
    <x v="0"/>
    <n v="95.8"/>
    <s v="145/71"/>
    <n v="145"/>
    <n v="71"/>
    <m/>
    <x v="2"/>
    <m/>
    <n v="144"/>
    <x v="1"/>
    <x v="1"/>
    <x v="1"/>
    <s v="Y"/>
    <x v="0"/>
    <n v="175"/>
    <n v="0.54700000000000004"/>
    <x v="1"/>
    <n v="145"/>
    <n v="71"/>
    <x v="3"/>
    <n v="31"/>
    <s v=""/>
    <x v="0"/>
    <n v="14.67"/>
    <x v="0"/>
    <x v="0"/>
    <x v="0"/>
    <n v="0"/>
    <x v="0"/>
  </r>
  <r>
    <s v="M"/>
    <x v="11"/>
    <n v="110.6"/>
    <n v="1.7"/>
    <n v="38.299999999999997"/>
    <n v="38.269896193771629"/>
    <n v="0"/>
    <x v="1"/>
    <n v="80.3"/>
    <s v="148/95"/>
    <n v="148"/>
    <n v="95"/>
    <n v="177"/>
    <x v="1"/>
    <n v="65"/>
    <n v="121"/>
    <x v="1"/>
    <x v="0"/>
    <x v="0"/>
    <s v="Y"/>
    <x v="4"/>
    <n v="170"/>
    <n v="0.47199999999999998"/>
    <x v="0"/>
    <n v="148"/>
    <n v="95"/>
    <x v="3"/>
    <n v="82"/>
    <n v="1.26"/>
    <x v="0"/>
    <n v="20.6"/>
    <x v="1"/>
    <x v="1"/>
    <x v="1"/>
    <n v="1"/>
    <x v="0"/>
  </r>
  <r>
    <s v="F"/>
    <x v="28"/>
    <n v="107.8"/>
    <n v="1.78"/>
    <n v="34"/>
    <n v="34.023481883600553"/>
    <n v="0"/>
    <x v="1"/>
    <n v="103.5"/>
    <s v="111/69"/>
    <n v="111"/>
    <n v="69"/>
    <n v="179"/>
    <x v="1"/>
    <n v="73"/>
    <n v="132"/>
    <x v="0"/>
    <x v="1"/>
    <x v="0"/>
    <s v="Y"/>
    <x v="0"/>
    <n v="178"/>
    <n v="0.58099999999999996"/>
    <x v="1"/>
    <n v="111"/>
    <n v="69"/>
    <x v="2"/>
    <n v="76"/>
    <n v="1.04"/>
    <x v="0"/>
    <n v="15.93"/>
    <x v="1"/>
    <x v="1"/>
    <x v="1"/>
    <n v="1"/>
    <x v="0"/>
  </r>
  <r>
    <s v="F"/>
    <x v="12"/>
    <n v="61.4"/>
    <n v="1.71"/>
    <n v="21"/>
    <n v="20.997913888033928"/>
    <n v="0"/>
    <x v="0"/>
    <n v="83.6"/>
    <s v="134/69"/>
    <n v="134"/>
    <n v="69"/>
    <n v="246"/>
    <x v="0"/>
    <n v="72"/>
    <n v="136"/>
    <x v="0"/>
    <x v="0"/>
    <x v="1"/>
    <s v="Y"/>
    <x v="0"/>
    <m/>
    <n v="0.48899999999999999"/>
    <x v="0"/>
    <n v="134"/>
    <n v="69"/>
    <x v="1"/>
    <n v="144"/>
    <n v="2"/>
    <x v="0"/>
    <n v="17.82"/>
    <x v="0"/>
    <x v="0"/>
    <x v="0"/>
    <n v="0"/>
    <x v="0"/>
  </r>
  <r>
    <s v="F"/>
    <x v="22"/>
    <m/>
    <n v="1.82"/>
    <n v="35.799999999999997"/>
    <n v="0"/>
    <n v="1"/>
    <x v="1"/>
    <n v="93.5"/>
    <s v="120/70"/>
    <n v="120"/>
    <n v="70"/>
    <n v="260"/>
    <x v="0"/>
    <n v="37"/>
    <n v="125"/>
    <x v="1"/>
    <x v="1"/>
    <x v="1"/>
    <s v="Y"/>
    <x v="0"/>
    <n v="182"/>
    <n v="0.51400000000000001"/>
    <x v="0"/>
    <n v="120"/>
    <n v="70"/>
    <x v="0"/>
    <n v="193"/>
    <n v="5.22"/>
    <x v="0"/>
    <n v="18.36"/>
    <x v="1"/>
    <x v="0"/>
    <x v="1"/>
    <n v="1"/>
    <x v="0"/>
  </r>
  <r>
    <s v="M"/>
    <x v="12"/>
    <n v="80"/>
    <n v="1.64"/>
    <n v="29.7"/>
    <n v="29.744199881023206"/>
    <n v="0"/>
    <x v="2"/>
    <n v="103.6"/>
    <s v="114/70"/>
    <n v="114"/>
    <n v="70"/>
    <n v="299"/>
    <x v="0"/>
    <n v="46"/>
    <n v="148"/>
    <x v="0"/>
    <x v="1"/>
    <x v="0"/>
    <s v="Y"/>
    <x v="0"/>
    <n v="164"/>
    <n v="0.63200000000000001"/>
    <x v="3"/>
    <n v="114"/>
    <n v="70"/>
    <x v="2"/>
    <n v="223"/>
    <n v="4.8499999999999996"/>
    <x v="1"/>
    <n v="17.62"/>
    <x v="1"/>
    <x v="0"/>
    <x v="1"/>
    <n v="1"/>
    <x v="0"/>
  </r>
  <r>
    <s v="F"/>
    <x v="14"/>
    <n v="64.2"/>
    <n v="1.87"/>
    <n v="18.399999999999999"/>
    <n v="18.35911807601018"/>
    <n v="0"/>
    <x v="3"/>
    <n v="100.8"/>
    <s v="134/67"/>
    <n v="134"/>
    <n v="67"/>
    <n v="193"/>
    <x v="0"/>
    <n v="49"/>
    <n v="134"/>
    <x v="1"/>
    <x v="0"/>
    <x v="2"/>
    <s v="N"/>
    <x v="0"/>
    <n v="187"/>
    <n v="0.53900000000000003"/>
    <x v="1"/>
    <m/>
    <n v="67"/>
    <x v="1"/>
    <n v="114"/>
    <n v="2.33"/>
    <x v="0"/>
    <n v="16.239999999999998"/>
    <x v="0"/>
    <x v="0"/>
    <x v="0"/>
    <n v="0"/>
    <x v="0"/>
  </r>
  <r>
    <s v="M"/>
    <x v="16"/>
    <n v="62.3"/>
    <n v="1.84"/>
    <n v="18.399999999999999"/>
    <n v="18.401465028355386"/>
    <n v="0"/>
    <x v="3"/>
    <n v="90.9"/>
    <s v="95/94"/>
    <n v="95"/>
    <n v="94"/>
    <n v="208"/>
    <x v="0"/>
    <n v="30"/>
    <n v="101"/>
    <x v="1"/>
    <x v="1"/>
    <x v="0"/>
    <s v="Y"/>
    <x v="1"/>
    <n v="184"/>
    <n v="0.49399999999999999"/>
    <x v="0"/>
    <n v="95"/>
    <n v="94"/>
    <x v="3"/>
    <n v="148"/>
    <n v="4.93"/>
    <x v="0"/>
    <n v="12.59"/>
    <x v="1"/>
    <x v="0"/>
    <x v="1"/>
    <n v="1"/>
    <x v="0"/>
  </r>
  <r>
    <s v="F"/>
    <x v="31"/>
    <n v="78.2"/>
    <n v="1.83"/>
    <n v="23.4"/>
    <n v="23.350951058556539"/>
    <n v="0"/>
    <x v="0"/>
    <n v="82.8"/>
    <s v="116/86"/>
    <n v="116"/>
    <n v="86"/>
    <n v="180"/>
    <x v="1"/>
    <n v="33"/>
    <n v="89"/>
    <x v="1"/>
    <x v="1"/>
    <x v="2"/>
    <s v="Y"/>
    <x v="0"/>
    <n v="183"/>
    <n v="0.45200000000000001"/>
    <x v="2"/>
    <n v="116"/>
    <n v="86"/>
    <x v="1"/>
    <n v="117"/>
    <n v="3.55"/>
    <x v="0"/>
    <n v="14.08"/>
    <x v="1"/>
    <x v="0"/>
    <x v="1"/>
    <n v="1"/>
    <x v="0"/>
  </r>
  <r>
    <s v="M"/>
    <x v="8"/>
    <n v="50.1"/>
    <n v="1.77"/>
    <n v="16"/>
    <n v="15.991573302690798"/>
    <n v="0"/>
    <x v="3"/>
    <n v="104.1"/>
    <s v="146/95"/>
    <n v="146"/>
    <n v="95"/>
    <n v="210"/>
    <x v="0"/>
    <n v="70"/>
    <n v="108"/>
    <x v="0"/>
    <x v="1"/>
    <x v="0"/>
    <s v="Y"/>
    <x v="0"/>
    <n v="177"/>
    <n v="0.58799999999999997"/>
    <x v="3"/>
    <n v="146"/>
    <m/>
    <x v="3"/>
    <n v="110"/>
    <n v="1.57"/>
    <x v="0"/>
    <m/>
    <x v="1"/>
    <x v="1"/>
    <x v="1"/>
    <n v="1"/>
    <x v="0"/>
  </r>
  <r>
    <s v="M"/>
    <x v="15"/>
    <n v="53.9"/>
    <n v="1.67"/>
    <n v="19.3"/>
    <n v="19.326616228620605"/>
    <n v="0"/>
    <x v="0"/>
    <n v="79.3"/>
    <s v="104/77"/>
    <n v="104"/>
    <n v="77"/>
    <n v="193"/>
    <x v="0"/>
    <n v="69"/>
    <n v="131"/>
    <x v="1"/>
    <x v="0"/>
    <x v="0"/>
    <s v="Y"/>
    <x v="4"/>
    <n v="167"/>
    <n v="0.47499999999999998"/>
    <x v="0"/>
    <n v="104"/>
    <n v="77"/>
    <x v="2"/>
    <n v="94"/>
    <n v="1.36"/>
    <x v="0"/>
    <n v="14.92"/>
    <x v="1"/>
    <x v="1"/>
    <x v="1"/>
    <n v="1"/>
    <x v="0"/>
  </r>
  <r>
    <s v="M"/>
    <x v="28"/>
    <n v="59"/>
    <n v="1.86"/>
    <n v="17.100000000000001"/>
    <n v="17.053994681466062"/>
    <n v="0"/>
    <x v="3"/>
    <n v="92"/>
    <s v="98/73"/>
    <n v="98"/>
    <n v="73"/>
    <n v="156"/>
    <x v="1"/>
    <m/>
    <n v="134"/>
    <x v="0"/>
    <x v="0"/>
    <x v="0"/>
    <s v="N"/>
    <x v="0"/>
    <n v="186"/>
    <n v="0.495"/>
    <x v="0"/>
    <n v="98"/>
    <n v="73"/>
    <x v="2"/>
    <n v="81"/>
    <s v=""/>
    <x v="0"/>
    <n v="13.44"/>
    <x v="0"/>
    <x v="0"/>
    <x v="0"/>
    <n v="0"/>
    <x v="0"/>
  </r>
  <r>
    <s v="M"/>
    <x v="12"/>
    <n v="109.9"/>
    <n v="1.8"/>
    <n v="33.9"/>
    <n v="33.919753086419753"/>
    <n v="0"/>
    <x v="1"/>
    <n v="89.4"/>
    <s v="130/94"/>
    <n v="130"/>
    <n v="94"/>
    <n v="267"/>
    <x v="0"/>
    <n v="35"/>
    <n v="116"/>
    <x v="1"/>
    <x v="1"/>
    <x v="0"/>
    <s v="Y"/>
    <x v="1"/>
    <n v="180"/>
    <n v="0.497"/>
    <x v="0"/>
    <n v="130"/>
    <n v="94"/>
    <x v="1"/>
    <n v="202"/>
    <n v="5.77"/>
    <x v="0"/>
    <n v="18.62"/>
    <x v="1"/>
    <x v="0"/>
    <x v="1"/>
    <n v="1"/>
    <x v="0"/>
  </r>
  <r>
    <s v="M"/>
    <x v="7"/>
    <n v="109.2"/>
    <n v="1.87"/>
    <n v="31.2"/>
    <n v="31.227658783493947"/>
    <n v="0"/>
    <x v="1"/>
    <n v="81"/>
    <s v="129/61"/>
    <n v="129"/>
    <n v="61"/>
    <n v="159"/>
    <x v="1"/>
    <n v="51"/>
    <n v="123"/>
    <x v="0"/>
    <x v="1"/>
    <x v="1"/>
    <s v="Y"/>
    <x v="2"/>
    <n v="187"/>
    <n v="0.433"/>
    <x v="2"/>
    <n v="129"/>
    <n v="61"/>
    <x v="0"/>
    <n v="78"/>
    <n v="1.53"/>
    <x v="0"/>
    <n v="15.87"/>
    <x v="0"/>
    <x v="0"/>
    <x v="0"/>
    <n v="0"/>
    <x v="0"/>
  </r>
  <r>
    <s v="M"/>
    <x v="7"/>
    <n v="58.8"/>
    <n v="1.79"/>
    <n v="18.399999999999999"/>
    <n v="18.35148715707999"/>
    <n v="0"/>
    <x v="3"/>
    <n v="93.6"/>
    <s v="112/85"/>
    <n v="112"/>
    <n v="85"/>
    <n v="201"/>
    <x v="0"/>
    <n v="57"/>
    <n v="103"/>
    <x v="1"/>
    <x v="1"/>
    <x v="2"/>
    <s v="N"/>
    <x v="2"/>
    <n v="179"/>
    <n v="0.52300000000000002"/>
    <x v="1"/>
    <m/>
    <n v="85"/>
    <x v="1"/>
    <n v="114"/>
    <n v="2"/>
    <x v="0"/>
    <n v="13.3"/>
    <x v="0"/>
    <x v="0"/>
    <x v="0"/>
    <n v="0"/>
    <x v="0"/>
  </r>
  <r>
    <s v="F"/>
    <x v="10"/>
    <n v="80"/>
    <n v="1.61"/>
    <n v="30.9"/>
    <n v="30.863006828440259"/>
    <n v="0"/>
    <x v="1"/>
    <n v="93"/>
    <s v="112/71"/>
    <n v="112"/>
    <n v="71"/>
    <n v="296"/>
    <x v="0"/>
    <n v="67"/>
    <n v="101"/>
    <x v="1"/>
    <x v="1"/>
    <x v="0"/>
    <s v="N"/>
    <x v="0"/>
    <n v="161"/>
    <n v="0.57799999999999996"/>
    <x v="1"/>
    <n v="112"/>
    <n v="71"/>
    <x v="2"/>
    <n v="199"/>
    <n v="2.97"/>
    <x v="1"/>
    <n v="17.7"/>
    <x v="1"/>
    <x v="1"/>
    <x v="1"/>
    <n v="1"/>
    <x v="0"/>
  </r>
  <r>
    <s v="M"/>
    <x v="3"/>
    <n v="63.7"/>
    <n v="1.86"/>
    <m/>
    <n v="18.412533240837089"/>
    <n v="1"/>
    <x v="3"/>
    <n v="70.5"/>
    <s v="123/83"/>
    <n v="123"/>
    <n v="83"/>
    <n v="262"/>
    <x v="0"/>
    <n v="48"/>
    <n v="106"/>
    <x v="1"/>
    <x v="1"/>
    <x v="1"/>
    <s v="N"/>
    <x v="2"/>
    <n v="186"/>
    <n v="0.379"/>
    <x v="2"/>
    <n v="123"/>
    <n v="83"/>
    <x v="1"/>
    <n v="184"/>
    <n v="3.83"/>
    <x v="0"/>
    <n v="15.07"/>
    <x v="0"/>
    <x v="0"/>
    <x v="0"/>
    <n v="0"/>
    <x v="0"/>
  </r>
  <r>
    <s v="F"/>
    <x v="2"/>
    <n v="65.8"/>
    <n v="1.9"/>
    <n v="18.2"/>
    <n v="18.227146814404431"/>
    <n v="0"/>
    <x v="3"/>
    <n v="102.8"/>
    <s v="116/89"/>
    <n v="116"/>
    <n v="89"/>
    <n v="136"/>
    <x v="2"/>
    <n v="35"/>
    <n v="128"/>
    <x v="0"/>
    <x v="1"/>
    <x v="2"/>
    <s v="Y"/>
    <x v="2"/>
    <n v="190"/>
    <n v="0.54100000000000004"/>
    <x v="1"/>
    <n v="116"/>
    <n v="89"/>
    <x v="1"/>
    <n v="71"/>
    <n v="2.0299999999999998"/>
    <x v="0"/>
    <n v="12.16"/>
    <x v="0"/>
    <x v="0"/>
    <x v="0"/>
    <n v="0"/>
    <x v="0"/>
  </r>
  <r>
    <s v="F"/>
    <x v="22"/>
    <n v="96.9"/>
    <n v="1.81"/>
    <n v="29.6"/>
    <n v="29.577851713928148"/>
    <n v="0"/>
    <x v="2"/>
    <n v="77.599999999999994"/>
    <s v="122/91"/>
    <n v="122"/>
    <n v="91"/>
    <n v="167"/>
    <x v="1"/>
    <n v="49"/>
    <n v="111"/>
    <x v="1"/>
    <x v="1"/>
    <x v="1"/>
    <s v="Y"/>
    <x v="0"/>
    <n v="181"/>
    <n v="0.42899999999999999"/>
    <x v="2"/>
    <n v="122"/>
    <n v="91"/>
    <x v="3"/>
    <n v="88"/>
    <n v="1.8"/>
    <x v="0"/>
    <n v="15.36"/>
    <x v="1"/>
    <x v="0"/>
    <x v="1"/>
    <n v="1"/>
    <x v="0"/>
  </r>
  <r>
    <s v="M"/>
    <x v="12"/>
    <n v="102.5"/>
    <n v="1.87"/>
    <n v="29.3"/>
    <n v="29.311676055935251"/>
    <n v="0"/>
    <x v="2"/>
    <n v="97.3"/>
    <s v="99/89"/>
    <n v="99"/>
    <n v="89"/>
    <n v="239"/>
    <x v="0"/>
    <n v="41"/>
    <n v="118"/>
    <x v="1"/>
    <x v="1"/>
    <x v="2"/>
    <s v="N"/>
    <x v="2"/>
    <n v="187"/>
    <n v="0.52"/>
    <x v="0"/>
    <n v="99"/>
    <n v="89"/>
    <x v="1"/>
    <m/>
    <n v="0"/>
    <x v="0"/>
    <n v="15.59"/>
    <x v="0"/>
    <x v="0"/>
    <x v="0"/>
    <n v="0"/>
    <x v="0"/>
  </r>
  <r>
    <s v="M"/>
    <x v="29"/>
    <m/>
    <n v="1.77"/>
    <n v="32.799999999999997"/>
    <n v="0"/>
    <n v="1"/>
    <x v="1"/>
    <n v="102.9"/>
    <s v="102/93"/>
    <n v="102"/>
    <n v="93"/>
    <n v="235"/>
    <x v="0"/>
    <n v="68"/>
    <n v="126"/>
    <x v="1"/>
    <x v="0"/>
    <x v="1"/>
    <s v="N"/>
    <x v="0"/>
    <n v="177"/>
    <n v="0.58099999999999996"/>
    <x v="1"/>
    <n v="102"/>
    <n v="93"/>
    <x v="3"/>
    <n v="137"/>
    <n v="2.0099999999999998"/>
    <x v="0"/>
    <n v="18.36"/>
    <x v="1"/>
    <x v="1"/>
    <x v="1"/>
    <n v="1"/>
    <x v="1"/>
  </r>
  <r>
    <s v="F"/>
    <x v="4"/>
    <n v="111.7"/>
    <n v="1.88"/>
    <n v="31.6"/>
    <n v="31.603666817564513"/>
    <n v="0"/>
    <x v="1"/>
    <n v="107.3"/>
    <s v="126/66"/>
    <n v="126"/>
    <n v="66"/>
    <n v="290"/>
    <x v="0"/>
    <n v="46"/>
    <n v="148"/>
    <x v="0"/>
    <x v="1"/>
    <x v="1"/>
    <s v="Y"/>
    <x v="2"/>
    <n v="188"/>
    <m/>
    <x v="4"/>
    <n v="126"/>
    <m/>
    <x v="0"/>
    <n v="214"/>
    <n v="4.6500000000000004"/>
    <x v="0"/>
    <n v="18.420000000000002"/>
    <x v="1"/>
    <x v="0"/>
    <x v="1"/>
    <n v="1"/>
    <x v="0"/>
  </r>
  <r>
    <s v="M"/>
    <x v="23"/>
    <n v="116"/>
    <n v="1.64"/>
    <n v="43.1"/>
    <n v="43.129089827483647"/>
    <n v="0"/>
    <x v="1"/>
    <n v="80.3"/>
    <s v="93/78"/>
    <n v="93"/>
    <n v="78"/>
    <n v="252"/>
    <x v="0"/>
    <n v="49"/>
    <n v="119"/>
    <x v="1"/>
    <x v="0"/>
    <x v="1"/>
    <s v="N"/>
    <x v="0"/>
    <m/>
    <n v="0.49"/>
    <x v="0"/>
    <n v="93"/>
    <n v="78"/>
    <x v="2"/>
    <n v="173"/>
    <n v="3.53"/>
    <x v="1"/>
    <n v="20.309999999999999"/>
    <x v="1"/>
    <x v="0"/>
    <x v="1"/>
    <n v="1"/>
    <x v="0"/>
  </r>
  <r>
    <s v="F"/>
    <x v="12"/>
    <n v="91"/>
    <n v="1.78"/>
    <n v="28.7"/>
    <n v="28.721121070571897"/>
    <n v="0"/>
    <x v="2"/>
    <n v="91"/>
    <s v="120/89"/>
    <n v="120"/>
    <n v="89"/>
    <n v="274"/>
    <x v="0"/>
    <n v="62"/>
    <n v="81"/>
    <x v="1"/>
    <x v="0"/>
    <x v="1"/>
    <s v="Y"/>
    <x v="1"/>
    <n v="178"/>
    <m/>
    <x v="4"/>
    <n v="120"/>
    <n v="89"/>
    <x v="1"/>
    <n v="182"/>
    <n v="2.94"/>
    <x v="0"/>
    <m/>
    <x v="1"/>
    <x v="1"/>
    <x v="1"/>
    <n v="1"/>
    <x v="0"/>
  </r>
  <r>
    <s v="F"/>
    <x v="21"/>
    <n v="106.3"/>
    <n v="1.84"/>
    <n v="31.4"/>
    <n v="31.397684310018903"/>
    <n v="0"/>
    <x v="1"/>
    <n v="97.5"/>
    <s v="149/66"/>
    <n v="149"/>
    <n v="66"/>
    <n v="203"/>
    <x v="0"/>
    <n v="75"/>
    <n v="146"/>
    <x v="0"/>
    <x v="0"/>
    <x v="0"/>
    <s v="N"/>
    <x v="0"/>
    <n v="184"/>
    <n v="0.53"/>
    <x v="1"/>
    <n v="149"/>
    <n v="66"/>
    <x v="3"/>
    <m/>
    <n v="0"/>
    <x v="0"/>
    <n v="19.79"/>
    <x v="1"/>
    <x v="1"/>
    <x v="1"/>
    <n v="1"/>
    <x v="0"/>
  </r>
  <r>
    <s v="M"/>
    <x v="19"/>
    <n v="112.9"/>
    <n v="1.69"/>
    <n v="39.5"/>
    <n v="39.529428241308082"/>
    <n v="0"/>
    <x v="1"/>
    <n v="84.4"/>
    <s v="125/73"/>
    <n v="125"/>
    <n v="73"/>
    <n v="132"/>
    <x v="2"/>
    <n v="74"/>
    <n v="92"/>
    <x v="0"/>
    <x v="0"/>
    <x v="0"/>
    <s v="Y"/>
    <x v="1"/>
    <n v="169"/>
    <n v="0.499"/>
    <x v="0"/>
    <n v="125"/>
    <n v="73"/>
    <x v="0"/>
    <n v="28"/>
    <n v="0.38"/>
    <x v="0"/>
    <n v="18.79"/>
    <x v="1"/>
    <x v="1"/>
    <x v="1"/>
    <n v="1"/>
    <x v="0"/>
  </r>
  <r>
    <s v="M"/>
    <x v="19"/>
    <n v="67.5"/>
    <n v="1.86"/>
    <n v="19.5"/>
    <n v="19.510926118626429"/>
    <n v="0"/>
    <x v="0"/>
    <n v="87.7"/>
    <s v="139/82"/>
    <n v="139"/>
    <n v="82"/>
    <n v="101"/>
    <x v="2"/>
    <n v="67"/>
    <n v="103"/>
    <x v="1"/>
    <x v="1"/>
    <x v="0"/>
    <s v="Y"/>
    <x v="1"/>
    <n v="186"/>
    <n v="0.47199999999999998"/>
    <x v="0"/>
    <n v="139"/>
    <n v="82"/>
    <x v="1"/>
    <m/>
    <n v="0"/>
    <x v="0"/>
    <n v="12.87"/>
    <x v="0"/>
    <x v="0"/>
    <x v="0"/>
    <n v="0"/>
    <x v="0"/>
  </r>
  <r>
    <s v="F"/>
    <x v="6"/>
    <n v="73.2"/>
    <n v="1.65"/>
    <n v="26.9"/>
    <n v="26.887052341597801"/>
    <n v="0"/>
    <x v="2"/>
    <n v="91"/>
    <s v="141/82"/>
    <n v="141"/>
    <n v="82"/>
    <n v="109"/>
    <x v="2"/>
    <n v="69"/>
    <n v="90"/>
    <x v="1"/>
    <x v="0"/>
    <x v="0"/>
    <s v="N"/>
    <x v="1"/>
    <n v="165"/>
    <n v="0.55200000000000005"/>
    <x v="1"/>
    <n v="141"/>
    <n v="82"/>
    <x v="1"/>
    <n v="10"/>
    <n v="0.14000000000000001"/>
    <x v="0"/>
    <n v="16.61"/>
    <x v="1"/>
    <x v="1"/>
    <x v="1"/>
    <n v="1"/>
    <x v="0"/>
  </r>
  <r>
    <s v="F"/>
    <x v="2"/>
    <n v="73.7"/>
    <n v="1.7"/>
    <n v="25.5"/>
    <n v="25.501730103806231"/>
    <n v="0"/>
    <x v="2"/>
    <n v="84.2"/>
    <s v="129/92"/>
    <n v="129"/>
    <n v="92"/>
    <n v="192"/>
    <x v="0"/>
    <n v="74"/>
    <n v="144"/>
    <x v="1"/>
    <x v="0"/>
    <x v="2"/>
    <s v="Y"/>
    <x v="1"/>
    <n v="170"/>
    <n v="0.495"/>
    <x v="0"/>
    <n v="129"/>
    <n v="92"/>
    <x v="3"/>
    <n v="88"/>
    <n v="1.19"/>
    <x v="0"/>
    <n v="17.39"/>
    <x v="1"/>
    <x v="1"/>
    <x v="1"/>
    <n v="1"/>
    <x v="0"/>
  </r>
  <r>
    <s v="M"/>
    <x v="0"/>
    <n v="111.8"/>
    <m/>
    <n v="41.6"/>
    <s v=""/>
    <s v=""/>
    <x v="1"/>
    <n v="95.8"/>
    <s v="95/96"/>
    <n v="95"/>
    <n v="96"/>
    <n v="199"/>
    <x v="0"/>
    <n v="41"/>
    <n v="122"/>
    <x v="1"/>
    <x v="1"/>
    <x v="1"/>
    <s v="N"/>
    <x v="2"/>
    <m/>
    <n v="0.58399999999999996"/>
    <x v="1"/>
    <n v="95"/>
    <n v="96"/>
    <x v="3"/>
    <n v="128"/>
    <n v="3.12"/>
    <x v="0"/>
    <n v="17.05"/>
    <x v="0"/>
    <x v="0"/>
    <x v="0"/>
    <n v="0"/>
    <x v="0"/>
  </r>
  <r>
    <s v="F"/>
    <x v="6"/>
    <n v="92.9"/>
    <n v="1.87"/>
    <n v="26.6"/>
    <n v="26.56638737167205"/>
    <n v="0"/>
    <x v="2"/>
    <n v="71.8"/>
    <s v="113/79"/>
    <n v="113"/>
    <n v="79"/>
    <n v="115"/>
    <x v="2"/>
    <n v="79"/>
    <n v="125"/>
    <x v="0"/>
    <x v="1"/>
    <x v="1"/>
    <s v="Y"/>
    <x v="2"/>
    <n v="187"/>
    <n v="0.38400000000000001"/>
    <x v="2"/>
    <n v="113"/>
    <n v="79"/>
    <x v="2"/>
    <n v="6"/>
    <n v="0.08"/>
    <x v="0"/>
    <n v="13.27"/>
    <x v="0"/>
    <x v="0"/>
    <x v="0"/>
    <n v="0"/>
    <x v="0"/>
  </r>
  <r>
    <s v="F"/>
    <x v="10"/>
    <n v="106.3"/>
    <n v="1.88"/>
    <n v="30.1"/>
    <n v="30.075826165685832"/>
    <n v="0"/>
    <x v="1"/>
    <n v="102.2"/>
    <s v="140/98"/>
    <n v="140"/>
    <n v="98"/>
    <m/>
    <x v="2"/>
    <n v="40"/>
    <n v="82"/>
    <x v="0"/>
    <x v="0"/>
    <x v="1"/>
    <s v="N"/>
    <x v="2"/>
    <m/>
    <n v="0.54400000000000004"/>
    <x v="1"/>
    <n v="140"/>
    <n v="98"/>
    <x v="3"/>
    <n v="74"/>
    <n v="1.85"/>
    <x v="0"/>
    <n v="17.899999999999999"/>
    <x v="0"/>
    <x v="0"/>
    <x v="0"/>
    <n v="0"/>
    <x v="1"/>
  </r>
  <r>
    <s v="F"/>
    <x v="25"/>
    <n v="50.4"/>
    <n v="1.61"/>
    <n v="19.399999999999999"/>
    <n v="19.443694301917361"/>
    <n v="0"/>
    <x v="0"/>
    <n v="97.3"/>
    <s v="106/73"/>
    <n v="106"/>
    <n v="73"/>
    <n v="104"/>
    <x v="2"/>
    <n v="39"/>
    <n v="117"/>
    <x v="0"/>
    <x v="0"/>
    <x v="1"/>
    <s v="N"/>
    <x v="2"/>
    <n v="161"/>
    <n v="0.60399999999999998"/>
    <x v="3"/>
    <m/>
    <n v="73"/>
    <x v="2"/>
    <n v="35"/>
    <n v="0.9"/>
    <x v="0"/>
    <n v="13.26"/>
    <x v="0"/>
    <x v="0"/>
    <x v="0"/>
    <n v="0"/>
    <x v="0"/>
  </r>
  <r>
    <s v="M"/>
    <x v="29"/>
    <n v="110.4"/>
    <n v="1.68"/>
    <n v="39.1"/>
    <n v="39.115646258503411"/>
    <n v="0"/>
    <x v="1"/>
    <n v="102.1"/>
    <s v="115/94"/>
    <n v="115"/>
    <n v="94"/>
    <n v="113"/>
    <x v="2"/>
    <n v="59"/>
    <n v="136"/>
    <x v="1"/>
    <x v="0"/>
    <x v="1"/>
    <s v="Y"/>
    <x v="1"/>
    <n v="168"/>
    <n v="0.60799999999999998"/>
    <x v="3"/>
    <n v="115"/>
    <m/>
    <x v="3"/>
    <n v="24"/>
    <n v="0.41"/>
    <x v="0"/>
    <n v="17.829999999999998"/>
    <x v="1"/>
    <x v="0"/>
    <x v="1"/>
    <n v="1"/>
    <x v="1"/>
  </r>
  <r>
    <s v="F"/>
    <x v="31"/>
    <n v="51.8"/>
    <n v="1.61"/>
    <n v="20"/>
    <n v="19.983796921415067"/>
    <n v="0"/>
    <x v="0"/>
    <n v="73.5"/>
    <s v="143/89"/>
    <n v="143"/>
    <n v="89"/>
    <n v="209"/>
    <x v="0"/>
    <n v="41"/>
    <m/>
    <x v="1"/>
    <x v="0"/>
    <x v="2"/>
    <s v="Y"/>
    <x v="1"/>
    <n v="161"/>
    <n v="0.45700000000000002"/>
    <x v="2"/>
    <n v="143"/>
    <n v="89"/>
    <x v="1"/>
    <n v="138"/>
    <n v="3.37"/>
    <x v="0"/>
    <n v="17.329999999999998"/>
    <x v="1"/>
    <x v="0"/>
    <x v="1"/>
    <n v="1"/>
    <x v="1"/>
  </r>
  <r>
    <s v="F"/>
    <x v="15"/>
    <n v="84.2"/>
    <n v="1.66"/>
    <n v="30.6"/>
    <n v="30.555958774858475"/>
    <n v="0"/>
    <x v="1"/>
    <n v="96.1"/>
    <s v="139/61"/>
    <n v="139"/>
    <n v="61"/>
    <n v="281"/>
    <x v="0"/>
    <n v="59"/>
    <n v="136"/>
    <x v="0"/>
    <x v="0"/>
    <x v="1"/>
    <s v="N"/>
    <x v="2"/>
    <n v="166"/>
    <n v="0.57899999999999996"/>
    <x v="1"/>
    <n v="139"/>
    <n v="61"/>
    <x v="1"/>
    <n v="192"/>
    <n v="3.25"/>
    <x v="0"/>
    <n v="20.69"/>
    <x v="0"/>
    <x v="0"/>
    <x v="0"/>
    <n v="0"/>
    <x v="0"/>
  </r>
  <r>
    <s v="M"/>
    <x v="4"/>
    <m/>
    <n v="1.87"/>
    <n v="33.799999999999997"/>
    <n v="0"/>
    <n v="1"/>
    <x v="1"/>
    <n v="99.6"/>
    <s v="113/91"/>
    <n v="113"/>
    <n v="91"/>
    <n v="106"/>
    <x v="2"/>
    <m/>
    <n v="115"/>
    <x v="1"/>
    <x v="0"/>
    <x v="0"/>
    <s v="N"/>
    <x v="1"/>
    <n v="187"/>
    <n v="0.53300000000000003"/>
    <x v="1"/>
    <m/>
    <n v="91"/>
    <x v="3"/>
    <n v="33"/>
    <s v=""/>
    <x v="0"/>
    <n v="16.53"/>
    <x v="1"/>
    <x v="0"/>
    <x v="1"/>
    <n v="1"/>
    <x v="1"/>
  </r>
  <r>
    <s v="F"/>
    <x v="11"/>
    <n v="86.8"/>
    <n v="1.81"/>
    <n v="26.5"/>
    <n v="26.494917737553799"/>
    <n v="0"/>
    <x v="2"/>
    <n v="101.6"/>
    <s v="92/66"/>
    <n v="92"/>
    <n v="66"/>
    <n v="128"/>
    <x v="2"/>
    <m/>
    <n v="140"/>
    <x v="0"/>
    <x v="1"/>
    <x v="1"/>
    <s v="Y"/>
    <x v="2"/>
    <m/>
    <n v="0.56100000000000005"/>
    <x v="1"/>
    <n v="92"/>
    <n v="66"/>
    <x v="2"/>
    <n v="49"/>
    <s v=""/>
    <x v="0"/>
    <n v="12.46"/>
    <x v="0"/>
    <x v="0"/>
    <x v="0"/>
    <n v="0"/>
    <x v="0"/>
  </r>
  <r>
    <s v="F"/>
    <x v="1"/>
    <n v="82.4"/>
    <n v="1.6"/>
    <n v="32.200000000000003"/>
    <n v="32.187499999999993"/>
    <n v="0"/>
    <x v="1"/>
    <m/>
    <s v="115/75"/>
    <n v="115"/>
    <n v="75"/>
    <n v="175"/>
    <x v="1"/>
    <n v="73"/>
    <n v="148"/>
    <x v="0"/>
    <x v="1"/>
    <x v="2"/>
    <s v="N"/>
    <x v="3"/>
    <n v="160"/>
    <m/>
    <x v="4"/>
    <n v="115"/>
    <n v="75"/>
    <x v="2"/>
    <m/>
    <n v="0"/>
    <x v="0"/>
    <n v="15.69"/>
    <x v="0"/>
    <x v="0"/>
    <x v="0"/>
    <n v="0"/>
    <x v="0"/>
  </r>
  <r>
    <s v="M"/>
    <x v="21"/>
    <n v="110.5"/>
    <n v="1.61"/>
    <n v="42.6"/>
    <n v="42.629528181783108"/>
    <n v="0"/>
    <x v="1"/>
    <n v="96.1"/>
    <s v="132/69"/>
    <n v="132"/>
    <n v="69"/>
    <n v="114"/>
    <x v="2"/>
    <n v="77"/>
    <n v="115"/>
    <x v="0"/>
    <x v="1"/>
    <x v="2"/>
    <s v="Y"/>
    <x v="2"/>
    <m/>
    <n v="0.59699999999999998"/>
    <x v="3"/>
    <n v="132"/>
    <n v="69"/>
    <x v="1"/>
    <n v="7"/>
    <n v="0.09"/>
    <x v="0"/>
    <n v="17.399999999999999"/>
    <x v="0"/>
    <x v="0"/>
    <x v="0"/>
    <n v="0"/>
    <x v="0"/>
  </r>
  <r>
    <s v="M"/>
    <x v="21"/>
    <n v="107.5"/>
    <n v="1.65"/>
    <n v="39.5"/>
    <n v="39.485766758494037"/>
    <n v="0"/>
    <x v="1"/>
    <n v="106.7"/>
    <s v="103/64"/>
    <n v="103"/>
    <n v="64"/>
    <n v="186"/>
    <x v="0"/>
    <n v="79"/>
    <n v="73"/>
    <x v="0"/>
    <x v="0"/>
    <x v="1"/>
    <s v="Y"/>
    <x v="0"/>
    <n v="165"/>
    <n v="0.64700000000000002"/>
    <x v="3"/>
    <n v="103"/>
    <m/>
    <x v="2"/>
    <n v="77"/>
    <n v="0.97"/>
    <x v="0"/>
    <n v="18.77"/>
    <x v="0"/>
    <x v="0"/>
    <x v="0"/>
    <n v="0"/>
    <x v="0"/>
  </r>
  <r>
    <s v="M"/>
    <x v="14"/>
    <n v="107.8"/>
    <n v="1.82"/>
    <n v="32.5"/>
    <n v="32.544378698224847"/>
    <n v="0"/>
    <x v="1"/>
    <n v="87.8"/>
    <s v="97/71"/>
    <n v="97"/>
    <n v="71"/>
    <m/>
    <x v="2"/>
    <m/>
    <n v="103"/>
    <x v="1"/>
    <x v="0"/>
    <x v="1"/>
    <s v="N"/>
    <x v="0"/>
    <n v="182"/>
    <n v="0.48199999999999998"/>
    <x v="0"/>
    <n v="97"/>
    <n v="71"/>
    <x v="2"/>
    <n v="39"/>
    <s v=""/>
    <x v="0"/>
    <n v="15.87"/>
    <x v="0"/>
    <x v="0"/>
    <x v="0"/>
    <n v="0"/>
    <x v="0"/>
  </r>
  <r>
    <s v="F"/>
    <x v="23"/>
    <n v="86.9"/>
    <n v="1.76"/>
    <n v="28.1"/>
    <n v="28.053977272727277"/>
    <n v="0"/>
    <x v="2"/>
    <m/>
    <s v="96/78"/>
    <n v="96"/>
    <n v="78"/>
    <n v="179"/>
    <x v="1"/>
    <n v="37"/>
    <n v="96"/>
    <x v="0"/>
    <x v="0"/>
    <x v="0"/>
    <s v="N"/>
    <x v="0"/>
    <n v="176"/>
    <n v="0.53200000000000003"/>
    <x v="1"/>
    <n v="96"/>
    <n v="78"/>
    <x v="2"/>
    <n v="112"/>
    <n v="3.03"/>
    <x v="1"/>
    <n v="16"/>
    <x v="1"/>
    <x v="0"/>
    <x v="1"/>
    <n v="1"/>
    <x v="0"/>
  </r>
  <r>
    <s v="F"/>
    <x v="17"/>
    <n v="55.7"/>
    <n v="1.76"/>
    <n v="18"/>
    <n v="17.981663223140497"/>
    <n v="0"/>
    <x v="3"/>
    <n v="106.8"/>
    <s v="111/85"/>
    <n v="111"/>
    <n v="85"/>
    <n v="105"/>
    <x v="2"/>
    <n v="31"/>
    <n v="146"/>
    <x v="1"/>
    <x v="1"/>
    <x v="0"/>
    <s v="Y"/>
    <x v="1"/>
    <n v="176"/>
    <n v="0.60699999999999998"/>
    <x v="3"/>
    <n v="111"/>
    <n v="85"/>
    <x v="1"/>
    <n v="44"/>
    <n v="1.42"/>
    <x v="0"/>
    <n v="11.25"/>
    <x v="1"/>
    <x v="0"/>
    <x v="1"/>
    <n v="1"/>
    <x v="0"/>
  </r>
  <r>
    <s v="F"/>
    <x v="13"/>
    <n v="52.9"/>
    <n v="1.88"/>
    <n v="15"/>
    <n v="14.967179719330014"/>
    <n v="0"/>
    <x v="3"/>
    <n v="75.099999999999994"/>
    <s v="132/95"/>
    <n v="132"/>
    <n v="95"/>
    <n v="203"/>
    <x v="0"/>
    <n v="70"/>
    <n v="124"/>
    <x v="1"/>
    <x v="1"/>
    <x v="1"/>
    <s v="N"/>
    <x v="2"/>
    <n v="188"/>
    <n v="0.39900000000000002"/>
    <x v="2"/>
    <n v="132"/>
    <n v="95"/>
    <x v="1"/>
    <n v="103"/>
    <n v="1.47"/>
    <x v="0"/>
    <n v="13.66"/>
    <x v="0"/>
    <x v="0"/>
    <x v="0"/>
    <n v="0"/>
    <x v="0"/>
  </r>
  <r>
    <s v="F"/>
    <x v="10"/>
    <n v="58.5"/>
    <n v="1.82"/>
    <n v="17.7"/>
    <n v="17.660910518053374"/>
    <n v="0"/>
    <x v="3"/>
    <n v="83.9"/>
    <s v="97/80"/>
    <n v="97"/>
    <n v="80"/>
    <m/>
    <x v="2"/>
    <n v="55"/>
    <n v="112"/>
    <x v="0"/>
    <x v="1"/>
    <x v="2"/>
    <s v="N"/>
    <x v="3"/>
    <n v="182"/>
    <n v="0.46100000000000002"/>
    <x v="0"/>
    <n v="97"/>
    <n v="80"/>
    <x v="1"/>
    <n v="206"/>
    <n v="3.75"/>
    <x v="0"/>
    <n v="14.21"/>
    <x v="0"/>
    <x v="0"/>
    <x v="0"/>
    <n v="0"/>
    <x v="0"/>
  </r>
  <r>
    <s v="F"/>
    <x v="12"/>
    <n v="65.7"/>
    <n v="1.81"/>
    <n v="20.100000000000001"/>
    <n v="20.054332895821251"/>
    <n v="0"/>
    <x v="0"/>
    <n v="102.4"/>
    <s v="92/96"/>
    <n v="92"/>
    <n v="96"/>
    <n v="297"/>
    <x v="0"/>
    <n v="65"/>
    <n v="115"/>
    <x v="0"/>
    <x v="0"/>
    <x v="0"/>
    <s v="Y"/>
    <x v="1"/>
    <m/>
    <n v="0.56599999999999995"/>
    <x v="1"/>
    <n v="92"/>
    <n v="96"/>
    <x v="3"/>
    <n v="202"/>
    <n v="3.11"/>
    <x v="0"/>
    <n v="16.559999999999999"/>
    <x v="1"/>
    <x v="1"/>
    <x v="1"/>
    <n v="1"/>
    <x v="0"/>
  </r>
  <r>
    <s v="M"/>
    <x v="10"/>
    <n v="53.1"/>
    <n v="1.63"/>
    <n v="20"/>
    <n v="19.985697617524185"/>
    <n v="0"/>
    <x v="0"/>
    <n v="105.9"/>
    <s v="140/85"/>
    <n v="140"/>
    <n v="85"/>
    <n v="153"/>
    <x v="1"/>
    <n v="80"/>
    <n v="114"/>
    <x v="0"/>
    <x v="0"/>
    <x v="0"/>
    <s v="Y"/>
    <x v="1"/>
    <n v="163"/>
    <n v="0.65"/>
    <x v="3"/>
    <n v="140"/>
    <n v="85"/>
    <x v="1"/>
    <n v="43"/>
    <n v="0.54"/>
    <x v="0"/>
    <m/>
    <x v="1"/>
    <x v="1"/>
    <x v="1"/>
    <n v="1"/>
    <x v="1"/>
  </r>
  <r>
    <s v="M"/>
    <x v="18"/>
    <n v="106.2"/>
    <n v="1.87"/>
    <n v="30.4"/>
    <n v="30.369756069661697"/>
    <n v="0"/>
    <x v="1"/>
    <n v="105.5"/>
    <s v="119/92"/>
    <n v="119"/>
    <n v="92"/>
    <n v="268"/>
    <x v="0"/>
    <n v="50"/>
    <n v="139"/>
    <x v="1"/>
    <x v="0"/>
    <x v="2"/>
    <s v="N"/>
    <x v="0"/>
    <n v="187"/>
    <n v="0.56399999999999995"/>
    <x v="1"/>
    <m/>
    <n v="92"/>
    <x v="3"/>
    <n v="188"/>
    <n v="3.76"/>
    <x v="0"/>
    <n v="19.39"/>
    <x v="1"/>
    <x v="0"/>
    <x v="1"/>
    <n v="1"/>
    <x v="0"/>
  </r>
  <r>
    <s v="F"/>
    <x v="23"/>
    <n v="118.4"/>
    <n v="1.9"/>
    <n v="32.799999999999997"/>
    <n v="32.797783933518005"/>
    <n v="0"/>
    <x v="1"/>
    <n v="80.900000000000006"/>
    <s v="91/71"/>
    <n v="91"/>
    <n v="71"/>
    <n v="202"/>
    <x v="0"/>
    <n v="48"/>
    <n v="148"/>
    <x v="0"/>
    <x v="0"/>
    <x v="1"/>
    <s v="N"/>
    <x v="2"/>
    <n v="190"/>
    <n v="0.42599999999999999"/>
    <x v="2"/>
    <n v="91"/>
    <n v="71"/>
    <x v="2"/>
    <n v="124"/>
    <n v="2.58"/>
    <x v="1"/>
    <n v="17.149999999999999"/>
    <x v="1"/>
    <x v="0"/>
    <x v="1"/>
    <n v="1"/>
    <x v="0"/>
  </r>
  <r>
    <s v="M"/>
    <x v="1"/>
    <n v="70.2"/>
    <n v="1.72"/>
    <n v="23.7"/>
    <n v="23.729042725797733"/>
    <n v="0"/>
    <x v="0"/>
    <n v="70"/>
    <s v="121/68"/>
    <n v="121"/>
    <n v="68"/>
    <n v="300"/>
    <x v="0"/>
    <n v="77"/>
    <n v="141"/>
    <x v="1"/>
    <x v="1"/>
    <x v="1"/>
    <s v="Y"/>
    <x v="0"/>
    <n v="172"/>
    <n v="0.40699999999999997"/>
    <x v="2"/>
    <n v="121"/>
    <m/>
    <x v="0"/>
    <n v="193"/>
    <n v="2.5099999999999998"/>
    <x v="0"/>
    <n v="16.79"/>
    <x v="1"/>
    <x v="1"/>
    <x v="1"/>
    <n v="1"/>
    <x v="0"/>
  </r>
  <r>
    <s v="F"/>
    <x v="22"/>
    <n v="76.099999999999994"/>
    <n v="1.88"/>
    <n v="21.5"/>
    <n v="21.531235853327296"/>
    <n v="0"/>
    <x v="0"/>
    <n v="98.2"/>
    <s v="98/90"/>
    <n v="98"/>
    <n v="90"/>
    <n v="149"/>
    <x v="2"/>
    <n v="64"/>
    <n v="105"/>
    <x v="1"/>
    <x v="1"/>
    <x v="0"/>
    <s v="Y"/>
    <x v="1"/>
    <n v="188"/>
    <n v="0.52200000000000002"/>
    <x v="0"/>
    <n v="98"/>
    <n v="90"/>
    <x v="3"/>
    <n v="55"/>
    <n v="0.86"/>
    <x v="0"/>
    <n v="12.18"/>
    <x v="1"/>
    <x v="1"/>
    <x v="1"/>
    <n v="1"/>
    <x v="0"/>
  </r>
  <r>
    <s v="F"/>
    <x v="10"/>
    <n v="104.8"/>
    <n v="1.84"/>
    <n v="31"/>
    <n v="30.954631379962191"/>
    <n v="0"/>
    <x v="1"/>
    <n v="104.6"/>
    <s v="150/97"/>
    <n v="150"/>
    <n v="97"/>
    <n v="192"/>
    <x v="0"/>
    <n v="78"/>
    <n v="106"/>
    <x v="1"/>
    <x v="0"/>
    <x v="1"/>
    <s v="Y"/>
    <x v="1"/>
    <n v="184"/>
    <n v="0.56799999999999995"/>
    <x v="1"/>
    <n v="150"/>
    <n v="97"/>
    <x v="3"/>
    <n v="84"/>
    <n v="1.08"/>
    <x v="0"/>
    <n v="19.54"/>
    <x v="1"/>
    <x v="1"/>
    <x v="1"/>
    <n v="1"/>
    <x v="1"/>
  </r>
  <r>
    <s v="M"/>
    <x v="14"/>
    <n v="50.4"/>
    <n v="1.67"/>
    <n v="18.100000000000001"/>
    <n v="18.071641148840044"/>
    <n v="0"/>
    <x v="3"/>
    <n v="108.8"/>
    <s v="133/71"/>
    <n v="133"/>
    <n v="71"/>
    <m/>
    <x v="2"/>
    <n v="39"/>
    <n v="144"/>
    <x v="1"/>
    <x v="1"/>
    <x v="2"/>
    <s v="Y"/>
    <x v="0"/>
    <n v="167"/>
    <n v="0.65100000000000002"/>
    <x v="3"/>
    <n v="133"/>
    <n v="71"/>
    <x v="1"/>
    <n v="188"/>
    <n v="4.82"/>
    <x v="0"/>
    <n v="15.41"/>
    <x v="1"/>
    <x v="0"/>
    <x v="1"/>
    <n v="1"/>
    <x v="0"/>
  </r>
  <r>
    <s v="M"/>
    <x v="23"/>
    <n v="113.8"/>
    <n v="1.8"/>
    <n v="35.1"/>
    <n v="35.123456790123456"/>
    <n v="0"/>
    <x v="1"/>
    <n v="109"/>
    <s v="127/80"/>
    <n v="127"/>
    <n v="80"/>
    <n v="237"/>
    <x v="0"/>
    <n v="40"/>
    <n v="129"/>
    <x v="1"/>
    <x v="0"/>
    <x v="1"/>
    <s v="N"/>
    <x v="0"/>
    <n v="180"/>
    <n v="0.60599999999999998"/>
    <x v="3"/>
    <n v="127"/>
    <n v="80"/>
    <x v="1"/>
    <n v="167"/>
    <n v="4.18"/>
    <x v="0"/>
    <n v="20.11"/>
    <x v="1"/>
    <x v="0"/>
    <x v="1"/>
    <n v="1"/>
    <x v="1"/>
  </r>
  <r>
    <s v="F"/>
    <x v="4"/>
    <n v="73.3"/>
    <n v="1.87"/>
    <m/>
    <n v="20.961422974634672"/>
    <n v="1"/>
    <x v="3"/>
    <n v="74.599999999999994"/>
    <s v="113/79"/>
    <n v="113"/>
    <n v="79"/>
    <n v="144"/>
    <x v="2"/>
    <n v="73"/>
    <n v="129"/>
    <x v="0"/>
    <x v="0"/>
    <x v="2"/>
    <s v="N"/>
    <x v="2"/>
    <n v="187"/>
    <n v="0.39900000000000002"/>
    <x v="2"/>
    <n v="113"/>
    <n v="79"/>
    <x v="2"/>
    <n v="41"/>
    <n v="0.56000000000000005"/>
    <x v="0"/>
    <n v="14.73"/>
    <x v="0"/>
    <x v="0"/>
    <x v="0"/>
    <n v="0"/>
    <x v="0"/>
  </r>
  <r>
    <s v="F"/>
    <x v="15"/>
    <n v="78.400000000000006"/>
    <n v="1.89"/>
    <n v="21.9"/>
    <n v="21.947873799725656"/>
    <n v="0"/>
    <x v="0"/>
    <n v="106.4"/>
    <s v="143/75"/>
    <n v="143"/>
    <n v="75"/>
    <n v="295"/>
    <x v="0"/>
    <n v="36"/>
    <n v="77"/>
    <x v="1"/>
    <x v="0"/>
    <x v="1"/>
    <s v="Y"/>
    <x v="1"/>
    <n v="189"/>
    <n v="0.56299999999999994"/>
    <x v="1"/>
    <n v="143"/>
    <n v="75"/>
    <x v="3"/>
    <n v="229"/>
    <n v="6.36"/>
    <x v="0"/>
    <n v="19.43"/>
    <x v="1"/>
    <x v="0"/>
    <x v="1"/>
    <n v="1"/>
    <x v="0"/>
  </r>
  <r>
    <s v="M"/>
    <x v="13"/>
    <n v="103.8"/>
    <n v="1.84"/>
    <n v="30.7"/>
    <n v="30.659262759924385"/>
    <n v="0"/>
    <x v="1"/>
    <n v="82.1"/>
    <s v="123/87"/>
    <n v="123"/>
    <n v="87"/>
    <n v="267"/>
    <x v="0"/>
    <n v="68"/>
    <n v="75"/>
    <x v="0"/>
    <x v="1"/>
    <x v="2"/>
    <s v="N"/>
    <x v="3"/>
    <n v="184"/>
    <n v="0.44600000000000001"/>
    <x v="2"/>
    <n v="123"/>
    <n v="87"/>
    <x v="1"/>
    <n v="169"/>
    <n v="2.4900000000000002"/>
    <x v="0"/>
    <n v="17.63"/>
    <x v="0"/>
    <x v="0"/>
    <x v="0"/>
    <n v="0"/>
    <x v="0"/>
  </r>
  <r>
    <s v="F"/>
    <x v="18"/>
    <n v="68"/>
    <n v="1.86"/>
    <n v="19.7"/>
    <n v="19.655451497282922"/>
    <n v="0"/>
    <x v="0"/>
    <n v="72.5"/>
    <s v="125/63"/>
    <n v="125"/>
    <n v="63"/>
    <n v="267"/>
    <x v="0"/>
    <n v="69"/>
    <n v="101"/>
    <x v="1"/>
    <x v="0"/>
    <x v="0"/>
    <s v="Y"/>
    <x v="4"/>
    <n v="186"/>
    <n v="0.39"/>
    <x v="2"/>
    <n v="125"/>
    <n v="63"/>
    <x v="0"/>
    <n v="168"/>
    <n v="2.4300000000000002"/>
    <x v="0"/>
    <n v="17.53"/>
    <x v="1"/>
    <x v="1"/>
    <x v="1"/>
    <n v="1"/>
    <x v="0"/>
  </r>
  <r>
    <s v="M"/>
    <x v="7"/>
    <n v="58.3"/>
    <n v="1.81"/>
    <n v="17.8"/>
    <n v="17.795549586398462"/>
    <n v="0"/>
    <x v="3"/>
    <n v="94.4"/>
    <s v="115/71"/>
    <n v="115"/>
    <n v="71"/>
    <n v="182"/>
    <x v="0"/>
    <n v="61"/>
    <n v="125"/>
    <x v="0"/>
    <x v="0"/>
    <x v="0"/>
    <s v="Y"/>
    <x v="1"/>
    <n v="181"/>
    <n v="0.52200000000000002"/>
    <x v="0"/>
    <m/>
    <n v="71"/>
    <x v="2"/>
    <n v="91"/>
    <n v="1.49"/>
    <x v="0"/>
    <n v="14.95"/>
    <x v="0"/>
    <x v="0"/>
    <x v="0"/>
    <n v="0"/>
    <x v="0"/>
  </r>
  <r>
    <s v="M"/>
    <x v="23"/>
    <n v="75.8"/>
    <n v="1.9"/>
    <n v="21"/>
    <n v="20.997229916897506"/>
    <n v="0"/>
    <x v="0"/>
    <n v="96.8"/>
    <s v="142/66"/>
    <n v="142"/>
    <n v="66"/>
    <n v="280"/>
    <x v="0"/>
    <n v="52"/>
    <n v="91"/>
    <x v="0"/>
    <x v="0"/>
    <x v="0"/>
    <s v="Y"/>
    <x v="1"/>
    <n v="190"/>
    <n v="0.50900000000000001"/>
    <x v="0"/>
    <n v="142"/>
    <n v="66"/>
    <x v="3"/>
    <n v="198"/>
    <n v="3.81"/>
    <x v="0"/>
    <n v="18.899999999999999"/>
    <x v="1"/>
    <x v="0"/>
    <x v="1"/>
    <n v="1"/>
    <x v="1"/>
  </r>
  <r>
    <s v="F"/>
    <x v="14"/>
    <n v="66.599999999999994"/>
    <n v="1.75"/>
    <n v="21.7"/>
    <n v="21.746938775510202"/>
    <n v="0"/>
    <x v="0"/>
    <n v="109"/>
    <s v="124/66"/>
    <n v="124"/>
    <n v="66"/>
    <n v="160"/>
    <x v="1"/>
    <n v="73"/>
    <n v="114"/>
    <x v="1"/>
    <x v="1"/>
    <x v="1"/>
    <s v="N"/>
    <x v="2"/>
    <n v="175"/>
    <n v="0.623"/>
    <x v="3"/>
    <m/>
    <n v="66"/>
    <x v="0"/>
    <n v="57"/>
    <n v="0.78"/>
    <x v="0"/>
    <n v="13.74"/>
    <x v="2"/>
    <x v="0"/>
    <x v="0"/>
    <n v="0"/>
    <x v="0"/>
  </r>
  <r>
    <s v="M"/>
    <x v="2"/>
    <n v="92.5"/>
    <n v="1.66"/>
    <n v="33.6"/>
    <n v="33.568006967629557"/>
    <n v="0"/>
    <x v="1"/>
    <n v="95.8"/>
    <s v="147/63"/>
    <n v="147"/>
    <n v="63"/>
    <n v="217"/>
    <x v="0"/>
    <n v="37"/>
    <n v="148"/>
    <x v="1"/>
    <x v="0"/>
    <x v="2"/>
    <s v="N"/>
    <x v="0"/>
    <n v="166"/>
    <n v="0.57699999999999996"/>
    <x v="1"/>
    <n v="147"/>
    <n v="63"/>
    <x v="3"/>
    <n v="150"/>
    <n v="4.05"/>
    <x v="0"/>
    <n v="20.41"/>
    <x v="1"/>
    <x v="0"/>
    <x v="1"/>
    <n v="1"/>
    <x v="0"/>
  </r>
  <r>
    <s v="F"/>
    <x v="25"/>
    <n v="94"/>
    <n v="1.9"/>
    <n v="26"/>
    <n v="26.038781163434905"/>
    <n v="0"/>
    <x v="2"/>
    <n v="78.8"/>
    <s v="149/89"/>
    <n v="149"/>
    <n v="89"/>
    <n v="184"/>
    <x v="0"/>
    <n v="30"/>
    <n v="102"/>
    <x v="1"/>
    <x v="1"/>
    <x v="2"/>
    <s v="Y"/>
    <x v="0"/>
    <n v="190"/>
    <n v="0.41499999999999998"/>
    <x v="2"/>
    <n v="149"/>
    <n v="89"/>
    <x v="1"/>
    <n v="124"/>
    <n v="4.13"/>
    <x v="0"/>
    <n v="16.329999999999998"/>
    <x v="1"/>
    <x v="0"/>
    <x v="1"/>
    <n v="1"/>
    <x v="0"/>
  </r>
  <r>
    <s v="M"/>
    <x v="24"/>
    <n v="92.9"/>
    <n v="1.82"/>
    <n v="28"/>
    <n v="28.046129694481344"/>
    <n v="0"/>
    <x v="2"/>
    <n v="95.4"/>
    <s v="145/63"/>
    <n v="145"/>
    <n v="63"/>
    <n v="132"/>
    <x v="2"/>
    <n v="71"/>
    <n v="86"/>
    <x v="0"/>
    <x v="1"/>
    <x v="0"/>
    <s v="N"/>
    <x v="2"/>
    <n v="182"/>
    <n v="0.52400000000000002"/>
    <x v="1"/>
    <n v="145"/>
    <n v="63"/>
    <x v="3"/>
    <n v="31"/>
    <n v="0.44"/>
    <x v="0"/>
    <n v="15.49"/>
    <x v="0"/>
    <x v="0"/>
    <x v="0"/>
    <n v="0"/>
    <x v="0"/>
  </r>
  <r>
    <s v="M"/>
    <x v="30"/>
    <m/>
    <n v="1.82"/>
    <n v="16.2"/>
    <n v="0"/>
    <n v="1"/>
    <x v="3"/>
    <n v="82.2"/>
    <s v="136/95"/>
    <n v="136"/>
    <n v="95"/>
    <m/>
    <x v="2"/>
    <n v="32"/>
    <n v="124"/>
    <x v="1"/>
    <x v="1"/>
    <x v="1"/>
    <s v="N"/>
    <x v="2"/>
    <m/>
    <n v="0.45200000000000001"/>
    <x v="2"/>
    <n v="136"/>
    <n v="95"/>
    <x v="1"/>
    <n v="136"/>
    <n v="4.25"/>
    <x v="0"/>
    <n v="14"/>
    <x v="0"/>
    <x v="0"/>
    <x v="0"/>
    <n v="0"/>
    <x v="0"/>
  </r>
  <r>
    <s v="F"/>
    <x v="15"/>
    <n v="51.9"/>
    <n v="1.67"/>
    <n v="18.600000000000001"/>
    <n v="18.609487611603139"/>
    <n v="0"/>
    <x v="0"/>
    <n v="101.2"/>
    <s v="103/80"/>
    <n v="103"/>
    <n v="80"/>
    <n v="225"/>
    <x v="0"/>
    <n v="58"/>
    <m/>
    <x v="1"/>
    <x v="1"/>
    <x v="1"/>
    <s v="N"/>
    <x v="2"/>
    <m/>
    <n v="0.60599999999999998"/>
    <x v="3"/>
    <n v="103"/>
    <n v="80"/>
    <x v="1"/>
    <n v="137"/>
    <n v="2.36"/>
    <x v="0"/>
    <n v="13.37"/>
    <x v="0"/>
    <x v="0"/>
    <x v="0"/>
    <n v="0"/>
    <x v="0"/>
  </r>
  <r>
    <s v="F"/>
    <x v="3"/>
    <n v="65.8"/>
    <n v="1.89"/>
    <n v="18.399999999999999"/>
    <n v="18.420536939055459"/>
    <n v="0"/>
    <x v="3"/>
    <n v="109"/>
    <s v="107/64"/>
    <n v="107"/>
    <n v="64"/>
    <n v="271"/>
    <x v="0"/>
    <n v="33"/>
    <n v="147"/>
    <x v="1"/>
    <x v="0"/>
    <x v="0"/>
    <s v="Y"/>
    <x v="4"/>
    <n v="189"/>
    <n v="0.57699999999999996"/>
    <x v="1"/>
    <m/>
    <n v="64"/>
    <x v="2"/>
    <n v="208"/>
    <n v="6.3"/>
    <x v="1"/>
    <n v="16.45"/>
    <x v="1"/>
    <x v="0"/>
    <x v="1"/>
    <n v="1"/>
    <x v="0"/>
  </r>
  <r>
    <s v="M"/>
    <x v="14"/>
    <n v="83.6"/>
    <n v="1.7"/>
    <n v="28.9"/>
    <n v="28.927335640138409"/>
    <n v="0"/>
    <x v="2"/>
    <n v="101.8"/>
    <s v="141/81"/>
    <n v="141"/>
    <n v="81"/>
    <n v="118"/>
    <x v="2"/>
    <n v="58"/>
    <n v="91"/>
    <x v="0"/>
    <x v="1"/>
    <x v="1"/>
    <s v="Y"/>
    <x v="2"/>
    <n v="170"/>
    <n v="0.59899999999999998"/>
    <x v="3"/>
    <n v="141"/>
    <n v="81"/>
    <x v="1"/>
    <n v="30"/>
    <n v="0.52"/>
    <x v="0"/>
    <n v="15.19"/>
    <x v="0"/>
    <x v="0"/>
    <x v="0"/>
    <n v="0"/>
    <x v="0"/>
  </r>
  <r>
    <s v="F"/>
    <x v="24"/>
    <n v="119.9"/>
    <n v="1.85"/>
    <m/>
    <n v="35.032870708546383"/>
    <n v="1"/>
    <x v="3"/>
    <m/>
    <s v="126/62"/>
    <n v="126"/>
    <n v="62"/>
    <n v="220"/>
    <x v="0"/>
    <n v="44"/>
    <n v="85"/>
    <x v="0"/>
    <x v="1"/>
    <x v="2"/>
    <s v="Y"/>
    <x v="2"/>
    <n v="185"/>
    <n v="0.41399999999999998"/>
    <x v="2"/>
    <n v="126"/>
    <n v="62"/>
    <x v="0"/>
    <n v="146"/>
    <n v="3.32"/>
    <x v="0"/>
    <n v="17.7"/>
    <x v="0"/>
    <x v="0"/>
    <x v="0"/>
    <n v="0"/>
    <x v="0"/>
  </r>
  <r>
    <s v="M"/>
    <x v="13"/>
    <n v="118.2"/>
    <n v="1.72"/>
    <n v="40"/>
    <n v="39.954029204975669"/>
    <n v="0"/>
    <x v="1"/>
    <n v="77.5"/>
    <s v="136/83"/>
    <n v="136"/>
    <n v="83"/>
    <n v="290"/>
    <x v="0"/>
    <n v="68"/>
    <n v="92"/>
    <x v="1"/>
    <x v="1"/>
    <x v="0"/>
    <s v="N"/>
    <x v="0"/>
    <n v="172"/>
    <n v="0.45100000000000001"/>
    <x v="2"/>
    <n v="136"/>
    <n v="83"/>
    <x v="1"/>
    <n v="192"/>
    <n v="2.82"/>
    <x v="0"/>
    <n v="20.6"/>
    <x v="1"/>
    <x v="1"/>
    <x v="1"/>
    <n v="1"/>
    <x v="0"/>
  </r>
  <r>
    <s v="M"/>
    <x v="8"/>
    <n v="116.5"/>
    <n v="1.81"/>
    <n v="35.6"/>
    <n v="35.560575074020939"/>
    <n v="0"/>
    <x v="1"/>
    <n v="107.9"/>
    <s v="135/87"/>
    <n v="135"/>
    <n v="87"/>
    <n v="270"/>
    <x v="0"/>
    <n v="32"/>
    <n v="135"/>
    <x v="0"/>
    <x v="0"/>
    <x v="1"/>
    <s v="N"/>
    <x v="2"/>
    <n v="181"/>
    <n v="0.59599999999999997"/>
    <x v="3"/>
    <n v="135"/>
    <n v="87"/>
    <x v="1"/>
    <n v="208"/>
    <n v="6.5"/>
    <x v="0"/>
    <n v="21.27"/>
    <x v="1"/>
    <x v="0"/>
    <x v="1"/>
    <n v="1"/>
    <x v="0"/>
  </r>
  <r>
    <s v="M"/>
    <x v="13"/>
    <n v="94.4"/>
    <n v="1.62"/>
    <n v="36"/>
    <n v="35.970126505105924"/>
    <n v="0"/>
    <x v="1"/>
    <n v="91"/>
    <s v="100/63"/>
    <n v="100"/>
    <n v="63"/>
    <n v="207"/>
    <x v="0"/>
    <n v="63"/>
    <n v="93"/>
    <x v="0"/>
    <x v="1"/>
    <x v="1"/>
    <s v="Y"/>
    <x v="2"/>
    <n v="162"/>
    <n v="0.56200000000000006"/>
    <x v="1"/>
    <n v="100"/>
    <n v="63"/>
    <x v="2"/>
    <n v="114"/>
    <n v="1.81"/>
    <x v="0"/>
    <n v="16.34"/>
    <x v="0"/>
    <x v="0"/>
    <x v="0"/>
    <n v="0"/>
    <x v="0"/>
  </r>
  <r>
    <s v="F"/>
    <x v="8"/>
    <n v="66.3"/>
    <n v="1.72"/>
    <n v="22.4"/>
    <n v="22.410762574364522"/>
    <n v="0"/>
    <x v="0"/>
    <n v="87"/>
    <s v="94/86"/>
    <n v="94"/>
    <n v="86"/>
    <n v="255"/>
    <x v="0"/>
    <n v="42"/>
    <n v="80"/>
    <x v="1"/>
    <x v="0"/>
    <x v="1"/>
    <s v="N"/>
    <x v="0"/>
    <n v="172"/>
    <n v="0.50600000000000001"/>
    <x v="0"/>
    <n v="94"/>
    <n v="86"/>
    <x v="1"/>
    <n v="183"/>
    <n v="4.3600000000000003"/>
    <x v="0"/>
    <n v="16.28"/>
    <x v="1"/>
    <x v="0"/>
    <x v="1"/>
    <n v="1"/>
    <x v="0"/>
  </r>
  <r>
    <s v="F"/>
    <x v="5"/>
    <n v="66.400000000000006"/>
    <n v="1.7"/>
    <n v="23"/>
    <n v="22.975778546712807"/>
    <n v="0"/>
    <x v="0"/>
    <n v="84.7"/>
    <s v="102/62"/>
    <n v="102"/>
    <n v="62"/>
    <n v="204"/>
    <x v="0"/>
    <n v="71"/>
    <n v="150"/>
    <x v="0"/>
    <x v="1"/>
    <x v="0"/>
    <s v="Y"/>
    <x v="0"/>
    <n v="170"/>
    <n v="0.498"/>
    <x v="0"/>
    <n v="102"/>
    <n v="62"/>
    <x v="2"/>
    <n v="103"/>
    <n v="1.45"/>
    <x v="0"/>
    <n v="13.78"/>
    <x v="0"/>
    <x v="0"/>
    <x v="0"/>
    <n v="0"/>
    <x v="0"/>
  </r>
  <r>
    <s v="F"/>
    <x v="22"/>
    <n v="91"/>
    <n v="1.84"/>
    <n v="26.9"/>
    <n v="26.878544423440452"/>
    <n v="0"/>
    <x v="2"/>
    <n v="99.6"/>
    <s v="135/76"/>
    <n v="135"/>
    <n v="76"/>
    <n v="185"/>
    <x v="0"/>
    <n v="74"/>
    <n v="123"/>
    <x v="0"/>
    <x v="0"/>
    <x v="0"/>
    <s v="N"/>
    <x v="0"/>
    <n v="184"/>
    <n v="0.54100000000000004"/>
    <x v="1"/>
    <n v="135"/>
    <n v="76"/>
    <x v="1"/>
    <n v="81"/>
    <n v="1.0900000000000001"/>
    <x v="0"/>
    <n v="17.829999999999998"/>
    <x v="1"/>
    <x v="1"/>
    <x v="1"/>
    <n v="1"/>
    <x v="0"/>
  </r>
  <r>
    <s v="M"/>
    <x v="29"/>
    <n v="113.4"/>
    <n v="1.79"/>
    <n v="35.4"/>
    <n v="35.392153802939987"/>
    <n v="0"/>
    <x v="1"/>
    <n v="72.900000000000006"/>
    <s v="103/96"/>
    <n v="103"/>
    <n v="96"/>
    <n v="230"/>
    <x v="0"/>
    <n v="42"/>
    <n v="145"/>
    <x v="1"/>
    <x v="1"/>
    <x v="2"/>
    <s v="N"/>
    <x v="2"/>
    <n v="179"/>
    <n v="0.40699999999999997"/>
    <x v="2"/>
    <n v="103"/>
    <m/>
    <x v="3"/>
    <n v="158"/>
    <n v="3.76"/>
    <x v="0"/>
    <n v="16.829999999999998"/>
    <x v="1"/>
    <x v="0"/>
    <x v="1"/>
    <n v="1"/>
    <x v="0"/>
  </r>
  <r>
    <s v="F"/>
    <x v="31"/>
    <n v="87.4"/>
    <n v="1.85"/>
    <n v="25.5"/>
    <n v="25.53688823959094"/>
    <n v="0"/>
    <x v="2"/>
    <n v="107.2"/>
    <s v="126/76"/>
    <n v="126"/>
    <n v="76"/>
    <n v="113"/>
    <x v="2"/>
    <n v="32"/>
    <n v="92"/>
    <x v="0"/>
    <x v="1"/>
    <x v="0"/>
    <s v="N"/>
    <x v="2"/>
    <n v="185"/>
    <n v="0.57899999999999996"/>
    <x v="1"/>
    <n v="126"/>
    <n v="76"/>
    <x v="0"/>
    <n v="51"/>
    <n v="1.59"/>
    <x v="0"/>
    <n v="13.66"/>
    <x v="1"/>
    <x v="0"/>
    <x v="1"/>
    <n v="1"/>
    <x v="0"/>
  </r>
  <r>
    <s v="M"/>
    <x v="13"/>
    <n v="119.6"/>
    <n v="1.75"/>
    <n v="39.1"/>
    <n v="39.053061224489795"/>
    <n v="0"/>
    <x v="1"/>
    <n v="105.6"/>
    <s v="90/82"/>
    <n v="90"/>
    <n v="82"/>
    <n v="234"/>
    <x v="0"/>
    <n v="79"/>
    <n v="109"/>
    <x v="0"/>
    <x v="0"/>
    <x v="2"/>
    <s v="Y"/>
    <x v="0"/>
    <n v="175"/>
    <n v="0.60299999999999998"/>
    <x v="3"/>
    <n v="90"/>
    <n v="82"/>
    <x v="1"/>
    <n v="125"/>
    <n v="1.58"/>
    <x v="0"/>
    <n v="19"/>
    <x v="1"/>
    <x v="1"/>
    <x v="1"/>
    <n v="1"/>
    <x v="0"/>
  </r>
  <r>
    <s v="F"/>
    <x v="6"/>
    <n v="95"/>
    <n v="1.86"/>
    <n v="27.5"/>
    <n v="27.459821944733491"/>
    <n v="0"/>
    <x v="2"/>
    <n v="104.4"/>
    <s v="131/80"/>
    <n v="131"/>
    <n v="80"/>
    <n v="181"/>
    <x v="0"/>
    <n v="35"/>
    <n v="96"/>
    <x v="0"/>
    <x v="1"/>
    <x v="1"/>
    <s v="Y"/>
    <x v="2"/>
    <n v="186"/>
    <n v="0.56100000000000005"/>
    <x v="1"/>
    <n v="131"/>
    <n v="80"/>
    <x v="1"/>
    <n v="116"/>
    <n v="3.31"/>
    <x v="0"/>
    <n v="15.67"/>
    <x v="0"/>
    <x v="0"/>
    <x v="0"/>
    <n v="0"/>
    <x v="0"/>
  </r>
  <r>
    <s v="F"/>
    <x v="31"/>
    <n v="73.900000000000006"/>
    <n v="1.82"/>
    <n v="22.3"/>
    <n v="22.31010747494264"/>
    <n v="0"/>
    <x v="0"/>
    <n v="72.7"/>
    <s v="94/81"/>
    <n v="94"/>
    <n v="81"/>
    <n v="247"/>
    <x v="0"/>
    <m/>
    <n v="107"/>
    <x v="1"/>
    <x v="0"/>
    <x v="0"/>
    <s v="N"/>
    <x v="1"/>
    <n v="182"/>
    <n v="0.39900000000000002"/>
    <x v="2"/>
    <n v="94"/>
    <n v="81"/>
    <x v="1"/>
    <n v="140"/>
    <s v=""/>
    <x v="0"/>
    <n v="16.100000000000001"/>
    <x v="1"/>
    <x v="0"/>
    <x v="1"/>
    <n v="1"/>
    <x v="1"/>
  </r>
  <r>
    <s v="F"/>
    <x v="2"/>
    <n v="100.6"/>
    <n v="1.6"/>
    <n v="39.299999999999997"/>
    <n v="39.296874999999993"/>
    <n v="0"/>
    <x v="1"/>
    <m/>
    <s v="91/66"/>
    <n v="91"/>
    <n v="66"/>
    <n v="298"/>
    <x v="0"/>
    <n v="60"/>
    <n v="76"/>
    <x v="1"/>
    <x v="1"/>
    <x v="2"/>
    <s v="Y"/>
    <x v="0"/>
    <n v="160"/>
    <n v="0.54500000000000004"/>
    <x v="1"/>
    <n v="91"/>
    <n v="66"/>
    <x v="2"/>
    <n v="208"/>
    <n v="3.47"/>
    <x v="1"/>
    <n v="18.37"/>
    <x v="1"/>
    <x v="1"/>
    <x v="1"/>
    <n v="1"/>
    <x v="0"/>
  </r>
  <r>
    <s v="F"/>
    <x v="30"/>
    <n v="95.7"/>
    <n v="1.65"/>
    <n v="35.200000000000003"/>
    <n v="35.151515151515156"/>
    <n v="0"/>
    <x v="1"/>
    <n v="84.9"/>
    <s v="104/93"/>
    <n v="104"/>
    <n v="93"/>
    <n v="291"/>
    <x v="0"/>
    <n v="34"/>
    <n v="111"/>
    <x v="1"/>
    <x v="0"/>
    <x v="0"/>
    <s v="N"/>
    <x v="1"/>
    <n v="165"/>
    <n v="0.51500000000000001"/>
    <x v="0"/>
    <n v="104"/>
    <n v="93"/>
    <x v="3"/>
    <n v="227"/>
    <n v="6.68"/>
    <x v="0"/>
    <n v="20.059999999999999"/>
    <x v="1"/>
    <x v="0"/>
    <x v="1"/>
    <n v="1"/>
    <x v="0"/>
  </r>
  <r>
    <s v="M"/>
    <x v="0"/>
    <n v="108"/>
    <n v="1.79"/>
    <n v="33.700000000000003"/>
    <n v="33.706813145657129"/>
    <n v="0"/>
    <x v="1"/>
    <n v="74.099999999999994"/>
    <s v="148/87"/>
    <n v="148"/>
    <n v="87"/>
    <n v="174"/>
    <x v="1"/>
    <n v="55"/>
    <n v="139"/>
    <x v="0"/>
    <x v="1"/>
    <x v="1"/>
    <s v="Y"/>
    <x v="2"/>
    <n v="179"/>
    <n v="0.41399999999999998"/>
    <x v="2"/>
    <n v="148"/>
    <m/>
    <x v="1"/>
    <n v="89"/>
    <n v="1.62"/>
    <x v="0"/>
    <n v="17.62"/>
    <x v="0"/>
    <x v="0"/>
    <x v="0"/>
    <n v="0"/>
    <x v="0"/>
  </r>
  <r>
    <s v="M"/>
    <x v="4"/>
    <n v="85.5"/>
    <n v="1.83"/>
    <n v="25.5"/>
    <n v="25.530771298038157"/>
    <n v="0"/>
    <x v="2"/>
    <n v="102.1"/>
    <s v="98/60"/>
    <n v="98"/>
    <n v="60"/>
    <n v="111"/>
    <x v="2"/>
    <m/>
    <n v="124"/>
    <x v="1"/>
    <x v="0"/>
    <x v="0"/>
    <s v="Y"/>
    <x v="4"/>
    <n v="183"/>
    <n v="0.55800000000000005"/>
    <x v="1"/>
    <n v="98"/>
    <n v="60"/>
    <x v="2"/>
    <n v="48"/>
    <s v=""/>
    <x v="0"/>
    <n v="14.22"/>
    <x v="1"/>
    <x v="0"/>
    <x v="1"/>
    <n v="1"/>
    <x v="0"/>
  </r>
  <r>
    <s v="M"/>
    <x v="28"/>
    <n v="83.6"/>
    <n v="1.64"/>
    <n v="31.1"/>
    <n v="31.082688875669248"/>
    <n v="0"/>
    <x v="1"/>
    <n v="98.2"/>
    <s v="120/94"/>
    <n v="120"/>
    <n v="94"/>
    <n v="109"/>
    <x v="2"/>
    <n v="78"/>
    <n v="107"/>
    <x v="0"/>
    <x v="1"/>
    <x v="2"/>
    <s v="N"/>
    <x v="3"/>
    <n v="164"/>
    <n v="0.59899999999999998"/>
    <x v="3"/>
    <n v="120"/>
    <n v="94"/>
    <x v="3"/>
    <n v="1"/>
    <n v="0.01"/>
    <x v="0"/>
    <n v="14.4"/>
    <x v="0"/>
    <x v="0"/>
    <x v="0"/>
    <n v="0"/>
    <x v="0"/>
  </r>
  <r>
    <s v="F"/>
    <x v="4"/>
    <n v="110.1"/>
    <n v="1.63"/>
    <n v="41.4"/>
    <n v="41.439271331250708"/>
    <n v="0"/>
    <x v="1"/>
    <n v="80.5"/>
    <s v="96/98"/>
    <n v="96"/>
    <n v="98"/>
    <m/>
    <x v="2"/>
    <n v="53"/>
    <n v="115"/>
    <x v="0"/>
    <x v="1"/>
    <x v="2"/>
    <s v="Y"/>
    <x v="2"/>
    <n v="163"/>
    <n v="0.49399999999999999"/>
    <x v="0"/>
    <n v="96"/>
    <n v="98"/>
    <x v="3"/>
    <n v="45"/>
    <n v="0.85"/>
    <x v="0"/>
    <n v="15.64"/>
    <x v="0"/>
    <x v="0"/>
    <x v="0"/>
    <n v="0"/>
    <x v="0"/>
  </r>
  <r>
    <s v="M"/>
    <x v="15"/>
    <n v="83.6"/>
    <n v="1.86"/>
    <n v="24.2"/>
    <n v="24.16464331136547"/>
    <n v="0"/>
    <x v="0"/>
    <n v="99.3"/>
    <s v="105/88"/>
    <n v="105"/>
    <n v="88"/>
    <n v="200"/>
    <x v="0"/>
    <n v="46"/>
    <n v="118"/>
    <x v="0"/>
    <x v="1"/>
    <x v="1"/>
    <s v="N"/>
    <x v="3"/>
    <n v="186"/>
    <n v="0.53400000000000003"/>
    <x v="1"/>
    <n v="105"/>
    <n v="88"/>
    <x v="1"/>
    <n v="124"/>
    <n v="2.7"/>
    <x v="0"/>
    <n v="14.09"/>
    <x v="2"/>
    <x v="0"/>
    <x v="0"/>
    <n v="0"/>
    <x v="0"/>
  </r>
  <r>
    <s v="F"/>
    <x v="9"/>
    <n v="114.6"/>
    <n v="1.7"/>
    <m/>
    <n v="39.653979238754324"/>
    <n v="1"/>
    <x v="3"/>
    <n v="94"/>
    <s v="142/87"/>
    <n v="142"/>
    <n v="87"/>
    <m/>
    <x v="2"/>
    <n v="78"/>
    <n v="120"/>
    <x v="0"/>
    <x v="1"/>
    <x v="1"/>
    <s v="N"/>
    <x v="3"/>
    <n v="170"/>
    <n v="0.55300000000000005"/>
    <x v="1"/>
    <n v="142"/>
    <n v="87"/>
    <x v="1"/>
    <n v="131"/>
    <n v="1.68"/>
    <x v="0"/>
    <n v="19.82"/>
    <x v="0"/>
    <x v="0"/>
    <x v="0"/>
    <n v="0"/>
    <x v="0"/>
  </r>
  <r>
    <s v="M"/>
    <x v="22"/>
    <n v="109"/>
    <n v="1.7"/>
    <m/>
    <n v="37.716262975778548"/>
    <n v="1"/>
    <x v="3"/>
    <n v="95.7"/>
    <s v="117/98"/>
    <n v="117"/>
    <n v="98"/>
    <n v="164"/>
    <x v="1"/>
    <n v="67"/>
    <n v="84"/>
    <x v="1"/>
    <x v="1"/>
    <x v="2"/>
    <s v="N"/>
    <x v="2"/>
    <n v="170"/>
    <n v="0.56299999999999994"/>
    <x v="1"/>
    <n v="117"/>
    <n v="98"/>
    <x v="3"/>
    <n v="67"/>
    <n v="1"/>
    <x v="0"/>
    <n v="16.670000000000002"/>
    <x v="0"/>
    <x v="0"/>
    <x v="0"/>
    <n v="0"/>
    <x v="0"/>
  </r>
  <r>
    <s v="F"/>
    <x v="11"/>
    <n v="112.9"/>
    <n v="1.85"/>
    <n v="33"/>
    <n v="32.987582176771362"/>
    <n v="0"/>
    <x v="1"/>
    <n v="90.9"/>
    <s v="133/94"/>
    <n v="133"/>
    <n v="94"/>
    <n v="153"/>
    <x v="1"/>
    <n v="36"/>
    <n v="133"/>
    <x v="1"/>
    <x v="1"/>
    <x v="0"/>
    <s v="N"/>
    <x v="0"/>
    <n v="185"/>
    <n v="0.49099999999999999"/>
    <x v="0"/>
    <n v="133"/>
    <n v="94"/>
    <x v="1"/>
    <n v="87"/>
    <n v="2.42"/>
    <x v="0"/>
    <n v="16.309999999999999"/>
    <x v="1"/>
    <x v="0"/>
    <x v="1"/>
    <n v="1"/>
    <x v="0"/>
  </r>
  <r>
    <s v="F"/>
    <x v="29"/>
    <n v="76.2"/>
    <n v="1.63"/>
    <n v="28.7"/>
    <n v="28.680040648876513"/>
    <n v="0"/>
    <x v="2"/>
    <n v="83.6"/>
    <s v="144/86"/>
    <n v="144"/>
    <n v="86"/>
    <n v="217"/>
    <x v="0"/>
    <n v="37"/>
    <n v="118"/>
    <x v="0"/>
    <x v="1"/>
    <x v="2"/>
    <s v="N"/>
    <x v="3"/>
    <n v="163"/>
    <n v="0.51300000000000001"/>
    <x v="0"/>
    <n v="144"/>
    <n v="86"/>
    <x v="1"/>
    <n v="150"/>
    <n v="4.05"/>
    <x v="0"/>
    <n v="17.28"/>
    <x v="1"/>
    <x v="0"/>
    <x v="1"/>
    <n v="1"/>
    <x v="0"/>
  </r>
  <r>
    <s v="F"/>
    <x v="17"/>
    <m/>
    <n v="1.81"/>
    <n v="17.399999999999999"/>
    <n v="0"/>
    <n v="1"/>
    <x v="3"/>
    <n v="90"/>
    <s v="102/86"/>
    <n v="102"/>
    <n v="86"/>
    <n v="148"/>
    <x v="2"/>
    <n v="52"/>
    <n v="130"/>
    <x v="0"/>
    <x v="0"/>
    <x v="1"/>
    <s v="Y"/>
    <x v="0"/>
    <n v="181"/>
    <n v="0.497"/>
    <x v="0"/>
    <n v="102"/>
    <n v="86"/>
    <x v="1"/>
    <n v="66"/>
    <n v="1.27"/>
    <x v="0"/>
    <n v="13.54"/>
    <x v="0"/>
    <x v="0"/>
    <x v="0"/>
    <n v="0"/>
    <x v="0"/>
  </r>
  <r>
    <s v="M"/>
    <x v="30"/>
    <n v="73.8"/>
    <n v="1.74"/>
    <n v="24.4"/>
    <n v="24.375743162901305"/>
    <n v="0"/>
    <x v="0"/>
    <n v="100.3"/>
    <s v="111/83"/>
    <n v="111"/>
    <n v="83"/>
    <n v="291"/>
    <x v="0"/>
    <n v="78"/>
    <n v="92"/>
    <x v="1"/>
    <x v="0"/>
    <x v="1"/>
    <s v="Y"/>
    <x v="1"/>
    <n v="174"/>
    <n v="0.57599999999999996"/>
    <x v="1"/>
    <n v="111"/>
    <n v="83"/>
    <x v="1"/>
    <n v="183"/>
    <n v="2.35"/>
    <x v="0"/>
    <m/>
    <x v="1"/>
    <x v="1"/>
    <x v="1"/>
    <n v="1"/>
    <x v="0"/>
  </r>
  <r>
    <s v="M"/>
    <x v="30"/>
    <n v="115.6"/>
    <n v="1.74"/>
    <n v="38.200000000000003"/>
    <n v="38.18205839608931"/>
    <n v="0"/>
    <x v="1"/>
    <n v="109.7"/>
    <s v="126/86"/>
    <n v="126"/>
    <n v="86"/>
    <n v="290"/>
    <x v="0"/>
    <n v="73"/>
    <n v="119"/>
    <x v="1"/>
    <x v="1"/>
    <x v="0"/>
    <s v="Y"/>
    <x v="1"/>
    <n v="174"/>
    <n v="0.63"/>
    <x v="3"/>
    <n v="126"/>
    <n v="86"/>
    <x v="1"/>
    <n v="187"/>
    <n v="2.56"/>
    <x v="0"/>
    <n v="19.739999999999998"/>
    <x v="1"/>
    <x v="1"/>
    <x v="1"/>
    <n v="1"/>
    <x v="0"/>
  </r>
  <r>
    <s v="F"/>
    <x v="4"/>
    <n v="98.3"/>
    <n v="1.9"/>
    <m/>
    <n v="27.229916897506925"/>
    <n v="1"/>
    <x v="3"/>
    <n v="86.9"/>
    <s v="112/84"/>
    <n v="112"/>
    <n v="84"/>
    <n v="168"/>
    <x v="1"/>
    <n v="74"/>
    <n v="78"/>
    <x v="0"/>
    <x v="1"/>
    <x v="1"/>
    <s v="Y"/>
    <x v="2"/>
    <n v="190"/>
    <n v="0.45700000000000002"/>
    <x v="2"/>
    <n v="112"/>
    <n v="84"/>
    <x v="1"/>
    <n v="64"/>
    <n v="0.86"/>
    <x v="0"/>
    <n v="14.4"/>
    <x v="0"/>
    <x v="0"/>
    <x v="0"/>
    <n v="0"/>
    <x v="0"/>
  </r>
  <r>
    <s v="F"/>
    <x v="25"/>
    <n v="100.4"/>
    <n v="1.65"/>
    <n v="36.9"/>
    <n v="36.877869605142337"/>
    <n v="0"/>
    <x v="1"/>
    <n v="74.3"/>
    <s v="108/66"/>
    <n v="108"/>
    <n v="66"/>
    <n v="193"/>
    <x v="0"/>
    <n v="63"/>
    <n v="81"/>
    <x v="1"/>
    <x v="1"/>
    <x v="2"/>
    <s v="Y"/>
    <x v="0"/>
    <n v="165"/>
    <n v="0.45"/>
    <x v="2"/>
    <n v="108"/>
    <n v="66"/>
    <x v="2"/>
    <n v="100"/>
    <n v="1.59"/>
    <x v="0"/>
    <n v="16.64"/>
    <x v="1"/>
    <x v="1"/>
    <x v="1"/>
    <n v="1"/>
    <x v="0"/>
  </r>
  <r>
    <s v="M"/>
    <x v="17"/>
    <n v="72.3"/>
    <n v="1.86"/>
    <n v="20.9"/>
    <n v="20.898369753728751"/>
    <n v="0"/>
    <x v="0"/>
    <n v="96.3"/>
    <s v="125/99"/>
    <n v="125"/>
    <n v="99"/>
    <n v="207"/>
    <x v="0"/>
    <n v="40"/>
    <n v="87"/>
    <x v="0"/>
    <x v="0"/>
    <x v="2"/>
    <s v="Y"/>
    <x v="0"/>
    <n v="186"/>
    <n v="0.51800000000000002"/>
    <x v="0"/>
    <n v="125"/>
    <n v="99"/>
    <x v="3"/>
    <n v="137"/>
    <n v="3.43"/>
    <x v="0"/>
    <n v="16.57"/>
    <x v="1"/>
    <x v="0"/>
    <x v="1"/>
    <n v="1"/>
    <x v="0"/>
  </r>
  <r>
    <s v="M"/>
    <x v="31"/>
    <n v="58.9"/>
    <n v="1.73"/>
    <n v="19.7"/>
    <n v="19.679909118246517"/>
    <n v="0"/>
    <x v="0"/>
    <n v="101.4"/>
    <s v="119/88"/>
    <n v="119"/>
    <n v="88"/>
    <m/>
    <x v="2"/>
    <n v="35"/>
    <n v="118"/>
    <x v="1"/>
    <x v="0"/>
    <x v="1"/>
    <s v="N"/>
    <x v="0"/>
    <n v="173"/>
    <n v="0.58599999999999997"/>
    <x v="3"/>
    <n v="119"/>
    <n v="88"/>
    <x v="1"/>
    <n v="46"/>
    <n v="1.31"/>
    <x v="0"/>
    <n v="14.11"/>
    <x v="1"/>
    <x v="0"/>
    <x v="1"/>
    <n v="1"/>
    <x v="1"/>
  </r>
  <r>
    <s v="F"/>
    <x v="23"/>
    <n v="117.3"/>
    <n v="1.88"/>
    <m/>
    <n v="33.188094160253513"/>
    <n v="1"/>
    <x v="3"/>
    <n v="96.5"/>
    <s v="120/70"/>
    <n v="120"/>
    <n v="70"/>
    <n v="224"/>
    <x v="0"/>
    <m/>
    <n v="120"/>
    <x v="0"/>
    <x v="0"/>
    <x v="1"/>
    <s v="N"/>
    <x v="2"/>
    <n v="188"/>
    <n v="0.51300000000000001"/>
    <x v="0"/>
    <n v="120"/>
    <m/>
    <x v="0"/>
    <n v="114"/>
    <s v=""/>
    <x v="0"/>
    <n v="19.12"/>
    <x v="1"/>
    <x v="0"/>
    <x v="1"/>
    <n v="1"/>
    <x v="0"/>
  </r>
  <r>
    <s v="F"/>
    <x v="1"/>
    <n v="111.9"/>
    <n v="1.81"/>
    <n v="34.200000000000003"/>
    <n v="34.156466530325694"/>
    <n v="0"/>
    <x v="1"/>
    <n v="95.2"/>
    <s v="132/71"/>
    <n v="132"/>
    <n v="71"/>
    <n v="129"/>
    <x v="2"/>
    <n v="78"/>
    <n v="131"/>
    <x v="1"/>
    <x v="0"/>
    <x v="2"/>
    <s v="Y"/>
    <x v="1"/>
    <n v="181"/>
    <n v="0.52600000000000002"/>
    <x v="1"/>
    <n v="132"/>
    <n v="71"/>
    <x v="1"/>
    <n v="21"/>
    <n v="0.27"/>
    <x v="0"/>
    <n v="18.02"/>
    <x v="1"/>
    <x v="1"/>
    <x v="1"/>
    <n v="1"/>
    <x v="1"/>
  </r>
  <r>
    <s v="F"/>
    <x v="2"/>
    <n v="57.5"/>
    <n v="1.62"/>
    <n v="21.9"/>
    <n v="21.909769852156678"/>
    <n v="0"/>
    <x v="0"/>
    <n v="84.2"/>
    <s v="118/76"/>
    <n v="118"/>
    <n v="76"/>
    <n v="238"/>
    <x v="0"/>
    <n v="73"/>
    <n v="126"/>
    <x v="1"/>
    <x v="1"/>
    <x v="1"/>
    <s v="Y"/>
    <x v="0"/>
    <n v="162"/>
    <n v="0.52"/>
    <x v="0"/>
    <n v="118"/>
    <n v="76"/>
    <x v="2"/>
    <n v="135"/>
    <n v="1.85"/>
    <x v="1"/>
    <n v="15.04"/>
    <x v="1"/>
    <x v="1"/>
    <x v="1"/>
    <n v="1"/>
    <x v="0"/>
  </r>
  <r>
    <s v="M"/>
    <x v="30"/>
    <m/>
    <n v="1.69"/>
    <n v="39.4"/>
    <n v="0"/>
    <n v="1"/>
    <x v="1"/>
    <n v="102.6"/>
    <s v="110/77"/>
    <n v="110"/>
    <n v="77"/>
    <n v="121"/>
    <x v="2"/>
    <n v="77"/>
    <n v="88"/>
    <x v="0"/>
    <x v="0"/>
    <x v="0"/>
    <s v="N"/>
    <x v="0"/>
    <n v="169"/>
    <n v="0.60699999999999998"/>
    <x v="3"/>
    <n v="110"/>
    <n v="77"/>
    <x v="2"/>
    <n v="14"/>
    <n v="0.18"/>
    <x v="0"/>
    <n v="17.8"/>
    <x v="1"/>
    <x v="1"/>
    <x v="1"/>
    <n v="1"/>
    <x v="0"/>
  </r>
  <r>
    <s v="M"/>
    <x v="23"/>
    <n v="106.9"/>
    <n v="1.68"/>
    <n v="37.9"/>
    <n v="37.875566893424043"/>
    <n v="0"/>
    <x v="1"/>
    <n v="101.7"/>
    <s v="102/99"/>
    <n v="102"/>
    <n v="99"/>
    <n v="266"/>
    <x v="0"/>
    <n v="58"/>
    <n v="120"/>
    <x v="1"/>
    <x v="0"/>
    <x v="0"/>
    <s v="N"/>
    <x v="1"/>
    <n v="168"/>
    <n v="0.60499999999999998"/>
    <x v="3"/>
    <m/>
    <n v="99"/>
    <x v="3"/>
    <n v="178"/>
    <n v="3.07"/>
    <x v="0"/>
    <n v="20"/>
    <x v="1"/>
    <x v="0"/>
    <x v="1"/>
    <n v="1"/>
    <x v="1"/>
  </r>
  <r>
    <s v="M"/>
    <x v="6"/>
    <m/>
    <n v="1.71"/>
    <n v="31.3"/>
    <n v="0"/>
    <n v="1"/>
    <x v="1"/>
    <n v="104.2"/>
    <s v="130/89"/>
    <n v="130"/>
    <n v="89"/>
    <n v="193"/>
    <x v="0"/>
    <n v="63"/>
    <m/>
    <x v="0"/>
    <x v="0"/>
    <x v="1"/>
    <s v="Y"/>
    <x v="0"/>
    <n v="171"/>
    <n v="0.60899999999999999"/>
    <x v="3"/>
    <n v="130"/>
    <n v="89"/>
    <x v="1"/>
    <n v="100"/>
    <n v="1.59"/>
    <x v="0"/>
    <n v="18.62"/>
    <x v="0"/>
    <x v="0"/>
    <x v="0"/>
    <n v="0"/>
    <x v="0"/>
  </r>
  <r>
    <s v="F"/>
    <x v="21"/>
    <n v="85.9"/>
    <n v="1.8"/>
    <n v="26.5"/>
    <n v="26.512345679012345"/>
    <n v="0"/>
    <x v="2"/>
    <n v="89.7"/>
    <s v="141/78"/>
    <n v="141"/>
    <n v="78"/>
    <n v="271"/>
    <x v="0"/>
    <n v="49"/>
    <n v="124"/>
    <x v="1"/>
    <x v="1"/>
    <x v="2"/>
    <s v="Y"/>
    <x v="0"/>
    <n v="180"/>
    <n v="0.498"/>
    <x v="0"/>
    <n v="141"/>
    <n v="78"/>
    <x v="3"/>
    <n v="192"/>
    <n v="3.92"/>
    <x v="0"/>
    <n v="17.77"/>
    <x v="1"/>
    <x v="0"/>
    <x v="1"/>
    <n v="1"/>
    <x v="0"/>
  </r>
  <r>
    <s v="F"/>
    <x v="29"/>
    <n v="51.8"/>
    <n v="1.67"/>
    <n v="18.600000000000001"/>
    <n v="18.573631180752269"/>
    <n v="0"/>
    <x v="0"/>
    <n v="87.8"/>
    <s v="95/94"/>
    <n v="95"/>
    <n v="94"/>
    <n v="198"/>
    <x v="0"/>
    <n v="53"/>
    <n v="117"/>
    <x v="0"/>
    <x v="0"/>
    <x v="1"/>
    <s v="N"/>
    <x v="2"/>
    <n v="167"/>
    <n v="0.52600000000000002"/>
    <x v="1"/>
    <n v="95"/>
    <n v="94"/>
    <x v="3"/>
    <n v="115"/>
    <n v="2.17"/>
    <x v="0"/>
    <n v="14.43"/>
    <x v="0"/>
    <x v="0"/>
    <x v="0"/>
    <n v="0"/>
    <x v="1"/>
  </r>
  <r>
    <s v="F"/>
    <x v="27"/>
    <n v="87.5"/>
    <n v="1.69"/>
    <n v="30.6"/>
    <n v="30.636182206505378"/>
    <n v="0"/>
    <x v="1"/>
    <n v="84.1"/>
    <s v="110/81"/>
    <n v="110"/>
    <n v="81"/>
    <n v="217"/>
    <x v="0"/>
    <n v="42"/>
    <n v="93"/>
    <x v="1"/>
    <x v="1"/>
    <x v="2"/>
    <s v="Y"/>
    <x v="0"/>
    <n v="169"/>
    <n v="0.498"/>
    <x v="0"/>
    <n v="110"/>
    <n v="81"/>
    <x v="1"/>
    <n v="145"/>
    <n v="3.45"/>
    <x v="0"/>
    <n v="15.96"/>
    <x v="1"/>
    <x v="0"/>
    <x v="1"/>
    <n v="1"/>
    <x v="0"/>
  </r>
  <r>
    <s v="F"/>
    <x v="8"/>
    <n v="117.8"/>
    <n v="1.86"/>
    <n v="34.1"/>
    <n v="34.050179211469526"/>
    <n v="0"/>
    <x v="1"/>
    <n v="73.3"/>
    <s v="116/91"/>
    <n v="116"/>
    <n v="91"/>
    <n v="100"/>
    <x v="2"/>
    <n v="69"/>
    <n v="150"/>
    <x v="0"/>
    <x v="1"/>
    <x v="0"/>
    <s v="N"/>
    <x v="2"/>
    <n v="186"/>
    <n v="0.39400000000000002"/>
    <x v="2"/>
    <n v="116"/>
    <n v="91"/>
    <x v="3"/>
    <n v="1"/>
    <n v="0.01"/>
    <x v="0"/>
    <n v="14.62"/>
    <x v="0"/>
    <x v="0"/>
    <x v="0"/>
    <n v="0"/>
    <x v="0"/>
  </r>
  <r>
    <s v="M"/>
    <x v="10"/>
    <n v="117.4"/>
    <n v="1.82"/>
    <n v="35.4"/>
    <n v="35.442579398623351"/>
    <n v="0"/>
    <x v="1"/>
    <n v="104.5"/>
    <s v="109/76"/>
    <n v="109"/>
    <n v="76"/>
    <n v="181"/>
    <x v="0"/>
    <n v="66"/>
    <n v="101"/>
    <x v="0"/>
    <x v="0"/>
    <x v="1"/>
    <s v="Y"/>
    <x v="0"/>
    <n v="182"/>
    <n v="0.57399999999999995"/>
    <x v="1"/>
    <n v="109"/>
    <n v="76"/>
    <x v="2"/>
    <n v="85"/>
    <n v="1.29"/>
    <x v="0"/>
    <n v="18.149999999999999"/>
    <x v="1"/>
    <x v="1"/>
    <x v="1"/>
    <n v="1"/>
    <x v="0"/>
  </r>
  <r>
    <s v="F"/>
    <x v="17"/>
    <n v="57.2"/>
    <n v="1.74"/>
    <n v="18.899999999999999"/>
    <n v="18.89285242436253"/>
    <n v="0"/>
    <x v="0"/>
    <n v="87.3"/>
    <s v="112/97"/>
    <n v="112"/>
    <n v="97"/>
    <n v="231"/>
    <x v="0"/>
    <n v="59"/>
    <n v="77"/>
    <x v="1"/>
    <x v="1"/>
    <x v="1"/>
    <s v="Y"/>
    <x v="0"/>
    <n v="174"/>
    <n v="0.502"/>
    <x v="0"/>
    <n v="112"/>
    <n v="97"/>
    <x v="3"/>
    <n v="142"/>
    <n v="2.41"/>
    <x v="0"/>
    <n v="14"/>
    <x v="1"/>
    <x v="0"/>
    <x v="1"/>
    <n v="1"/>
    <x v="0"/>
  </r>
  <r>
    <s v="F"/>
    <x v="7"/>
    <n v="72.7"/>
    <n v="1.77"/>
    <n v="23.2"/>
    <n v="23.205336908295827"/>
    <n v="0"/>
    <x v="0"/>
    <n v="82.2"/>
    <s v="142/73"/>
    <n v="142"/>
    <n v="73"/>
    <n v="263"/>
    <x v="0"/>
    <n v="73"/>
    <n v="109"/>
    <x v="0"/>
    <x v="0"/>
    <x v="2"/>
    <s v="Y"/>
    <x v="0"/>
    <n v="177"/>
    <n v="0.46400000000000002"/>
    <x v="0"/>
    <n v="142"/>
    <n v="73"/>
    <x v="3"/>
    <n v="160"/>
    <n v="2.19"/>
    <x v="0"/>
    <n v="19"/>
    <x v="0"/>
    <x v="0"/>
    <x v="0"/>
    <n v="0"/>
    <x v="0"/>
  </r>
  <r>
    <s v="F"/>
    <x v="28"/>
    <n v="97.8"/>
    <m/>
    <n v="31.6"/>
    <s v=""/>
    <s v=""/>
    <x v="1"/>
    <n v="94.8"/>
    <s v="124/92"/>
    <n v="124"/>
    <n v="92"/>
    <n v="216"/>
    <x v="0"/>
    <n v="50"/>
    <n v="101"/>
    <x v="0"/>
    <x v="0"/>
    <x v="1"/>
    <s v="N"/>
    <x v="2"/>
    <n v="176"/>
    <n v="0.53900000000000003"/>
    <x v="1"/>
    <n v="124"/>
    <n v="92"/>
    <x v="3"/>
    <n v="136"/>
    <n v="2.72"/>
    <x v="0"/>
    <n v="18.84"/>
    <x v="1"/>
    <x v="0"/>
    <x v="1"/>
    <n v="1"/>
    <x v="1"/>
  </r>
  <r>
    <s v="M"/>
    <x v="9"/>
    <n v="59"/>
    <n v="1.74"/>
    <n v="19.5"/>
    <n v="19.487382745408905"/>
    <n v="0"/>
    <x v="0"/>
    <m/>
    <s v="91/81"/>
    <n v="91"/>
    <n v="81"/>
    <n v="200"/>
    <x v="0"/>
    <n v="58"/>
    <n v="104"/>
    <x v="1"/>
    <x v="0"/>
    <x v="0"/>
    <s v="N"/>
    <x v="1"/>
    <n v="174"/>
    <n v="0.62"/>
    <x v="3"/>
    <n v="91"/>
    <n v="81"/>
    <x v="1"/>
    <n v="112"/>
    <n v="1.93"/>
    <x v="0"/>
    <n v="14.45"/>
    <x v="0"/>
    <x v="0"/>
    <x v="0"/>
    <n v="0"/>
    <x v="0"/>
  </r>
  <r>
    <s v="M"/>
    <x v="18"/>
    <n v="70.900000000000006"/>
    <n v="1.82"/>
    <n v="21.4"/>
    <n v="21.404419756068108"/>
    <n v="0"/>
    <x v="0"/>
    <n v="94.3"/>
    <s v="148/85"/>
    <n v="148"/>
    <n v="85"/>
    <n v="254"/>
    <x v="0"/>
    <n v="46"/>
    <n v="89"/>
    <x v="0"/>
    <x v="0"/>
    <x v="1"/>
    <s v="N"/>
    <x v="2"/>
    <n v="182"/>
    <n v="0.51800000000000002"/>
    <x v="0"/>
    <n v="148"/>
    <m/>
    <x v="1"/>
    <n v="178"/>
    <n v="3.87"/>
    <x v="0"/>
    <n v="18.760000000000002"/>
    <x v="0"/>
    <x v="0"/>
    <x v="0"/>
    <n v="0"/>
    <x v="0"/>
  </r>
  <r>
    <s v="F"/>
    <x v="5"/>
    <n v="64.099999999999994"/>
    <n v="1.86"/>
    <n v="18.5"/>
    <n v="18.528153543762279"/>
    <n v="0"/>
    <x v="0"/>
    <m/>
    <s v="130/99"/>
    <n v="130"/>
    <n v="99"/>
    <n v="253"/>
    <x v="0"/>
    <n v="46"/>
    <n v="103"/>
    <x v="0"/>
    <x v="1"/>
    <x v="0"/>
    <s v="N"/>
    <x v="2"/>
    <n v="186"/>
    <n v="0.45600000000000002"/>
    <x v="2"/>
    <n v="130"/>
    <n v="99"/>
    <x v="1"/>
    <n v="177"/>
    <n v="3.85"/>
    <x v="0"/>
    <n v="15.26"/>
    <x v="0"/>
    <x v="0"/>
    <x v="0"/>
    <n v="0"/>
    <x v="0"/>
  </r>
  <r>
    <s v="F"/>
    <x v="31"/>
    <n v="53.3"/>
    <n v="1.84"/>
    <n v="15.7"/>
    <n v="15.743147448015121"/>
    <n v="0"/>
    <x v="3"/>
    <n v="107.3"/>
    <s v="142/72"/>
    <n v="142"/>
    <n v="72"/>
    <n v="157"/>
    <x v="1"/>
    <n v="47"/>
    <n v="75"/>
    <x v="1"/>
    <x v="0"/>
    <x v="0"/>
    <s v="Y"/>
    <x v="4"/>
    <n v="184"/>
    <n v="0.58299999999999996"/>
    <x v="1"/>
    <n v="142"/>
    <n v="72"/>
    <x v="3"/>
    <n v="80"/>
    <n v="1.7"/>
    <x v="0"/>
    <n v="15.38"/>
    <x v="1"/>
    <x v="0"/>
    <x v="1"/>
    <n v="1"/>
    <x v="1"/>
  </r>
  <r>
    <s v="F"/>
    <x v="14"/>
    <n v="54.5"/>
    <n v="1.83"/>
    <n v="16.3"/>
    <n v="16.274000418047716"/>
    <n v="0"/>
    <x v="3"/>
    <n v="77.400000000000006"/>
    <s v="119/83"/>
    <n v="119"/>
    <n v="83"/>
    <n v="189"/>
    <x v="0"/>
    <n v="30"/>
    <n v="92"/>
    <x v="1"/>
    <x v="1"/>
    <x v="2"/>
    <s v="N"/>
    <x v="2"/>
    <n v="183"/>
    <n v="0.42299999999999999"/>
    <x v="2"/>
    <n v="119"/>
    <n v="83"/>
    <x v="1"/>
    <n v="129"/>
    <n v="4.3"/>
    <x v="0"/>
    <n v="12.99"/>
    <x v="0"/>
    <x v="0"/>
    <x v="0"/>
    <n v="0"/>
    <x v="0"/>
  </r>
  <r>
    <s v="M"/>
    <x v="9"/>
    <n v="64.5"/>
    <n v="1.84"/>
    <n v="19.100000000000001"/>
    <n v="19.051275992438562"/>
    <n v="0"/>
    <x v="0"/>
    <n v="78.400000000000006"/>
    <s v="118/100"/>
    <n v="118"/>
    <n v="100"/>
    <n v="163"/>
    <x v="1"/>
    <n v="79"/>
    <n v="143"/>
    <x v="0"/>
    <x v="1"/>
    <x v="1"/>
    <s v="Y"/>
    <x v="2"/>
    <n v="184"/>
    <n v="0.42599999999999999"/>
    <x v="2"/>
    <n v="118"/>
    <n v="100"/>
    <x v="3"/>
    <n v="54"/>
    <n v="0.68"/>
    <x v="0"/>
    <n v="12.98"/>
    <x v="2"/>
    <x v="0"/>
    <x v="0"/>
    <n v="0"/>
    <x v="0"/>
  </r>
  <r>
    <s v="F"/>
    <x v="30"/>
    <n v="100.4"/>
    <n v="1.68"/>
    <n v="35.6"/>
    <n v="35.572562358276649"/>
    <n v="0"/>
    <x v="1"/>
    <n v="94.7"/>
    <s v="147/74"/>
    <n v="147"/>
    <n v="74"/>
    <n v="261"/>
    <x v="0"/>
    <n v="65"/>
    <n v="96"/>
    <x v="0"/>
    <x v="0"/>
    <x v="0"/>
    <s v="N"/>
    <x v="0"/>
    <n v="168"/>
    <n v="0.56399999999999995"/>
    <x v="1"/>
    <n v="147"/>
    <n v="74"/>
    <x v="3"/>
    <n v="166"/>
    <n v="2.5499999999999998"/>
    <x v="0"/>
    <n v="21.69"/>
    <x v="1"/>
    <x v="1"/>
    <x v="1"/>
    <n v="1"/>
    <x v="0"/>
  </r>
  <r>
    <s v="F"/>
    <x v="20"/>
    <n v="109.1"/>
    <n v="1.7"/>
    <n v="37.799999999999997"/>
    <n v="37.750865051903119"/>
    <n v="0"/>
    <x v="1"/>
    <n v="104.3"/>
    <s v="142/76"/>
    <n v="142"/>
    <n v="76"/>
    <n v="296"/>
    <x v="0"/>
    <n v="78"/>
    <n v="132"/>
    <x v="1"/>
    <x v="1"/>
    <x v="0"/>
    <s v="Y"/>
    <x v="1"/>
    <n v="170"/>
    <n v="0.61399999999999999"/>
    <x v="3"/>
    <n v="142"/>
    <n v="76"/>
    <x v="3"/>
    <n v="188"/>
    <n v="2.41"/>
    <x v="0"/>
    <n v="20.58"/>
    <x v="1"/>
    <x v="1"/>
    <x v="1"/>
    <n v="1"/>
    <x v="0"/>
  </r>
  <r>
    <s v="M"/>
    <x v="8"/>
    <n v="100.6"/>
    <n v="1.66"/>
    <n v="36.5"/>
    <n v="36.507475685876031"/>
    <n v="0"/>
    <x v="1"/>
    <n v="107.8"/>
    <s v="127/93"/>
    <n v="127"/>
    <n v="93"/>
    <n v="257"/>
    <x v="0"/>
    <n v="56"/>
    <n v="150"/>
    <x v="0"/>
    <x v="1"/>
    <x v="2"/>
    <s v="N"/>
    <x v="3"/>
    <n v="166"/>
    <n v="0.64900000000000002"/>
    <x v="3"/>
    <n v="127"/>
    <n v="93"/>
    <x v="3"/>
    <n v="171"/>
    <n v="3.05"/>
    <x v="0"/>
    <n v="18.79"/>
    <x v="0"/>
    <x v="0"/>
    <x v="0"/>
    <n v="0"/>
    <x v="0"/>
  </r>
  <r>
    <s v="F"/>
    <x v="18"/>
    <n v="60.5"/>
    <n v="1.87"/>
    <n v="17.3"/>
    <n v="17.301038062283734"/>
    <n v="0"/>
    <x v="3"/>
    <n v="80"/>
    <s v="91/70"/>
    <n v="91"/>
    <n v="70"/>
    <n v="179"/>
    <x v="1"/>
    <n v="38"/>
    <n v="144"/>
    <x v="1"/>
    <x v="0"/>
    <x v="2"/>
    <s v="Y"/>
    <x v="1"/>
    <n v="187"/>
    <m/>
    <x v="4"/>
    <n v="91"/>
    <n v="70"/>
    <x v="2"/>
    <n v="111"/>
    <n v="2.92"/>
    <x v="0"/>
    <n v="13.59"/>
    <x v="1"/>
    <x v="0"/>
    <x v="1"/>
    <n v="1"/>
    <x v="0"/>
  </r>
  <r>
    <s v="F"/>
    <x v="22"/>
    <n v="112.3"/>
    <n v="1.73"/>
    <n v="37.5"/>
    <n v="37.522135721206851"/>
    <n v="0"/>
    <x v="1"/>
    <n v="87.9"/>
    <s v="116/87"/>
    <n v="116"/>
    <n v="87"/>
    <n v="207"/>
    <x v="0"/>
    <n v="66"/>
    <n v="138"/>
    <x v="1"/>
    <x v="0"/>
    <x v="0"/>
    <s v="N"/>
    <x v="1"/>
    <n v="173"/>
    <n v="0.50800000000000001"/>
    <x v="0"/>
    <n v="116"/>
    <n v="87"/>
    <x v="1"/>
    <m/>
    <n v="0"/>
    <x v="0"/>
    <n v="19.440000000000001"/>
    <x v="1"/>
    <x v="1"/>
    <x v="1"/>
    <n v="1"/>
    <x v="0"/>
  </r>
  <r>
    <s v="F"/>
    <x v="30"/>
    <n v="92.3"/>
    <n v="1.69"/>
    <n v="32.299999999999997"/>
    <n v="32.316795630405103"/>
    <n v="0"/>
    <x v="1"/>
    <n v="107.1"/>
    <s v="147/79"/>
    <n v="147"/>
    <n v="79"/>
    <n v="230"/>
    <x v="0"/>
    <n v="70"/>
    <n v="74"/>
    <x v="1"/>
    <x v="1"/>
    <x v="0"/>
    <s v="N"/>
    <x v="0"/>
    <n v="169"/>
    <n v="0.63400000000000001"/>
    <x v="3"/>
    <n v="147"/>
    <n v="79"/>
    <x v="3"/>
    <n v="130"/>
    <n v="1.86"/>
    <x v="0"/>
    <n v="18.41"/>
    <x v="1"/>
    <x v="1"/>
    <x v="1"/>
    <n v="1"/>
    <x v="0"/>
  </r>
  <r>
    <s v="M"/>
    <x v="17"/>
    <m/>
    <n v="1.86"/>
    <n v="33.9"/>
    <n v="0"/>
    <n v="1"/>
    <x v="1"/>
    <n v="99.5"/>
    <s v="97/72"/>
    <n v="97"/>
    <n v="72"/>
    <n v="218"/>
    <x v="0"/>
    <m/>
    <n v="108"/>
    <x v="1"/>
    <x v="1"/>
    <x v="0"/>
    <s v="N"/>
    <x v="0"/>
    <n v="186"/>
    <n v="0.53500000000000003"/>
    <x v="1"/>
    <n v="97"/>
    <n v="72"/>
    <x v="2"/>
    <n v="152"/>
    <s v=""/>
    <x v="1"/>
    <n v="15.99"/>
    <x v="1"/>
    <x v="0"/>
    <x v="1"/>
    <n v="1"/>
    <x v="0"/>
  </r>
  <r>
    <s v="F"/>
    <x v="11"/>
    <n v="115.2"/>
    <n v="1.66"/>
    <n v="41.8"/>
    <n v="41.805777326172162"/>
    <n v="0"/>
    <x v="1"/>
    <n v="75.2"/>
    <s v="119/72"/>
    <n v="119"/>
    <n v="72"/>
    <n v="300"/>
    <x v="0"/>
    <n v="40"/>
    <n v="146"/>
    <x v="0"/>
    <x v="1"/>
    <x v="2"/>
    <s v="Y"/>
    <x v="2"/>
    <n v="166"/>
    <n v="0.45300000000000001"/>
    <x v="2"/>
    <n v="119"/>
    <n v="72"/>
    <x v="2"/>
    <n v="230"/>
    <n v="5.75"/>
    <x v="0"/>
    <m/>
    <x v="0"/>
    <x v="0"/>
    <x v="0"/>
    <n v="0"/>
    <x v="0"/>
  </r>
  <r>
    <s v="F"/>
    <x v="27"/>
    <n v="72.8"/>
    <n v="1.79"/>
    <n v="22.7"/>
    <n v="22.720888861146655"/>
    <n v="0"/>
    <x v="0"/>
    <n v="76.8"/>
    <s v="119/81"/>
    <n v="119"/>
    <n v="81"/>
    <n v="276"/>
    <x v="0"/>
    <n v="36"/>
    <n v="75"/>
    <x v="1"/>
    <x v="1"/>
    <x v="2"/>
    <s v="Y"/>
    <x v="0"/>
    <n v="179"/>
    <n v="0.42899999999999999"/>
    <x v="2"/>
    <n v="119"/>
    <n v="81"/>
    <x v="1"/>
    <n v="210"/>
    <n v="5.83"/>
    <x v="0"/>
    <n v="16.010000000000002"/>
    <x v="1"/>
    <x v="0"/>
    <x v="1"/>
    <n v="1"/>
    <x v="0"/>
  </r>
  <r>
    <s v="M"/>
    <x v="2"/>
    <n v="70.900000000000006"/>
    <n v="1.8"/>
    <n v="21.9"/>
    <n v="21.882716049382715"/>
    <n v="0"/>
    <x v="0"/>
    <n v="88"/>
    <s v="137/91"/>
    <n v="137"/>
    <n v="91"/>
    <n v="271"/>
    <x v="0"/>
    <n v="67"/>
    <n v="150"/>
    <x v="0"/>
    <x v="0"/>
    <x v="0"/>
    <s v="Y"/>
    <x v="1"/>
    <n v="180"/>
    <n v="0.48899999999999999"/>
    <x v="0"/>
    <n v="137"/>
    <n v="91"/>
    <x v="1"/>
    <n v="174"/>
    <n v="2.6"/>
    <x v="0"/>
    <n v="18.649999999999999"/>
    <x v="1"/>
    <x v="1"/>
    <x v="1"/>
    <n v="1"/>
    <x v="0"/>
  </r>
  <r>
    <s v="F"/>
    <x v="3"/>
    <n v="58.1"/>
    <n v="1.78"/>
    <m/>
    <n v="18.337331145057441"/>
    <n v="1"/>
    <x v="3"/>
    <n v="98.9"/>
    <s v="93/61"/>
    <n v="93"/>
    <n v="61"/>
    <n v="173"/>
    <x v="1"/>
    <n v="36"/>
    <n v="130"/>
    <x v="1"/>
    <x v="0"/>
    <x v="0"/>
    <s v="Y"/>
    <x v="4"/>
    <n v="178"/>
    <n v="0.55600000000000005"/>
    <x v="1"/>
    <n v="93"/>
    <m/>
    <x v="2"/>
    <n v="107"/>
    <n v="2.97"/>
    <x v="0"/>
    <n v="13.77"/>
    <x v="1"/>
    <x v="0"/>
    <x v="1"/>
    <n v="1"/>
    <x v="0"/>
  </r>
  <r>
    <s v="M"/>
    <x v="17"/>
    <n v="54.6"/>
    <n v="1.68"/>
    <n v="19.3"/>
    <n v="19.345238095238098"/>
    <n v="0"/>
    <x v="0"/>
    <n v="99.6"/>
    <s v="134/72"/>
    <n v="134"/>
    <n v="72"/>
    <n v="172"/>
    <x v="1"/>
    <n v="36"/>
    <n v="150"/>
    <x v="1"/>
    <x v="0"/>
    <x v="0"/>
    <s v="Y"/>
    <x v="4"/>
    <n v="168"/>
    <n v="0.59299999999999997"/>
    <x v="3"/>
    <n v="134"/>
    <n v="72"/>
    <x v="1"/>
    <n v="106"/>
    <n v="2.94"/>
    <x v="0"/>
    <n v="16"/>
    <x v="1"/>
    <x v="0"/>
    <x v="1"/>
    <n v="1"/>
    <x v="0"/>
  </r>
  <r>
    <s v="M"/>
    <x v="16"/>
    <n v="75.7"/>
    <n v="1.7"/>
    <n v="26.2"/>
    <n v="26.193771626297583"/>
    <n v="0"/>
    <x v="2"/>
    <n v="91"/>
    <s v="103/69"/>
    <n v="103"/>
    <n v="69"/>
    <n v="280"/>
    <x v="0"/>
    <n v="52"/>
    <n v="72"/>
    <x v="0"/>
    <x v="0"/>
    <x v="2"/>
    <s v="Y"/>
    <x v="0"/>
    <n v="170"/>
    <m/>
    <x v="4"/>
    <n v="103"/>
    <n v="69"/>
    <x v="2"/>
    <n v="198"/>
    <n v="3.81"/>
    <x v="1"/>
    <n v="17.989999999999998"/>
    <x v="1"/>
    <x v="0"/>
    <x v="1"/>
    <n v="1"/>
    <x v="0"/>
  </r>
  <r>
    <s v="F"/>
    <x v="23"/>
    <n v="116.2"/>
    <n v="1.89"/>
    <n v="32.5"/>
    <n v="32.529884381736238"/>
    <n v="0"/>
    <x v="1"/>
    <n v="81.3"/>
    <s v="118/84"/>
    <n v="118"/>
    <n v="84"/>
    <n v="108"/>
    <x v="2"/>
    <n v="43"/>
    <n v="103"/>
    <x v="0"/>
    <x v="0"/>
    <x v="1"/>
    <s v="Y"/>
    <x v="0"/>
    <n v="189"/>
    <n v="0.43"/>
    <x v="2"/>
    <m/>
    <n v="84"/>
    <x v="1"/>
    <n v="35"/>
    <n v="0.81"/>
    <x v="0"/>
    <n v="16.559999999999999"/>
    <x v="1"/>
    <x v="0"/>
    <x v="1"/>
    <n v="1"/>
    <x v="1"/>
  </r>
  <r>
    <s v="M"/>
    <x v="5"/>
    <n v="116.5"/>
    <n v="1.63"/>
    <n v="43.8"/>
    <n v="43.84809364296737"/>
    <n v="0"/>
    <x v="1"/>
    <n v="86.7"/>
    <s v="150/80"/>
    <n v="150"/>
    <n v="80"/>
    <n v="281"/>
    <x v="0"/>
    <n v="66"/>
    <n v="130"/>
    <x v="1"/>
    <x v="0"/>
    <x v="0"/>
    <s v="N"/>
    <x v="1"/>
    <n v="163"/>
    <n v="0.53200000000000003"/>
    <x v="1"/>
    <n v="150"/>
    <n v="80"/>
    <x v="1"/>
    <n v="185"/>
    <n v="2.8"/>
    <x v="0"/>
    <n v="23.88"/>
    <x v="1"/>
    <x v="1"/>
    <x v="1"/>
    <n v="1"/>
    <x v="0"/>
  </r>
  <r>
    <s v="M"/>
    <x v="12"/>
    <n v="62.3"/>
    <n v="1.89"/>
    <n v="17.399999999999999"/>
    <n v="17.440721144424849"/>
    <n v="0"/>
    <x v="3"/>
    <n v="96.8"/>
    <s v="125/64"/>
    <n v="125"/>
    <n v="64"/>
    <n v="256"/>
    <x v="0"/>
    <n v="60"/>
    <n v="93"/>
    <x v="1"/>
    <x v="0"/>
    <x v="0"/>
    <s v="Y"/>
    <x v="4"/>
    <n v="189"/>
    <n v="0.51200000000000001"/>
    <x v="0"/>
    <n v="125"/>
    <n v="64"/>
    <x v="0"/>
    <n v="166"/>
    <n v="2.77"/>
    <x v="0"/>
    <n v="16.850000000000001"/>
    <x v="1"/>
    <x v="1"/>
    <x v="1"/>
    <n v="1"/>
    <x v="0"/>
  </r>
  <r>
    <s v="F"/>
    <x v="8"/>
    <n v="59.4"/>
    <n v="1.88"/>
    <n v="16.8"/>
    <n v="16.806247170665461"/>
    <n v="0"/>
    <x v="3"/>
    <n v="91.2"/>
    <s v="102/84"/>
    <n v="102"/>
    <n v="84"/>
    <n v="214"/>
    <x v="0"/>
    <n v="69"/>
    <n v="77"/>
    <x v="0"/>
    <x v="1"/>
    <x v="0"/>
    <s v="Y"/>
    <x v="0"/>
    <n v="188"/>
    <n v="0.48499999999999999"/>
    <x v="0"/>
    <n v="102"/>
    <n v="84"/>
    <x v="1"/>
    <n v="115"/>
    <n v="1.67"/>
    <x v="0"/>
    <n v="12.74"/>
    <x v="1"/>
    <x v="1"/>
    <x v="1"/>
    <n v="1"/>
    <x v="0"/>
  </r>
  <r>
    <s v="F"/>
    <x v="11"/>
    <m/>
    <n v="1.71"/>
    <n v="20.5"/>
    <n v="0"/>
    <n v="1"/>
    <x v="0"/>
    <n v="101.5"/>
    <s v="117/86"/>
    <n v="117"/>
    <n v="86"/>
    <n v="127"/>
    <x v="2"/>
    <n v="34"/>
    <n v="88"/>
    <x v="1"/>
    <x v="0"/>
    <x v="0"/>
    <s v="N"/>
    <x v="1"/>
    <n v="171"/>
    <n v="0.59399999999999997"/>
    <x v="3"/>
    <n v="117"/>
    <n v="86"/>
    <x v="1"/>
    <n v="63"/>
    <n v="1.85"/>
    <x v="0"/>
    <n v="14.49"/>
    <x v="1"/>
    <x v="0"/>
    <x v="1"/>
    <n v="1"/>
    <x v="0"/>
  </r>
  <r>
    <s v="F"/>
    <x v="2"/>
    <n v="86.2"/>
    <n v="1.72"/>
    <n v="29.1"/>
    <n v="29.137371552190377"/>
    <n v="0"/>
    <x v="2"/>
    <n v="109.5"/>
    <s v="112/79"/>
    <n v="112"/>
    <n v="79"/>
    <n v="282"/>
    <x v="0"/>
    <n v="53"/>
    <n v="107"/>
    <x v="1"/>
    <x v="0"/>
    <x v="2"/>
    <s v="N"/>
    <x v="0"/>
    <n v="172"/>
    <n v="0.63700000000000001"/>
    <x v="3"/>
    <n v="112"/>
    <n v="79"/>
    <x v="2"/>
    <m/>
    <n v="0"/>
    <x v="0"/>
    <n v="19.059999999999999"/>
    <x v="1"/>
    <x v="0"/>
    <x v="1"/>
    <n v="1"/>
    <x v="0"/>
  </r>
  <r>
    <s v="F"/>
    <x v="24"/>
    <m/>
    <n v="1.62"/>
    <n v="30.7"/>
    <n v="0"/>
    <n v="1"/>
    <x v="1"/>
    <n v="89.4"/>
    <s v="120/100"/>
    <n v="120"/>
    <n v="100"/>
    <n v="209"/>
    <x v="0"/>
    <n v="66"/>
    <n v="111"/>
    <x v="0"/>
    <x v="1"/>
    <x v="1"/>
    <s v="N"/>
    <x v="3"/>
    <n v="162"/>
    <n v="0.55200000000000005"/>
    <x v="1"/>
    <n v="120"/>
    <m/>
    <x v="3"/>
    <n v="113"/>
    <n v="1.71"/>
    <x v="0"/>
    <n v="16.32"/>
    <x v="0"/>
    <x v="0"/>
    <x v="0"/>
    <n v="0"/>
    <x v="0"/>
  </r>
  <r>
    <s v="M"/>
    <x v="2"/>
    <n v="52.8"/>
    <n v="1.8"/>
    <n v="16.3"/>
    <n v="16.296296296296294"/>
    <n v="0"/>
    <x v="3"/>
    <n v="77.3"/>
    <s v="113/96"/>
    <n v="113"/>
    <n v="96"/>
    <n v="167"/>
    <x v="1"/>
    <n v="32"/>
    <n v="135"/>
    <x v="0"/>
    <x v="0"/>
    <x v="0"/>
    <s v="N"/>
    <x v="0"/>
    <n v="180"/>
    <n v="0.42899999999999999"/>
    <x v="2"/>
    <n v="113"/>
    <n v="96"/>
    <x v="3"/>
    <n v="105"/>
    <n v="3.28"/>
    <x v="0"/>
    <n v="14.25"/>
    <x v="0"/>
    <x v="0"/>
    <x v="0"/>
    <n v="0"/>
    <x v="0"/>
  </r>
  <r>
    <s v="M"/>
    <x v="9"/>
    <n v="92"/>
    <n v="1.77"/>
    <n v="29.4"/>
    <n v="29.365763350250564"/>
    <n v="0"/>
    <x v="2"/>
    <n v="98.6"/>
    <s v="113/87"/>
    <n v="113"/>
    <n v="87"/>
    <n v="256"/>
    <x v="0"/>
    <n v="49"/>
    <n v="75"/>
    <x v="0"/>
    <x v="1"/>
    <x v="1"/>
    <s v="Y"/>
    <x v="2"/>
    <n v="177"/>
    <n v="0.55700000000000005"/>
    <x v="1"/>
    <m/>
    <n v="87"/>
    <x v="1"/>
    <n v="177"/>
    <n v="3.61"/>
    <x v="0"/>
    <n v="16.649999999999999"/>
    <x v="0"/>
    <x v="0"/>
    <x v="0"/>
    <n v="0"/>
    <x v="0"/>
  </r>
  <r>
    <s v="M"/>
    <x v="0"/>
    <n v="106.7"/>
    <n v="1.85"/>
    <n v="31.2"/>
    <n v="31.176040905770634"/>
    <n v="0"/>
    <x v="1"/>
    <n v="72.599999999999994"/>
    <s v="102/74"/>
    <n v="102"/>
    <n v="74"/>
    <n v="100"/>
    <x v="2"/>
    <n v="55"/>
    <n v="95"/>
    <x v="1"/>
    <x v="0"/>
    <x v="2"/>
    <s v="Y"/>
    <x v="1"/>
    <n v="185"/>
    <n v="0.39200000000000002"/>
    <x v="2"/>
    <n v="102"/>
    <n v="74"/>
    <x v="2"/>
    <n v="15"/>
    <n v="0.27"/>
    <x v="0"/>
    <n v="15.34"/>
    <x v="1"/>
    <x v="0"/>
    <x v="1"/>
    <n v="1"/>
    <x v="0"/>
  </r>
  <r>
    <s v="F"/>
    <x v="24"/>
    <n v="62.2"/>
    <n v="1.66"/>
    <n v="22.6"/>
    <n v="22.572216577151984"/>
    <n v="0"/>
    <x v="0"/>
    <n v="93.9"/>
    <s v="118/84"/>
    <n v="118"/>
    <n v="84"/>
    <n v="164"/>
    <x v="1"/>
    <n v="38"/>
    <n v="88"/>
    <x v="0"/>
    <x v="0"/>
    <x v="1"/>
    <s v="Y"/>
    <x v="0"/>
    <n v="166"/>
    <n v="0.56599999999999995"/>
    <x v="1"/>
    <n v="118"/>
    <n v="84"/>
    <x v="1"/>
    <n v="96"/>
    <n v="2.5299999999999998"/>
    <x v="0"/>
    <n v="15.7"/>
    <x v="0"/>
    <x v="0"/>
    <x v="0"/>
    <n v="0"/>
    <x v="0"/>
  </r>
  <r>
    <s v="F"/>
    <x v="6"/>
    <n v="99.6"/>
    <n v="1.8"/>
    <n v="30.7"/>
    <n v="30.740740740740737"/>
    <n v="0"/>
    <x v="1"/>
    <n v="102.4"/>
    <s v="120/97"/>
    <n v="120"/>
    <n v="97"/>
    <n v="232"/>
    <x v="0"/>
    <n v="73"/>
    <m/>
    <x v="0"/>
    <x v="1"/>
    <x v="0"/>
    <s v="N"/>
    <x v="2"/>
    <n v="180"/>
    <n v="0.56899999999999995"/>
    <x v="1"/>
    <n v="120"/>
    <n v="97"/>
    <x v="3"/>
    <n v="129"/>
    <n v="1.77"/>
    <x v="0"/>
    <n v="16.78"/>
    <x v="0"/>
    <x v="0"/>
    <x v="0"/>
    <n v="0"/>
    <x v="0"/>
  </r>
  <r>
    <s v="F"/>
    <x v="26"/>
    <n v="52.4"/>
    <n v="1.66"/>
    <n v="19"/>
    <n v="19.015822325446365"/>
    <n v="0"/>
    <x v="0"/>
    <n v="95.6"/>
    <s v="93/73"/>
    <n v="93"/>
    <n v="73"/>
    <n v="103"/>
    <x v="2"/>
    <n v="37"/>
    <n v="144"/>
    <x v="1"/>
    <x v="0"/>
    <x v="0"/>
    <s v="Y"/>
    <x v="4"/>
    <m/>
    <n v="0.57599999999999996"/>
    <x v="1"/>
    <n v="93"/>
    <n v="73"/>
    <x v="2"/>
    <n v="36"/>
    <n v="0.97"/>
    <x v="0"/>
    <m/>
    <x v="1"/>
    <x v="0"/>
    <x v="1"/>
    <n v="1"/>
    <x v="0"/>
  </r>
  <r>
    <s v="M"/>
    <x v="14"/>
    <n v="118.4"/>
    <n v="1.76"/>
    <n v="38.200000000000003"/>
    <n v="38.223140495867774"/>
    <n v="0"/>
    <x v="1"/>
    <n v="74.400000000000006"/>
    <s v="96/71"/>
    <n v="96"/>
    <n v="71"/>
    <n v="162"/>
    <x v="1"/>
    <n v="32"/>
    <n v="107"/>
    <x v="1"/>
    <x v="0"/>
    <x v="1"/>
    <s v="N"/>
    <x v="0"/>
    <n v="176"/>
    <n v="0.42299999999999999"/>
    <x v="2"/>
    <n v="96"/>
    <n v="71"/>
    <x v="2"/>
    <n v="100"/>
    <n v="3.13"/>
    <x v="0"/>
    <n v="17.68"/>
    <x v="1"/>
    <x v="0"/>
    <x v="1"/>
    <n v="1"/>
    <x v="0"/>
  </r>
  <r>
    <s v="M"/>
    <x v="13"/>
    <n v="60.4"/>
    <n v="1.81"/>
    <n v="18.399999999999999"/>
    <n v="18.436555660694118"/>
    <n v="0"/>
    <x v="3"/>
    <n v="94.6"/>
    <s v="136/67"/>
    <n v="136"/>
    <n v="67"/>
    <n v="268"/>
    <x v="0"/>
    <n v="56"/>
    <n v="85"/>
    <x v="1"/>
    <x v="1"/>
    <x v="1"/>
    <s v="N"/>
    <x v="2"/>
    <n v="181"/>
    <n v="0.52300000000000002"/>
    <x v="1"/>
    <n v="136"/>
    <n v="67"/>
    <x v="1"/>
    <n v="182"/>
    <n v="3.25"/>
    <x v="0"/>
    <n v="15.84"/>
    <x v="0"/>
    <x v="0"/>
    <x v="0"/>
    <n v="0"/>
    <x v="0"/>
  </r>
  <r>
    <s v="M"/>
    <x v="10"/>
    <n v="109.7"/>
    <n v="1.73"/>
    <n v="36.700000000000003"/>
    <n v="36.653413077617024"/>
    <n v="0"/>
    <x v="1"/>
    <m/>
    <s v="94/85"/>
    <n v="94"/>
    <n v="85"/>
    <n v="142"/>
    <x v="2"/>
    <n v="32"/>
    <n v="114"/>
    <x v="0"/>
    <x v="0"/>
    <x v="0"/>
    <s v="Y"/>
    <x v="1"/>
    <n v="173"/>
    <n v="0.436"/>
    <x v="2"/>
    <n v="94"/>
    <n v="85"/>
    <x v="1"/>
    <n v="80"/>
    <n v="2.5"/>
    <x v="0"/>
    <n v="16.88"/>
    <x v="1"/>
    <x v="0"/>
    <x v="1"/>
    <n v="1"/>
    <x v="1"/>
  </r>
  <r>
    <s v="F"/>
    <x v="0"/>
    <n v="110.3"/>
    <n v="1.7"/>
    <n v="38.200000000000003"/>
    <n v="38.16608996539793"/>
    <n v="0"/>
    <x v="1"/>
    <n v="73.5"/>
    <s v="112/63"/>
    <n v="112"/>
    <n v="63"/>
    <n v="290"/>
    <x v="0"/>
    <n v="78"/>
    <m/>
    <x v="1"/>
    <x v="0"/>
    <x v="0"/>
    <s v="N"/>
    <x v="1"/>
    <n v="170"/>
    <n v="0.432"/>
    <x v="2"/>
    <n v="112"/>
    <n v="63"/>
    <x v="2"/>
    <n v="182"/>
    <n v="2.33"/>
    <x v="1"/>
    <n v="21.04"/>
    <x v="1"/>
    <x v="1"/>
    <x v="1"/>
    <n v="1"/>
    <x v="0"/>
  </r>
  <r>
    <s v="F"/>
    <x v="21"/>
    <n v="109.2"/>
    <n v="1.86"/>
    <n v="31.6"/>
    <n v="31.564342698577867"/>
    <n v="0"/>
    <x v="1"/>
    <n v="91"/>
    <s v="146/74"/>
    <n v="146"/>
    <n v="74"/>
    <n v="277"/>
    <x v="0"/>
    <n v="30"/>
    <n v="107"/>
    <x v="0"/>
    <x v="1"/>
    <x v="1"/>
    <s v="N"/>
    <x v="3"/>
    <n v="186"/>
    <n v="0.48899999999999999"/>
    <x v="0"/>
    <n v="146"/>
    <n v="74"/>
    <x v="3"/>
    <n v="217"/>
    <n v="7.23"/>
    <x v="0"/>
    <n v="19.16"/>
    <x v="0"/>
    <x v="0"/>
    <x v="0"/>
    <n v="0"/>
    <x v="0"/>
  </r>
  <r>
    <s v="F"/>
    <x v="10"/>
    <n v="118.9"/>
    <n v="1.89"/>
    <n v="33.299999999999997"/>
    <n v="33.285742280451281"/>
    <n v="0"/>
    <x v="1"/>
    <n v="76.7"/>
    <s v="147/74"/>
    <n v="147"/>
    <n v="74"/>
    <n v="193"/>
    <x v="0"/>
    <n v="43"/>
    <n v="81"/>
    <x v="1"/>
    <x v="1"/>
    <x v="2"/>
    <s v="N"/>
    <x v="2"/>
    <n v="189"/>
    <n v="0.40600000000000003"/>
    <x v="2"/>
    <n v="147"/>
    <n v="74"/>
    <x v="3"/>
    <n v="120"/>
    <n v="2.79"/>
    <x v="0"/>
    <n v="17.87"/>
    <x v="0"/>
    <x v="0"/>
    <x v="0"/>
    <n v="0"/>
    <x v="0"/>
  </r>
  <r>
    <s v="M"/>
    <x v="14"/>
    <n v="63"/>
    <n v="1.76"/>
    <n v="20.3"/>
    <n v="20.338326446280991"/>
    <n v="0"/>
    <x v="0"/>
    <n v="91.9"/>
    <s v="139/89"/>
    <n v="139"/>
    <n v="89"/>
    <n v="187"/>
    <x v="0"/>
    <n v="74"/>
    <n v="146"/>
    <x v="1"/>
    <x v="1"/>
    <x v="2"/>
    <s v="Y"/>
    <x v="0"/>
    <n v="176"/>
    <n v="0.52200000000000002"/>
    <x v="0"/>
    <n v="139"/>
    <n v="89"/>
    <x v="1"/>
    <n v="83"/>
    <n v="1.1200000000000001"/>
    <x v="0"/>
    <n v="14.75"/>
    <x v="0"/>
    <x v="0"/>
    <x v="0"/>
    <n v="0"/>
    <x v="0"/>
  </r>
  <r>
    <s v="F"/>
    <x v="17"/>
    <n v="77.2"/>
    <n v="1.61"/>
    <n v="29.8"/>
    <n v="29.782801589444848"/>
    <n v="0"/>
    <x v="2"/>
    <n v="86.9"/>
    <s v="129/88"/>
    <n v="129"/>
    <n v="88"/>
    <n v="276"/>
    <x v="0"/>
    <n v="78"/>
    <n v="86"/>
    <x v="0"/>
    <x v="1"/>
    <x v="0"/>
    <s v="Y"/>
    <x v="0"/>
    <n v="161"/>
    <n v="0.54"/>
    <x v="1"/>
    <n v="129"/>
    <n v="88"/>
    <x v="1"/>
    <n v="168"/>
    <n v="2.15"/>
    <x v="0"/>
    <n v="17.93"/>
    <x v="1"/>
    <x v="1"/>
    <x v="1"/>
    <n v="1"/>
    <x v="0"/>
  </r>
  <r>
    <s v="M"/>
    <x v="1"/>
    <n v="52.9"/>
    <n v="1.69"/>
    <n v="18.5"/>
    <n v="18.521760442561536"/>
    <n v="0"/>
    <x v="0"/>
    <m/>
    <s v="106/66"/>
    <n v="106"/>
    <n v="66"/>
    <n v="170"/>
    <x v="1"/>
    <n v="59"/>
    <n v="130"/>
    <x v="0"/>
    <x v="0"/>
    <x v="1"/>
    <s v="Y"/>
    <x v="0"/>
    <n v="169"/>
    <n v="0.45600000000000002"/>
    <x v="2"/>
    <n v="106"/>
    <n v="66"/>
    <x v="2"/>
    <n v="81"/>
    <n v="1.37"/>
    <x v="0"/>
    <n v="14.4"/>
    <x v="0"/>
    <x v="0"/>
    <x v="0"/>
    <n v="0"/>
    <x v="0"/>
  </r>
  <r>
    <s v="M"/>
    <x v="0"/>
    <n v="75.8"/>
    <n v="1.9"/>
    <n v="21"/>
    <n v="20.997229916897506"/>
    <n v="0"/>
    <x v="0"/>
    <n v="104"/>
    <s v="138/81"/>
    <n v="138"/>
    <n v="81"/>
    <n v="239"/>
    <x v="0"/>
    <n v="47"/>
    <n v="116"/>
    <x v="1"/>
    <x v="0"/>
    <x v="0"/>
    <s v="Y"/>
    <x v="4"/>
    <n v="190"/>
    <n v="0.54700000000000004"/>
    <x v="1"/>
    <n v="138"/>
    <n v="81"/>
    <x v="1"/>
    <n v="162"/>
    <n v="3.45"/>
    <x v="0"/>
    <n v="17.88"/>
    <x v="1"/>
    <x v="0"/>
    <x v="1"/>
    <n v="1"/>
    <x v="0"/>
  </r>
  <r>
    <s v="F"/>
    <x v="2"/>
    <n v="76.3"/>
    <n v="1.63"/>
    <n v="28.7"/>
    <n v="28.717678497497083"/>
    <n v="0"/>
    <x v="2"/>
    <n v="71.400000000000006"/>
    <s v="91/80"/>
    <n v="91"/>
    <n v="80"/>
    <n v="183"/>
    <x v="0"/>
    <n v="50"/>
    <n v="84"/>
    <x v="1"/>
    <x v="1"/>
    <x v="2"/>
    <s v="Y"/>
    <x v="0"/>
    <n v="163"/>
    <n v="0.438"/>
    <x v="2"/>
    <n v="91"/>
    <n v="80"/>
    <x v="1"/>
    <n v="103"/>
    <n v="2.06"/>
    <x v="0"/>
    <n v="13.95"/>
    <x v="1"/>
    <x v="0"/>
    <x v="1"/>
    <n v="1"/>
    <x v="0"/>
  </r>
  <r>
    <s v="M"/>
    <x v="13"/>
    <n v="55"/>
    <n v="1.73"/>
    <m/>
    <n v="18.376825152861773"/>
    <n v="1"/>
    <x v="3"/>
    <n v="78.8"/>
    <s v="140/88"/>
    <n v="140"/>
    <n v="88"/>
    <n v="174"/>
    <x v="1"/>
    <n v="56"/>
    <n v="95"/>
    <x v="1"/>
    <x v="1"/>
    <x v="0"/>
    <s v="Y"/>
    <x v="1"/>
    <n v="173"/>
    <n v="0.45500000000000002"/>
    <x v="2"/>
    <n v="140"/>
    <n v="88"/>
    <x v="1"/>
    <n v="88"/>
    <n v="1.57"/>
    <x v="0"/>
    <n v="14.16"/>
    <x v="0"/>
    <x v="0"/>
    <x v="0"/>
    <n v="0"/>
    <x v="0"/>
  </r>
  <r>
    <s v="F"/>
    <x v="24"/>
    <n v="59.6"/>
    <n v="1.78"/>
    <n v="18.8"/>
    <n v="18.810756217649285"/>
    <n v="0"/>
    <x v="0"/>
    <n v="70.3"/>
    <s v="128/94"/>
    <n v="128"/>
    <n v="94"/>
    <m/>
    <x v="2"/>
    <n v="34"/>
    <n v="84"/>
    <x v="1"/>
    <x v="0"/>
    <x v="1"/>
    <s v="N"/>
    <x v="0"/>
    <n v="178"/>
    <n v="0.39500000000000002"/>
    <x v="2"/>
    <n v="128"/>
    <n v="94"/>
    <x v="3"/>
    <n v="172"/>
    <n v="5.0599999999999996"/>
    <x v="0"/>
    <n v="16.88"/>
    <x v="1"/>
    <x v="0"/>
    <x v="1"/>
    <n v="1"/>
    <x v="0"/>
  </r>
  <r>
    <s v="F"/>
    <x v="19"/>
    <n v="94.7"/>
    <n v="1.7"/>
    <n v="32.799999999999997"/>
    <n v="32.768166089965405"/>
    <n v="0"/>
    <x v="1"/>
    <n v="90.1"/>
    <s v="115/60"/>
    <n v="115"/>
    <n v="60"/>
    <n v="105"/>
    <x v="2"/>
    <n v="31"/>
    <n v="79"/>
    <x v="1"/>
    <x v="0"/>
    <x v="0"/>
    <s v="N"/>
    <x v="1"/>
    <n v="170"/>
    <n v="0.53"/>
    <x v="1"/>
    <n v="115"/>
    <n v="60"/>
    <x v="2"/>
    <n v="44"/>
    <n v="1.42"/>
    <x v="0"/>
    <n v="16.41"/>
    <x v="1"/>
    <x v="0"/>
    <x v="1"/>
    <n v="1"/>
    <x v="0"/>
  </r>
  <r>
    <s v="M"/>
    <x v="28"/>
    <n v="105.5"/>
    <n v="1.88"/>
    <n v="29.8"/>
    <n v="29.849479402444548"/>
    <n v="0"/>
    <x v="2"/>
    <n v="90.4"/>
    <s v="102/82"/>
    <n v="102"/>
    <n v="82"/>
    <n v="241"/>
    <x v="0"/>
    <n v="67"/>
    <n v="134"/>
    <x v="1"/>
    <x v="1"/>
    <x v="0"/>
    <s v="N"/>
    <x v="0"/>
    <n v="188"/>
    <n v="0.48099999999999998"/>
    <x v="0"/>
    <n v="102"/>
    <n v="82"/>
    <x v="1"/>
    <n v="144"/>
    <n v="2.15"/>
    <x v="0"/>
    <n v="15.88"/>
    <x v="1"/>
    <x v="1"/>
    <x v="1"/>
    <n v="1"/>
    <x v="0"/>
  </r>
  <r>
    <s v="M"/>
    <x v="1"/>
    <n v="84.6"/>
    <n v="1.77"/>
    <n v="27"/>
    <n v="27.003734559034758"/>
    <n v="0"/>
    <x v="2"/>
    <n v="79.599999999999994"/>
    <s v="101/96"/>
    <n v="101"/>
    <n v="96"/>
    <n v="273"/>
    <x v="0"/>
    <n v="33"/>
    <n v="100"/>
    <x v="1"/>
    <x v="1"/>
    <x v="1"/>
    <s v="N"/>
    <x v="2"/>
    <n v="177"/>
    <n v="0.45"/>
    <x v="2"/>
    <n v="101"/>
    <n v="96"/>
    <x v="3"/>
    <n v="210"/>
    <n v="6.36"/>
    <x v="0"/>
    <n v="15.91"/>
    <x v="1"/>
    <x v="0"/>
    <x v="1"/>
    <n v="1"/>
    <x v="0"/>
  </r>
  <r>
    <s v="F"/>
    <x v="19"/>
    <n v="105.5"/>
    <n v="1.77"/>
    <n v="33.700000000000003"/>
    <n v="33.674869928819938"/>
    <n v="0"/>
    <x v="1"/>
    <n v="77.900000000000006"/>
    <s v="142/67"/>
    <n v="142"/>
    <n v="67"/>
    <n v="134"/>
    <x v="2"/>
    <n v="63"/>
    <n v="85"/>
    <x v="0"/>
    <x v="1"/>
    <x v="1"/>
    <s v="Y"/>
    <x v="2"/>
    <n v="177"/>
    <n v="0.44"/>
    <x v="2"/>
    <n v="142"/>
    <n v="67"/>
    <x v="3"/>
    <n v="41"/>
    <n v="0.65"/>
    <x v="0"/>
    <n v="16.52"/>
    <x v="0"/>
    <x v="0"/>
    <x v="0"/>
    <n v="0"/>
    <x v="0"/>
  </r>
  <r>
    <s v="M"/>
    <x v="24"/>
    <n v="83.6"/>
    <n v="1.88"/>
    <n v="23.7"/>
    <n v="23.65323675871435"/>
    <n v="0"/>
    <x v="0"/>
    <n v="91"/>
    <s v="106/92"/>
    <n v="106"/>
    <n v="92"/>
    <n v="245"/>
    <x v="0"/>
    <n v="38"/>
    <n v="138"/>
    <x v="1"/>
    <x v="0"/>
    <x v="0"/>
    <s v="Y"/>
    <x v="4"/>
    <n v="188"/>
    <n v="0.48399999999999999"/>
    <x v="0"/>
    <n v="106"/>
    <n v="92"/>
    <x v="3"/>
    <n v="177"/>
    <n v="4.66"/>
    <x v="0"/>
    <n v="16.940000000000001"/>
    <x v="1"/>
    <x v="0"/>
    <x v="1"/>
    <n v="1"/>
    <x v="0"/>
  </r>
  <r>
    <s v="F"/>
    <x v="19"/>
    <n v="119.5"/>
    <n v="1.61"/>
    <n v="46.1"/>
    <n v="46.101616449982636"/>
    <n v="0"/>
    <x v="1"/>
    <n v="82.7"/>
    <s v="145/93"/>
    <n v="145"/>
    <n v="93"/>
    <n v="252"/>
    <x v="0"/>
    <n v="58"/>
    <n v="93"/>
    <x v="0"/>
    <x v="0"/>
    <x v="1"/>
    <s v="N"/>
    <x v="2"/>
    <n v="161"/>
    <n v="0.51400000000000001"/>
    <x v="0"/>
    <n v="145"/>
    <n v="93"/>
    <x v="3"/>
    <n v="164"/>
    <n v="2.83"/>
    <x v="0"/>
    <n v="23.51"/>
    <x v="0"/>
    <x v="0"/>
    <x v="0"/>
    <n v="0"/>
    <x v="0"/>
  </r>
  <r>
    <s v="M"/>
    <x v="11"/>
    <n v="56.4"/>
    <n v="1.85"/>
    <n v="16.5"/>
    <n v="16.479181884587287"/>
    <n v="0"/>
    <x v="3"/>
    <n v="84.2"/>
    <s v="144/85"/>
    <n v="144"/>
    <n v="85"/>
    <n v="155"/>
    <x v="1"/>
    <n v="53"/>
    <n v="104"/>
    <x v="0"/>
    <x v="1"/>
    <x v="2"/>
    <s v="Y"/>
    <x v="2"/>
    <n v="185"/>
    <n v="0.45500000000000002"/>
    <x v="2"/>
    <n v="144"/>
    <n v="85"/>
    <x v="1"/>
    <n v="72"/>
    <n v="1.36"/>
    <x v="0"/>
    <n v="13.6"/>
    <x v="2"/>
    <x v="0"/>
    <x v="0"/>
    <n v="0"/>
    <x v="0"/>
  </r>
  <r>
    <s v="F"/>
    <x v="9"/>
    <n v="97"/>
    <n v="1.87"/>
    <n v="27.7"/>
    <n v="27.738854413909458"/>
    <n v="0"/>
    <x v="2"/>
    <n v="97.4"/>
    <s v="143/100"/>
    <n v="143"/>
    <n v="100"/>
    <n v="147"/>
    <x v="2"/>
    <n v="73"/>
    <n v="92"/>
    <x v="0"/>
    <x v="0"/>
    <x v="0"/>
    <s v="N"/>
    <x v="0"/>
    <n v="187"/>
    <n v="0.52100000000000002"/>
    <x v="0"/>
    <m/>
    <n v="100"/>
    <x v="3"/>
    <n v="44"/>
    <n v="0.6"/>
    <x v="0"/>
    <n v="17.63"/>
    <x v="0"/>
    <x v="0"/>
    <x v="0"/>
    <n v="0"/>
    <x v="0"/>
  </r>
  <r>
    <s v="M"/>
    <x v="27"/>
    <n v="74.7"/>
    <n v="1.66"/>
    <n v="27.1"/>
    <n v="27.108433734939762"/>
    <n v="0"/>
    <x v="2"/>
    <n v="71.900000000000006"/>
    <s v="92/60"/>
    <n v="92"/>
    <n v="60"/>
    <n v="119"/>
    <x v="2"/>
    <n v="46"/>
    <n v="104"/>
    <x v="0"/>
    <x v="0"/>
    <x v="1"/>
    <s v="Y"/>
    <x v="0"/>
    <n v="166"/>
    <n v="0.433"/>
    <x v="2"/>
    <n v="92"/>
    <n v="60"/>
    <x v="2"/>
    <n v="43"/>
    <n v="0.93"/>
    <x v="0"/>
    <n v="14.4"/>
    <x v="1"/>
    <x v="0"/>
    <x v="1"/>
    <n v="1"/>
    <x v="0"/>
  </r>
  <r>
    <s v="F"/>
    <x v="13"/>
    <n v="85.3"/>
    <n v="1.65"/>
    <n v="31.3"/>
    <n v="31.331496786042244"/>
    <n v="0"/>
    <x v="1"/>
    <n v="80.8"/>
    <s v="104/85"/>
    <n v="104"/>
    <n v="85"/>
    <n v="233"/>
    <x v="0"/>
    <n v="55"/>
    <n v="137"/>
    <x v="1"/>
    <x v="0"/>
    <x v="2"/>
    <s v="Y"/>
    <x v="1"/>
    <n v="165"/>
    <n v="0.49"/>
    <x v="0"/>
    <n v="104"/>
    <n v="85"/>
    <x v="1"/>
    <n v="148"/>
    <n v="2.69"/>
    <x v="0"/>
    <n v="18.12"/>
    <x v="1"/>
    <x v="0"/>
    <x v="1"/>
    <n v="1"/>
    <x v="0"/>
  </r>
  <r>
    <s v="M"/>
    <x v="14"/>
    <m/>
    <n v="1.71"/>
    <n v="31.2"/>
    <n v="0"/>
    <n v="1"/>
    <x v="1"/>
    <n v="88.1"/>
    <s v="140/66"/>
    <n v="140"/>
    <n v="66"/>
    <n v="218"/>
    <x v="0"/>
    <m/>
    <n v="137"/>
    <x v="1"/>
    <x v="1"/>
    <x v="2"/>
    <s v="Y"/>
    <x v="0"/>
    <n v="171"/>
    <n v="0.51500000000000001"/>
    <x v="0"/>
    <n v="140"/>
    <n v="66"/>
    <x v="3"/>
    <n v="138"/>
    <s v=""/>
    <x v="0"/>
    <n v="17.600000000000001"/>
    <x v="1"/>
    <x v="0"/>
    <x v="1"/>
    <n v="1"/>
    <x v="0"/>
  </r>
  <r>
    <s v="F"/>
    <x v="31"/>
    <n v="109.4"/>
    <n v="1.83"/>
    <n v="32.700000000000003"/>
    <n v="32.667443040998535"/>
    <n v="0"/>
    <x v="1"/>
    <n v="88.5"/>
    <s v="127/84"/>
    <n v="127"/>
    <n v="84"/>
    <n v="150"/>
    <x v="1"/>
    <n v="46"/>
    <n v="78"/>
    <x v="1"/>
    <x v="0"/>
    <x v="2"/>
    <s v="Y"/>
    <x v="1"/>
    <n v="183"/>
    <n v="0.48399999999999999"/>
    <x v="0"/>
    <n v="127"/>
    <n v="84"/>
    <x v="1"/>
    <n v="74"/>
    <n v="1.61"/>
    <x v="0"/>
    <n v="17.89"/>
    <x v="1"/>
    <x v="0"/>
    <x v="1"/>
    <n v="1"/>
    <x v="1"/>
  </r>
  <r>
    <s v="M"/>
    <x v="2"/>
    <n v="98.7"/>
    <n v="1.63"/>
    <n v="37.1"/>
    <n v="37.148556588505407"/>
    <n v="0"/>
    <x v="1"/>
    <n v="89.7"/>
    <s v="139/93"/>
    <n v="139"/>
    <n v="93"/>
    <n v="158"/>
    <x v="1"/>
    <n v="64"/>
    <n v="131"/>
    <x v="1"/>
    <x v="0"/>
    <x v="2"/>
    <s v="Y"/>
    <x v="1"/>
    <n v="163"/>
    <n v="0.55000000000000004"/>
    <x v="1"/>
    <n v="139"/>
    <n v="93"/>
    <x v="1"/>
    <n v="64"/>
    <n v="1"/>
    <x v="0"/>
    <n v="19.53"/>
    <x v="1"/>
    <x v="1"/>
    <x v="1"/>
    <n v="1"/>
    <x v="0"/>
  </r>
  <r>
    <s v="F"/>
    <x v="12"/>
    <n v="116.3"/>
    <n v="1.72"/>
    <n v="39.299999999999997"/>
    <n v="39.311790156841539"/>
    <n v="0"/>
    <x v="1"/>
    <n v="91.8"/>
    <s v="148/100"/>
    <n v="148"/>
    <n v="100"/>
    <n v="143"/>
    <x v="2"/>
    <n v="31"/>
    <n v="101"/>
    <x v="1"/>
    <x v="0"/>
    <x v="0"/>
    <s v="Y"/>
    <x v="4"/>
    <n v="172"/>
    <n v="0.53400000000000003"/>
    <x v="1"/>
    <n v="148"/>
    <n v="100"/>
    <x v="3"/>
    <n v="82"/>
    <n v="2.65"/>
    <x v="0"/>
    <n v="20.12"/>
    <x v="1"/>
    <x v="0"/>
    <x v="1"/>
    <n v="1"/>
    <x v="0"/>
  </r>
  <r>
    <s v="F"/>
    <x v="21"/>
    <n v="89.7"/>
    <n v="1.7"/>
    <n v="31"/>
    <n v="31.03806228373703"/>
    <n v="0"/>
    <x v="1"/>
    <n v="83.5"/>
    <s v="146/91"/>
    <n v="146"/>
    <n v="91"/>
    <n v="217"/>
    <x v="0"/>
    <n v="66"/>
    <n v="132"/>
    <x v="0"/>
    <x v="0"/>
    <x v="1"/>
    <s v="Y"/>
    <x v="0"/>
    <n v="170"/>
    <n v="0.49099999999999999"/>
    <x v="0"/>
    <n v="146"/>
    <n v="91"/>
    <x v="3"/>
    <n v="121"/>
    <n v="1.83"/>
    <x v="0"/>
    <n v="19.84"/>
    <x v="1"/>
    <x v="1"/>
    <x v="1"/>
    <n v="1"/>
    <x v="0"/>
  </r>
  <r>
    <s v="M"/>
    <x v="8"/>
    <n v="95.7"/>
    <n v="1.61"/>
    <n v="36.9"/>
    <n v="36.919871918521658"/>
    <n v="0"/>
    <x v="1"/>
    <n v="98.4"/>
    <s v="114/63"/>
    <n v="114"/>
    <n v="63"/>
    <n v="114"/>
    <x v="2"/>
    <n v="47"/>
    <m/>
    <x v="0"/>
    <x v="1"/>
    <x v="2"/>
    <s v="Y"/>
    <x v="2"/>
    <n v="161"/>
    <n v="0.61099999999999999"/>
    <x v="3"/>
    <n v="114"/>
    <n v="63"/>
    <x v="2"/>
    <n v="37"/>
    <n v="0.79"/>
    <x v="0"/>
    <n v="15.36"/>
    <x v="0"/>
    <x v="0"/>
    <x v="0"/>
    <n v="0"/>
    <x v="0"/>
  </r>
  <r>
    <s v="M"/>
    <x v="11"/>
    <n v="59.8"/>
    <n v="1.78"/>
    <n v="18.899999999999999"/>
    <n v="18.873879560661532"/>
    <n v="0"/>
    <x v="0"/>
    <n v="77.3"/>
    <s v="107/75"/>
    <n v="107"/>
    <n v="75"/>
    <n v="147"/>
    <x v="2"/>
    <n v="78"/>
    <n v="123"/>
    <x v="1"/>
    <x v="1"/>
    <x v="1"/>
    <s v="Y"/>
    <x v="0"/>
    <n v="178"/>
    <n v="0.434"/>
    <x v="2"/>
    <n v="107"/>
    <n v="75"/>
    <x v="2"/>
    <n v="39"/>
    <n v="0.5"/>
    <x v="0"/>
    <n v="12.07"/>
    <x v="0"/>
    <x v="0"/>
    <x v="0"/>
    <n v="0"/>
    <x v="0"/>
  </r>
  <r>
    <s v="M"/>
    <x v="8"/>
    <n v="59.5"/>
    <n v="1.82"/>
    <n v="18"/>
    <n v="17.962806424344883"/>
    <n v="0"/>
    <x v="3"/>
    <n v="89.6"/>
    <s v="119/70"/>
    <n v="119"/>
    <n v="70"/>
    <n v="136"/>
    <x v="2"/>
    <n v="68"/>
    <n v="148"/>
    <x v="0"/>
    <x v="1"/>
    <x v="1"/>
    <s v="N"/>
    <x v="3"/>
    <n v="182"/>
    <n v="0.49199999999999999"/>
    <x v="0"/>
    <n v="119"/>
    <n v="70"/>
    <x v="2"/>
    <n v="38"/>
    <n v="0.56000000000000005"/>
    <x v="0"/>
    <n v="12.27"/>
    <x v="2"/>
    <x v="0"/>
    <x v="0"/>
    <n v="0"/>
    <x v="0"/>
  </r>
  <r>
    <s v="F"/>
    <x v="15"/>
    <m/>
    <n v="1.71"/>
    <n v="17.8"/>
    <n v="0"/>
    <n v="1"/>
    <x v="3"/>
    <n v="103.4"/>
    <s v="106/88"/>
    <n v="106"/>
    <n v="88"/>
    <n v="215"/>
    <x v="0"/>
    <n v="43"/>
    <n v="110"/>
    <x v="0"/>
    <x v="1"/>
    <x v="0"/>
    <s v="N"/>
    <x v="2"/>
    <n v="171"/>
    <n v="0.60499999999999998"/>
    <x v="3"/>
    <n v="106"/>
    <n v="88"/>
    <x v="1"/>
    <m/>
    <n v="0"/>
    <x v="0"/>
    <n v="13.16"/>
    <x v="0"/>
    <x v="0"/>
    <x v="0"/>
    <n v="0"/>
    <x v="0"/>
  </r>
  <r>
    <s v="M"/>
    <x v="15"/>
    <m/>
    <n v="1.78"/>
    <n v="29"/>
    <n v="0"/>
    <n v="1"/>
    <x v="2"/>
    <n v="79.8"/>
    <s v="116/70"/>
    <n v="116"/>
    <n v="70"/>
    <n v="146"/>
    <x v="2"/>
    <n v="64"/>
    <n v="71"/>
    <x v="0"/>
    <x v="0"/>
    <x v="0"/>
    <s v="Y"/>
    <x v="1"/>
    <n v="178"/>
    <n v="0.44800000000000001"/>
    <x v="2"/>
    <n v="116"/>
    <n v="70"/>
    <x v="2"/>
    <n v="52"/>
    <n v="0.81"/>
    <x v="0"/>
    <n v="16.52"/>
    <x v="1"/>
    <x v="1"/>
    <x v="1"/>
    <n v="1"/>
    <x v="0"/>
  </r>
  <r>
    <s v="F"/>
    <x v="23"/>
    <n v="104.2"/>
    <n v="1.64"/>
    <n v="38.700000000000003"/>
    <n v="38.741820345032728"/>
    <n v="0"/>
    <x v="1"/>
    <n v="82.9"/>
    <s v="118/97"/>
    <n v="118"/>
    <n v="97"/>
    <n v="134"/>
    <x v="2"/>
    <m/>
    <n v="91"/>
    <x v="0"/>
    <x v="1"/>
    <x v="1"/>
    <s v="Y"/>
    <x v="2"/>
    <n v="164"/>
    <n v="0.505"/>
    <x v="0"/>
    <n v="118"/>
    <n v="97"/>
    <x v="3"/>
    <n v="74"/>
    <s v=""/>
    <x v="0"/>
    <n v="16.32"/>
    <x v="1"/>
    <x v="0"/>
    <x v="1"/>
    <n v="1"/>
    <x v="0"/>
  </r>
  <r>
    <s v="M"/>
    <x v="8"/>
    <n v="76.8"/>
    <n v="1.64"/>
    <n v="28.6"/>
    <n v="28.554431885782275"/>
    <n v="0"/>
    <x v="2"/>
    <n v="90.2"/>
    <s v="128/66"/>
    <n v="128"/>
    <n v="66"/>
    <n v="168"/>
    <x v="1"/>
    <n v="80"/>
    <n v="117"/>
    <x v="1"/>
    <x v="1"/>
    <x v="1"/>
    <s v="N"/>
    <x v="2"/>
    <n v="164"/>
    <n v="0.55000000000000004"/>
    <x v="1"/>
    <n v="128"/>
    <n v="66"/>
    <x v="0"/>
    <n v="58"/>
    <n v="0.73"/>
    <x v="0"/>
    <n v="15.48"/>
    <x v="0"/>
    <x v="0"/>
    <x v="0"/>
    <n v="0"/>
    <x v="0"/>
  </r>
  <r>
    <s v="F"/>
    <x v="30"/>
    <n v="97.2"/>
    <n v="1.66"/>
    <n v="35.299999999999997"/>
    <n v="35.273624618957761"/>
    <n v="0"/>
    <x v="1"/>
    <n v="103.4"/>
    <s v="121/66"/>
    <n v="121"/>
    <n v="66"/>
    <n v="203"/>
    <x v="0"/>
    <n v="64"/>
    <n v="102"/>
    <x v="1"/>
    <x v="1"/>
    <x v="1"/>
    <s v="Y"/>
    <x v="0"/>
    <n v="166"/>
    <n v="0.623"/>
    <x v="3"/>
    <n v="121"/>
    <n v="66"/>
    <x v="0"/>
    <n v="109"/>
    <n v="1.7"/>
    <x v="0"/>
    <n v="17.170000000000002"/>
    <x v="1"/>
    <x v="1"/>
    <x v="1"/>
    <n v="1"/>
    <x v="0"/>
  </r>
  <r>
    <s v="F"/>
    <x v="5"/>
    <n v="74.7"/>
    <m/>
    <n v="27.4"/>
    <s v=""/>
    <s v=""/>
    <x v="2"/>
    <n v="93.3"/>
    <s v="113/89"/>
    <n v="113"/>
    <n v="89"/>
    <n v="111"/>
    <x v="2"/>
    <n v="36"/>
    <n v="99"/>
    <x v="1"/>
    <x v="1"/>
    <x v="2"/>
    <s v="Y"/>
    <x v="0"/>
    <n v="165"/>
    <n v="0.56499999999999995"/>
    <x v="1"/>
    <n v="113"/>
    <n v="89"/>
    <x v="1"/>
    <n v="45"/>
    <n v="1.25"/>
    <x v="0"/>
    <n v="13.35"/>
    <x v="1"/>
    <x v="0"/>
    <x v="1"/>
    <n v="1"/>
    <x v="0"/>
  </r>
  <r>
    <s v="M"/>
    <x v="6"/>
    <n v="116.7"/>
    <n v="1.87"/>
    <n v="33.4"/>
    <n v="33.372415568074572"/>
    <n v="0"/>
    <x v="1"/>
    <n v="107.6"/>
    <s v="131/69"/>
    <n v="131"/>
    <n v="69"/>
    <n v="215"/>
    <x v="0"/>
    <n v="33"/>
    <n v="70"/>
    <x v="0"/>
    <x v="0"/>
    <x v="2"/>
    <s v="N"/>
    <x v="2"/>
    <n v="187"/>
    <n v="0.57499999999999996"/>
    <x v="1"/>
    <n v="131"/>
    <n v="69"/>
    <x v="1"/>
    <n v="152"/>
    <n v="4.6100000000000003"/>
    <x v="0"/>
    <n v="19.53"/>
    <x v="1"/>
    <x v="0"/>
    <x v="1"/>
    <n v="1"/>
    <x v="0"/>
  </r>
  <r>
    <s v="F"/>
    <x v="4"/>
    <n v="59.3"/>
    <n v="1.75"/>
    <n v="19.399999999999999"/>
    <n v="19.363265306122447"/>
    <n v="0"/>
    <x v="0"/>
    <n v="104.4"/>
    <s v="119/63"/>
    <n v="119"/>
    <n v="63"/>
    <n v="275"/>
    <x v="0"/>
    <n v="47"/>
    <n v="95"/>
    <x v="1"/>
    <x v="0"/>
    <x v="1"/>
    <s v="Y"/>
    <x v="1"/>
    <n v="175"/>
    <n v="0.59699999999999998"/>
    <x v="3"/>
    <n v="119"/>
    <n v="63"/>
    <x v="2"/>
    <n v="198"/>
    <n v="4.21"/>
    <x v="1"/>
    <n v="17.329999999999998"/>
    <x v="1"/>
    <x v="0"/>
    <x v="1"/>
    <n v="1"/>
    <x v="0"/>
  </r>
  <r>
    <s v="M"/>
    <x v="17"/>
    <n v="68.7"/>
    <n v="1.64"/>
    <n v="25.5"/>
    <n v="25.542831647828677"/>
    <n v="0"/>
    <x v="2"/>
    <n v="75.5"/>
    <s v="116/72"/>
    <n v="116"/>
    <n v="72"/>
    <n v="164"/>
    <x v="1"/>
    <n v="44"/>
    <m/>
    <x v="0"/>
    <x v="0"/>
    <x v="0"/>
    <s v="N"/>
    <x v="0"/>
    <n v="164"/>
    <n v="0.46"/>
    <x v="2"/>
    <n v="116"/>
    <n v="72"/>
    <x v="2"/>
    <n v="90"/>
    <n v="2.0499999999999998"/>
    <x v="0"/>
    <n v="16.18"/>
    <x v="1"/>
    <x v="0"/>
    <x v="1"/>
    <n v="1"/>
    <x v="0"/>
  </r>
  <r>
    <s v="F"/>
    <x v="18"/>
    <n v="116.4"/>
    <n v="1.64"/>
    <n v="43.3"/>
    <n v="43.277810826888768"/>
    <n v="0"/>
    <x v="1"/>
    <n v="109.4"/>
    <s v="124/65"/>
    <n v="124"/>
    <n v="65"/>
    <n v="198"/>
    <x v="0"/>
    <n v="39"/>
    <n v="148"/>
    <x v="1"/>
    <x v="0"/>
    <x v="1"/>
    <s v="Y"/>
    <x v="1"/>
    <n v="164"/>
    <n v="0.66700000000000004"/>
    <x v="3"/>
    <n v="124"/>
    <m/>
    <x v="0"/>
    <n v="129"/>
    <n v="3.31"/>
    <x v="0"/>
    <n v="20.82"/>
    <x v="1"/>
    <x v="0"/>
    <x v="1"/>
    <n v="1"/>
    <x v="0"/>
  </r>
  <r>
    <s v="M"/>
    <x v="27"/>
    <n v="119.1"/>
    <n v="1.66"/>
    <n v="43.2"/>
    <n v="43.221077079401944"/>
    <n v="0"/>
    <x v="1"/>
    <m/>
    <s v="101/65"/>
    <n v="101"/>
    <n v="65"/>
    <n v="247"/>
    <x v="0"/>
    <n v="67"/>
    <n v="100"/>
    <x v="1"/>
    <x v="0"/>
    <x v="2"/>
    <s v="Y"/>
    <x v="1"/>
    <m/>
    <n v="0.495"/>
    <x v="0"/>
    <n v="101"/>
    <n v="65"/>
    <x v="2"/>
    <n v="150"/>
    <n v="2.2400000000000002"/>
    <x v="1"/>
    <n v="20.63"/>
    <x v="1"/>
    <x v="1"/>
    <x v="1"/>
    <n v="1"/>
    <x v="0"/>
  </r>
  <r>
    <s v="M"/>
    <x v="13"/>
    <n v="86"/>
    <n v="1.71"/>
    <n v="29.4"/>
    <n v="29.410758865975858"/>
    <n v="0"/>
    <x v="2"/>
    <n v="88.4"/>
    <s v="115/90"/>
    <n v="115"/>
    <n v="90"/>
    <n v="209"/>
    <x v="0"/>
    <n v="38"/>
    <n v="148"/>
    <x v="0"/>
    <x v="1"/>
    <x v="2"/>
    <s v="Y"/>
    <x v="2"/>
    <n v="171"/>
    <m/>
    <x v="4"/>
    <n v="115"/>
    <n v="90"/>
    <x v="3"/>
    <n v="141"/>
    <n v="3.71"/>
    <x v="0"/>
    <n v="15.81"/>
    <x v="1"/>
    <x v="0"/>
    <x v="1"/>
    <n v="1"/>
    <x v="0"/>
  </r>
  <r>
    <s v="M"/>
    <x v="6"/>
    <n v="78.099999999999994"/>
    <n v="1.85"/>
    <n v="22.8"/>
    <n v="22.819576333089842"/>
    <n v="0"/>
    <x v="0"/>
    <n v="74.2"/>
    <s v="100/76"/>
    <n v="100"/>
    <n v="76"/>
    <n v="118"/>
    <x v="2"/>
    <n v="70"/>
    <n v="72"/>
    <x v="0"/>
    <x v="0"/>
    <x v="2"/>
    <s v="N"/>
    <x v="2"/>
    <m/>
    <n v="0.40100000000000002"/>
    <x v="2"/>
    <n v="100"/>
    <n v="76"/>
    <x v="2"/>
    <n v="18"/>
    <n v="0.26"/>
    <x v="0"/>
    <n v="13.92"/>
    <x v="2"/>
    <x v="0"/>
    <x v="0"/>
    <n v="0"/>
    <x v="0"/>
  </r>
  <r>
    <s v="M"/>
    <x v="20"/>
    <m/>
    <n v="1.72"/>
    <n v="36.299999999999997"/>
    <n v="0"/>
    <n v="1"/>
    <x v="1"/>
    <m/>
    <s v="113/79"/>
    <n v="113"/>
    <n v="79"/>
    <n v="104"/>
    <x v="2"/>
    <n v="33"/>
    <n v="126"/>
    <x v="0"/>
    <x v="1"/>
    <x v="0"/>
    <s v="N"/>
    <x v="2"/>
    <n v="172"/>
    <n v="0.54800000000000004"/>
    <x v="1"/>
    <n v="113"/>
    <n v="79"/>
    <x v="2"/>
    <n v="41"/>
    <n v="1.24"/>
    <x v="0"/>
    <n v="14.99"/>
    <x v="0"/>
    <x v="0"/>
    <x v="0"/>
    <n v="0"/>
    <x v="0"/>
  </r>
  <r>
    <s v="F"/>
    <x v="21"/>
    <n v="70.2"/>
    <n v="1.8"/>
    <m/>
    <n v="21.666666666666668"/>
    <n v="1"/>
    <x v="3"/>
    <n v="93.4"/>
    <s v="134/85"/>
    <n v="134"/>
    <n v="85"/>
    <n v="208"/>
    <x v="0"/>
    <n v="32"/>
    <n v="148"/>
    <x v="1"/>
    <x v="1"/>
    <x v="0"/>
    <s v="N"/>
    <x v="0"/>
    <n v="180"/>
    <n v="0.51900000000000002"/>
    <x v="0"/>
    <n v="134"/>
    <n v="85"/>
    <x v="1"/>
    <m/>
    <n v="0"/>
    <x v="0"/>
    <n v="15.2"/>
    <x v="1"/>
    <x v="0"/>
    <x v="1"/>
    <n v="1"/>
    <x v="0"/>
  </r>
  <r>
    <s v="F"/>
    <x v="6"/>
    <n v="83.2"/>
    <n v="1.71"/>
    <n v="28.5"/>
    <n v="28.453199274990599"/>
    <n v="0"/>
    <x v="2"/>
    <n v="94.4"/>
    <s v="106/94"/>
    <n v="106"/>
    <n v="94"/>
    <n v="223"/>
    <x v="0"/>
    <n v="48"/>
    <n v="70"/>
    <x v="1"/>
    <x v="0"/>
    <x v="0"/>
    <s v="Y"/>
    <x v="4"/>
    <n v="171"/>
    <n v="0.55200000000000005"/>
    <x v="1"/>
    <n v="106"/>
    <n v="94"/>
    <x v="3"/>
    <n v="145"/>
    <n v="3.02"/>
    <x v="0"/>
    <n v="17.46"/>
    <x v="1"/>
    <x v="0"/>
    <x v="1"/>
    <n v="1"/>
    <x v="0"/>
  </r>
  <r>
    <s v="F"/>
    <x v="15"/>
    <n v="58.4"/>
    <n v="1.87"/>
    <n v="16.7"/>
    <n v="16.700506162601158"/>
    <n v="0"/>
    <x v="3"/>
    <n v="71.2"/>
    <s v="142/96"/>
    <n v="142"/>
    <n v="96"/>
    <n v="143"/>
    <x v="2"/>
    <m/>
    <n v="134"/>
    <x v="0"/>
    <x v="0"/>
    <x v="0"/>
    <s v="Y"/>
    <x v="1"/>
    <n v="187"/>
    <n v="0.38100000000000001"/>
    <x v="2"/>
    <m/>
    <n v="96"/>
    <x v="3"/>
    <n v="44"/>
    <s v=""/>
    <x v="0"/>
    <n v="15.3"/>
    <x v="0"/>
    <x v="0"/>
    <x v="0"/>
    <n v="0"/>
    <x v="0"/>
  </r>
  <r>
    <s v="F"/>
    <x v="28"/>
    <n v="89.7"/>
    <n v="1.88"/>
    <n v="25.4"/>
    <n v="25.379130828429155"/>
    <n v="0"/>
    <x v="2"/>
    <n v="107.5"/>
    <s v="145/92"/>
    <n v="145"/>
    <n v="92"/>
    <n v="142"/>
    <x v="2"/>
    <m/>
    <n v="96"/>
    <x v="1"/>
    <x v="0"/>
    <x v="0"/>
    <s v="Y"/>
    <x v="4"/>
    <n v="188"/>
    <n v="0.57199999999999995"/>
    <x v="1"/>
    <n v="145"/>
    <n v="92"/>
    <x v="3"/>
    <n v="42"/>
    <s v=""/>
    <x v="0"/>
    <n v="17.170000000000002"/>
    <x v="1"/>
    <x v="0"/>
    <x v="1"/>
    <n v="1"/>
    <x v="1"/>
  </r>
  <r>
    <s v="F"/>
    <x v="7"/>
    <n v="112.4"/>
    <n v="1.69"/>
    <n v="39.4"/>
    <n v="39.3543643429852"/>
    <n v="0"/>
    <x v="1"/>
    <n v="101.2"/>
    <s v="139/77"/>
    <n v="139"/>
    <n v="77"/>
    <n v="209"/>
    <x v="0"/>
    <n v="40"/>
    <n v="98"/>
    <x v="0"/>
    <x v="1"/>
    <x v="1"/>
    <s v="N"/>
    <x v="3"/>
    <n v="169"/>
    <n v="0.59899999999999998"/>
    <x v="3"/>
    <n v="139"/>
    <n v="77"/>
    <x v="1"/>
    <n v="139"/>
    <n v="3.48"/>
    <x v="0"/>
    <n v="19.010000000000002"/>
    <x v="0"/>
    <x v="0"/>
    <x v="0"/>
    <n v="0"/>
    <x v="0"/>
  </r>
  <r>
    <s v="M"/>
    <x v="27"/>
    <n v="56.5"/>
    <n v="1.83"/>
    <n v="16.899999999999999"/>
    <n v="16.871211442563226"/>
    <n v="0"/>
    <x v="3"/>
    <n v="86.9"/>
    <s v="118/95"/>
    <n v="118"/>
    <n v="95"/>
    <n v="262"/>
    <x v="0"/>
    <n v="35"/>
    <m/>
    <x v="0"/>
    <x v="0"/>
    <x v="2"/>
    <s v="N"/>
    <x v="2"/>
    <n v="183"/>
    <n v="0.47499999999999998"/>
    <x v="0"/>
    <n v="118"/>
    <n v="95"/>
    <x v="3"/>
    <n v="197"/>
    <n v="5.63"/>
    <x v="0"/>
    <n v="16.52"/>
    <x v="1"/>
    <x v="0"/>
    <x v="1"/>
    <n v="1"/>
    <x v="0"/>
  </r>
  <r>
    <s v="F"/>
    <x v="21"/>
    <n v="94.5"/>
    <n v="1.64"/>
    <n v="35.1"/>
    <n v="35.135336109458663"/>
    <n v="0"/>
    <x v="1"/>
    <n v="77.099999999999994"/>
    <s v="119/95"/>
    <n v="119"/>
    <n v="95"/>
    <n v="104"/>
    <x v="2"/>
    <n v="36"/>
    <n v="144"/>
    <x v="1"/>
    <x v="0"/>
    <x v="1"/>
    <s v="Y"/>
    <x v="1"/>
    <n v="164"/>
    <n v="0.47"/>
    <x v="0"/>
    <n v="119"/>
    <n v="95"/>
    <x v="3"/>
    <n v="38"/>
    <n v="1.06"/>
    <x v="0"/>
    <n v="17.05"/>
    <x v="1"/>
    <x v="0"/>
    <x v="1"/>
    <n v="1"/>
    <x v="0"/>
  </r>
  <r>
    <s v="M"/>
    <x v="5"/>
    <n v="86.2"/>
    <n v="1.86"/>
    <n v="24.9"/>
    <n v="24.916175280379232"/>
    <n v="0"/>
    <x v="2"/>
    <n v="88"/>
    <s v="139/98"/>
    <n v="139"/>
    <n v="98"/>
    <n v="219"/>
    <x v="0"/>
    <n v="65"/>
    <n v="104"/>
    <x v="1"/>
    <x v="1"/>
    <x v="0"/>
    <s v="N"/>
    <x v="0"/>
    <n v="186"/>
    <n v="0.47299999999999998"/>
    <x v="0"/>
    <n v="139"/>
    <n v="98"/>
    <x v="1"/>
    <n v="124"/>
    <n v="1.91"/>
    <x v="0"/>
    <n v="16.309999999999999"/>
    <x v="0"/>
    <x v="0"/>
    <x v="0"/>
    <n v="0"/>
    <x v="0"/>
  </r>
  <r>
    <s v="M"/>
    <x v="5"/>
    <n v="114"/>
    <n v="1.75"/>
    <n v="37.200000000000003"/>
    <n v="37.224489795918366"/>
    <n v="0"/>
    <x v="1"/>
    <n v="76.7"/>
    <s v="105/95"/>
    <n v="105"/>
    <n v="95"/>
    <n v="197"/>
    <x v="0"/>
    <n v="77"/>
    <n v="122"/>
    <x v="1"/>
    <x v="0"/>
    <x v="2"/>
    <s v="Y"/>
    <x v="1"/>
    <n v="175"/>
    <n v="0.438"/>
    <x v="2"/>
    <n v="105"/>
    <n v="95"/>
    <x v="3"/>
    <n v="90"/>
    <n v="1.17"/>
    <x v="0"/>
    <n v="18.63"/>
    <x v="1"/>
    <x v="1"/>
    <x v="1"/>
    <n v="1"/>
    <x v="0"/>
  </r>
  <r>
    <s v="M"/>
    <x v="9"/>
    <n v="105.4"/>
    <n v="1.88"/>
    <n v="29.8"/>
    <n v="29.821186057039387"/>
    <n v="0"/>
    <x v="2"/>
    <n v="108.1"/>
    <s v="125/88"/>
    <n v="125"/>
    <n v="88"/>
    <n v="195"/>
    <x v="0"/>
    <n v="69"/>
    <n v="141"/>
    <x v="0"/>
    <x v="0"/>
    <x v="2"/>
    <s v="N"/>
    <x v="2"/>
    <n v="188"/>
    <n v="0.57499999999999996"/>
    <x v="1"/>
    <n v="125"/>
    <n v="88"/>
    <x v="1"/>
    <n v="96"/>
    <n v="1.39"/>
    <x v="0"/>
    <n v="18.11"/>
    <x v="0"/>
    <x v="0"/>
    <x v="0"/>
    <n v="0"/>
    <x v="0"/>
  </r>
  <r>
    <s v="M"/>
    <x v="2"/>
    <n v="77.7"/>
    <n v="1.63"/>
    <n v="29.2"/>
    <n v="29.244608378185106"/>
    <n v="0"/>
    <x v="2"/>
    <n v="90.7"/>
    <s v="120/96"/>
    <n v="120"/>
    <n v="96"/>
    <n v="258"/>
    <x v="0"/>
    <n v="74"/>
    <n v="109"/>
    <x v="0"/>
    <x v="0"/>
    <x v="1"/>
    <s v="Y"/>
    <x v="0"/>
    <n v="163"/>
    <n v="0.55600000000000005"/>
    <x v="1"/>
    <n v="120"/>
    <n v="96"/>
    <x v="3"/>
    <n v="154"/>
    <n v="2.08"/>
    <x v="0"/>
    <n v="19"/>
    <x v="1"/>
    <x v="1"/>
    <x v="1"/>
    <n v="1"/>
    <x v="0"/>
  </r>
  <r>
    <s v="M"/>
    <x v="9"/>
    <n v="62.2"/>
    <n v="1.82"/>
    <n v="18.8"/>
    <n v="18.777925371331964"/>
    <n v="0"/>
    <x v="0"/>
    <n v="107.5"/>
    <s v="131/81"/>
    <n v="131"/>
    <n v="81"/>
    <n v="241"/>
    <x v="0"/>
    <n v="47"/>
    <n v="79"/>
    <x v="0"/>
    <x v="1"/>
    <x v="0"/>
    <s v="Y"/>
    <x v="0"/>
    <n v="182"/>
    <n v="0.59099999999999997"/>
    <x v="3"/>
    <n v="131"/>
    <n v="81"/>
    <x v="1"/>
    <n v="164"/>
    <n v="3.49"/>
    <x v="0"/>
    <n v="15.13"/>
    <x v="0"/>
    <x v="0"/>
    <x v="0"/>
    <n v="0"/>
    <x v="0"/>
  </r>
  <r>
    <s v="M"/>
    <x v="17"/>
    <n v="77.5"/>
    <n v="1.75"/>
    <n v="25.3"/>
    <n v="25.306122448979593"/>
    <n v="0"/>
    <x v="2"/>
    <n v="86.2"/>
    <s v="139/81"/>
    <n v="139"/>
    <n v="81"/>
    <n v="129"/>
    <x v="2"/>
    <n v="66"/>
    <n v="119"/>
    <x v="1"/>
    <x v="0"/>
    <x v="1"/>
    <s v="Y"/>
    <x v="1"/>
    <n v="175"/>
    <m/>
    <x v="4"/>
    <n v="139"/>
    <m/>
    <x v="1"/>
    <n v="33"/>
    <n v="0.5"/>
    <x v="0"/>
    <n v="16.59"/>
    <x v="1"/>
    <x v="1"/>
    <x v="1"/>
    <n v="1"/>
    <x v="0"/>
  </r>
  <r>
    <s v="F"/>
    <x v="23"/>
    <n v="58.1"/>
    <n v="1.71"/>
    <n v="19.899999999999999"/>
    <n v="19.869361512944156"/>
    <n v="0"/>
    <x v="0"/>
    <n v="98.9"/>
    <s v="98/83"/>
    <n v="98"/>
    <n v="83"/>
    <n v="226"/>
    <x v="0"/>
    <n v="64"/>
    <n v="99"/>
    <x v="1"/>
    <x v="1"/>
    <x v="1"/>
    <s v="N"/>
    <x v="2"/>
    <n v="171"/>
    <n v="0.57799999999999996"/>
    <x v="1"/>
    <n v="98"/>
    <n v="83"/>
    <x v="1"/>
    <n v="132"/>
    <n v="2.06"/>
    <x v="0"/>
    <n v="13.4"/>
    <x v="0"/>
    <x v="0"/>
    <x v="0"/>
    <n v="0"/>
    <x v="0"/>
  </r>
  <r>
    <s v="F"/>
    <x v="17"/>
    <n v="97.2"/>
    <n v="1.81"/>
    <n v="29.7"/>
    <n v="29.669424010256098"/>
    <n v="0"/>
    <x v="2"/>
    <n v="74.8"/>
    <s v="131/95"/>
    <n v="131"/>
    <n v="95"/>
    <n v="137"/>
    <x v="2"/>
    <n v="39"/>
    <n v="113"/>
    <x v="0"/>
    <x v="1"/>
    <x v="2"/>
    <s v="N"/>
    <x v="3"/>
    <n v="181"/>
    <n v="0.41299999999999998"/>
    <x v="2"/>
    <n v="131"/>
    <n v="95"/>
    <x v="1"/>
    <n v="68"/>
    <n v="1.74"/>
    <x v="0"/>
    <n v="15.23"/>
    <x v="0"/>
    <x v="0"/>
    <x v="0"/>
    <n v="0"/>
    <x v="0"/>
  </r>
  <r>
    <s v="F"/>
    <x v="5"/>
    <n v="63.2"/>
    <n v="1.65"/>
    <m/>
    <n v="23.21395775941231"/>
    <n v="1"/>
    <x v="3"/>
    <n v="98.2"/>
    <s v="131/67"/>
    <n v="131"/>
    <n v="67"/>
    <n v="286"/>
    <x v="0"/>
    <m/>
    <n v="128"/>
    <x v="0"/>
    <x v="1"/>
    <x v="0"/>
    <s v="Y"/>
    <x v="0"/>
    <n v="165"/>
    <n v="0.59499999999999997"/>
    <x v="3"/>
    <n v="131"/>
    <n v="67"/>
    <x v="1"/>
    <n v="212"/>
    <s v=""/>
    <x v="0"/>
    <n v="16.91"/>
    <x v="0"/>
    <x v="0"/>
    <x v="0"/>
    <n v="0"/>
    <x v="0"/>
  </r>
  <r>
    <s v="F"/>
    <x v="3"/>
    <n v="66"/>
    <n v="1.69"/>
    <n v="23.1"/>
    <n v="23.1084345786212"/>
    <n v="0"/>
    <x v="0"/>
    <n v="91.2"/>
    <s v="123/89"/>
    <n v="123"/>
    <n v="89"/>
    <n v="126"/>
    <x v="2"/>
    <n v="50"/>
    <n v="79"/>
    <x v="0"/>
    <x v="0"/>
    <x v="1"/>
    <s v="Y"/>
    <x v="0"/>
    <n v="169"/>
    <n v="0.54"/>
    <x v="1"/>
    <n v="123"/>
    <n v="89"/>
    <x v="1"/>
    <n v="46"/>
    <n v="0.92"/>
    <x v="0"/>
    <n v="15.29"/>
    <x v="0"/>
    <x v="0"/>
    <x v="0"/>
    <n v="0"/>
    <x v="0"/>
  </r>
  <r>
    <s v="M"/>
    <x v="20"/>
    <n v="117.2"/>
    <n v="1.87"/>
    <n v="33.5"/>
    <n v="33.515399353713285"/>
    <n v="0"/>
    <x v="1"/>
    <n v="102.7"/>
    <s v="147/77"/>
    <n v="147"/>
    <n v="77"/>
    <n v="143"/>
    <x v="2"/>
    <n v="74"/>
    <n v="86"/>
    <x v="0"/>
    <x v="0"/>
    <x v="1"/>
    <s v="Y"/>
    <x v="0"/>
    <n v="187"/>
    <n v="0.54900000000000004"/>
    <x v="1"/>
    <n v="147"/>
    <n v="77"/>
    <x v="3"/>
    <n v="39"/>
    <n v="0.53"/>
    <x v="0"/>
    <n v="18.91"/>
    <x v="0"/>
    <x v="0"/>
    <x v="0"/>
    <n v="0"/>
    <x v="0"/>
  </r>
  <r>
    <s v="M"/>
    <x v="15"/>
    <n v="52.8"/>
    <n v="1.64"/>
    <n v="19.600000000000001"/>
    <n v="19.631171921475314"/>
    <n v="0"/>
    <x v="0"/>
    <n v="74.2"/>
    <s v="139/78"/>
    <n v="139"/>
    <n v="78"/>
    <n v="225"/>
    <x v="0"/>
    <n v="76"/>
    <n v="86"/>
    <x v="0"/>
    <x v="1"/>
    <x v="0"/>
    <s v="Y"/>
    <x v="0"/>
    <n v="164"/>
    <n v="0.45200000000000001"/>
    <x v="2"/>
    <n v="139"/>
    <n v="78"/>
    <x v="1"/>
    <n v="119"/>
    <n v="1.57"/>
    <x v="0"/>
    <n v="15.37"/>
    <x v="0"/>
    <x v="0"/>
    <x v="0"/>
    <n v="0"/>
    <x v="0"/>
  </r>
  <r>
    <s v="F"/>
    <x v="9"/>
    <n v="104.3"/>
    <n v="1.86"/>
    <n v="30.1"/>
    <n v="30.147993987744243"/>
    <n v="0"/>
    <x v="1"/>
    <n v="84.3"/>
    <s v="125/61"/>
    <n v="125"/>
    <n v="61"/>
    <m/>
    <x v="2"/>
    <n v="64"/>
    <n v="119"/>
    <x v="0"/>
    <x v="1"/>
    <x v="2"/>
    <s v="Y"/>
    <x v="2"/>
    <n v="186"/>
    <n v="0.45300000000000001"/>
    <x v="2"/>
    <n v="125"/>
    <n v="61"/>
    <x v="0"/>
    <m/>
    <n v="0"/>
    <x v="0"/>
    <n v="17.71"/>
    <x v="0"/>
    <x v="0"/>
    <x v="0"/>
    <n v="0"/>
    <x v="0"/>
  </r>
  <r>
    <s v="F"/>
    <x v="6"/>
    <n v="100"/>
    <n v="1.75"/>
    <m/>
    <n v="32.653061224489797"/>
    <n v="1"/>
    <x v="3"/>
    <n v="91.6"/>
    <s v="131/100"/>
    <n v="131"/>
    <n v="100"/>
    <n v="128"/>
    <x v="2"/>
    <n v="36"/>
    <n v="131"/>
    <x v="0"/>
    <x v="0"/>
    <x v="2"/>
    <s v="Y"/>
    <x v="0"/>
    <n v="175"/>
    <m/>
    <x v="4"/>
    <n v="131"/>
    <n v="100"/>
    <x v="1"/>
    <n v="62"/>
    <n v="1.72"/>
    <x v="0"/>
    <n v="17.649999999999999"/>
    <x v="1"/>
    <x v="0"/>
    <x v="1"/>
    <n v="1"/>
    <x v="0"/>
  </r>
  <r>
    <s v="F"/>
    <x v="4"/>
    <n v="51.6"/>
    <n v="1.73"/>
    <n v="17.2"/>
    <n v="17.240803234321227"/>
    <n v="0"/>
    <x v="3"/>
    <n v="79.7"/>
    <s v="103/83"/>
    <n v="103"/>
    <n v="83"/>
    <n v="151"/>
    <x v="1"/>
    <n v="71"/>
    <n v="88"/>
    <x v="1"/>
    <x v="1"/>
    <x v="1"/>
    <s v="Y"/>
    <x v="0"/>
    <n v="173"/>
    <n v="0.46100000000000002"/>
    <x v="0"/>
    <n v="103"/>
    <n v="83"/>
    <x v="1"/>
    <n v="50"/>
    <n v="0.7"/>
    <x v="0"/>
    <n v="11.61"/>
    <x v="0"/>
    <x v="0"/>
    <x v="0"/>
    <n v="0"/>
    <x v="0"/>
  </r>
  <r>
    <s v="F"/>
    <x v="7"/>
    <n v="58.6"/>
    <n v="1.72"/>
    <n v="19.8"/>
    <n v="19.808004326663063"/>
    <n v="0"/>
    <x v="0"/>
    <n v="102"/>
    <s v="117/92"/>
    <n v="117"/>
    <n v="92"/>
    <n v="102"/>
    <x v="2"/>
    <n v="78"/>
    <n v="141"/>
    <x v="0"/>
    <x v="1"/>
    <x v="1"/>
    <s v="N"/>
    <x v="3"/>
    <m/>
    <n v="0.59299999999999997"/>
    <x v="3"/>
    <n v="117"/>
    <n v="92"/>
    <x v="3"/>
    <n v="-6"/>
    <n v="-0.08"/>
    <x v="0"/>
    <m/>
    <x v="2"/>
    <x v="0"/>
    <x v="0"/>
    <n v="0"/>
    <x v="0"/>
  </r>
  <r>
    <s v="M"/>
    <x v="2"/>
    <n v="117.8"/>
    <n v="1.8"/>
    <n v="36.4"/>
    <n v="36.358024691358018"/>
    <n v="0"/>
    <x v="1"/>
    <n v="95"/>
    <s v="130/75"/>
    <n v="130"/>
    <n v="75"/>
    <n v="298"/>
    <x v="0"/>
    <n v="41"/>
    <n v="149"/>
    <x v="0"/>
    <x v="0"/>
    <x v="0"/>
    <s v="Y"/>
    <x v="1"/>
    <n v="180"/>
    <n v="0.52800000000000002"/>
    <x v="1"/>
    <m/>
    <n v="75"/>
    <x v="1"/>
    <n v="227"/>
    <n v="5.54"/>
    <x v="0"/>
    <n v="21.74"/>
    <x v="1"/>
    <x v="0"/>
    <x v="1"/>
    <n v="1"/>
    <x v="0"/>
  </r>
  <r>
    <s v="F"/>
    <x v="25"/>
    <n v="110"/>
    <n v="1.89"/>
    <n v="30.8"/>
    <n v="30.794210688390585"/>
    <n v="0"/>
    <x v="1"/>
    <n v="97"/>
    <s v="97/79"/>
    <n v="97"/>
    <n v="79"/>
    <n v="264"/>
    <x v="0"/>
    <n v="44"/>
    <n v="108"/>
    <x v="0"/>
    <x v="0"/>
    <x v="2"/>
    <s v="Y"/>
    <x v="0"/>
    <n v="189"/>
    <n v="0.51300000000000001"/>
    <x v="0"/>
    <n v="97"/>
    <n v="79"/>
    <x v="2"/>
    <n v="190"/>
    <n v="4.32"/>
    <x v="1"/>
    <n v="18.29"/>
    <x v="1"/>
    <x v="0"/>
    <x v="1"/>
    <n v="1"/>
    <x v="0"/>
  </r>
  <r>
    <s v="F"/>
    <x v="13"/>
    <n v="66.8"/>
    <n v="1.71"/>
    <n v="22.8"/>
    <n v="22.844635956362644"/>
    <n v="0"/>
    <x v="0"/>
    <n v="87.7"/>
    <s v="120/100"/>
    <n v="120"/>
    <n v="100"/>
    <n v="235"/>
    <x v="0"/>
    <n v="58"/>
    <n v="85"/>
    <x v="0"/>
    <x v="0"/>
    <x v="0"/>
    <s v="Y"/>
    <x v="1"/>
    <n v="171"/>
    <n v="0.51300000000000001"/>
    <x v="0"/>
    <n v="120"/>
    <n v="100"/>
    <x v="3"/>
    <n v="147"/>
    <n v="2.5299999999999998"/>
    <x v="0"/>
    <n v="17.260000000000002"/>
    <x v="1"/>
    <x v="0"/>
    <x v="1"/>
    <n v="1"/>
    <x v="0"/>
  </r>
  <r>
    <s v="F"/>
    <x v="26"/>
    <n v="60.6"/>
    <n v="1.75"/>
    <n v="19.8"/>
    <n v="19.787755102040816"/>
    <n v="0"/>
    <x v="0"/>
    <n v="78.099999999999994"/>
    <s v="130/98"/>
    <n v="130"/>
    <n v="98"/>
    <n v="153"/>
    <x v="1"/>
    <n v="58"/>
    <n v="144"/>
    <x v="0"/>
    <x v="0"/>
    <x v="0"/>
    <s v="Y"/>
    <x v="1"/>
    <n v="175"/>
    <n v="0.44600000000000001"/>
    <x v="2"/>
    <n v="130"/>
    <n v="98"/>
    <x v="1"/>
    <n v="65"/>
    <n v="1.1200000000000001"/>
    <x v="0"/>
    <n v="15.52"/>
    <x v="1"/>
    <x v="0"/>
    <x v="1"/>
    <n v="1"/>
    <x v="1"/>
  </r>
  <r>
    <s v="M"/>
    <x v="4"/>
    <n v="109.5"/>
    <n v="1.79"/>
    <n v="34.200000000000003"/>
    <n v="34.174963328235698"/>
    <n v="0"/>
    <x v="1"/>
    <n v="103.4"/>
    <s v="117/81"/>
    <n v="117"/>
    <n v="81"/>
    <n v="109"/>
    <x v="2"/>
    <m/>
    <n v="92"/>
    <x v="1"/>
    <x v="0"/>
    <x v="1"/>
    <s v="N"/>
    <x v="0"/>
    <n v="179"/>
    <n v="0.57799999999999996"/>
    <x v="1"/>
    <n v="117"/>
    <n v="81"/>
    <x v="1"/>
    <n v="31"/>
    <s v=""/>
    <x v="0"/>
    <n v="16.87"/>
    <x v="1"/>
    <x v="0"/>
    <x v="1"/>
    <n v="1"/>
    <x v="1"/>
  </r>
  <r>
    <s v="F"/>
    <x v="23"/>
    <n v="112.1"/>
    <n v="1.81"/>
    <n v="34.200000000000003"/>
    <n v="34.217514727877656"/>
    <n v="0"/>
    <x v="1"/>
    <n v="100.2"/>
    <s v="103/85"/>
    <n v="103"/>
    <n v="85"/>
    <n v="289"/>
    <x v="0"/>
    <n v="43"/>
    <m/>
    <x v="0"/>
    <x v="1"/>
    <x v="2"/>
    <s v="N"/>
    <x v="3"/>
    <n v="181"/>
    <n v="0.55400000000000005"/>
    <x v="1"/>
    <n v="103"/>
    <n v="85"/>
    <x v="1"/>
    <n v="216"/>
    <n v="5.0199999999999996"/>
    <x v="0"/>
    <n v="17.77"/>
    <x v="0"/>
    <x v="0"/>
    <x v="0"/>
    <n v="0"/>
    <x v="0"/>
  </r>
  <r>
    <s v="M"/>
    <x v="9"/>
    <n v="59.2"/>
    <n v="1.65"/>
    <m/>
    <n v="21.74471992653811"/>
    <n v="1"/>
    <x v="3"/>
    <n v="90.4"/>
    <s v="150/98"/>
    <n v="150"/>
    <n v="98"/>
    <n v="114"/>
    <x v="2"/>
    <n v="56"/>
    <n v="134"/>
    <x v="1"/>
    <x v="1"/>
    <x v="1"/>
    <s v="Y"/>
    <x v="0"/>
    <n v="165"/>
    <n v="0.54800000000000004"/>
    <x v="1"/>
    <n v="150"/>
    <n v="98"/>
    <x v="3"/>
    <n v="28"/>
    <n v="0.5"/>
    <x v="0"/>
    <n v="14.12"/>
    <x v="0"/>
    <x v="0"/>
    <x v="0"/>
    <n v="0"/>
    <x v="0"/>
  </r>
  <r>
    <s v="F"/>
    <x v="0"/>
    <n v="73.3"/>
    <n v="1.61"/>
    <n v="28.3"/>
    <n v="28.278230006558385"/>
    <n v="0"/>
    <x v="2"/>
    <n v="101.2"/>
    <s v="136/80"/>
    <n v="136"/>
    <n v="80"/>
    <n v="260"/>
    <x v="0"/>
    <n v="78"/>
    <n v="74"/>
    <x v="0"/>
    <x v="0"/>
    <x v="2"/>
    <s v="N"/>
    <x v="2"/>
    <n v="161"/>
    <m/>
    <x v="4"/>
    <n v="136"/>
    <n v="80"/>
    <x v="1"/>
    <n v="152"/>
    <n v="1.95"/>
    <x v="0"/>
    <n v="19.66"/>
    <x v="0"/>
    <x v="0"/>
    <x v="0"/>
    <n v="0"/>
    <x v="0"/>
  </r>
  <r>
    <s v="M"/>
    <x v="9"/>
    <n v="110.9"/>
    <n v="1.74"/>
    <n v="36.6"/>
    <n v="36.629673668912673"/>
    <n v="0"/>
    <x v="1"/>
    <n v="92.8"/>
    <s v="114/89"/>
    <n v="114"/>
    <n v="89"/>
    <n v="125"/>
    <x v="2"/>
    <n v="70"/>
    <n v="85"/>
    <x v="1"/>
    <x v="0"/>
    <x v="0"/>
    <s v="N"/>
    <x v="1"/>
    <n v="174"/>
    <n v="0.53300000000000003"/>
    <x v="1"/>
    <n v="114"/>
    <n v="89"/>
    <x v="1"/>
    <n v="25"/>
    <n v="0.36"/>
    <x v="0"/>
    <n v="17.52"/>
    <x v="1"/>
    <x v="1"/>
    <x v="1"/>
    <n v="1"/>
    <x v="0"/>
  </r>
  <r>
    <s v="F"/>
    <x v="14"/>
    <n v="50.1"/>
    <n v="1.8"/>
    <n v="15.5"/>
    <n v="15.462962962962962"/>
    <n v="0"/>
    <x v="3"/>
    <n v="89"/>
    <s v="127/74"/>
    <n v="127"/>
    <n v="74"/>
    <n v="262"/>
    <x v="0"/>
    <n v="54"/>
    <n v="121"/>
    <x v="0"/>
    <x v="1"/>
    <x v="0"/>
    <s v="Y"/>
    <x v="0"/>
    <n v="180"/>
    <n v="0.49399999999999999"/>
    <x v="0"/>
    <n v="127"/>
    <n v="74"/>
    <x v="0"/>
    <n v="178"/>
    <n v="3.3"/>
    <x v="0"/>
    <n v="14.69"/>
    <x v="0"/>
    <x v="0"/>
    <x v="0"/>
    <n v="0"/>
    <x v="0"/>
  </r>
  <r>
    <s v="M"/>
    <x v="15"/>
    <n v="58.7"/>
    <n v="1.74"/>
    <m/>
    <n v="19.388294358567844"/>
    <n v="1"/>
    <x v="3"/>
    <n v="98.7"/>
    <s v="102/79"/>
    <n v="102"/>
    <n v="79"/>
    <n v="159"/>
    <x v="1"/>
    <n v="74"/>
    <n v="139"/>
    <x v="0"/>
    <x v="0"/>
    <x v="1"/>
    <s v="N"/>
    <x v="2"/>
    <n v="174"/>
    <n v="0.56699999999999995"/>
    <x v="1"/>
    <n v="102"/>
    <n v="79"/>
    <x v="2"/>
    <n v="55"/>
    <n v="0.74"/>
    <x v="0"/>
    <n v="14.16"/>
    <x v="2"/>
    <x v="0"/>
    <x v="0"/>
    <n v="0"/>
    <x v="0"/>
  </r>
  <r>
    <s v="M"/>
    <x v="16"/>
    <n v="87.9"/>
    <n v="1.75"/>
    <n v="28.7"/>
    <n v="28.702040816326534"/>
    <n v="0"/>
    <x v="2"/>
    <n v="89.9"/>
    <s v="140/72"/>
    <n v="140"/>
    <n v="72"/>
    <n v="230"/>
    <x v="0"/>
    <n v="34"/>
    <n v="112"/>
    <x v="0"/>
    <x v="1"/>
    <x v="2"/>
    <s v="Y"/>
    <x v="2"/>
    <m/>
    <n v="0.51400000000000001"/>
    <x v="0"/>
    <n v="140"/>
    <n v="72"/>
    <x v="3"/>
    <n v="166"/>
    <n v="4.88"/>
    <x v="0"/>
    <n v="17.34"/>
    <x v="1"/>
    <x v="0"/>
    <x v="1"/>
    <n v="1"/>
    <x v="0"/>
  </r>
  <r>
    <s v="M"/>
    <x v="27"/>
    <n v="52.1"/>
    <n v="1.79"/>
    <n v="16.3"/>
    <n v="16.260416341562372"/>
    <n v="0"/>
    <x v="3"/>
    <n v="73.7"/>
    <s v="118/97"/>
    <n v="118"/>
    <n v="97"/>
    <n v="296"/>
    <x v="0"/>
    <n v="54"/>
    <n v="106"/>
    <x v="1"/>
    <x v="1"/>
    <x v="0"/>
    <s v="N"/>
    <x v="0"/>
    <n v="179"/>
    <n v="0.41199999999999998"/>
    <x v="2"/>
    <n v="118"/>
    <n v="97"/>
    <x v="3"/>
    <n v="212"/>
    <n v="3.93"/>
    <x v="0"/>
    <n v="15.08"/>
    <x v="1"/>
    <x v="0"/>
    <x v="1"/>
    <n v="1"/>
    <x v="0"/>
  </r>
  <r>
    <s v="F"/>
    <x v="18"/>
    <m/>
    <n v="1.65"/>
    <n v="36.700000000000003"/>
    <n v="0"/>
    <n v="1"/>
    <x v="1"/>
    <n v="108.1"/>
    <s v="130/81"/>
    <n v="130"/>
    <n v="81"/>
    <n v="101"/>
    <x v="2"/>
    <n v="31"/>
    <n v="83"/>
    <x v="0"/>
    <x v="0"/>
    <x v="2"/>
    <s v="N"/>
    <x v="2"/>
    <n v="165"/>
    <n v="0.65500000000000003"/>
    <x v="3"/>
    <n v="130"/>
    <n v="81"/>
    <x v="1"/>
    <n v="40"/>
    <n v="1.29"/>
    <x v="0"/>
    <n v="17.86"/>
    <x v="0"/>
    <x v="0"/>
    <x v="0"/>
    <n v="0"/>
    <x v="0"/>
  </r>
  <r>
    <s v="F"/>
    <x v="26"/>
    <n v="85.6"/>
    <n v="1.89"/>
    <n v="24"/>
    <n v="23.963494862965764"/>
    <n v="0"/>
    <x v="0"/>
    <n v="89.1"/>
    <s v="91/69"/>
    <n v="91"/>
    <n v="69"/>
    <n v="243"/>
    <x v="0"/>
    <n v="79"/>
    <n v="104"/>
    <x v="1"/>
    <x v="1"/>
    <x v="1"/>
    <s v="N"/>
    <x v="2"/>
    <n v="189"/>
    <n v="0.47099999999999997"/>
    <x v="0"/>
    <m/>
    <n v="69"/>
    <x v="2"/>
    <n v="134"/>
    <n v="1.7"/>
    <x v="0"/>
    <n v="14.21"/>
    <x v="0"/>
    <x v="0"/>
    <x v="0"/>
    <n v="0"/>
    <x v="0"/>
  </r>
  <r>
    <s v="M"/>
    <x v="12"/>
    <n v="95.5"/>
    <n v="1.61"/>
    <m/>
    <n v="36.842714401450557"/>
    <n v="1"/>
    <x v="3"/>
    <n v="107.5"/>
    <s v="121/61"/>
    <n v="121"/>
    <n v="61"/>
    <n v="294"/>
    <x v="0"/>
    <n v="34"/>
    <n v="125"/>
    <x v="0"/>
    <x v="1"/>
    <x v="0"/>
    <s v="N"/>
    <x v="2"/>
    <n v="161"/>
    <n v="0.66800000000000004"/>
    <x v="3"/>
    <n v="121"/>
    <n v="61"/>
    <x v="0"/>
    <n v="230"/>
    <n v="6.76"/>
    <x v="0"/>
    <n v="19.29"/>
    <x v="1"/>
    <x v="0"/>
    <x v="1"/>
    <n v="1"/>
    <x v="0"/>
  </r>
  <r>
    <s v="F"/>
    <x v="14"/>
    <n v="71.3"/>
    <n v="1.72"/>
    <n v="24.1"/>
    <n v="24.100865332612223"/>
    <n v="0"/>
    <x v="0"/>
    <n v="82.2"/>
    <s v="113/77"/>
    <n v="113"/>
    <n v="77"/>
    <n v="106"/>
    <x v="2"/>
    <n v="39"/>
    <n v="95"/>
    <x v="1"/>
    <x v="1"/>
    <x v="1"/>
    <s v="N"/>
    <x v="2"/>
    <n v="172"/>
    <n v="0.47799999999999998"/>
    <x v="0"/>
    <n v="113"/>
    <m/>
    <x v="2"/>
    <n v="37"/>
    <n v="0.95"/>
    <x v="0"/>
    <n v="12.59"/>
    <x v="0"/>
    <x v="0"/>
    <x v="0"/>
    <n v="0"/>
    <x v="0"/>
  </r>
  <r>
    <s v="M"/>
    <x v="19"/>
    <n v="64.2"/>
    <n v="1.84"/>
    <m/>
    <n v="18.96266540642722"/>
    <n v="1"/>
    <x v="3"/>
    <n v="75.5"/>
    <s v="131/79"/>
    <n v="131"/>
    <n v="79"/>
    <n v="294"/>
    <x v="0"/>
    <n v="74"/>
    <n v="74"/>
    <x v="0"/>
    <x v="0"/>
    <x v="2"/>
    <s v="Y"/>
    <x v="0"/>
    <n v="184"/>
    <n v="0.41"/>
    <x v="2"/>
    <n v="131"/>
    <n v="79"/>
    <x v="1"/>
    <n v="190"/>
    <n v="2.57"/>
    <x v="0"/>
    <n v="18.23"/>
    <x v="0"/>
    <x v="0"/>
    <x v="0"/>
    <n v="0"/>
    <x v="0"/>
  </r>
  <r>
    <s v="M"/>
    <x v="5"/>
    <n v="105.1"/>
    <n v="1.83"/>
    <n v="31.4"/>
    <n v="31.383439338290181"/>
    <n v="0"/>
    <x v="1"/>
    <n v="78.099999999999994"/>
    <s v="119/97"/>
    <n v="119"/>
    <n v="97"/>
    <n v="146"/>
    <x v="2"/>
    <n v="70"/>
    <m/>
    <x v="0"/>
    <x v="1"/>
    <x v="2"/>
    <s v="Y"/>
    <x v="2"/>
    <n v="183"/>
    <n v="0.42699999999999999"/>
    <x v="2"/>
    <n v="119"/>
    <n v="97"/>
    <x v="3"/>
    <n v="46"/>
    <n v="0.66"/>
    <x v="0"/>
    <n v="15.15"/>
    <x v="0"/>
    <x v="0"/>
    <x v="0"/>
    <n v="0"/>
    <x v="0"/>
  </r>
  <r>
    <s v="F"/>
    <x v="1"/>
    <n v="81.5"/>
    <n v="1.8"/>
    <n v="25.2"/>
    <n v="25.154320987654319"/>
    <n v="0"/>
    <x v="2"/>
    <n v="104.6"/>
    <s v="133/87"/>
    <n v="133"/>
    <n v="87"/>
    <n v="149"/>
    <x v="2"/>
    <n v="40"/>
    <n v="140"/>
    <x v="1"/>
    <x v="0"/>
    <x v="1"/>
    <s v="N"/>
    <x v="0"/>
    <n v="180"/>
    <n v="0.58099999999999996"/>
    <x v="1"/>
    <n v="133"/>
    <n v="87"/>
    <x v="1"/>
    <n v="79"/>
    <n v="1.98"/>
    <x v="0"/>
    <n v="16.670000000000002"/>
    <x v="1"/>
    <x v="0"/>
    <x v="1"/>
    <n v="1"/>
    <x v="1"/>
  </r>
  <r>
    <s v="M"/>
    <x v="27"/>
    <n v="57"/>
    <n v="1.79"/>
    <n v="17.8"/>
    <n v="17.789706937985706"/>
    <n v="0"/>
    <x v="3"/>
    <n v="86.4"/>
    <s v="109/84"/>
    <n v="109"/>
    <n v="84"/>
    <n v="269"/>
    <x v="0"/>
    <n v="48"/>
    <n v="70"/>
    <x v="0"/>
    <x v="0"/>
    <x v="0"/>
    <s v="Y"/>
    <x v="1"/>
    <n v="179"/>
    <n v="0.48299999999999998"/>
    <x v="0"/>
    <n v="109"/>
    <n v="84"/>
    <x v="1"/>
    <n v="191"/>
    <n v="3.98"/>
    <x v="0"/>
    <n v="16.39"/>
    <x v="1"/>
    <x v="0"/>
    <x v="1"/>
    <n v="1"/>
    <x v="0"/>
  </r>
  <r>
    <s v="M"/>
    <x v="15"/>
    <n v="71.099999999999994"/>
    <n v="1.87"/>
    <n v="20.3"/>
    <n v="20.332294317824353"/>
    <n v="0"/>
    <x v="0"/>
    <n v="81.599999999999994"/>
    <s v="126/91"/>
    <n v="126"/>
    <n v="91"/>
    <n v="289"/>
    <x v="0"/>
    <n v="31"/>
    <n v="92"/>
    <x v="1"/>
    <x v="0"/>
    <x v="2"/>
    <s v="N"/>
    <x v="0"/>
    <n v="187"/>
    <n v="0.436"/>
    <x v="2"/>
    <n v="126"/>
    <n v="91"/>
    <x v="3"/>
    <n v="228"/>
    <n v="7.35"/>
    <x v="0"/>
    <n v="18.14"/>
    <x v="1"/>
    <x v="0"/>
    <x v="1"/>
    <n v="1"/>
    <x v="0"/>
  </r>
  <r>
    <s v="F"/>
    <x v="8"/>
    <n v="106.4"/>
    <n v="1.73"/>
    <n v="35.6"/>
    <n v="35.550803568445318"/>
    <n v="0"/>
    <x v="1"/>
    <n v="108"/>
    <s v="128/67"/>
    <n v="128"/>
    <n v="67"/>
    <n v="181"/>
    <x v="0"/>
    <n v="56"/>
    <n v="96"/>
    <x v="0"/>
    <x v="1"/>
    <x v="2"/>
    <s v="Y"/>
    <x v="2"/>
    <n v="173"/>
    <n v="0.624"/>
    <x v="3"/>
    <n v="128"/>
    <n v="67"/>
    <x v="0"/>
    <n v="95"/>
    <n v="1.7"/>
    <x v="0"/>
    <n v="17.14"/>
    <x v="0"/>
    <x v="0"/>
    <x v="0"/>
    <n v="0"/>
    <x v="0"/>
  </r>
  <r>
    <s v="F"/>
    <x v="23"/>
    <n v="118.8"/>
    <n v="1.88"/>
    <n v="33.6"/>
    <n v="33.612494341330923"/>
    <n v="0"/>
    <x v="1"/>
    <n v="89.9"/>
    <s v="117/92"/>
    <n v="117"/>
    <n v="92"/>
    <n v="150"/>
    <x v="1"/>
    <n v="53"/>
    <n v="85"/>
    <x v="1"/>
    <x v="1"/>
    <x v="1"/>
    <s v="Y"/>
    <x v="0"/>
    <n v="188"/>
    <n v="0.47799999999999998"/>
    <x v="0"/>
    <n v="117"/>
    <n v="92"/>
    <x v="3"/>
    <n v="67"/>
    <n v="1.26"/>
    <x v="0"/>
    <n v="15.57"/>
    <x v="1"/>
    <x v="0"/>
    <x v="1"/>
    <n v="1"/>
    <x v="0"/>
  </r>
  <r>
    <s v="F"/>
    <x v="3"/>
    <n v="105.8"/>
    <n v="1.8"/>
    <n v="32.700000000000003"/>
    <n v="32.654320987654316"/>
    <n v="0"/>
    <x v="1"/>
    <n v="99.1"/>
    <s v="91/98"/>
    <n v="91"/>
    <n v="98"/>
    <n v="244"/>
    <x v="0"/>
    <n v="36"/>
    <n v="146"/>
    <x v="1"/>
    <x v="1"/>
    <x v="2"/>
    <s v="N"/>
    <x v="2"/>
    <n v="180"/>
    <n v="0.55100000000000005"/>
    <x v="1"/>
    <n v="91"/>
    <n v="98"/>
    <x v="3"/>
    <n v="178"/>
    <n v="4.9400000000000004"/>
    <x v="0"/>
    <n v="15.97"/>
    <x v="1"/>
    <x v="0"/>
    <x v="1"/>
    <n v="1"/>
    <x v="0"/>
  </r>
  <r>
    <s v="F"/>
    <x v="28"/>
    <n v="69.2"/>
    <n v="1.82"/>
    <n v="20.9"/>
    <n v="20.891196715372541"/>
    <n v="0"/>
    <x v="0"/>
    <n v="104.5"/>
    <s v="105/72"/>
    <n v="105"/>
    <n v="72"/>
    <n v="254"/>
    <x v="0"/>
    <n v="46"/>
    <n v="117"/>
    <x v="0"/>
    <x v="0"/>
    <x v="0"/>
    <s v="N"/>
    <x v="0"/>
    <n v="182"/>
    <n v="0.57399999999999995"/>
    <x v="1"/>
    <n v="105"/>
    <n v="72"/>
    <x v="2"/>
    <n v="178"/>
    <n v="3.87"/>
    <x v="1"/>
    <n v="16.510000000000002"/>
    <x v="1"/>
    <x v="0"/>
    <x v="1"/>
    <n v="1"/>
    <x v="0"/>
  </r>
  <r>
    <s v="F"/>
    <x v="13"/>
    <n v="108"/>
    <n v="1.72"/>
    <n v="36.5"/>
    <n v="36.506219578150358"/>
    <n v="0"/>
    <x v="1"/>
    <n v="101.1"/>
    <s v="134/60"/>
    <n v="134"/>
    <n v="60"/>
    <n v="130"/>
    <x v="2"/>
    <n v="52"/>
    <n v="98"/>
    <x v="0"/>
    <x v="1"/>
    <x v="1"/>
    <s v="N"/>
    <x v="3"/>
    <n v="172"/>
    <n v="0.58799999999999997"/>
    <x v="3"/>
    <n v="134"/>
    <n v="60"/>
    <x v="1"/>
    <n v="48"/>
    <n v="0.92"/>
    <x v="0"/>
    <n v="16.600000000000001"/>
    <x v="2"/>
    <x v="0"/>
    <x v="0"/>
    <n v="0"/>
    <x v="0"/>
  </r>
  <r>
    <s v="F"/>
    <x v="14"/>
    <n v="58"/>
    <n v="1.63"/>
    <n v="21.8"/>
    <n v="21.829952199932254"/>
    <n v="0"/>
    <x v="0"/>
    <n v="78.2"/>
    <s v="95/100"/>
    <n v="95"/>
    <n v="100"/>
    <n v="262"/>
    <x v="0"/>
    <n v="54"/>
    <n v="139"/>
    <x v="1"/>
    <x v="0"/>
    <x v="1"/>
    <s v="Y"/>
    <x v="1"/>
    <n v="163"/>
    <n v="0.48"/>
    <x v="0"/>
    <n v="95"/>
    <n v="100"/>
    <x v="3"/>
    <n v="178"/>
    <n v="3.3"/>
    <x v="0"/>
    <n v="16.350000000000001"/>
    <x v="1"/>
    <x v="0"/>
    <x v="1"/>
    <n v="1"/>
    <x v="0"/>
  </r>
  <r>
    <s v="F"/>
    <x v="6"/>
    <n v="116.9"/>
    <n v="1.85"/>
    <n v="34.200000000000003"/>
    <n v="34.156318480642803"/>
    <n v="0"/>
    <x v="1"/>
    <n v="96.7"/>
    <s v="96/65"/>
    <n v="96"/>
    <n v="65"/>
    <n v="198"/>
    <x v="0"/>
    <n v="77"/>
    <n v="108"/>
    <x v="1"/>
    <x v="1"/>
    <x v="0"/>
    <s v="N"/>
    <x v="0"/>
    <n v="185"/>
    <n v="0.52300000000000002"/>
    <x v="1"/>
    <n v="96"/>
    <n v="65"/>
    <x v="2"/>
    <n v="91"/>
    <n v="1.18"/>
    <x v="0"/>
    <m/>
    <x v="0"/>
    <x v="0"/>
    <x v="0"/>
    <n v="0"/>
    <x v="0"/>
  </r>
  <r>
    <s v="F"/>
    <x v="6"/>
    <n v="105.4"/>
    <m/>
    <n v="38.200000000000003"/>
    <s v=""/>
    <s v=""/>
    <x v="1"/>
    <n v="73.900000000000006"/>
    <s v="129/87"/>
    <n v="129"/>
    <n v="87"/>
    <n v="175"/>
    <x v="1"/>
    <n v="44"/>
    <n v="72"/>
    <x v="1"/>
    <x v="1"/>
    <x v="2"/>
    <s v="Y"/>
    <x v="0"/>
    <n v="166"/>
    <n v="0.44500000000000001"/>
    <x v="2"/>
    <n v="129"/>
    <n v="87"/>
    <x v="1"/>
    <n v="101"/>
    <n v="2.2999999999999998"/>
    <x v="0"/>
    <m/>
    <x v="0"/>
    <x v="0"/>
    <x v="0"/>
    <n v="0"/>
    <x v="0"/>
  </r>
  <r>
    <s v="M"/>
    <x v="3"/>
    <n v="98.7"/>
    <n v="1.71"/>
    <n v="33.799999999999997"/>
    <n v="33.753975582230431"/>
    <n v="0"/>
    <x v="1"/>
    <n v="85.3"/>
    <s v="137/91"/>
    <n v="137"/>
    <n v="91"/>
    <n v="192"/>
    <x v="0"/>
    <n v="37"/>
    <n v="76"/>
    <x v="0"/>
    <x v="0"/>
    <x v="2"/>
    <s v="N"/>
    <x v="2"/>
    <n v="171"/>
    <n v="0.499"/>
    <x v="0"/>
    <n v="137"/>
    <n v="91"/>
    <x v="1"/>
    <n v="125"/>
    <n v="3.38"/>
    <x v="0"/>
    <n v="19.45"/>
    <x v="0"/>
    <x v="0"/>
    <x v="0"/>
    <n v="0"/>
    <x v="0"/>
  </r>
  <r>
    <s v="M"/>
    <x v="22"/>
    <n v="61.8"/>
    <n v="1.67"/>
    <n v="22.2"/>
    <n v="22.159274265839578"/>
    <n v="0"/>
    <x v="0"/>
    <n v="91.8"/>
    <s v="112/61"/>
    <n v="112"/>
    <n v="61"/>
    <n v="154"/>
    <x v="1"/>
    <n v="46"/>
    <n v="121"/>
    <x v="1"/>
    <x v="1"/>
    <x v="1"/>
    <s v="Y"/>
    <x v="0"/>
    <n v="167"/>
    <n v="0.55000000000000004"/>
    <x v="1"/>
    <n v="112"/>
    <n v="61"/>
    <x v="2"/>
    <n v="78"/>
    <n v="1.7"/>
    <x v="0"/>
    <n v="13.12"/>
    <x v="0"/>
    <x v="0"/>
    <x v="0"/>
    <n v="0"/>
    <x v="0"/>
  </r>
  <r>
    <s v="F"/>
    <x v="24"/>
    <n v="57.1"/>
    <m/>
    <n v="16.5"/>
    <s v=""/>
    <s v=""/>
    <x v="3"/>
    <n v="78.599999999999994"/>
    <s v="104/66"/>
    <n v="104"/>
    <n v="66"/>
    <m/>
    <x v="2"/>
    <m/>
    <n v="137"/>
    <x v="1"/>
    <x v="1"/>
    <x v="0"/>
    <s v="N"/>
    <x v="0"/>
    <n v="186"/>
    <n v="0.42299999999999999"/>
    <x v="2"/>
    <m/>
    <n v="66"/>
    <x v="2"/>
    <n v="101"/>
    <s v=""/>
    <x v="0"/>
    <n v="12.04"/>
    <x v="0"/>
    <x v="0"/>
    <x v="0"/>
    <n v="0"/>
    <x v="0"/>
  </r>
  <r>
    <s v="M"/>
    <x v="0"/>
    <n v="74.8"/>
    <n v="1.69"/>
    <n v="26.2"/>
    <n v="26.189559189104024"/>
    <n v="0"/>
    <x v="2"/>
    <n v="102.5"/>
    <s v="148/98"/>
    <n v="148"/>
    <n v="98"/>
    <n v="207"/>
    <x v="0"/>
    <n v="80"/>
    <n v="124"/>
    <x v="0"/>
    <x v="0"/>
    <x v="1"/>
    <s v="N"/>
    <x v="2"/>
    <n v="169"/>
    <n v="0.60699999999999998"/>
    <x v="3"/>
    <n v="148"/>
    <n v="98"/>
    <x v="3"/>
    <n v="97"/>
    <n v="1.21"/>
    <x v="0"/>
    <n v="18.78"/>
    <x v="0"/>
    <x v="0"/>
    <x v="0"/>
    <n v="0"/>
    <x v="0"/>
  </r>
  <r>
    <s v="F"/>
    <x v="19"/>
    <n v="89.2"/>
    <n v="1.87"/>
    <n v="25.5"/>
    <n v="25.508307357945604"/>
    <n v="0"/>
    <x v="2"/>
    <n v="72.5"/>
    <s v="115/72"/>
    <n v="115"/>
    <n v="72"/>
    <n v="229"/>
    <x v="0"/>
    <n v="41"/>
    <n v="70"/>
    <x v="1"/>
    <x v="0"/>
    <x v="1"/>
    <s v="N"/>
    <x v="0"/>
    <n v="187"/>
    <n v="0.38800000000000001"/>
    <x v="2"/>
    <n v="115"/>
    <n v="72"/>
    <x v="2"/>
    <n v="158"/>
    <n v="3.85"/>
    <x v="1"/>
    <m/>
    <x v="1"/>
    <x v="0"/>
    <x v="1"/>
    <n v="1"/>
    <x v="0"/>
  </r>
  <r>
    <s v="F"/>
    <x v="27"/>
    <n v="63.4"/>
    <n v="1.63"/>
    <n v="23.9"/>
    <n v="23.862396025443186"/>
    <n v="0"/>
    <x v="0"/>
    <n v="76.3"/>
    <s v="125/87"/>
    <n v="125"/>
    <n v="87"/>
    <n v="141"/>
    <x v="2"/>
    <n v="39"/>
    <n v="88"/>
    <x v="1"/>
    <x v="1"/>
    <x v="0"/>
    <s v="Y"/>
    <x v="1"/>
    <n v="163"/>
    <n v="0.46800000000000003"/>
    <x v="0"/>
    <n v="125"/>
    <n v="87"/>
    <x v="1"/>
    <n v="72"/>
    <n v="1.85"/>
    <x v="0"/>
    <n v="13.85"/>
    <x v="1"/>
    <x v="0"/>
    <x v="1"/>
    <n v="1"/>
    <x v="0"/>
  </r>
  <r>
    <s v="M"/>
    <x v="0"/>
    <n v="65.2"/>
    <n v="1.76"/>
    <n v="21"/>
    <n v="21.048553719008265"/>
    <n v="0"/>
    <x v="0"/>
    <n v="72.599999999999994"/>
    <s v="141/69"/>
    <n v="141"/>
    <n v="69"/>
    <n v="147"/>
    <x v="2"/>
    <n v="46"/>
    <m/>
    <x v="0"/>
    <x v="1"/>
    <x v="0"/>
    <s v="N"/>
    <x v="2"/>
    <n v="176"/>
    <n v="0.41199999999999998"/>
    <x v="2"/>
    <n v="141"/>
    <n v="69"/>
    <x v="3"/>
    <n v="71"/>
    <n v="1.54"/>
    <x v="0"/>
    <n v="14.19"/>
    <x v="2"/>
    <x v="0"/>
    <x v="0"/>
    <n v="0"/>
    <x v="0"/>
  </r>
  <r>
    <s v="F"/>
    <x v="1"/>
    <n v="91.8"/>
    <n v="1.66"/>
    <n v="33.299999999999997"/>
    <n v="33.313978806793443"/>
    <n v="0"/>
    <x v="1"/>
    <n v="88.7"/>
    <s v="132/65"/>
    <n v="132"/>
    <n v="65"/>
    <n v="171"/>
    <x v="1"/>
    <n v="41"/>
    <n v="89"/>
    <x v="0"/>
    <x v="1"/>
    <x v="0"/>
    <s v="Y"/>
    <x v="0"/>
    <n v="166"/>
    <n v="0.53400000000000003"/>
    <x v="1"/>
    <n v="132"/>
    <n v="65"/>
    <x v="1"/>
    <n v="100"/>
    <n v="2.44"/>
    <x v="0"/>
    <n v="16.68"/>
    <x v="1"/>
    <x v="0"/>
    <x v="1"/>
    <n v="1"/>
    <x v="0"/>
  </r>
  <r>
    <s v="M"/>
    <x v="29"/>
    <n v="69.2"/>
    <n v="1.9"/>
    <n v="19.2"/>
    <n v="19.168975069252078"/>
    <n v="0"/>
    <x v="0"/>
    <n v="88.5"/>
    <s v="123/72"/>
    <n v="123"/>
    <n v="72"/>
    <n v="121"/>
    <x v="2"/>
    <n v="44"/>
    <n v="124"/>
    <x v="1"/>
    <x v="0"/>
    <x v="2"/>
    <s v="N"/>
    <x v="0"/>
    <n v="190"/>
    <n v="0.46600000000000003"/>
    <x v="0"/>
    <n v="123"/>
    <n v="72"/>
    <x v="0"/>
    <n v="47"/>
    <n v="1.07"/>
    <x v="0"/>
    <m/>
    <x v="0"/>
    <x v="0"/>
    <x v="0"/>
    <n v="0"/>
    <x v="0"/>
  </r>
  <r>
    <s v="F"/>
    <x v="5"/>
    <n v="89.4"/>
    <n v="1.61"/>
    <n v="34.5"/>
    <n v="34.489410130781991"/>
    <n v="0"/>
    <x v="1"/>
    <n v="97.6"/>
    <s v="142/61"/>
    <n v="142"/>
    <n v="61"/>
    <n v="214"/>
    <x v="0"/>
    <n v="54"/>
    <n v="145"/>
    <x v="1"/>
    <x v="0"/>
    <x v="2"/>
    <s v="N"/>
    <x v="0"/>
    <n v="161"/>
    <n v="0.60599999999999998"/>
    <x v="3"/>
    <n v="142"/>
    <n v="61"/>
    <x v="3"/>
    <n v="130"/>
    <n v="2.41"/>
    <x v="0"/>
    <n v="20.28"/>
    <x v="1"/>
    <x v="0"/>
    <x v="1"/>
    <n v="1"/>
    <x v="0"/>
  </r>
  <r>
    <s v="M"/>
    <x v="5"/>
    <n v="74"/>
    <n v="1.76"/>
    <n v="23.9"/>
    <n v="23.889462809917354"/>
    <n v="0"/>
    <x v="0"/>
    <n v="77.400000000000006"/>
    <s v="118/86"/>
    <n v="118"/>
    <n v="86"/>
    <n v="165"/>
    <x v="1"/>
    <n v="71"/>
    <n v="90"/>
    <x v="0"/>
    <x v="1"/>
    <x v="1"/>
    <s v="Y"/>
    <x v="2"/>
    <n v="176"/>
    <n v="0.44"/>
    <x v="2"/>
    <n v="118"/>
    <m/>
    <x v="1"/>
    <n v="64"/>
    <n v="0.9"/>
    <x v="0"/>
    <n v="13.98"/>
    <x v="2"/>
    <x v="0"/>
    <x v="0"/>
    <n v="0"/>
    <x v="0"/>
  </r>
  <r>
    <s v="M"/>
    <x v="15"/>
    <n v="116.9"/>
    <n v="1.74"/>
    <n v="38.6"/>
    <n v="38.611441405733913"/>
    <n v="0"/>
    <x v="1"/>
    <n v="89.3"/>
    <s v="126/73"/>
    <n v="126"/>
    <n v="73"/>
    <n v="103"/>
    <x v="2"/>
    <n v="41"/>
    <n v="148"/>
    <x v="0"/>
    <x v="1"/>
    <x v="2"/>
    <s v="Y"/>
    <x v="2"/>
    <n v="174"/>
    <n v="0.51300000000000001"/>
    <x v="0"/>
    <n v="126"/>
    <n v="73"/>
    <x v="0"/>
    <n v="32"/>
    <n v="0.78"/>
    <x v="0"/>
    <n v="16.079999999999998"/>
    <x v="0"/>
    <x v="0"/>
    <x v="0"/>
    <n v="0"/>
    <x v="0"/>
  </r>
  <r>
    <s v="F"/>
    <x v="0"/>
    <m/>
    <n v="1.62"/>
    <n v="40.6"/>
    <n v="0"/>
    <n v="1"/>
    <x v="1"/>
    <n v="98.2"/>
    <s v="113/98"/>
    <n v="113"/>
    <n v="98"/>
    <n v="255"/>
    <x v="0"/>
    <n v="59"/>
    <n v="78"/>
    <x v="0"/>
    <x v="1"/>
    <x v="0"/>
    <s v="Y"/>
    <x v="0"/>
    <n v="162"/>
    <n v="0.60599999999999998"/>
    <x v="3"/>
    <n v="113"/>
    <n v="98"/>
    <x v="3"/>
    <n v="166"/>
    <n v="2.81"/>
    <x v="0"/>
    <n v="18.87"/>
    <x v="1"/>
    <x v="0"/>
    <x v="1"/>
    <n v="1"/>
    <x v="0"/>
  </r>
  <r>
    <s v="F"/>
    <x v="6"/>
    <n v="50.5"/>
    <n v="1.72"/>
    <n v="17.100000000000001"/>
    <n v="17.070037858301788"/>
    <n v="0"/>
    <x v="3"/>
    <n v="76.3"/>
    <s v="146/89"/>
    <n v="146"/>
    <n v="89"/>
    <n v="274"/>
    <x v="0"/>
    <n v="54"/>
    <n v="84"/>
    <x v="0"/>
    <x v="1"/>
    <x v="0"/>
    <s v="N"/>
    <x v="2"/>
    <n v="172"/>
    <n v="0.44400000000000001"/>
    <x v="2"/>
    <n v="146"/>
    <n v="89"/>
    <x v="1"/>
    <n v="190"/>
    <n v="3.52"/>
    <x v="0"/>
    <n v="16.2"/>
    <x v="0"/>
    <x v="0"/>
    <x v="0"/>
    <n v="0"/>
    <x v="0"/>
  </r>
  <r>
    <s v="M"/>
    <x v="31"/>
    <n v="89.5"/>
    <n v="1.86"/>
    <n v="25.9"/>
    <n v="25.87004277951208"/>
    <n v="0"/>
    <x v="2"/>
    <n v="73.8"/>
    <s v="107/83"/>
    <n v="107"/>
    <n v="83"/>
    <n v="298"/>
    <x v="0"/>
    <n v="37"/>
    <n v="71"/>
    <x v="1"/>
    <x v="0"/>
    <x v="1"/>
    <s v="N"/>
    <x v="0"/>
    <n v="186"/>
    <n v="0.39700000000000002"/>
    <x v="2"/>
    <n v="107"/>
    <n v="83"/>
    <x v="1"/>
    <n v="231"/>
    <n v="6.24"/>
    <x v="0"/>
    <n v="18.489999999999998"/>
    <x v="1"/>
    <x v="0"/>
    <x v="1"/>
    <n v="1"/>
    <x v="1"/>
  </r>
  <r>
    <s v="F"/>
    <x v="29"/>
    <n v="113.2"/>
    <n v="1.73"/>
    <n v="37.799999999999997"/>
    <n v="37.82284740552641"/>
    <n v="0"/>
    <x v="1"/>
    <n v="82.1"/>
    <s v="137/89"/>
    <n v="137"/>
    <n v="89"/>
    <n v="216"/>
    <x v="0"/>
    <n v="61"/>
    <n v="115"/>
    <x v="1"/>
    <x v="0"/>
    <x v="2"/>
    <s v="Y"/>
    <x v="1"/>
    <m/>
    <n v="0.47499999999999998"/>
    <x v="0"/>
    <n v="137"/>
    <n v="89"/>
    <x v="1"/>
    <n v="125"/>
    <n v="2.0499999999999998"/>
    <x v="0"/>
    <n v="20.73"/>
    <x v="1"/>
    <x v="1"/>
    <x v="1"/>
    <n v="1"/>
    <x v="1"/>
  </r>
  <r>
    <s v="M"/>
    <x v="16"/>
    <n v="57.8"/>
    <n v="1.74"/>
    <n v="19.100000000000001"/>
    <n v="19.091029198044655"/>
    <n v="0"/>
    <x v="0"/>
    <n v="89"/>
    <s v="119/68"/>
    <n v="119"/>
    <n v="68"/>
    <n v="222"/>
    <x v="0"/>
    <n v="52"/>
    <n v="137"/>
    <x v="0"/>
    <x v="1"/>
    <x v="0"/>
    <s v="Y"/>
    <x v="0"/>
    <n v="174"/>
    <n v="0.51100000000000001"/>
    <x v="0"/>
    <n v="119"/>
    <n v="68"/>
    <x v="2"/>
    <n v="140"/>
    <n v="2.69"/>
    <x v="1"/>
    <n v="14.21"/>
    <x v="1"/>
    <x v="0"/>
    <x v="1"/>
    <n v="1"/>
    <x v="0"/>
  </r>
  <r>
    <s v="F"/>
    <x v="19"/>
    <n v="87.7"/>
    <n v="1.89"/>
    <n v="24.6"/>
    <n v="24.551384339744128"/>
    <n v="0"/>
    <x v="0"/>
    <n v="92.6"/>
    <s v="105/93"/>
    <n v="105"/>
    <n v="93"/>
    <n v="263"/>
    <x v="0"/>
    <n v="52"/>
    <n v="126"/>
    <x v="1"/>
    <x v="0"/>
    <x v="0"/>
    <s v="Y"/>
    <x v="4"/>
    <n v="189"/>
    <m/>
    <x v="4"/>
    <n v="105"/>
    <n v="93"/>
    <x v="3"/>
    <n v="181"/>
    <n v="3.48"/>
    <x v="0"/>
    <n v="17.43"/>
    <x v="1"/>
    <x v="0"/>
    <x v="1"/>
    <n v="1"/>
    <x v="0"/>
  </r>
  <r>
    <s v="M"/>
    <x v="0"/>
    <n v="57.7"/>
    <n v="1.86"/>
    <n v="16.7"/>
    <n v="16.678228696959184"/>
    <n v="0"/>
    <x v="3"/>
    <n v="84.3"/>
    <s v="107/66"/>
    <n v="107"/>
    <n v="66"/>
    <m/>
    <x v="2"/>
    <n v="79"/>
    <n v="150"/>
    <x v="1"/>
    <x v="1"/>
    <x v="1"/>
    <s v="Y"/>
    <x v="0"/>
    <n v="186"/>
    <n v="0.45300000000000001"/>
    <x v="2"/>
    <n v="107"/>
    <n v="66"/>
    <x v="2"/>
    <m/>
    <n v="0"/>
    <x v="0"/>
    <n v="13.45"/>
    <x v="0"/>
    <x v="0"/>
    <x v="0"/>
    <n v="0"/>
    <x v="0"/>
  </r>
  <r>
    <s v="M"/>
    <x v="22"/>
    <n v="70.400000000000006"/>
    <n v="1.9"/>
    <n v="19.5"/>
    <n v="19.501385041551249"/>
    <n v="0"/>
    <x v="0"/>
    <n v="71.5"/>
    <s v="95/86"/>
    <n v="95"/>
    <n v="86"/>
    <n v="281"/>
    <x v="0"/>
    <n v="58"/>
    <n v="113"/>
    <x v="0"/>
    <x v="1"/>
    <x v="1"/>
    <s v="N"/>
    <x v="3"/>
    <n v="190"/>
    <n v="0.376"/>
    <x v="2"/>
    <n v="95"/>
    <n v="86"/>
    <x v="1"/>
    <n v="193"/>
    <n v="3.33"/>
    <x v="0"/>
    <n v="14.27"/>
    <x v="0"/>
    <x v="0"/>
    <x v="0"/>
    <n v="0"/>
    <x v="0"/>
  </r>
  <r>
    <s v="F"/>
    <x v="1"/>
    <n v="67.400000000000006"/>
    <n v="1.87"/>
    <n v="19.3"/>
    <n v="19.274214304097914"/>
    <n v="0"/>
    <x v="0"/>
    <m/>
    <s v="94/81"/>
    <n v="94"/>
    <n v="81"/>
    <n v="177"/>
    <x v="1"/>
    <n v="51"/>
    <n v="93"/>
    <x v="1"/>
    <x v="1"/>
    <x v="1"/>
    <s v="N"/>
    <x v="2"/>
    <n v="187"/>
    <n v="0.52200000000000002"/>
    <x v="0"/>
    <n v="94"/>
    <n v="81"/>
    <x v="1"/>
    <n v="96"/>
    <n v="1.88"/>
    <x v="0"/>
    <n v="12.1"/>
    <x v="0"/>
    <x v="0"/>
    <x v="0"/>
    <n v="0"/>
    <x v="0"/>
  </r>
  <r>
    <s v="M"/>
    <x v="11"/>
    <n v="84.4"/>
    <n v="1.76"/>
    <n v="27.2"/>
    <n v="27.246900826446282"/>
    <n v="0"/>
    <x v="2"/>
    <n v="102.8"/>
    <s v="127/89"/>
    <n v="127"/>
    <n v="89"/>
    <m/>
    <x v="2"/>
    <n v="60"/>
    <n v="129"/>
    <x v="1"/>
    <x v="0"/>
    <x v="1"/>
    <s v="N"/>
    <x v="0"/>
    <n v="176"/>
    <n v="0.58399999999999996"/>
    <x v="1"/>
    <n v="127"/>
    <n v="89"/>
    <x v="1"/>
    <n v="56"/>
    <n v="0.93"/>
    <x v="0"/>
    <n v="16.71"/>
    <x v="0"/>
    <x v="0"/>
    <x v="0"/>
    <n v="0"/>
    <x v="0"/>
  </r>
  <r>
    <s v="M"/>
    <x v="2"/>
    <n v="92"/>
    <n v="1.84"/>
    <n v="27.2"/>
    <n v="27.173913043478258"/>
    <n v="0"/>
    <x v="2"/>
    <n v="89.5"/>
    <s v="136/77"/>
    <n v="136"/>
    <n v="77"/>
    <n v="247"/>
    <x v="0"/>
    <n v="61"/>
    <n v="103"/>
    <x v="1"/>
    <x v="1"/>
    <x v="0"/>
    <s v="N"/>
    <x v="0"/>
    <m/>
    <n v="0.48599999999999999"/>
    <x v="0"/>
    <n v="136"/>
    <n v="77"/>
    <x v="1"/>
    <n v="156"/>
    <n v="2.56"/>
    <x v="0"/>
    <n v="17.18"/>
    <x v="1"/>
    <x v="1"/>
    <x v="1"/>
    <n v="1"/>
    <x v="0"/>
  </r>
  <r>
    <s v="M"/>
    <x v="25"/>
    <n v="110.6"/>
    <n v="1.85"/>
    <n v="32.299999999999997"/>
    <n v="32.315558802045281"/>
    <n v="0"/>
    <x v="1"/>
    <n v="70.8"/>
    <s v="118/68"/>
    <n v="118"/>
    <n v="68"/>
    <n v="115"/>
    <x v="2"/>
    <n v="40"/>
    <n v="72"/>
    <x v="1"/>
    <x v="1"/>
    <x v="1"/>
    <s v="N"/>
    <x v="2"/>
    <n v="185"/>
    <n v="0.38300000000000001"/>
    <x v="2"/>
    <m/>
    <n v="68"/>
    <x v="2"/>
    <n v="45"/>
    <n v="1.1299999999999999"/>
    <x v="0"/>
    <n v="14.66"/>
    <x v="0"/>
    <x v="0"/>
    <x v="0"/>
    <n v="0"/>
    <x v="0"/>
  </r>
  <r>
    <s v="M"/>
    <x v="9"/>
    <n v="72.8"/>
    <n v="1.76"/>
    <n v="23.5"/>
    <n v="23.50206611570248"/>
    <n v="0"/>
    <x v="0"/>
    <n v="76.3"/>
    <s v="130/66"/>
    <n v="130"/>
    <n v="66"/>
    <n v="118"/>
    <x v="2"/>
    <n v="63"/>
    <n v="109"/>
    <x v="1"/>
    <x v="1"/>
    <x v="2"/>
    <s v="N"/>
    <x v="2"/>
    <n v="176"/>
    <n v="0.434"/>
    <x v="2"/>
    <n v="130"/>
    <n v="66"/>
    <x v="1"/>
    <n v="25"/>
    <n v="0.4"/>
    <x v="0"/>
    <n v="13.56"/>
    <x v="2"/>
    <x v="0"/>
    <x v="0"/>
    <n v="0"/>
    <x v="0"/>
  </r>
  <r>
    <s v="M"/>
    <x v="30"/>
    <n v="61.1"/>
    <n v="1.63"/>
    <n v="23"/>
    <n v="22.996725507170012"/>
    <n v="0"/>
    <x v="0"/>
    <n v="91.5"/>
    <s v="98/85"/>
    <n v="98"/>
    <n v="85"/>
    <n v="111"/>
    <x v="2"/>
    <n v="73"/>
    <n v="113"/>
    <x v="1"/>
    <x v="0"/>
    <x v="1"/>
    <s v="Y"/>
    <x v="1"/>
    <n v="163"/>
    <n v="0.56100000000000005"/>
    <x v="1"/>
    <n v="98"/>
    <n v="85"/>
    <x v="1"/>
    <n v="8"/>
    <n v="0.11"/>
    <x v="0"/>
    <n v="13.72"/>
    <x v="1"/>
    <x v="1"/>
    <x v="1"/>
    <n v="1"/>
    <x v="0"/>
  </r>
  <r>
    <s v="F"/>
    <x v="2"/>
    <n v="85.6"/>
    <n v="1.66"/>
    <n v="31.1"/>
    <n v="31.064015096530699"/>
    <n v="0"/>
    <x v="1"/>
    <n v="83.6"/>
    <s v="103/99"/>
    <n v="103"/>
    <n v="99"/>
    <n v="222"/>
    <x v="0"/>
    <n v="66"/>
    <n v="99"/>
    <x v="1"/>
    <x v="0"/>
    <x v="1"/>
    <s v="N"/>
    <x v="0"/>
    <n v="166"/>
    <n v="0.504"/>
    <x v="0"/>
    <n v="103"/>
    <n v="99"/>
    <x v="3"/>
    <n v="126"/>
    <n v="1.91"/>
    <x v="0"/>
    <m/>
    <x v="1"/>
    <x v="1"/>
    <x v="1"/>
    <n v="1"/>
    <x v="0"/>
  </r>
  <r>
    <s v="F"/>
    <x v="17"/>
    <n v="82.2"/>
    <n v="1.87"/>
    <n v="23.5"/>
    <n v="23.506534359003687"/>
    <n v="0"/>
    <x v="0"/>
    <m/>
    <s v="113/69"/>
    <n v="113"/>
    <n v="69"/>
    <n v="217"/>
    <x v="0"/>
    <n v="34"/>
    <n v="103"/>
    <x v="1"/>
    <x v="0"/>
    <x v="0"/>
    <s v="N"/>
    <x v="1"/>
    <n v="187"/>
    <n v="0.48699999999999999"/>
    <x v="0"/>
    <n v="113"/>
    <n v="69"/>
    <x v="2"/>
    <n v="153"/>
    <n v="4.5"/>
    <x v="1"/>
    <n v="16.690000000000001"/>
    <x v="1"/>
    <x v="0"/>
    <x v="1"/>
    <n v="1"/>
    <x v="0"/>
  </r>
  <r>
    <s v="F"/>
    <x v="25"/>
    <n v="113.9"/>
    <n v="1.89"/>
    <n v="31.9"/>
    <n v="31.88600543097898"/>
    <n v="0"/>
    <x v="1"/>
    <m/>
    <s v="129/82"/>
    <n v="129"/>
    <n v="82"/>
    <n v="239"/>
    <x v="0"/>
    <n v="61"/>
    <n v="90"/>
    <x v="0"/>
    <x v="0"/>
    <x v="1"/>
    <s v="Y"/>
    <x v="0"/>
    <n v="189"/>
    <n v="0.40400000000000003"/>
    <x v="2"/>
    <n v="129"/>
    <n v="82"/>
    <x v="1"/>
    <n v="148"/>
    <n v="2.4300000000000002"/>
    <x v="0"/>
    <n v="19.61"/>
    <x v="1"/>
    <x v="1"/>
    <x v="1"/>
    <n v="1"/>
    <x v="1"/>
  </r>
  <r>
    <s v="F"/>
    <x v="2"/>
    <n v="86.8"/>
    <n v="1.67"/>
    <n v="31.1"/>
    <n v="31.123381978557855"/>
    <n v="0"/>
    <x v="1"/>
    <n v="71.599999999999994"/>
    <s v="120/69"/>
    <n v="120"/>
    <n v="69"/>
    <n v="105"/>
    <x v="2"/>
    <n v="53"/>
    <n v="97"/>
    <x v="1"/>
    <x v="0"/>
    <x v="1"/>
    <s v="Y"/>
    <x v="1"/>
    <n v="167"/>
    <n v="0.42899999999999999"/>
    <x v="2"/>
    <n v="120"/>
    <n v="69"/>
    <x v="0"/>
    <n v="22"/>
    <n v="0.42"/>
    <x v="0"/>
    <n v="16.32"/>
    <x v="1"/>
    <x v="0"/>
    <x v="1"/>
    <n v="1"/>
    <x v="0"/>
  </r>
  <r>
    <s v="M"/>
    <x v="0"/>
    <n v="53.1"/>
    <n v="1.69"/>
    <n v="18.600000000000001"/>
    <n v="18.591786001890693"/>
    <n v="0"/>
    <x v="0"/>
    <n v="82.9"/>
    <s v="124/73"/>
    <n v="124"/>
    <n v="73"/>
    <n v="192"/>
    <x v="0"/>
    <n v="76"/>
    <n v="103"/>
    <x v="0"/>
    <x v="1"/>
    <x v="2"/>
    <s v="N"/>
    <x v="3"/>
    <n v="169"/>
    <n v="0.49099999999999999"/>
    <x v="0"/>
    <m/>
    <n v="73"/>
    <x v="0"/>
    <n v="86"/>
    <n v="1.1299999999999999"/>
    <x v="0"/>
    <n v="13.76"/>
    <x v="2"/>
    <x v="0"/>
    <x v="0"/>
    <n v="0"/>
    <x v="0"/>
  </r>
  <r>
    <s v="F"/>
    <x v="1"/>
    <n v="79.7"/>
    <n v="1.78"/>
    <n v="25.2"/>
    <n v="25.154652190380002"/>
    <n v="0"/>
    <x v="2"/>
    <n v="86.9"/>
    <s v="140/62"/>
    <n v="140"/>
    <n v="62"/>
    <n v="248"/>
    <x v="0"/>
    <n v="36"/>
    <n v="73"/>
    <x v="1"/>
    <x v="0"/>
    <x v="2"/>
    <s v="Y"/>
    <x v="1"/>
    <n v="178"/>
    <n v="0.48799999999999999"/>
    <x v="0"/>
    <n v="140"/>
    <n v="62"/>
    <x v="3"/>
    <n v="182"/>
    <n v="5.0599999999999996"/>
    <x v="0"/>
    <n v="19"/>
    <x v="1"/>
    <x v="0"/>
    <x v="1"/>
    <n v="1"/>
    <x v="1"/>
  </r>
  <r>
    <s v="M"/>
    <x v="13"/>
    <n v="115.8"/>
    <n v="1.61"/>
    <n v="44.7"/>
    <n v="44.674202384167273"/>
    <n v="0"/>
    <x v="1"/>
    <n v="81.3"/>
    <s v="120/89"/>
    <n v="120"/>
    <n v="89"/>
    <n v="232"/>
    <x v="0"/>
    <n v="64"/>
    <n v="89"/>
    <x v="0"/>
    <x v="0"/>
    <x v="2"/>
    <s v="Y"/>
    <x v="0"/>
    <n v="161"/>
    <n v="0.505"/>
    <x v="0"/>
    <n v="120"/>
    <n v="89"/>
    <x v="1"/>
    <n v="138"/>
    <n v="2.16"/>
    <x v="0"/>
    <n v="21.58"/>
    <x v="1"/>
    <x v="1"/>
    <x v="1"/>
    <n v="1"/>
    <x v="0"/>
  </r>
  <r>
    <s v="F"/>
    <x v="13"/>
    <n v="111.3"/>
    <n v="1.63"/>
    <n v="41.9"/>
    <n v="41.890925514697585"/>
    <n v="0"/>
    <x v="1"/>
    <n v="94.9"/>
    <s v="124/73"/>
    <n v="124"/>
    <n v="73"/>
    <n v="224"/>
    <x v="0"/>
    <n v="41"/>
    <n v="78"/>
    <x v="1"/>
    <x v="0"/>
    <x v="2"/>
    <s v="N"/>
    <x v="0"/>
    <m/>
    <n v="0.58199999999999996"/>
    <x v="1"/>
    <n v="124"/>
    <n v="73"/>
    <x v="0"/>
    <n v="153"/>
    <n v="3.73"/>
    <x v="0"/>
    <n v="21.06"/>
    <x v="1"/>
    <x v="0"/>
    <x v="1"/>
    <n v="1"/>
    <x v="0"/>
  </r>
  <r>
    <s v="F"/>
    <x v="9"/>
    <n v="91.8"/>
    <n v="1.76"/>
    <n v="29.6"/>
    <n v="29.635847107438018"/>
    <n v="0"/>
    <x v="2"/>
    <n v="71"/>
    <s v="148/67"/>
    <n v="148"/>
    <n v="67"/>
    <n v="256"/>
    <x v="0"/>
    <n v="73"/>
    <n v="134"/>
    <x v="1"/>
    <x v="0"/>
    <x v="0"/>
    <s v="N"/>
    <x v="1"/>
    <n v="176"/>
    <n v="0.40300000000000002"/>
    <x v="2"/>
    <n v="148"/>
    <n v="67"/>
    <x v="3"/>
    <n v="153"/>
    <n v="2.1"/>
    <x v="0"/>
    <n v="20.440000000000001"/>
    <x v="1"/>
    <x v="1"/>
    <x v="1"/>
    <n v="1"/>
    <x v="0"/>
  </r>
  <r>
    <s v="M"/>
    <x v="17"/>
    <n v="117"/>
    <m/>
    <n v="40.5"/>
    <s v=""/>
    <s v=""/>
    <x v="1"/>
    <n v="81.3"/>
    <s v="122/74"/>
    <n v="122"/>
    <n v="74"/>
    <n v="238"/>
    <x v="0"/>
    <n v="67"/>
    <n v="96"/>
    <x v="1"/>
    <x v="1"/>
    <x v="1"/>
    <s v="Y"/>
    <x v="0"/>
    <n v="170"/>
    <n v="0.47799999999999998"/>
    <x v="0"/>
    <n v="122"/>
    <n v="74"/>
    <x v="0"/>
    <n v="141"/>
    <n v="2.1"/>
    <x v="0"/>
    <n v="18.96"/>
    <x v="1"/>
    <x v="1"/>
    <x v="1"/>
    <n v="1"/>
    <x v="0"/>
  </r>
  <r>
    <s v="M"/>
    <x v="0"/>
    <n v="110.5"/>
    <n v="1.76"/>
    <n v="35.700000000000003"/>
    <n v="35.672778925619838"/>
    <n v="0"/>
    <x v="1"/>
    <n v="87.5"/>
    <s v="119/74"/>
    <n v="119"/>
    <n v="74"/>
    <n v="150"/>
    <x v="1"/>
    <n v="44"/>
    <n v="136"/>
    <x v="1"/>
    <x v="1"/>
    <x v="2"/>
    <s v="Y"/>
    <x v="0"/>
    <n v="176"/>
    <n v="0.497"/>
    <x v="0"/>
    <n v="119"/>
    <n v="74"/>
    <x v="2"/>
    <n v="76"/>
    <n v="1.73"/>
    <x v="0"/>
    <n v="16.09"/>
    <x v="0"/>
    <x v="0"/>
    <x v="0"/>
    <n v="0"/>
    <x v="0"/>
  </r>
  <r>
    <s v="M"/>
    <x v="11"/>
    <m/>
    <n v="1.63"/>
    <n v="41.6"/>
    <n v="0"/>
    <n v="1"/>
    <x v="1"/>
    <n v="108.7"/>
    <s v="122/73"/>
    <n v="122"/>
    <n v="73"/>
    <n v="273"/>
    <x v="0"/>
    <m/>
    <n v="71"/>
    <x v="1"/>
    <x v="0"/>
    <x v="2"/>
    <s v="Y"/>
    <x v="1"/>
    <n v="163"/>
    <n v="0.66700000000000004"/>
    <x v="3"/>
    <n v="122"/>
    <n v="73"/>
    <x v="0"/>
    <n v="172"/>
    <s v=""/>
    <x v="0"/>
    <n v="21.88"/>
    <x v="1"/>
    <x v="0"/>
    <x v="1"/>
    <n v="1"/>
    <x v="0"/>
  </r>
  <r>
    <s v="F"/>
    <x v="24"/>
    <n v="115.5"/>
    <n v="1.88"/>
    <n v="32.700000000000003"/>
    <n v="32.678813942960616"/>
    <n v="0"/>
    <x v="1"/>
    <n v="74.5"/>
    <s v="131/68"/>
    <n v="131"/>
    <n v="68"/>
    <n v="232"/>
    <x v="0"/>
    <n v="62"/>
    <n v="142"/>
    <x v="1"/>
    <x v="0"/>
    <x v="1"/>
    <s v="N"/>
    <x v="0"/>
    <n v="188"/>
    <n v="0.39600000000000002"/>
    <x v="2"/>
    <n v="131"/>
    <n v="68"/>
    <x v="1"/>
    <n v="140"/>
    <n v="2.2599999999999998"/>
    <x v="0"/>
    <n v="19.73"/>
    <x v="1"/>
    <x v="1"/>
    <x v="1"/>
    <n v="1"/>
    <x v="0"/>
  </r>
  <r>
    <s v="M"/>
    <x v="30"/>
    <n v="68.2"/>
    <n v="1.87"/>
    <n v="19.5"/>
    <n v="19.502988361119847"/>
    <n v="0"/>
    <x v="0"/>
    <n v="79.3"/>
    <s v="107/100"/>
    <n v="107"/>
    <n v="100"/>
    <n v="175"/>
    <x v="1"/>
    <n v="56"/>
    <n v="139"/>
    <x v="0"/>
    <x v="1"/>
    <x v="2"/>
    <s v="Y"/>
    <x v="2"/>
    <n v="187"/>
    <n v="0.42399999999999999"/>
    <x v="2"/>
    <n v="107"/>
    <n v="100"/>
    <x v="3"/>
    <n v="89"/>
    <n v="1.59"/>
    <x v="0"/>
    <n v="12.75"/>
    <x v="0"/>
    <x v="0"/>
    <x v="0"/>
    <n v="0"/>
    <x v="0"/>
  </r>
  <r>
    <s v="M"/>
    <x v="29"/>
    <n v="113.3"/>
    <n v="1.81"/>
    <n v="34.6"/>
    <n v="34.583803913189463"/>
    <n v="0"/>
    <x v="1"/>
    <n v="83.7"/>
    <s v="95/82"/>
    <n v="95"/>
    <n v="82"/>
    <n v="177"/>
    <x v="1"/>
    <n v="44"/>
    <n v="74"/>
    <x v="0"/>
    <x v="0"/>
    <x v="2"/>
    <s v="N"/>
    <x v="2"/>
    <n v="181"/>
    <n v="0.46200000000000002"/>
    <x v="0"/>
    <m/>
    <n v="82"/>
    <x v="1"/>
    <n v="103"/>
    <n v="2.34"/>
    <x v="0"/>
    <n v="17.21"/>
    <x v="0"/>
    <x v="0"/>
    <x v="0"/>
    <n v="0"/>
    <x v="1"/>
  </r>
  <r>
    <s v="F"/>
    <x v="13"/>
    <n v="67.2"/>
    <n v="1.82"/>
    <n v="20.3"/>
    <n v="20.287404902789518"/>
    <n v="0"/>
    <x v="0"/>
    <n v="109.5"/>
    <s v="96/60"/>
    <n v="96"/>
    <n v="60"/>
    <n v="290"/>
    <x v="0"/>
    <n v="66"/>
    <n v="96"/>
    <x v="1"/>
    <x v="0"/>
    <x v="2"/>
    <s v="N"/>
    <x v="0"/>
    <n v="182"/>
    <n v="0.60199999999999998"/>
    <x v="3"/>
    <n v="96"/>
    <n v="60"/>
    <x v="2"/>
    <n v="194"/>
    <n v="2.94"/>
    <x v="0"/>
    <n v="16.66"/>
    <x v="0"/>
    <x v="0"/>
    <x v="0"/>
    <n v="0"/>
    <x v="0"/>
  </r>
  <r>
    <s v="M"/>
    <x v="18"/>
    <n v="78"/>
    <n v="1.71"/>
    <n v="26.7"/>
    <n v="26.674874320303687"/>
    <n v="0"/>
    <x v="2"/>
    <n v="102.1"/>
    <s v="122/73"/>
    <n v="122"/>
    <n v="73"/>
    <n v="275"/>
    <x v="0"/>
    <m/>
    <n v="108"/>
    <x v="0"/>
    <x v="1"/>
    <x v="1"/>
    <s v="N"/>
    <x v="3"/>
    <n v="171"/>
    <n v="0.59699999999999998"/>
    <x v="3"/>
    <n v="122"/>
    <n v="73"/>
    <x v="0"/>
    <n v="168"/>
    <s v=""/>
    <x v="0"/>
    <n v="16.940000000000001"/>
    <x v="0"/>
    <x v="0"/>
    <x v="0"/>
    <n v="0"/>
    <x v="0"/>
  </r>
  <r>
    <s v="M"/>
    <x v="21"/>
    <n v="115.8"/>
    <n v="1.74"/>
    <n v="38.200000000000003"/>
    <n v="38.248117320650017"/>
    <n v="0"/>
    <x v="1"/>
    <n v="88.8"/>
    <s v="143/82"/>
    <n v="143"/>
    <n v="82"/>
    <n v="249"/>
    <x v="0"/>
    <n v="66"/>
    <n v="92"/>
    <x v="1"/>
    <x v="0"/>
    <x v="2"/>
    <s v="N"/>
    <x v="0"/>
    <n v="174"/>
    <n v="0.51"/>
    <x v="0"/>
    <n v="143"/>
    <n v="82"/>
    <x v="1"/>
    <n v="153"/>
    <n v="2.3199999999999998"/>
    <x v="0"/>
    <n v="21.77"/>
    <x v="1"/>
    <x v="1"/>
    <x v="1"/>
    <n v="1"/>
    <x v="0"/>
  </r>
  <r>
    <s v="M"/>
    <x v="6"/>
    <n v="112.7"/>
    <n v="1.64"/>
    <n v="41.9"/>
    <n v="41.902141582391444"/>
    <n v="0"/>
    <x v="1"/>
    <n v="76.099999999999994"/>
    <s v="98/92"/>
    <n v="98"/>
    <n v="92"/>
    <n v="189"/>
    <x v="0"/>
    <n v="68"/>
    <n v="111"/>
    <x v="1"/>
    <x v="0"/>
    <x v="1"/>
    <s v="Y"/>
    <x v="1"/>
    <n v="164"/>
    <n v="0.46400000000000002"/>
    <x v="0"/>
    <n v="98"/>
    <n v="92"/>
    <x v="3"/>
    <n v="91"/>
    <n v="1.34"/>
    <x v="0"/>
    <n v="19.059999999999999"/>
    <x v="1"/>
    <x v="1"/>
    <x v="1"/>
    <n v="1"/>
    <x v="0"/>
  </r>
  <r>
    <s v="M"/>
    <x v="8"/>
    <n v="117.8"/>
    <n v="1.85"/>
    <n v="34.4"/>
    <n v="34.419284149013876"/>
    <n v="0"/>
    <x v="1"/>
    <n v="93.3"/>
    <s v="110/76"/>
    <n v="110"/>
    <n v="76"/>
    <n v="141"/>
    <x v="2"/>
    <n v="42"/>
    <n v="106"/>
    <x v="0"/>
    <x v="1"/>
    <x v="0"/>
    <s v="N"/>
    <x v="2"/>
    <n v="185"/>
    <n v="0.504"/>
    <x v="0"/>
    <m/>
    <n v="76"/>
    <x v="2"/>
    <m/>
    <n v="0"/>
    <x v="0"/>
    <n v="15.2"/>
    <x v="0"/>
    <x v="0"/>
    <x v="0"/>
    <n v="0"/>
    <x v="0"/>
  </r>
  <r>
    <s v="F"/>
    <x v="29"/>
    <n v="116.2"/>
    <m/>
    <n v="36.700000000000003"/>
    <s v=""/>
    <s v=""/>
    <x v="1"/>
    <n v="97.8"/>
    <s v="112/80"/>
    <n v="112"/>
    <n v="80"/>
    <n v="188"/>
    <x v="0"/>
    <n v="52"/>
    <n v="97"/>
    <x v="1"/>
    <x v="1"/>
    <x v="2"/>
    <s v="N"/>
    <x v="2"/>
    <m/>
    <n v="0.54900000000000004"/>
    <x v="1"/>
    <n v="112"/>
    <n v="80"/>
    <x v="1"/>
    <n v="106"/>
    <n v="2.04"/>
    <x v="0"/>
    <n v="16.7"/>
    <x v="0"/>
    <x v="0"/>
    <x v="0"/>
    <n v="0"/>
    <x v="0"/>
  </r>
  <r>
    <s v="M"/>
    <x v="3"/>
    <n v="97.8"/>
    <n v="1.89"/>
    <n v="27.4"/>
    <n v="27.378852775678173"/>
    <n v="0"/>
    <x v="2"/>
    <n v="91.9"/>
    <s v="129/61"/>
    <n v="129"/>
    <n v="61"/>
    <n v="166"/>
    <x v="1"/>
    <n v="61"/>
    <n v="143"/>
    <x v="1"/>
    <x v="0"/>
    <x v="2"/>
    <s v="Y"/>
    <x v="1"/>
    <n v="189"/>
    <n v="0.48599999999999999"/>
    <x v="0"/>
    <n v="129"/>
    <n v="61"/>
    <x v="0"/>
    <n v="75"/>
    <n v="1.23"/>
    <x v="0"/>
    <n v="17.25"/>
    <x v="1"/>
    <x v="1"/>
    <x v="1"/>
    <n v="1"/>
    <x v="0"/>
  </r>
  <r>
    <s v="F"/>
    <x v="4"/>
    <n v="115"/>
    <n v="1.81"/>
    <n v="35.1"/>
    <n v="35.102713592381185"/>
    <n v="0"/>
    <x v="1"/>
    <n v="107.1"/>
    <s v="139/76"/>
    <n v="139"/>
    <n v="76"/>
    <n v="293"/>
    <x v="0"/>
    <n v="68"/>
    <n v="124"/>
    <x v="1"/>
    <x v="0"/>
    <x v="0"/>
    <s v="N"/>
    <x v="1"/>
    <n v="181"/>
    <n v="0.59199999999999997"/>
    <x v="3"/>
    <n v="139"/>
    <m/>
    <x v="1"/>
    <n v="195"/>
    <n v="2.87"/>
    <x v="0"/>
    <n v="21.83"/>
    <x v="1"/>
    <x v="1"/>
    <x v="1"/>
    <n v="1"/>
    <x v="1"/>
  </r>
  <r>
    <s v="M"/>
    <x v="29"/>
    <n v="78.599999999999994"/>
    <n v="1.8"/>
    <n v="24.3"/>
    <n v="24.259259259259256"/>
    <n v="0"/>
    <x v="0"/>
    <n v="105.7"/>
    <s v="130/71"/>
    <n v="130"/>
    <n v="71"/>
    <n v="141"/>
    <x v="2"/>
    <n v="37"/>
    <n v="80"/>
    <x v="1"/>
    <x v="1"/>
    <x v="0"/>
    <s v="N"/>
    <x v="0"/>
    <m/>
    <n v="0.58699999999999997"/>
    <x v="3"/>
    <n v="130"/>
    <n v="71"/>
    <x v="1"/>
    <n v="74"/>
    <n v="2"/>
    <x v="0"/>
    <n v="14.18"/>
    <x v="1"/>
    <x v="0"/>
    <x v="1"/>
    <n v="1"/>
    <x v="0"/>
  </r>
  <r>
    <s v="F"/>
    <x v="22"/>
    <n v="74.5"/>
    <n v="1.81"/>
    <n v="22.7"/>
    <n v="22.740453588107812"/>
    <n v="0"/>
    <x v="0"/>
    <n v="79"/>
    <s v="129/80"/>
    <n v="129"/>
    <n v="80"/>
    <n v="231"/>
    <x v="0"/>
    <m/>
    <n v="97"/>
    <x v="0"/>
    <x v="1"/>
    <x v="2"/>
    <s v="Y"/>
    <x v="2"/>
    <n v="181"/>
    <n v="0.436"/>
    <x v="2"/>
    <n v="129"/>
    <n v="80"/>
    <x v="1"/>
    <n v="132"/>
    <s v=""/>
    <x v="0"/>
    <n v="15.61"/>
    <x v="0"/>
    <x v="0"/>
    <x v="0"/>
    <n v="0"/>
    <x v="0"/>
  </r>
  <r>
    <s v="F"/>
    <x v="3"/>
    <n v="81.7"/>
    <n v="1.61"/>
    <n v="31.5"/>
    <n v="31.518845723544615"/>
    <n v="0"/>
    <x v="1"/>
    <n v="70.8"/>
    <s v="148/65"/>
    <n v="148"/>
    <n v="65"/>
    <n v="140"/>
    <x v="2"/>
    <n v="70"/>
    <n v="108"/>
    <x v="0"/>
    <x v="0"/>
    <x v="0"/>
    <s v="Y"/>
    <x v="1"/>
    <n v="161"/>
    <n v="0.44"/>
    <x v="2"/>
    <n v="148"/>
    <n v="65"/>
    <x v="3"/>
    <n v="40"/>
    <n v="0.56999999999999995"/>
    <x v="0"/>
    <n v="18.5"/>
    <x v="1"/>
    <x v="1"/>
    <x v="1"/>
    <n v="1"/>
    <x v="0"/>
  </r>
  <r>
    <s v="F"/>
    <x v="4"/>
    <n v="88.6"/>
    <n v="1.67"/>
    <n v="31.8"/>
    <n v="31.768797733873569"/>
    <n v="0"/>
    <x v="1"/>
    <n v="95.3"/>
    <s v="90/74"/>
    <n v="90"/>
    <n v="74"/>
    <n v="133"/>
    <x v="2"/>
    <n v="80"/>
    <n v="73"/>
    <x v="1"/>
    <x v="0"/>
    <x v="1"/>
    <s v="Y"/>
    <x v="1"/>
    <n v="167"/>
    <n v="0.57099999999999995"/>
    <x v="1"/>
    <n v="90"/>
    <n v="74"/>
    <x v="2"/>
    <n v="23"/>
    <n v="0.28999999999999998"/>
    <x v="0"/>
    <n v="15.52"/>
    <x v="1"/>
    <x v="1"/>
    <x v="1"/>
    <n v="1"/>
    <x v="0"/>
  </r>
  <r>
    <s v="M"/>
    <x v="9"/>
    <n v="92.4"/>
    <n v="1.8"/>
    <n v="28.5"/>
    <n v="28.518518518518519"/>
    <n v="0"/>
    <x v="2"/>
    <n v="78.8"/>
    <s v="101/77"/>
    <n v="101"/>
    <n v="77"/>
    <n v="135"/>
    <x v="2"/>
    <n v="67"/>
    <n v="123"/>
    <x v="1"/>
    <x v="0"/>
    <x v="0"/>
    <s v="N"/>
    <x v="1"/>
    <n v="180"/>
    <n v="0.438"/>
    <x v="2"/>
    <n v="101"/>
    <n v="77"/>
    <x v="2"/>
    <n v="38"/>
    <n v="0.56999999999999995"/>
    <x v="0"/>
    <n v="15.45"/>
    <x v="1"/>
    <x v="1"/>
    <x v="1"/>
    <n v="1"/>
    <x v="0"/>
  </r>
  <r>
    <s v="M"/>
    <x v="19"/>
    <n v="119.7"/>
    <n v="1.61"/>
    <n v="46.2"/>
    <n v="46.178773967053736"/>
    <n v="0"/>
    <x v="1"/>
    <m/>
    <s v="127/70"/>
    <n v="127"/>
    <n v="70"/>
    <n v="280"/>
    <x v="0"/>
    <n v="80"/>
    <n v="136"/>
    <x v="1"/>
    <x v="1"/>
    <x v="2"/>
    <s v="Y"/>
    <x v="0"/>
    <n v="161"/>
    <n v="0.55300000000000005"/>
    <x v="1"/>
    <n v="127"/>
    <n v="70"/>
    <x v="0"/>
    <n v="170"/>
    <n v="2.13"/>
    <x v="0"/>
    <n v="21.19"/>
    <x v="1"/>
    <x v="1"/>
    <x v="1"/>
    <n v="1"/>
    <x v="0"/>
  </r>
  <r>
    <s v="M"/>
    <x v="16"/>
    <n v="112.7"/>
    <m/>
    <n v="37.200000000000003"/>
    <s v=""/>
    <s v=""/>
    <x v="1"/>
    <n v="104.1"/>
    <s v="132/83"/>
    <n v="132"/>
    <n v="83"/>
    <n v="126"/>
    <x v="2"/>
    <n v="30"/>
    <n v="74"/>
    <x v="1"/>
    <x v="1"/>
    <x v="0"/>
    <s v="N"/>
    <x v="0"/>
    <n v="174"/>
    <n v="0.59799999999999998"/>
    <x v="3"/>
    <n v="132"/>
    <n v="83"/>
    <x v="1"/>
    <n v="66"/>
    <n v="2.2000000000000002"/>
    <x v="0"/>
    <n v="16.559999999999999"/>
    <x v="1"/>
    <x v="0"/>
    <x v="1"/>
    <n v="1"/>
    <x v="0"/>
  </r>
  <r>
    <s v="M"/>
    <x v="20"/>
    <n v="105.6"/>
    <n v="1.81"/>
    <n v="32.200000000000003"/>
    <n v="32.233448307438721"/>
    <n v="0"/>
    <x v="1"/>
    <n v="100.6"/>
    <s v="111/97"/>
    <n v="111"/>
    <n v="97"/>
    <n v="201"/>
    <x v="0"/>
    <n v="36"/>
    <n v="77"/>
    <x v="1"/>
    <x v="0"/>
    <x v="0"/>
    <s v="N"/>
    <x v="1"/>
    <n v="181"/>
    <n v="0.55600000000000005"/>
    <x v="1"/>
    <n v="111"/>
    <n v="97"/>
    <x v="3"/>
    <n v="135"/>
    <n v="3.75"/>
    <x v="0"/>
    <n v="18.010000000000002"/>
    <x v="1"/>
    <x v="0"/>
    <x v="1"/>
    <n v="1"/>
    <x v="0"/>
  </r>
  <r>
    <s v="F"/>
    <x v="27"/>
    <n v="99.4"/>
    <n v="1.67"/>
    <n v="35.6"/>
    <n v="35.641292265767866"/>
    <n v="0"/>
    <x v="1"/>
    <n v="96.3"/>
    <s v="144/81"/>
    <n v="144"/>
    <n v="81"/>
    <n v="256"/>
    <x v="0"/>
    <n v="30"/>
    <n v="107"/>
    <x v="1"/>
    <x v="1"/>
    <x v="2"/>
    <s v="N"/>
    <x v="2"/>
    <n v="167"/>
    <n v="0.57699999999999996"/>
    <x v="1"/>
    <n v="144"/>
    <n v="81"/>
    <x v="1"/>
    <n v="196"/>
    <n v="6.53"/>
    <x v="0"/>
    <n v="19.440000000000001"/>
    <x v="1"/>
    <x v="0"/>
    <x v="1"/>
    <n v="1"/>
    <x v="0"/>
  </r>
  <r>
    <s v="M"/>
    <x v="30"/>
    <n v="118.3"/>
    <n v="1.89"/>
    <n v="33.1"/>
    <n v="33.117773858514603"/>
    <n v="0"/>
    <x v="1"/>
    <n v="96.2"/>
    <s v="130/68"/>
    <n v="130"/>
    <n v="68"/>
    <n v="240"/>
    <x v="0"/>
    <n v="61"/>
    <n v="86"/>
    <x v="0"/>
    <x v="1"/>
    <x v="2"/>
    <s v="N"/>
    <x v="3"/>
    <n v="189"/>
    <n v="0.50900000000000001"/>
    <x v="0"/>
    <n v="130"/>
    <n v="68"/>
    <x v="1"/>
    <n v="149"/>
    <n v="2.44"/>
    <x v="0"/>
    <m/>
    <x v="0"/>
    <x v="0"/>
    <x v="0"/>
    <n v="0"/>
    <x v="0"/>
  </r>
  <r>
    <s v="F"/>
    <x v="31"/>
    <n v="74.599999999999994"/>
    <n v="1.86"/>
    <n v="21.6"/>
    <n v="21.563186495548614"/>
    <n v="0"/>
    <x v="0"/>
    <n v="103.6"/>
    <s v="102/73"/>
    <n v="102"/>
    <n v="73"/>
    <n v="279"/>
    <x v="0"/>
    <n v="38"/>
    <n v="146"/>
    <x v="0"/>
    <x v="1"/>
    <x v="0"/>
    <s v="Y"/>
    <x v="0"/>
    <n v="186"/>
    <n v="0.55700000000000005"/>
    <x v="1"/>
    <n v="102"/>
    <n v="73"/>
    <x v="2"/>
    <m/>
    <n v="0"/>
    <x v="0"/>
    <n v="15"/>
    <x v="1"/>
    <x v="0"/>
    <x v="1"/>
    <n v="1"/>
    <x v="0"/>
  </r>
  <r>
    <s v="M"/>
    <x v="14"/>
    <n v="86.5"/>
    <n v="1.8"/>
    <n v="26.7"/>
    <n v="26.697530864197528"/>
    <n v="0"/>
    <x v="2"/>
    <n v="96.6"/>
    <s v="118/78"/>
    <n v="118"/>
    <n v="78"/>
    <n v="284"/>
    <x v="0"/>
    <n v="39"/>
    <n v="77"/>
    <x v="1"/>
    <x v="1"/>
    <x v="1"/>
    <s v="N"/>
    <x v="2"/>
    <n v="180"/>
    <n v="0.53700000000000003"/>
    <x v="1"/>
    <n v="118"/>
    <n v="78"/>
    <x v="2"/>
    <n v="215"/>
    <n v="5.51"/>
    <x v="1"/>
    <n v="16.920000000000002"/>
    <x v="1"/>
    <x v="0"/>
    <x v="1"/>
    <n v="1"/>
    <x v="0"/>
  </r>
  <r>
    <s v="F"/>
    <x v="6"/>
    <n v="54.9"/>
    <n v="1.63"/>
    <n v="20.7"/>
    <n v="20.663178892694493"/>
    <n v="0"/>
    <x v="0"/>
    <n v="75.2"/>
    <s v="118/81"/>
    <n v="118"/>
    <n v="81"/>
    <n v="114"/>
    <x v="2"/>
    <n v="38"/>
    <n v="110"/>
    <x v="1"/>
    <x v="0"/>
    <x v="0"/>
    <s v="N"/>
    <x v="1"/>
    <n v="163"/>
    <n v="0.46100000000000002"/>
    <x v="0"/>
    <m/>
    <n v="81"/>
    <x v="1"/>
    <n v="46"/>
    <n v="1.21"/>
    <x v="0"/>
    <m/>
    <x v="1"/>
    <x v="0"/>
    <x v="1"/>
    <n v="1"/>
    <x v="0"/>
  </r>
  <r>
    <s v="F"/>
    <x v="13"/>
    <n v="61.1"/>
    <n v="1.75"/>
    <n v="20"/>
    <n v="19.951020408163266"/>
    <n v="0"/>
    <x v="0"/>
    <n v="71.599999999999994"/>
    <s v="108/100"/>
    <n v="108"/>
    <n v="100"/>
    <n v="277"/>
    <x v="0"/>
    <n v="40"/>
    <n v="97"/>
    <x v="1"/>
    <x v="1"/>
    <x v="2"/>
    <s v="N"/>
    <x v="2"/>
    <n v="175"/>
    <n v="0.40899999999999997"/>
    <x v="2"/>
    <n v="108"/>
    <n v="100"/>
    <x v="3"/>
    <n v="207"/>
    <n v="5.18"/>
    <x v="0"/>
    <n v="14.94"/>
    <x v="0"/>
    <x v="0"/>
    <x v="0"/>
    <n v="0"/>
    <x v="0"/>
  </r>
  <r>
    <s v="F"/>
    <x v="13"/>
    <n v="67.7"/>
    <n v="1.81"/>
    <m/>
    <n v="20.664814871340923"/>
    <n v="1"/>
    <x v="3"/>
    <n v="79.8"/>
    <s v="135/91"/>
    <n v="135"/>
    <n v="91"/>
    <n v="235"/>
    <x v="0"/>
    <n v="31"/>
    <n v="147"/>
    <x v="1"/>
    <x v="1"/>
    <x v="0"/>
    <s v="N"/>
    <x v="0"/>
    <n v="181"/>
    <n v="0.441"/>
    <x v="2"/>
    <m/>
    <n v="91"/>
    <x v="1"/>
    <n v="174"/>
    <n v="5.61"/>
    <x v="0"/>
    <n v="15.59"/>
    <x v="1"/>
    <x v="0"/>
    <x v="1"/>
    <n v="1"/>
    <x v="0"/>
  </r>
  <r>
    <s v="F"/>
    <x v="15"/>
    <n v="60.2"/>
    <n v="1.68"/>
    <n v="21.3"/>
    <n v="21.329365079365083"/>
    <n v="0"/>
    <x v="0"/>
    <n v="104.7"/>
    <s v="111/87"/>
    <n v="111"/>
    <n v="87"/>
    <n v="289"/>
    <x v="0"/>
    <n v="68"/>
    <n v="116"/>
    <x v="1"/>
    <x v="1"/>
    <x v="2"/>
    <s v="N"/>
    <x v="2"/>
    <n v="168"/>
    <n v="0.623"/>
    <x v="3"/>
    <n v="111"/>
    <n v="87"/>
    <x v="1"/>
    <n v="191"/>
    <n v="2.81"/>
    <x v="0"/>
    <n v="15.59"/>
    <x v="0"/>
    <x v="0"/>
    <x v="0"/>
    <n v="0"/>
    <x v="0"/>
  </r>
  <r>
    <s v="F"/>
    <x v="24"/>
    <n v="72"/>
    <n v="1.67"/>
    <n v="25.8"/>
    <n v="25.816630212628635"/>
    <n v="0"/>
    <x v="2"/>
    <n v="84.9"/>
    <s v="92/69"/>
    <n v="92"/>
    <n v="69"/>
    <n v="190"/>
    <x v="0"/>
    <n v="67"/>
    <n v="144"/>
    <x v="1"/>
    <x v="1"/>
    <x v="2"/>
    <s v="N"/>
    <x v="2"/>
    <n v="167"/>
    <n v="0.50800000000000001"/>
    <x v="0"/>
    <n v="92"/>
    <n v="69"/>
    <x v="2"/>
    <n v="93"/>
    <n v="1.39"/>
    <x v="0"/>
    <n v="13.56"/>
    <x v="0"/>
    <x v="0"/>
    <x v="0"/>
    <n v="0"/>
    <x v="0"/>
  </r>
  <r>
    <s v="M"/>
    <x v="1"/>
    <n v="85"/>
    <n v="1.75"/>
    <n v="27.8"/>
    <n v="27.755102040816325"/>
    <n v="0"/>
    <x v="2"/>
    <n v="79.400000000000006"/>
    <s v="94/71"/>
    <n v="94"/>
    <n v="71"/>
    <n v="240"/>
    <x v="0"/>
    <n v="32"/>
    <m/>
    <x v="0"/>
    <x v="0"/>
    <x v="0"/>
    <s v="Y"/>
    <x v="1"/>
    <n v="175"/>
    <n v="0.45400000000000001"/>
    <x v="2"/>
    <n v="94"/>
    <n v="71"/>
    <x v="2"/>
    <n v="178"/>
    <n v="5.56"/>
    <x v="1"/>
    <n v="17.059999999999999"/>
    <x v="1"/>
    <x v="0"/>
    <x v="1"/>
    <n v="1"/>
    <x v="0"/>
  </r>
  <r>
    <s v="F"/>
    <x v="9"/>
    <n v="80"/>
    <n v="1.63"/>
    <n v="30.1"/>
    <n v="30.110278896458279"/>
    <n v="0"/>
    <x v="1"/>
    <n v="84.5"/>
    <s v="119/73"/>
    <n v="119"/>
    <n v="73"/>
    <n v="250"/>
    <x v="0"/>
    <n v="34"/>
    <n v="122"/>
    <x v="0"/>
    <x v="1"/>
    <x v="2"/>
    <s v="N"/>
    <x v="3"/>
    <n v="163"/>
    <n v="0.51800000000000002"/>
    <x v="0"/>
    <n v="119"/>
    <n v="73"/>
    <x v="2"/>
    <n v="186"/>
    <n v="5.47"/>
    <x v="0"/>
    <n v="16.97"/>
    <x v="0"/>
    <x v="0"/>
    <x v="0"/>
    <n v="0"/>
    <x v="0"/>
  </r>
  <r>
    <s v="M"/>
    <x v="12"/>
    <n v="70.900000000000006"/>
    <n v="1.85"/>
    <n v="20.7"/>
    <n v="20.715850986121257"/>
    <n v="0"/>
    <x v="0"/>
    <n v="73.2"/>
    <s v="127/86"/>
    <n v="127"/>
    <n v="86"/>
    <n v="172"/>
    <x v="1"/>
    <n v="34"/>
    <n v="133"/>
    <x v="1"/>
    <x v="0"/>
    <x v="1"/>
    <s v="Y"/>
    <x v="1"/>
    <n v="185"/>
    <n v="0.39600000000000002"/>
    <x v="2"/>
    <n v="127"/>
    <n v="86"/>
    <x v="1"/>
    <n v="108"/>
    <n v="3.18"/>
    <x v="0"/>
    <n v="15.93"/>
    <x v="1"/>
    <x v="0"/>
    <x v="1"/>
    <n v="1"/>
    <x v="0"/>
  </r>
  <r>
    <s v="F"/>
    <x v="2"/>
    <n v="79.599999999999994"/>
    <n v="1.88"/>
    <n v="22.5"/>
    <n v="22.521502942507922"/>
    <n v="0"/>
    <x v="0"/>
    <n v="97"/>
    <s v="114/85"/>
    <n v="114"/>
    <n v="85"/>
    <n v="194"/>
    <x v="0"/>
    <n v="76"/>
    <n v="90"/>
    <x v="1"/>
    <x v="1"/>
    <x v="2"/>
    <s v="N"/>
    <x v="2"/>
    <n v="188"/>
    <n v="0.51600000000000001"/>
    <x v="0"/>
    <n v="114"/>
    <n v="85"/>
    <x v="1"/>
    <m/>
    <n v="0"/>
    <x v="0"/>
    <n v="14.08"/>
    <x v="0"/>
    <x v="0"/>
    <x v="0"/>
    <n v="0"/>
    <x v="0"/>
  </r>
  <r>
    <s v="M"/>
    <x v="4"/>
    <n v="117.8"/>
    <n v="1.66"/>
    <n v="42.7"/>
    <n v="42.749310494992017"/>
    <n v="0"/>
    <x v="1"/>
    <n v="103.3"/>
    <s v="113/73"/>
    <n v="113"/>
    <n v="73"/>
    <n v="249"/>
    <x v="0"/>
    <n v="71"/>
    <n v="122"/>
    <x v="1"/>
    <x v="1"/>
    <x v="0"/>
    <s v="N"/>
    <x v="0"/>
    <n v="166"/>
    <n v="0.622"/>
    <x v="3"/>
    <n v="113"/>
    <n v="73"/>
    <x v="2"/>
    <n v="148"/>
    <n v="2.08"/>
    <x v="1"/>
    <n v="19.170000000000002"/>
    <x v="1"/>
    <x v="1"/>
    <x v="1"/>
    <n v="1"/>
    <x v="0"/>
  </r>
  <r>
    <s v="F"/>
    <x v="14"/>
    <n v="116.2"/>
    <n v="1.83"/>
    <n v="34.700000000000003"/>
    <n v="34.697960524351274"/>
    <n v="0"/>
    <x v="1"/>
    <n v="108.4"/>
    <s v="119/66"/>
    <n v="119"/>
    <n v="66"/>
    <n v="220"/>
    <x v="0"/>
    <n v="62"/>
    <n v="135"/>
    <x v="0"/>
    <x v="0"/>
    <x v="2"/>
    <s v="N"/>
    <x v="2"/>
    <n v="183"/>
    <n v="0.59199999999999997"/>
    <x v="3"/>
    <n v="119"/>
    <n v="66"/>
    <x v="2"/>
    <n v="128"/>
    <n v="2.06"/>
    <x v="0"/>
    <n v="19.29"/>
    <x v="0"/>
    <x v="0"/>
    <x v="0"/>
    <n v="0"/>
    <x v="0"/>
  </r>
  <r>
    <s v="F"/>
    <x v="9"/>
    <n v="103.9"/>
    <n v="1.9"/>
    <n v="28.8"/>
    <n v="28.78116343490305"/>
    <n v="0"/>
    <x v="2"/>
    <n v="82.4"/>
    <s v="142/93"/>
    <n v="142"/>
    <n v="93"/>
    <n v="110"/>
    <x v="2"/>
    <m/>
    <n v="127"/>
    <x v="1"/>
    <x v="0"/>
    <x v="2"/>
    <s v="Y"/>
    <x v="1"/>
    <n v="190"/>
    <n v="0.434"/>
    <x v="2"/>
    <n v="142"/>
    <n v="93"/>
    <x v="3"/>
    <n v="18"/>
    <s v=""/>
    <x v="0"/>
    <n v="17.059999999999999"/>
    <x v="1"/>
    <x v="0"/>
    <x v="1"/>
    <n v="1"/>
    <x v="0"/>
  </r>
  <r>
    <s v="M"/>
    <x v="23"/>
    <n v="50.5"/>
    <n v="1.66"/>
    <n v="18.3"/>
    <n v="18.326317317462621"/>
    <n v="0"/>
    <x v="3"/>
    <n v="108"/>
    <s v="148/73"/>
    <n v="148"/>
    <n v="73"/>
    <n v="208"/>
    <x v="0"/>
    <n v="40"/>
    <n v="80"/>
    <x v="1"/>
    <x v="0"/>
    <x v="2"/>
    <s v="Y"/>
    <x v="1"/>
    <n v="166"/>
    <n v="0.65100000000000002"/>
    <x v="3"/>
    <n v="148"/>
    <n v="73"/>
    <x v="3"/>
    <n v="138"/>
    <n v="3.45"/>
    <x v="0"/>
    <n v="17.22"/>
    <x v="1"/>
    <x v="0"/>
    <x v="1"/>
    <n v="1"/>
    <x v="1"/>
  </r>
  <r>
    <s v="M"/>
    <x v="2"/>
    <n v="55.6"/>
    <n v="1.83"/>
    <n v="16.600000000000001"/>
    <n v="16.602466481531248"/>
    <n v="0"/>
    <x v="3"/>
    <n v="104.8"/>
    <s v="126/95"/>
    <n v="126"/>
    <n v="95"/>
    <n v="289"/>
    <x v="0"/>
    <n v="58"/>
    <n v="135"/>
    <x v="1"/>
    <x v="1"/>
    <x v="1"/>
    <s v="N"/>
    <x v="2"/>
    <n v="183"/>
    <n v="0.57299999999999995"/>
    <x v="1"/>
    <n v="126"/>
    <n v="95"/>
    <x v="3"/>
    <n v="201"/>
    <n v="3.47"/>
    <x v="0"/>
    <n v="15.4"/>
    <x v="0"/>
    <x v="0"/>
    <x v="0"/>
    <n v="0"/>
    <x v="0"/>
  </r>
  <r>
    <s v="F"/>
    <x v="28"/>
    <n v="98.9"/>
    <n v="1.78"/>
    <n v="31.2"/>
    <n v="31.214493119555613"/>
    <n v="0"/>
    <x v="1"/>
    <n v="86.4"/>
    <s v="138/84"/>
    <n v="138"/>
    <n v="84"/>
    <n v="277"/>
    <x v="0"/>
    <n v="36"/>
    <n v="88"/>
    <x v="1"/>
    <x v="0"/>
    <x v="2"/>
    <s v="Y"/>
    <x v="1"/>
    <n v="178"/>
    <n v="0.48499999999999999"/>
    <x v="0"/>
    <n v="138"/>
    <n v="84"/>
    <x v="1"/>
    <n v="211"/>
    <n v="5.86"/>
    <x v="0"/>
    <n v="20.68"/>
    <x v="1"/>
    <x v="0"/>
    <x v="1"/>
    <n v="1"/>
    <x v="1"/>
  </r>
  <r>
    <s v="M"/>
    <x v="23"/>
    <n v="72.8"/>
    <n v="1.81"/>
    <n v="22.2"/>
    <n v="22.22154390891609"/>
    <n v="0"/>
    <x v="0"/>
    <m/>
    <s v="126/82"/>
    <n v="126"/>
    <n v="82"/>
    <n v="101"/>
    <x v="2"/>
    <n v="78"/>
    <n v="76"/>
    <x v="0"/>
    <x v="1"/>
    <x v="2"/>
    <s v="Y"/>
    <x v="2"/>
    <n v="181"/>
    <n v="0.50800000000000001"/>
    <x v="0"/>
    <n v="126"/>
    <n v="82"/>
    <x v="1"/>
    <n v="-7"/>
    <n v="-0.09"/>
    <x v="0"/>
    <n v="12.76"/>
    <x v="0"/>
    <x v="0"/>
    <x v="0"/>
    <n v="0"/>
    <x v="0"/>
  </r>
  <r>
    <s v="F"/>
    <x v="30"/>
    <n v="85.8"/>
    <n v="1.78"/>
    <n v="27.1"/>
    <n v="27.079914152253501"/>
    <n v="0"/>
    <x v="2"/>
    <n v="76.900000000000006"/>
    <s v="121/67"/>
    <n v="121"/>
    <n v="67"/>
    <n v="136"/>
    <x v="2"/>
    <n v="31"/>
    <n v="125"/>
    <x v="0"/>
    <x v="0"/>
    <x v="2"/>
    <s v="N"/>
    <x v="2"/>
    <n v="178"/>
    <n v="0.432"/>
    <x v="2"/>
    <n v="121"/>
    <n v="67"/>
    <x v="0"/>
    <n v="75"/>
    <n v="2.42"/>
    <x v="0"/>
    <n v="16.190000000000001"/>
    <x v="1"/>
    <x v="0"/>
    <x v="1"/>
    <n v="1"/>
    <x v="0"/>
  </r>
  <r>
    <s v="F"/>
    <x v="6"/>
    <m/>
    <n v="1.87"/>
    <n v="25.9"/>
    <n v="0"/>
    <n v="1"/>
    <x v="2"/>
    <n v="87.6"/>
    <s v="113/75"/>
    <n v="113"/>
    <n v="75"/>
    <n v="252"/>
    <x v="0"/>
    <n v="79"/>
    <n v="133"/>
    <x v="1"/>
    <x v="0"/>
    <x v="1"/>
    <s v="Y"/>
    <x v="1"/>
    <n v="187"/>
    <n v="0.46800000000000003"/>
    <x v="0"/>
    <n v="113"/>
    <n v="75"/>
    <x v="2"/>
    <n v="143"/>
    <n v="1.81"/>
    <x v="1"/>
    <n v="17.87"/>
    <x v="1"/>
    <x v="1"/>
    <x v="1"/>
    <n v="1"/>
    <x v="0"/>
  </r>
  <r>
    <s v="F"/>
    <x v="29"/>
    <n v="71.3"/>
    <n v="1.68"/>
    <n v="25.3"/>
    <n v="25.262188208616784"/>
    <n v="0"/>
    <x v="2"/>
    <n v="95.3"/>
    <s v="92/70"/>
    <n v="92"/>
    <n v="70"/>
    <n v="271"/>
    <x v="0"/>
    <n v="59"/>
    <n v="93"/>
    <x v="1"/>
    <x v="0"/>
    <x v="1"/>
    <s v="Y"/>
    <x v="1"/>
    <n v="168"/>
    <m/>
    <x v="4"/>
    <n v="92"/>
    <n v="70"/>
    <x v="2"/>
    <n v="182"/>
    <n v="3.08"/>
    <x v="1"/>
    <n v="17.079999999999998"/>
    <x v="1"/>
    <x v="0"/>
    <x v="1"/>
    <n v="1"/>
    <x v="0"/>
  </r>
  <r>
    <s v="F"/>
    <x v="19"/>
    <n v="94.5"/>
    <n v="1.82"/>
    <n v="28.5"/>
    <n v="28.529163144547759"/>
    <n v="0"/>
    <x v="2"/>
    <n v="74.599999999999994"/>
    <s v="90/79"/>
    <n v="90"/>
    <n v="79"/>
    <n v="115"/>
    <x v="2"/>
    <m/>
    <n v="144"/>
    <x v="1"/>
    <x v="0"/>
    <x v="2"/>
    <s v="N"/>
    <x v="0"/>
    <n v="182"/>
    <n v="0.41"/>
    <x v="2"/>
    <n v="90"/>
    <n v="79"/>
    <x v="2"/>
    <n v="13"/>
    <s v=""/>
    <x v="0"/>
    <n v="14.5"/>
    <x v="0"/>
    <x v="0"/>
    <x v="0"/>
    <n v="0"/>
    <x v="0"/>
  </r>
  <r>
    <s v="F"/>
    <x v="15"/>
    <n v="62.1"/>
    <n v="1.76"/>
    <n v="20"/>
    <n v="20.047778925619834"/>
    <n v="0"/>
    <x v="0"/>
    <n v="70.599999999999994"/>
    <s v="126/89"/>
    <n v="126"/>
    <n v="89"/>
    <n v="226"/>
    <x v="0"/>
    <n v="63"/>
    <n v="107"/>
    <x v="1"/>
    <x v="1"/>
    <x v="1"/>
    <s v="N"/>
    <x v="2"/>
    <n v="176"/>
    <n v="0.40100000000000002"/>
    <x v="2"/>
    <n v="126"/>
    <n v="89"/>
    <x v="1"/>
    <n v="133"/>
    <n v="2.11"/>
    <x v="0"/>
    <m/>
    <x v="0"/>
    <x v="0"/>
    <x v="0"/>
    <n v="0"/>
    <x v="0"/>
  </r>
  <r>
    <s v="M"/>
    <x v="4"/>
    <n v="56"/>
    <n v="1.82"/>
    <n v="16.899999999999999"/>
    <n v="16.906170752324599"/>
    <n v="0"/>
    <x v="3"/>
    <n v="104.2"/>
    <s v="132/78"/>
    <n v="132"/>
    <n v="78"/>
    <n v="144"/>
    <x v="2"/>
    <n v="43"/>
    <n v="98"/>
    <x v="1"/>
    <x v="1"/>
    <x v="0"/>
    <s v="Y"/>
    <x v="1"/>
    <n v="182"/>
    <m/>
    <x v="4"/>
    <n v="132"/>
    <n v="78"/>
    <x v="1"/>
    <n v="71"/>
    <n v="1.65"/>
    <x v="0"/>
    <n v="12.86"/>
    <x v="1"/>
    <x v="0"/>
    <x v="1"/>
    <n v="1"/>
    <x v="0"/>
  </r>
  <r>
    <s v="F"/>
    <x v="16"/>
    <n v="68.599999999999994"/>
    <n v="1.89"/>
    <n v="19.2"/>
    <n v="19.204389574759944"/>
    <n v="0"/>
    <x v="0"/>
    <n v="88.2"/>
    <s v="121/67"/>
    <n v="121"/>
    <n v="67"/>
    <n v="199"/>
    <x v="0"/>
    <n v="73"/>
    <n v="129"/>
    <x v="0"/>
    <x v="0"/>
    <x v="1"/>
    <s v="N"/>
    <x v="2"/>
    <n v="189"/>
    <n v="0.46700000000000003"/>
    <x v="0"/>
    <n v="121"/>
    <n v="67"/>
    <x v="0"/>
    <n v="96"/>
    <n v="1.32"/>
    <x v="0"/>
    <n v="15.87"/>
    <x v="0"/>
    <x v="0"/>
    <x v="0"/>
    <n v="0"/>
    <x v="0"/>
  </r>
  <r>
    <s v="F"/>
    <x v="30"/>
    <n v="51.7"/>
    <n v="1.63"/>
    <n v="19.5"/>
    <n v="19.458767736836165"/>
    <n v="0"/>
    <x v="0"/>
    <n v="105.1"/>
    <s v="137/64"/>
    <n v="137"/>
    <n v="64"/>
    <n v="135"/>
    <x v="2"/>
    <n v="77"/>
    <n v="125"/>
    <x v="0"/>
    <x v="0"/>
    <x v="2"/>
    <s v="Y"/>
    <x v="0"/>
    <n v="163"/>
    <n v="0.64500000000000002"/>
    <x v="3"/>
    <n v="137"/>
    <n v="64"/>
    <x v="1"/>
    <n v="28"/>
    <n v="0.36"/>
    <x v="0"/>
    <n v="15.45"/>
    <x v="0"/>
    <x v="0"/>
    <x v="0"/>
    <n v="0"/>
    <x v="0"/>
  </r>
  <r>
    <s v="M"/>
    <x v="27"/>
    <n v="95.4"/>
    <n v="1.87"/>
    <n v="27.3"/>
    <n v="27.281306299865591"/>
    <n v="0"/>
    <x v="2"/>
    <n v="94.4"/>
    <s v="130/66"/>
    <n v="130"/>
    <n v="66"/>
    <m/>
    <x v="2"/>
    <n v="56"/>
    <n v="128"/>
    <x v="1"/>
    <x v="1"/>
    <x v="1"/>
    <s v="Y"/>
    <x v="0"/>
    <n v="187"/>
    <n v="0.505"/>
    <x v="0"/>
    <n v="130"/>
    <n v="66"/>
    <x v="1"/>
    <n v="24"/>
    <n v="0.43"/>
    <x v="0"/>
    <n v="14.16"/>
    <x v="1"/>
    <x v="0"/>
    <x v="1"/>
    <n v="1"/>
    <x v="0"/>
  </r>
  <r>
    <s v="F"/>
    <x v="14"/>
    <m/>
    <n v="1.71"/>
    <n v="29"/>
    <n v="0"/>
    <n v="1"/>
    <x v="2"/>
    <n v="92.8"/>
    <s v="149/69"/>
    <n v="149"/>
    <n v="69"/>
    <n v="151"/>
    <x v="1"/>
    <n v="42"/>
    <n v="99"/>
    <x v="0"/>
    <x v="1"/>
    <x v="1"/>
    <s v="Y"/>
    <x v="2"/>
    <n v="171"/>
    <n v="0.54300000000000004"/>
    <x v="1"/>
    <n v="149"/>
    <n v="69"/>
    <x v="3"/>
    <n v="79"/>
    <n v="1.88"/>
    <x v="0"/>
    <n v="16.27"/>
    <x v="0"/>
    <x v="0"/>
    <x v="0"/>
    <n v="0"/>
    <x v="0"/>
  </r>
  <r>
    <s v="F"/>
    <x v="25"/>
    <n v="111.3"/>
    <n v="1.82"/>
    <n v="33.6"/>
    <n v="33.601014370245139"/>
    <n v="0"/>
    <x v="1"/>
    <n v="79.5"/>
    <s v="110/86"/>
    <n v="110"/>
    <n v="86"/>
    <n v="296"/>
    <x v="0"/>
    <n v="62"/>
    <n v="137"/>
    <x v="0"/>
    <x v="0"/>
    <x v="2"/>
    <s v="N"/>
    <x v="2"/>
    <n v="182"/>
    <n v="0.437"/>
    <x v="2"/>
    <n v="110"/>
    <n v="86"/>
    <x v="1"/>
    <n v="204"/>
    <n v="3.29"/>
    <x v="0"/>
    <n v="20.14"/>
    <x v="1"/>
    <x v="1"/>
    <x v="1"/>
    <n v="1"/>
    <x v="1"/>
  </r>
  <r>
    <s v="F"/>
    <x v="14"/>
    <n v="100.7"/>
    <n v="1.83"/>
    <n v="30.1"/>
    <n v="30.069575084356053"/>
    <n v="0"/>
    <x v="1"/>
    <n v="108.8"/>
    <s v="143/64"/>
    <n v="143"/>
    <n v="64"/>
    <n v="162"/>
    <x v="1"/>
    <n v="57"/>
    <n v="90"/>
    <x v="1"/>
    <x v="1"/>
    <x v="2"/>
    <s v="N"/>
    <x v="2"/>
    <n v="183"/>
    <n v="0.59499999999999997"/>
    <x v="3"/>
    <n v="143"/>
    <n v="64"/>
    <x v="3"/>
    <n v="75"/>
    <n v="1.32"/>
    <x v="0"/>
    <m/>
    <x v="0"/>
    <x v="0"/>
    <x v="0"/>
    <n v="0"/>
    <x v="0"/>
  </r>
  <r>
    <s v="M"/>
    <x v="1"/>
    <n v="110.5"/>
    <n v="1.73"/>
    <n v="36.9"/>
    <n v="36.92071235256774"/>
    <n v="0"/>
    <x v="1"/>
    <m/>
    <s v="118/72"/>
    <n v="118"/>
    <n v="72"/>
    <n v="196"/>
    <x v="0"/>
    <n v="39"/>
    <n v="98"/>
    <x v="1"/>
    <x v="1"/>
    <x v="1"/>
    <s v="Y"/>
    <x v="0"/>
    <n v="173"/>
    <n v="0.441"/>
    <x v="2"/>
    <n v="118"/>
    <n v="72"/>
    <x v="2"/>
    <n v="127"/>
    <n v="3.26"/>
    <x v="1"/>
    <m/>
    <x v="1"/>
    <x v="0"/>
    <x v="1"/>
    <n v="1"/>
    <x v="0"/>
  </r>
  <r>
    <s v="F"/>
    <x v="11"/>
    <n v="101.7"/>
    <n v="1.82"/>
    <n v="30.7"/>
    <n v="30.702813669846634"/>
    <n v="0"/>
    <x v="1"/>
    <n v="77.099999999999994"/>
    <s v="125/80"/>
    <n v="125"/>
    <n v="80"/>
    <n v="172"/>
    <x v="1"/>
    <n v="42"/>
    <n v="135"/>
    <x v="0"/>
    <x v="1"/>
    <x v="0"/>
    <s v="N"/>
    <x v="2"/>
    <n v="182"/>
    <n v="0.42399999999999999"/>
    <x v="2"/>
    <n v="125"/>
    <n v="80"/>
    <x v="1"/>
    <n v="100"/>
    <n v="2.38"/>
    <x v="0"/>
    <n v="15.83"/>
    <x v="0"/>
    <x v="0"/>
    <x v="0"/>
    <n v="0"/>
    <x v="0"/>
  </r>
  <r>
    <s v="F"/>
    <x v="6"/>
    <n v="95.7"/>
    <n v="1.76"/>
    <n v="30.9"/>
    <n v="30.894886363636367"/>
    <n v="0"/>
    <x v="1"/>
    <n v="102.8"/>
    <s v="93/71"/>
    <n v="93"/>
    <n v="71"/>
    <n v="256"/>
    <x v="0"/>
    <n v="47"/>
    <n v="102"/>
    <x v="0"/>
    <x v="0"/>
    <x v="0"/>
    <s v="N"/>
    <x v="0"/>
    <m/>
    <n v="0.58399999999999996"/>
    <x v="1"/>
    <n v="93"/>
    <m/>
    <x v="2"/>
    <n v="179"/>
    <n v="3.81"/>
    <x v="1"/>
    <n v="17.95"/>
    <x v="1"/>
    <x v="0"/>
    <x v="1"/>
    <n v="1"/>
    <x v="0"/>
  </r>
  <r>
    <s v="F"/>
    <x v="29"/>
    <n v="104.2"/>
    <n v="1.7"/>
    <n v="36.1"/>
    <n v="36.055363321799312"/>
    <n v="0"/>
    <x v="1"/>
    <n v="73.7"/>
    <s v="150/67"/>
    <n v="150"/>
    <n v="67"/>
    <n v="155"/>
    <x v="1"/>
    <n v="59"/>
    <n v="115"/>
    <x v="1"/>
    <x v="0"/>
    <x v="0"/>
    <s v="N"/>
    <x v="1"/>
    <n v="170"/>
    <n v="0.434"/>
    <x v="2"/>
    <n v="150"/>
    <n v="67"/>
    <x v="3"/>
    <n v="66"/>
    <n v="1.1200000000000001"/>
    <x v="0"/>
    <n v="19.82"/>
    <x v="1"/>
    <x v="0"/>
    <x v="1"/>
    <n v="1"/>
    <x v="1"/>
  </r>
  <r>
    <s v="M"/>
    <x v="20"/>
    <n v="62.1"/>
    <n v="1.8"/>
    <n v="19.2"/>
    <n v="19.166666666666664"/>
    <n v="0"/>
    <x v="0"/>
    <n v="84.1"/>
    <s v="117/60"/>
    <n v="117"/>
    <n v="60"/>
    <n v="141"/>
    <x v="2"/>
    <n v="45"/>
    <n v="117"/>
    <x v="1"/>
    <x v="0"/>
    <x v="1"/>
    <s v="N"/>
    <x v="0"/>
    <n v="180"/>
    <n v="0.46700000000000003"/>
    <x v="0"/>
    <n v="117"/>
    <n v="60"/>
    <x v="2"/>
    <n v="66"/>
    <n v="1.47"/>
    <x v="0"/>
    <n v="14.51"/>
    <x v="0"/>
    <x v="0"/>
    <x v="0"/>
    <n v="0"/>
    <x v="0"/>
  </r>
  <r>
    <s v="M"/>
    <x v="3"/>
    <n v="97.8"/>
    <n v="1.63"/>
    <n v="36.799999999999997"/>
    <n v="36.809815950920246"/>
    <n v="0"/>
    <x v="1"/>
    <n v="104"/>
    <s v="141/68"/>
    <n v="141"/>
    <n v="68"/>
    <n v="155"/>
    <x v="1"/>
    <n v="55"/>
    <n v="142"/>
    <x v="1"/>
    <x v="0"/>
    <x v="2"/>
    <s v="N"/>
    <x v="0"/>
    <n v="163"/>
    <m/>
    <x v="4"/>
    <n v="141"/>
    <n v="68"/>
    <x v="3"/>
    <n v="70"/>
    <n v="1.27"/>
    <x v="0"/>
    <n v="19.510000000000002"/>
    <x v="0"/>
    <x v="0"/>
    <x v="0"/>
    <n v="0"/>
    <x v="0"/>
  </r>
  <r>
    <s v="F"/>
    <x v="2"/>
    <n v="54.7"/>
    <n v="1.82"/>
    <n v="16.5"/>
    <n v="16.513706074145635"/>
    <n v="0"/>
    <x v="3"/>
    <n v="83.2"/>
    <s v="150/81"/>
    <n v="150"/>
    <n v="81"/>
    <n v="193"/>
    <x v="0"/>
    <n v="61"/>
    <n v="133"/>
    <x v="1"/>
    <x v="0"/>
    <x v="1"/>
    <s v="N"/>
    <x v="0"/>
    <m/>
    <n v="0.45700000000000002"/>
    <x v="2"/>
    <n v="150"/>
    <n v="81"/>
    <x v="1"/>
    <n v="102"/>
    <n v="1.67"/>
    <x v="0"/>
    <n v="16.66"/>
    <x v="0"/>
    <x v="0"/>
    <x v="0"/>
    <n v="0"/>
    <x v="0"/>
  </r>
  <r>
    <s v="M"/>
    <x v="16"/>
    <n v="62.7"/>
    <n v="1.6"/>
    <n v="24.5"/>
    <n v="24.492187499999996"/>
    <n v="0"/>
    <x v="0"/>
    <n v="73.7"/>
    <s v="131/73"/>
    <n v="131"/>
    <n v="73"/>
    <n v="172"/>
    <x v="1"/>
    <n v="73"/>
    <n v="142"/>
    <x v="1"/>
    <x v="0"/>
    <x v="1"/>
    <s v="Y"/>
    <x v="1"/>
    <n v="160"/>
    <n v="0.46100000000000002"/>
    <x v="0"/>
    <m/>
    <n v="73"/>
    <x v="1"/>
    <n v="69"/>
    <n v="0.95"/>
    <x v="0"/>
    <n v="16.89"/>
    <x v="1"/>
    <x v="1"/>
    <x v="1"/>
    <n v="1"/>
    <x v="1"/>
  </r>
  <r>
    <s v="F"/>
    <x v="18"/>
    <n v="68.599999999999994"/>
    <n v="1.73"/>
    <n v="22.9"/>
    <n v="22.920912827023955"/>
    <n v="0"/>
    <x v="0"/>
    <n v="86.7"/>
    <s v="142/66"/>
    <n v="142"/>
    <n v="66"/>
    <n v="142"/>
    <x v="2"/>
    <n v="59"/>
    <n v="94"/>
    <x v="0"/>
    <x v="0"/>
    <x v="1"/>
    <s v="N"/>
    <x v="2"/>
    <n v="173"/>
    <n v="0.501"/>
    <x v="0"/>
    <n v="142"/>
    <n v="66"/>
    <x v="3"/>
    <n v="53"/>
    <n v="0.9"/>
    <x v="0"/>
    <n v="16.52"/>
    <x v="2"/>
    <x v="0"/>
    <x v="0"/>
    <n v="0"/>
    <x v="0"/>
  </r>
  <r>
    <s v="M"/>
    <x v="27"/>
    <n v="95.3"/>
    <n v="1.9"/>
    <n v="26.4"/>
    <n v="26.398891966759003"/>
    <n v="0"/>
    <x v="2"/>
    <n v="90"/>
    <s v="125/90"/>
    <n v="125"/>
    <n v="90"/>
    <n v="205"/>
    <x v="0"/>
    <n v="38"/>
    <n v="82"/>
    <x v="0"/>
    <x v="0"/>
    <x v="2"/>
    <s v="N"/>
    <x v="2"/>
    <n v="190"/>
    <n v="0.47399999999999998"/>
    <x v="0"/>
    <n v="125"/>
    <n v="90"/>
    <x v="3"/>
    <n v="137"/>
    <n v="3.61"/>
    <x v="0"/>
    <n v="17.63"/>
    <x v="1"/>
    <x v="0"/>
    <x v="1"/>
    <n v="1"/>
    <x v="0"/>
  </r>
  <r>
    <s v="M"/>
    <x v="19"/>
    <n v="65.5"/>
    <n v="1.8"/>
    <n v="20.2"/>
    <n v="20.216049382716047"/>
    <n v="0"/>
    <x v="0"/>
    <n v="79.2"/>
    <s v="124/61"/>
    <n v="124"/>
    <n v="61"/>
    <n v="266"/>
    <x v="0"/>
    <n v="60"/>
    <n v="111"/>
    <x v="1"/>
    <x v="0"/>
    <x v="0"/>
    <s v="N"/>
    <x v="1"/>
    <n v="180"/>
    <n v="0.44"/>
    <x v="2"/>
    <n v="124"/>
    <n v="61"/>
    <x v="0"/>
    <n v="176"/>
    <n v="2.93"/>
    <x v="0"/>
    <n v="17.559999999999999"/>
    <x v="1"/>
    <x v="1"/>
    <x v="1"/>
    <n v="1"/>
    <x v="0"/>
  </r>
  <r>
    <s v="M"/>
    <x v="24"/>
    <n v="110.9"/>
    <n v="1.83"/>
    <n v="33.1"/>
    <n v="33.115351309385169"/>
    <n v="0"/>
    <x v="1"/>
    <n v="90.5"/>
    <s v="129/61"/>
    <n v="129"/>
    <n v="61"/>
    <n v="160"/>
    <x v="1"/>
    <m/>
    <n v="144"/>
    <x v="0"/>
    <x v="0"/>
    <x v="2"/>
    <s v="N"/>
    <x v="2"/>
    <n v="183"/>
    <m/>
    <x v="4"/>
    <n v="129"/>
    <n v="61"/>
    <x v="0"/>
    <n v="62"/>
    <s v=""/>
    <x v="0"/>
    <n v="18.27"/>
    <x v="0"/>
    <x v="0"/>
    <x v="0"/>
    <n v="0"/>
    <x v="0"/>
  </r>
  <r>
    <s v="M"/>
    <x v="1"/>
    <n v="75.3"/>
    <n v="1.66"/>
    <n v="27.3"/>
    <n v="27.326172158513572"/>
    <n v="0"/>
    <x v="2"/>
    <n v="76.3"/>
    <s v="134/90"/>
    <n v="134"/>
    <n v="90"/>
    <n v="122"/>
    <x v="2"/>
    <n v="51"/>
    <n v="81"/>
    <x v="1"/>
    <x v="0"/>
    <x v="2"/>
    <s v="Y"/>
    <x v="1"/>
    <n v="166"/>
    <n v="0.46"/>
    <x v="2"/>
    <n v="134"/>
    <n v="90"/>
    <x v="1"/>
    <n v="41"/>
    <n v="0.8"/>
    <x v="0"/>
    <m/>
    <x v="1"/>
    <x v="0"/>
    <x v="1"/>
    <n v="1"/>
    <x v="1"/>
  </r>
  <r>
    <s v="F"/>
    <x v="19"/>
    <n v="92.3"/>
    <n v="1.72"/>
    <n v="31.2"/>
    <n v="31.199296917252571"/>
    <n v="0"/>
    <x v="1"/>
    <n v="94"/>
    <s v="108/71"/>
    <n v="108"/>
    <n v="71"/>
    <n v="182"/>
    <x v="0"/>
    <n v="60"/>
    <n v="73"/>
    <x v="0"/>
    <x v="1"/>
    <x v="2"/>
    <s v="N"/>
    <x v="3"/>
    <n v="172"/>
    <n v="0.54700000000000004"/>
    <x v="1"/>
    <n v="108"/>
    <n v="71"/>
    <x v="2"/>
    <n v="92"/>
    <n v="1.53"/>
    <x v="0"/>
    <n v="15.28"/>
    <x v="2"/>
    <x v="0"/>
    <x v="0"/>
    <n v="0"/>
    <x v="0"/>
  </r>
  <r>
    <s v="F"/>
    <x v="21"/>
    <n v="69.099999999999994"/>
    <m/>
    <n v="19.600000000000001"/>
    <s v=""/>
    <s v=""/>
    <x v="0"/>
    <m/>
    <s v="92/95"/>
    <n v="92"/>
    <n v="95"/>
    <n v="263"/>
    <x v="0"/>
    <n v="74"/>
    <n v="94"/>
    <x v="0"/>
    <x v="1"/>
    <x v="0"/>
    <s v="N"/>
    <x v="2"/>
    <n v="188"/>
    <n v="0.54500000000000004"/>
    <x v="1"/>
    <n v="92"/>
    <n v="95"/>
    <x v="3"/>
    <m/>
    <n v="0"/>
    <x v="0"/>
    <n v="13.78"/>
    <x v="0"/>
    <x v="0"/>
    <x v="0"/>
    <n v="0"/>
    <x v="0"/>
  </r>
  <r>
    <s v="M"/>
    <x v="27"/>
    <n v="119"/>
    <n v="1.64"/>
    <n v="44.2"/>
    <n v="44.244497323022017"/>
    <n v="0"/>
    <x v="1"/>
    <n v="70.900000000000006"/>
    <s v="126/77"/>
    <n v="126"/>
    <n v="77"/>
    <n v="188"/>
    <x v="0"/>
    <n v="68"/>
    <n v="113"/>
    <x v="1"/>
    <x v="0"/>
    <x v="2"/>
    <s v="Y"/>
    <x v="1"/>
    <n v="164"/>
    <n v="0.432"/>
    <x v="2"/>
    <n v="126"/>
    <n v="77"/>
    <x v="0"/>
    <n v="90"/>
    <n v="1.32"/>
    <x v="0"/>
    <m/>
    <x v="1"/>
    <x v="1"/>
    <x v="1"/>
    <n v="1"/>
    <x v="0"/>
  </r>
  <r>
    <s v="F"/>
    <x v="21"/>
    <n v="114.2"/>
    <n v="1.89"/>
    <n v="32"/>
    <n v="31.969989641947315"/>
    <n v="0"/>
    <x v="1"/>
    <n v="84.4"/>
    <s v="109/91"/>
    <n v="109"/>
    <n v="91"/>
    <n v="153"/>
    <x v="1"/>
    <n v="68"/>
    <n v="137"/>
    <x v="0"/>
    <x v="0"/>
    <x v="1"/>
    <s v="Y"/>
    <x v="0"/>
    <n v="189"/>
    <n v="0.44700000000000001"/>
    <x v="2"/>
    <n v="109"/>
    <n v="91"/>
    <x v="3"/>
    <n v="55"/>
    <n v="0.81"/>
    <x v="0"/>
    <n v="16.91"/>
    <x v="0"/>
    <x v="0"/>
    <x v="0"/>
    <n v="0"/>
    <x v="0"/>
  </r>
  <r>
    <s v="M"/>
    <x v="25"/>
    <m/>
    <n v="1.79"/>
    <n v="22.7"/>
    <n v="0"/>
    <n v="1"/>
    <x v="0"/>
    <n v="104.8"/>
    <s v="150/97"/>
    <n v="150"/>
    <n v="97"/>
    <n v="295"/>
    <x v="0"/>
    <n v="57"/>
    <n v="93"/>
    <x v="0"/>
    <x v="0"/>
    <x v="2"/>
    <s v="N"/>
    <x v="2"/>
    <n v="179"/>
    <n v="0.58499999999999996"/>
    <x v="3"/>
    <n v="150"/>
    <n v="97"/>
    <x v="3"/>
    <n v="208"/>
    <n v="3.65"/>
    <x v="0"/>
    <n v="19.940000000000001"/>
    <x v="0"/>
    <x v="0"/>
    <x v="0"/>
    <n v="0"/>
    <x v="1"/>
  </r>
  <r>
    <s v="M"/>
    <x v="31"/>
    <n v="53.1"/>
    <n v="1.73"/>
    <n v="17.7"/>
    <n v="17.741989374853819"/>
    <n v="0"/>
    <x v="3"/>
    <n v="103.3"/>
    <s v="137/65"/>
    <n v="137"/>
    <n v="65"/>
    <m/>
    <x v="2"/>
    <n v="71"/>
    <n v="106"/>
    <x v="1"/>
    <x v="1"/>
    <x v="2"/>
    <s v="N"/>
    <x v="2"/>
    <n v="173"/>
    <n v="0.59699999999999998"/>
    <x v="3"/>
    <n v="137"/>
    <n v="65"/>
    <x v="1"/>
    <n v="56"/>
    <n v="0.79"/>
    <x v="0"/>
    <n v="13.53"/>
    <x v="0"/>
    <x v="0"/>
    <x v="0"/>
    <n v="0"/>
    <x v="0"/>
  </r>
  <r>
    <s v="M"/>
    <x v="2"/>
    <n v="94.9"/>
    <n v="1.67"/>
    <n v="34"/>
    <n v="34.027752877478576"/>
    <n v="0"/>
    <x v="1"/>
    <n v="98.6"/>
    <s v="150/86"/>
    <n v="150"/>
    <n v="86"/>
    <n v="234"/>
    <x v="0"/>
    <m/>
    <n v="148"/>
    <x v="1"/>
    <x v="1"/>
    <x v="2"/>
    <s v="Y"/>
    <x v="0"/>
    <n v="167"/>
    <n v="0.59"/>
    <x v="3"/>
    <n v="150"/>
    <n v="86"/>
    <x v="1"/>
    <n v="136"/>
    <s v=""/>
    <x v="0"/>
    <n v="18.98"/>
    <x v="1"/>
    <x v="0"/>
    <x v="1"/>
    <n v="1"/>
    <x v="0"/>
  </r>
  <r>
    <s v="F"/>
    <x v="8"/>
    <n v="88.9"/>
    <n v="1.88"/>
    <n v="25.2"/>
    <n v="25.15278406518787"/>
    <n v="0"/>
    <x v="2"/>
    <n v="97.9"/>
    <s v="110/72"/>
    <n v="110"/>
    <n v="72"/>
    <n v="234"/>
    <x v="0"/>
    <n v="63"/>
    <n v="96"/>
    <x v="1"/>
    <x v="0"/>
    <x v="2"/>
    <s v="N"/>
    <x v="0"/>
    <n v="188"/>
    <n v="0.52100000000000002"/>
    <x v="0"/>
    <n v="110"/>
    <n v="72"/>
    <x v="2"/>
    <n v="141"/>
    <n v="2.2400000000000002"/>
    <x v="1"/>
    <n v="17.22"/>
    <x v="1"/>
    <x v="1"/>
    <x v="1"/>
    <n v="1"/>
    <x v="0"/>
  </r>
  <r>
    <s v="M"/>
    <x v="3"/>
    <n v="86.5"/>
    <n v="1.67"/>
    <n v="31"/>
    <n v="31.015812686005237"/>
    <n v="0"/>
    <x v="1"/>
    <n v="81.400000000000006"/>
    <s v="101/73"/>
    <n v="101"/>
    <n v="73"/>
    <n v="103"/>
    <x v="2"/>
    <n v="58"/>
    <n v="79"/>
    <x v="1"/>
    <x v="0"/>
    <x v="2"/>
    <s v="Y"/>
    <x v="1"/>
    <n v="167"/>
    <n v="0.48699999999999999"/>
    <x v="0"/>
    <n v="101"/>
    <n v="73"/>
    <x v="2"/>
    <n v="15"/>
    <n v="0.26"/>
    <x v="0"/>
    <n v="15.31"/>
    <x v="1"/>
    <x v="0"/>
    <x v="1"/>
    <n v="1"/>
    <x v="0"/>
  </r>
  <r>
    <s v="M"/>
    <x v="21"/>
    <n v="104.5"/>
    <n v="1.66"/>
    <n v="37.9"/>
    <n v="37.92277543910582"/>
    <n v="0"/>
    <x v="1"/>
    <n v="90.2"/>
    <s v="123/62"/>
    <n v="123"/>
    <n v="62"/>
    <n v="125"/>
    <x v="2"/>
    <n v="32"/>
    <n v="134"/>
    <x v="1"/>
    <x v="0"/>
    <x v="1"/>
    <s v="Y"/>
    <x v="1"/>
    <n v="166"/>
    <n v="0.54300000000000004"/>
    <x v="1"/>
    <n v="123"/>
    <n v="62"/>
    <x v="0"/>
    <n v="63"/>
    <n v="1.97"/>
    <x v="0"/>
    <n v="18.23"/>
    <x v="1"/>
    <x v="0"/>
    <x v="1"/>
    <n v="1"/>
    <x v="0"/>
  </r>
  <r>
    <s v="F"/>
    <x v="30"/>
    <n v="58.5"/>
    <n v="1.72"/>
    <n v="19.8"/>
    <n v="19.774202271498108"/>
    <n v="0"/>
    <x v="0"/>
    <n v="90.1"/>
    <s v="150/79"/>
    <n v="150"/>
    <n v="79"/>
    <n v="131"/>
    <x v="2"/>
    <n v="62"/>
    <n v="150"/>
    <x v="1"/>
    <x v="1"/>
    <x v="2"/>
    <s v="N"/>
    <x v="2"/>
    <n v="172"/>
    <n v="0.52400000000000002"/>
    <x v="1"/>
    <n v="150"/>
    <n v="79"/>
    <x v="3"/>
    <n v="39"/>
    <n v="0.63"/>
    <x v="0"/>
    <n v="14.08"/>
    <x v="0"/>
    <x v="0"/>
    <x v="0"/>
    <n v="0"/>
    <x v="0"/>
  </r>
  <r>
    <s v="F"/>
    <x v="31"/>
    <n v="119.8"/>
    <n v="1.62"/>
    <n v="45.6"/>
    <n v="45.648529187623829"/>
    <n v="0"/>
    <x v="1"/>
    <n v="103.9"/>
    <s v="129/98"/>
    <n v="129"/>
    <n v="98"/>
    <n v="185"/>
    <x v="0"/>
    <n v="38"/>
    <n v="85"/>
    <x v="1"/>
    <x v="1"/>
    <x v="0"/>
    <s v="Y"/>
    <x v="1"/>
    <n v="162"/>
    <n v="0.64100000000000001"/>
    <x v="3"/>
    <n v="129"/>
    <n v="98"/>
    <x v="3"/>
    <n v="117"/>
    <n v="3.08"/>
    <x v="0"/>
    <n v="19.27"/>
    <x v="1"/>
    <x v="0"/>
    <x v="1"/>
    <n v="1"/>
    <x v="0"/>
  </r>
  <r>
    <s v="M"/>
    <x v="30"/>
    <m/>
    <n v="1.63"/>
    <n v="23.1"/>
    <n v="0"/>
    <n v="1"/>
    <x v="0"/>
    <n v="93.8"/>
    <s v="144/91"/>
    <n v="144"/>
    <n v="91"/>
    <n v="191"/>
    <x v="0"/>
    <n v="79"/>
    <n v="117"/>
    <x v="1"/>
    <x v="0"/>
    <x v="2"/>
    <s v="Y"/>
    <x v="1"/>
    <n v="163"/>
    <n v="0.57499999999999996"/>
    <x v="1"/>
    <n v="144"/>
    <m/>
    <x v="3"/>
    <n v="82"/>
    <n v="1.04"/>
    <x v="0"/>
    <n v="17.64"/>
    <x v="1"/>
    <x v="1"/>
    <x v="1"/>
    <n v="1"/>
    <x v="0"/>
  </r>
  <r>
    <s v="F"/>
    <x v="28"/>
    <n v="50.2"/>
    <n v="1.65"/>
    <n v="18.399999999999999"/>
    <n v="18.438934802571168"/>
    <n v="0"/>
    <x v="3"/>
    <n v="80.099999999999994"/>
    <s v="108/73"/>
    <n v="108"/>
    <n v="73"/>
    <n v="257"/>
    <x v="0"/>
    <n v="78"/>
    <n v="104"/>
    <x v="0"/>
    <x v="1"/>
    <x v="0"/>
    <s v="Y"/>
    <x v="0"/>
    <n v="165"/>
    <n v="0.48499999999999999"/>
    <x v="0"/>
    <n v="108"/>
    <n v="73"/>
    <x v="2"/>
    <n v="149"/>
    <n v="1.91"/>
    <x v="1"/>
    <n v="14.22"/>
    <x v="1"/>
    <x v="1"/>
    <x v="1"/>
    <n v="1"/>
    <x v="0"/>
  </r>
  <r>
    <s v="M"/>
    <x v="31"/>
    <n v="114.1"/>
    <n v="1.61"/>
    <n v="44"/>
    <n v="44.018363489062914"/>
    <n v="0"/>
    <x v="1"/>
    <n v="107.2"/>
    <s v="134/88"/>
    <n v="134"/>
    <n v="88"/>
    <n v="279"/>
    <x v="0"/>
    <n v="49"/>
    <n v="75"/>
    <x v="1"/>
    <x v="1"/>
    <x v="0"/>
    <s v="N"/>
    <x v="0"/>
    <n v="161"/>
    <n v="0.66600000000000004"/>
    <x v="3"/>
    <n v="134"/>
    <n v="88"/>
    <x v="1"/>
    <n v="200"/>
    <n v="4.08"/>
    <x v="0"/>
    <n v="21.08"/>
    <x v="1"/>
    <x v="0"/>
    <x v="1"/>
    <n v="1"/>
    <x v="0"/>
  </r>
  <r>
    <s v="F"/>
    <x v="23"/>
    <m/>
    <n v="1.64"/>
    <n v="27.4"/>
    <n v="0"/>
    <n v="1"/>
    <x v="2"/>
    <n v="75"/>
    <s v="149/92"/>
    <n v="149"/>
    <n v="92"/>
    <n v="235"/>
    <x v="0"/>
    <m/>
    <n v="146"/>
    <x v="1"/>
    <x v="1"/>
    <x v="0"/>
    <s v="Y"/>
    <x v="1"/>
    <n v="164"/>
    <n v="0.45700000000000002"/>
    <x v="2"/>
    <n v="149"/>
    <n v="92"/>
    <x v="3"/>
    <n v="128"/>
    <s v=""/>
    <x v="0"/>
    <n v="17.63"/>
    <x v="1"/>
    <x v="0"/>
    <x v="1"/>
    <n v="1"/>
    <x v="0"/>
  </r>
  <r>
    <s v="F"/>
    <x v="20"/>
    <n v="107.4"/>
    <n v="1.63"/>
    <n v="40.4"/>
    <n v="40.423049418495246"/>
    <n v="0"/>
    <x v="1"/>
    <n v="102.3"/>
    <s v="140/77"/>
    <n v="140"/>
    <n v="77"/>
    <n v="247"/>
    <x v="0"/>
    <n v="52"/>
    <n v="82"/>
    <x v="1"/>
    <x v="1"/>
    <x v="1"/>
    <s v="Y"/>
    <x v="0"/>
    <n v="163"/>
    <n v="0.628"/>
    <x v="3"/>
    <n v="140"/>
    <n v="77"/>
    <x v="3"/>
    <n v="165"/>
    <n v="3.17"/>
    <x v="0"/>
    <n v="20.02"/>
    <x v="1"/>
    <x v="0"/>
    <x v="1"/>
    <n v="1"/>
    <x v="0"/>
  </r>
  <r>
    <s v="M"/>
    <x v="24"/>
    <n v="111.9"/>
    <n v="1.81"/>
    <n v="34.200000000000003"/>
    <n v="34.156466530325694"/>
    <n v="0"/>
    <x v="1"/>
    <n v="75.900000000000006"/>
    <s v="142/88"/>
    <n v="142"/>
    <n v="88"/>
    <n v="136"/>
    <x v="2"/>
    <n v="66"/>
    <m/>
    <x v="1"/>
    <x v="1"/>
    <x v="2"/>
    <s v="N"/>
    <x v="2"/>
    <n v="181"/>
    <n v="0.41899999999999998"/>
    <x v="2"/>
    <n v="142"/>
    <n v="88"/>
    <x v="1"/>
    <n v="40"/>
    <n v="0.61"/>
    <x v="0"/>
    <n v="16.66"/>
    <x v="0"/>
    <x v="0"/>
    <x v="0"/>
    <n v="0"/>
    <x v="0"/>
  </r>
  <r>
    <s v="F"/>
    <x v="6"/>
    <n v="75.2"/>
    <n v="1.8"/>
    <n v="23.2"/>
    <n v="23.209876543209877"/>
    <n v="0"/>
    <x v="0"/>
    <m/>
    <s v="108/67"/>
    <n v="108"/>
    <n v="67"/>
    <n v="187"/>
    <x v="0"/>
    <n v="49"/>
    <n v="113"/>
    <x v="1"/>
    <x v="1"/>
    <x v="2"/>
    <s v="Y"/>
    <x v="0"/>
    <n v="180"/>
    <n v="0.59799999999999998"/>
    <x v="3"/>
    <n v="108"/>
    <n v="67"/>
    <x v="2"/>
    <n v="108"/>
    <n v="2.2000000000000002"/>
    <x v="0"/>
    <m/>
    <x v="0"/>
    <x v="0"/>
    <x v="0"/>
    <n v="0"/>
    <x v="0"/>
  </r>
  <r>
    <s v="M"/>
    <x v="27"/>
    <n v="65.5"/>
    <n v="1.63"/>
    <n v="24.7"/>
    <n v="24.652790846475217"/>
    <n v="0"/>
    <x v="0"/>
    <n v="74.599999999999994"/>
    <s v="123/99"/>
    <n v="123"/>
    <n v="99"/>
    <n v="166"/>
    <x v="1"/>
    <n v="41"/>
    <n v="107"/>
    <x v="1"/>
    <x v="0"/>
    <x v="2"/>
    <s v="N"/>
    <x v="0"/>
    <n v="163"/>
    <n v="0.45800000000000002"/>
    <x v="2"/>
    <n v="123"/>
    <n v="99"/>
    <x v="3"/>
    <n v="95"/>
    <n v="2.3199999999999998"/>
    <x v="0"/>
    <n v="16.41"/>
    <x v="0"/>
    <x v="0"/>
    <x v="0"/>
    <n v="0"/>
    <x v="0"/>
  </r>
  <r>
    <s v="F"/>
    <x v="1"/>
    <n v="115.3"/>
    <m/>
    <n v="32.299999999999997"/>
    <s v=""/>
    <s v=""/>
    <x v="1"/>
    <n v="85.6"/>
    <s v="113/98"/>
    <n v="113"/>
    <n v="98"/>
    <n v="192"/>
    <x v="0"/>
    <n v="55"/>
    <n v="83"/>
    <x v="0"/>
    <x v="0"/>
    <x v="0"/>
    <s v="Y"/>
    <x v="1"/>
    <m/>
    <n v="0.45300000000000001"/>
    <x v="2"/>
    <n v="113"/>
    <n v="98"/>
    <x v="3"/>
    <n v="107"/>
    <n v="1.95"/>
    <x v="0"/>
    <n v="17.95"/>
    <x v="1"/>
    <x v="0"/>
    <x v="1"/>
    <n v="1"/>
    <x v="1"/>
  </r>
  <r>
    <s v="F"/>
    <x v="8"/>
    <n v="106.8"/>
    <n v="1.79"/>
    <n v="33.299999999999997"/>
    <n v="33.332292999594273"/>
    <n v="0"/>
    <x v="1"/>
    <n v="93.2"/>
    <s v="110/64"/>
    <n v="110"/>
    <n v="64"/>
    <n v="150"/>
    <x v="1"/>
    <n v="61"/>
    <n v="91"/>
    <x v="0"/>
    <x v="0"/>
    <x v="2"/>
    <s v="N"/>
    <x v="2"/>
    <n v="179"/>
    <n v="0.52100000000000002"/>
    <x v="0"/>
    <n v="110"/>
    <n v="64"/>
    <x v="2"/>
    <n v="59"/>
    <n v="0.97"/>
    <x v="0"/>
    <n v="17.16"/>
    <x v="0"/>
    <x v="0"/>
    <x v="0"/>
    <n v="0"/>
    <x v="0"/>
  </r>
  <r>
    <s v="M"/>
    <x v="8"/>
    <n v="71.099999999999994"/>
    <n v="1.74"/>
    <n v="23.5"/>
    <n v="23.483947681331745"/>
    <n v="0"/>
    <x v="0"/>
    <n v="71.7"/>
    <s v="99/62"/>
    <n v="99"/>
    <n v="62"/>
    <n v="226"/>
    <x v="0"/>
    <n v="66"/>
    <n v="114"/>
    <x v="0"/>
    <x v="1"/>
    <x v="0"/>
    <s v="Y"/>
    <x v="0"/>
    <n v="174"/>
    <n v="0.41199999999999998"/>
    <x v="2"/>
    <n v="99"/>
    <n v="62"/>
    <x v="2"/>
    <n v="130"/>
    <n v="1.97"/>
    <x v="1"/>
    <n v="14.17"/>
    <x v="1"/>
    <x v="1"/>
    <x v="1"/>
    <n v="1"/>
    <x v="0"/>
  </r>
  <r>
    <s v="M"/>
    <x v="24"/>
    <n v="73.5"/>
    <n v="1.62"/>
    <n v="28"/>
    <n v="28.00640146319158"/>
    <n v="0"/>
    <x v="2"/>
    <n v="86.7"/>
    <s v="111/87"/>
    <n v="111"/>
    <n v="87"/>
    <n v="200"/>
    <x v="0"/>
    <n v="62"/>
    <n v="100"/>
    <x v="0"/>
    <x v="1"/>
    <x v="1"/>
    <s v="N"/>
    <x v="3"/>
    <n v="162"/>
    <n v="0.53500000000000003"/>
    <x v="1"/>
    <n v="111"/>
    <n v="87"/>
    <x v="1"/>
    <n v="108"/>
    <n v="1.74"/>
    <x v="0"/>
    <n v="15.15"/>
    <x v="2"/>
    <x v="0"/>
    <x v="0"/>
    <n v="0"/>
    <x v="0"/>
  </r>
  <r>
    <s v="M"/>
    <x v="30"/>
    <n v="51.6"/>
    <n v="1.77"/>
    <n v="16.5"/>
    <n v="16.470362922531837"/>
    <n v="0"/>
    <x v="3"/>
    <n v="91.7"/>
    <s v="98/65"/>
    <n v="98"/>
    <n v="65"/>
    <n v="289"/>
    <x v="0"/>
    <n v="62"/>
    <n v="83"/>
    <x v="0"/>
    <x v="0"/>
    <x v="2"/>
    <s v="Y"/>
    <x v="0"/>
    <n v="177"/>
    <n v="0.51800000000000002"/>
    <x v="0"/>
    <n v="98"/>
    <n v="65"/>
    <x v="2"/>
    <n v="197"/>
    <n v="3.18"/>
    <x v="1"/>
    <n v="15.98"/>
    <x v="1"/>
    <x v="1"/>
    <x v="1"/>
    <n v="1"/>
    <x v="0"/>
  </r>
  <r>
    <s v="F"/>
    <x v="2"/>
    <n v="73.400000000000006"/>
    <n v="1.65"/>
    <n v="27"/>
    <n v="26.960514233241511"/>
    <n v="0"/>
    <x v="2"/>
    <n v="78.099999999999994"/>
    <s v="90/74"/>
    <n v="90"/>
    <n v="74"/>
    <n v="135"/>
    <x v="2"/>
    <n v="60"/>
    <n v="150"/>
    <x v="0"/>
    <x v="1"/>
    <x v="1"/>
    <s v="N"/>
    <x v="3"/>
    <n v="165"/>
    <n v="0.47299999999999998"/>
    <x v="0"/>
    <n v="90"/>
    <n v="74"/>
    <x v="2"/>
    <n v="45"/>
    <n v="0.75"/>
    <x v="0"/>
    <n v="12.6"/>
    <x v="2"/>
    <x v="0"/>
    <x v="0"/>
    <n v="0"/>
    <x v="0"/>
  </r>
  <r>
    <s v="F"/>
    <x v="11"/>
    <n v="107.5"/>
    <n v="1.63"/>
    <n v="40.5"/>
    <n v="40.460687267115816"/>
    <n v="0"/>
    <x v="1"/>
    <n v="87.3"/>
    <s v="104/70"/>
    <n v="104"/>
    <n v="70"/>
    <n v="289"/>
    <x v="0"/>
    <n v="41"/>
    <n v="80"/>
    <x v="0"/>
    <x v="0"/>
    <x v="1"/>
    <s v="N"/>
    <x v="2"/>
    <n v="163"/>
    <n v="0.53600000000000003"/>
    <x v="1"/>
    <n v="104"/>
    <n v="70"/>
    <x v="2"/>
    <m/>
    <n v="0"/>
    <x v="0"/>
    <n v="21.08"/>
    <x v="0"/>
    <x v="0"/>
    <x v="0"/>
    <n v="0"/>
    <x v="0"/>
  </r>
  <r>
    <s v="M"/>
    <x v="6"/>
    <n v="67.900000000000006"/>
    <n v="1.61"/>
    <n v="26.2"/>
    <n v="26.194977045638669"/>
    <n v="0"/>
    <x v="2"/>
    <n v="79.3"/>
    <s v="147/71"/>
    <n v="147"/>
    <n v="71"/>
    <n v="122"/>
    <x v="2"/>
    <n v="74"/>
    <n v="95"/>
    <x v="1"/>
    <x v="0"/>
    <x v="0"/>
    <s v="Y"/>
    <x v="4"/>
    <n v="161"/>
    <n v="0.49299999999999999"/>
    <x v="0"/>
    <n v="147"/>
    <n v="71"/>
    <x v="3"/>
    <m/>
    <n v="0"/>
    <x v="0"/>
    <n v="17.03"/>
    <x v="1"/>
    <x v="1"/>
    <x v="1"/>
    <n v="1"/>
    <x v="0"/>
  </r>
  <r>
    <s v="F"/>
    <x v="11"/>
    <n v="63.2"/>
    <n v="1.89"/>
    <n v="17.7"/>
    <n v="17.692673777329862"/>
    <n v="0"/>
    <x v="3"/>
    <n v="73.099999999999994"/>
    <s v="95/90"/>
    <n v="95"/>
    <n v="90"/>
    <n v="252"/>
    <x v="0"/>
    <n v="63"/>
    <n v="130"/>
    <x v="0"/>
    <x v="0"/>
    <x v="2"/>
    <s v="N"/>
    <x v="2"/>
    <n v="189"/>
    <n v="0.38700000000000001"/>
    <x v="2"/>
    <n v="95"/>
    <n v="90"/>
    <x v="3"/>
    <n v="159"/>
    <n v="2.52"/>
    <x v="0"/>
    <n v="15.33"/>
    <x v="0"/>
    <x v="0"/>
    <x v="0"/>
    <n v="0"/>
    <x v="0"/>
  </r>
  <r>
    <s v="M"/>
    <x v="16"/>
    <n v="108"/>
    <n v="1.89"/>
    <n v="30.2"/>
    <n v="30.234315948601665"/>
    <n v="0"/>
    <x v="1"/>
    <n v="86"/>
    <s v="141/62"/>
    <n v="141"/>
    <n v="62"/>
    <n v="261"/>
    <x v="0"/>
    <n v="68"/>
    <n v="109"/>
    <x v="0"/>
    <x v="1"/>
    <x v="0"/>
    <s v="Y"/>
    <x v="0"/>
    <n v="189"/>
    <n v="0.45500000000000002"/>
    <x v="2"/>
    <n v="141"/>
    <n v="62"/>
    <x v="3"/>
    <n v="163"/>
    <n v="2.4"/>
    <x v="0"/>
    <n v="18.309999999999999"/>
    <x v="1"/>
    <x v="1"/>
    <x v="1"/>
    <n v="1"/>
    <x v="0"/>
  </r>
  <r>
    <s v="F"/>
    <x v="0"/>
    <n v="54"/>
    <n v="1.63"/>
    <n v="20.3"/>
    <n v="20.324438255109339"/>
    <n v="0"/>
    <x v="0"/>
    <n v="108.3"/>
    <s v="103/63"/>
    <n v="103"/>
    <n v="63"/>
    <n v="288"/>
    <x v="0"/>
    <n v="62"/>
    <n v="76"/>
    <x v="0"/>
    <x v="1"/>
    <x v="0"/>
    <s v="N"/>
    <x v="2"/>
    <n v="163"/>
    <n v="0.66400000000000003"/>
    <x v="3"/>
    <n v="103"/>
    <n v="63"/>
    <x v="2"/>
    <n v="196"/>
    <n v="3.16"/>
    <x v="0"/>
    <n v="14.97"/>
    <x v="0"/>
    <x v="0"/>
    <x v="0"/>
    <n v="0"/>
    <x v="0"/>
  </r>
  <r>
    <s v="M"/>
    <x v="17"/>
    <n v="61.2"/>
    <n v="1.7"/>
    <n v="21.2"/>
    <n v="21.176470588235297"/>
    <n v="0"/>
    <x v="0"/>
    <n v="92.6"/>
    <s v="98/89"/>
    <n v="98"/>
    <n v="89"/>
    <n v="209"/>
    <x v="0"/>
    <n v="65"/>
    <n v="121"/>
    <x v="1"/>
    <x v="0"/>
    <x v="2"/>
    <s v="N"/>
    <x v="0"/>
    <n v="170"/>
    <n v="0.54500000000000004"/>
    <x v="1"/>
    <n v="98"/>
    <n v="89"/>
    <x v="1"/>
    <n v="114"/>
    <n v="1.75"/>
    <x v="0"/>
    <m/>
    <x v="1"/>
    <x v="1"/>
    <x v="1"/>
    <n v="1"/>
    <x v="0"/>
  </r>
  <r>
    <s v="F"/>
    <x v="22"/>
    <n v="67.3"/>
    <n v="1.86"/>
    <n v="19.5"/>
    <n v="19.453115967163832"/>
    <n v="0"/>
    <x v="0"/>
    <n v="82.6"/>
    <s v="130/93"/>
    <n v="130"/>
    <n v="93"/>
    <n v="279"/>
    <x v="0"/>
    <n v="73"/>
    <n v="82"/>
    <x v="1"/>
    <x v="0"/>
    <x v="2"/>
    <s v="N"/>
    <x v="0"/>
    <n v="186"/>
    <n v="0.44400000000000001"/>
    <x v="2"/>
    <n v="130"/>
    <n v="93"/>
    <x v="1"/>
    <n v="176"/>
    <n v="2.41"/>
    <x v="0"/>
    <n v="17.98"/>
    <x v="1"/>
    <x v="1"/>
    <x v="1"/>
    <n v="1"/>
    <x v="0"/>
  </r>
  <r>
    <s v="M"/>
    <x v="21"/>
    <n v="116.5"/>
    <n v="1.62"/>
    <n v="44.4"/>
    <n v="44.391098917847877"/>
    <n v="0"/>
    <x v="1"/>
    <n v="103.3"/>
    <s v="139/62"/>
    <n v="139"/>
    <n v="62"/>
    <n v="113"/>
    <x v="2"/>
    <n v="62"/>
    <n v="110"/>
    <x v="0"/>
    <x v="0"/>
    <x v="0"/>
    <s v="N"/>
    <x v="0"/>
    <n v="162"/>
    <n v="0.63800000000000001"/>
    <x v="3"/>
    <n v="139"/>
    <n v="62"/>
    <x v="1"/>
    <n v="21"/>
    <n v="0.34"/>
    <x v="0"/>
    <n v="20.09"/>
    <x v="0"/>
    <x v="0"/>
    <x v="0"/>
    <n v="0"/>
    <x v="0"/>
  </r>
  <r>
    <s v="F"/>
    <x v="2"/>
    <n v="118.5"/>
    <n v="1.77"/>
    <n v="37.799999999999997"/>
    <n v="37.824379967442304"/>
    <n v="0"/>
    <x v="1"/>
    <n v="91.7"/>
    <s v="121/84"/>
    <n v="121"/>
    <n v="84"/>
    <n v="185"/>
    <x v="0"/>
    <n v="30"/>
    <n v="123"/>
    <x v="0"/>
    <x v="0"/>
    <x v="0"/>
    <s v="N"/>
    <x v="0"/>
    <n v="177"/>
    <n v="0.51800000000000002"/>
    <x v="0"/>
    <n v="121"/>
    <n v="84"/>
    <x v="1"/>
    <n v="125"/>
    <n v="4.17"/>
    <x v="0"/>
    <n v="19.309999999999999"/>
    <x v="1"/>
    <x v="0"/>
    <x v="1"/>
    <n v="1"/>
    <x v="0"/>
  </r>
  <r>
    <s v="M"/>
    <x v="9"/>
    <n v="66.8"/>
    <n v="1.68"/>
    <n v="23.7"/>
    <n v="23.66780045351474"/>
    <n v="0"/>
    <x v="0"/>
    <n v="76.2"/>
    <s v="136/78"/>
    <n v="136"/>
    <n v="78"/>
    <n v="204"/>
    <x v="0"/>
    <n v="55"/>
    <n v="75"/>
    <x v="0"/>
    <x v="0"/>
    <x v="0"/>
    <s v="N"/>
    <x v="0"/>
    <n v="168"/>
    <n v="0.45400000000000001"/>
    <x v="2"/>
    <m/>
    <n v="78"/>
    <x v="1"/>
    <n v="119"/>
    <n v="2.16"/>
    <x v="0"/>
    <n v="17.62"/>
    <x v="0"/>
    <x v="0"/>
    <x v="0"/>
    <n v="0"/>
    <x v="0"/>
  </r>
  <r>
    <s v="M"/>
    <x v="12"/>
    <n v="102.5"/>
    <n v="1.84"/>
    <n v="30.3"/>
    <n v="30.275283553875234"/>
    <n v="0"/>
    <x v="1"/>
    <n v="84"/>
    <s v="134/60"/>
    <n v="134"/>
    <n v="60"/>
    <n v="292"/>
    <x v="0"/>
    <n v="38"/>
    <m/>
    <x v="0"/>
    <x v="1"/>
    <x v="2"/>
    <s v="N"/>
    <x v="3"/>
    <n v="184"/>
    <n v="0.45700000000000002"/>
    <x v="2"/>
    <n v="134"/>
    <n v="60"/>
    <x v="1"/>
    <n v="224"/>
    <n v="5.89"/>
    <x v="0"/>
    <n v="18.600000000000001"/>
    <x v="0"/>
    <x v="0"/>
    <x v="0"/>
    <n v="0"/>
    <x v="0"/>
  </r>
  <r>
    <s v="M"/>
    <x v="25"/>
    <n v="111.6"/>
    <n v="1.81"/>
    <n v="34.1"/>
    <n v="34.064894233997741"/>
    <n v="0"/>
    <x v="1"/>
    <n v="86"/>
    <s v="102/100"/>
    <n v="102"/>
    <n v="100"/>
    <n v="161"/>
    <x v="1"/>
    <n v="69"/>
    <n v="145"/>
    <x v="1"/>
    <x v="0"/>
    <x v="2"/>
    <s v="N"/>
    <x v="0"/>
    <n v="181"/>
    <n v="0.47499999999999998"/>
    <x v="0"/>
    <n v="102"/>
    <n v="100"/>
    <x v="3"/>
    <n v="62"/>
    <n v="0.9"/>
    <x v="0"/>
    <n v="17.14"/>
    <x v="1"/>
    <x v="1"/>
    <x v="1"/>
    <n v="1"/>
    <x v="1"/>
  </r>
  <r>
    <s v="F"/>
    <x v="7"/>
    <n v="95.6"/>
    <n v="1.9"/>
    <n v="26.5"/>
    <n v="26.481994459833793"/>
    <n v="0"/>
    <x v="2"/>
    <n v="102.6"/>
    <s v="124/98"/>
    <n v="124"/>
    <n v="98"/>
    <n v="192"/>
    <x v="0"/>
    <n v="37"/>
    <n v="70"/>
    <x v="1"/>
    <x v="0"/>
    <x v="2"/>
    <s v="Y"/>
    <x v="1"/>
    <n v="190"/>
    <m/>
    <x v="4"/>
    <n v="124"/>
    <n v="98"/>
    <x v="3"/>
    <n v="125"/>
    <n v="3.38"/>
    <x v="0"/>
    <n v="17.34"/>
    <x v="1"/>
    <x v="0"/>
    <x v="1"/>
    <n v="1"/>
    <x v="0"/>
  </r>
  <r>
    <s v="M"/>
    <x v="0"/>
    <n v="58.9"/>
    <n v="1.74"/>
    <n v="19.5"/>
    <n v="19.454353283128551"/>
    <n v="0"/>
    <x v="0"/>
    <n v="107.1"/>
    <s v="123/83"/>
    <n v="123"/>
    <n v="83"/>
    <m/>
    <x v="2"/>
    <n v="37"/>
    <n v="123"/>
    <x v="1"/>
    <x v="1"/>
    <x v="0"/>
    <s v="N"/>
    <x v="0"/>
    <n v="174"/>
    <n v="0.61599999999999999"/>
    <x v="3"/>
    <n v="123"/>
    <n v="83"/>
    <x v="1"/>
    <n v="202"/>
    <n v="5.46"/>
    <x v="0"/>
    <n v="15.43"/>
    <x v="1"/>
    <x v="0"/>
    <x v="1"/>
    <n v="1"/>
    <x v="0"/>
  </r>
  <r>
    <s v="M"/>
    <x v="0"/>
    <n v="68.900000000000006"/>
    <n v="1.85"/>
    <n v="20.100000000000001"/>
    <n v="20.131482834185537"/>
    <n v="0"/>
    <x v="0"/>
    <n v="85.8"/>
    <s v="111/73"/>
    <n v="111"/>
    <n v="73"/>
    <n v="151"/>
    <x v="1"/>
    <n v="35"/>
    <n v="136"/>
    <x v="1"/>
    <x v="0"/>
    <x v="2"/>
    <s v="N"/>
    <x v="0"/>
    <n v="185"/>
    <m/>
    <x v="4"/>
    <n v="111"/>
    <n v="73"/>
    <x v="2"/>
    <m/>
    <n v="0"/>
    <x v="0"/>
    <n v="14.59"/>
    <x v="0"/>
    <x v="0"/>
    <x v="0"/>
    <n v="0"/>
    <x v="0"/>
  </r>
  <r>
    <s v="F"/>
    <x v="9"/>
    <n v="94.3"/>
    <n v="1.72"/>
    <n v="31.9"/>
    <n v="31.875338020551652"/>
    <n v="0"/>
    <x v="1"/>
    <n v="76.599999999999994"/>
    <s v="144/92"/>
    <n v="144"/>
    <n v="92"/>
    <n v="166"/>
    <x v="1"/>
    <n v="44"/>
    <n v="139"/>
    <x v="0"/>
    <x v="1"/>
    <x v="1"/>
    <s v="N"/>
    <x v="3"/>
    <n v="172"/>
    <n v="0.44500000000000001"/>
    <x v="2"/>
    <m/>
    <n v="92"/>
    <x v="3"/>
    <n v="92"/>
    <n v="2.09"/>
    <x v="0"/>
    <n v="16.899999999999999"/>
    <x v="2"/>
    <x v="0"/>
    <x v="0"/>
    <n v="0"/>
    <x v="0"/>
  </r>
  <r>
    <s v="M"/>
    <x v="31"/>
    <n v="119.2"/>
    <n v="1.68"/>
    <n v="42.2"/>
    <n v="42.233560090702959"/>
    <n v="0"/>
    <x v="1"/>
    <n v="79.2"/>
    <s v="114/88"/>
    <n v="114"/>
    <n v="88"/>
    <n v="265"/>
    <x v="0"/>
    <n v="70"/>
    <n v="109"/>
    <x v="0"/>
    <x v="0"/>
    <x v="2"/>
    <s v="Y"/>
    <x v="0"/>
    <n v="168"/>
    <m/>
    <x v="4"/>
    <n v="114"/>
    <n v="88"/>
    <x v="1"/>
    <n v="165"/>
    <n v="2.36"/>
    <x v="0"/>
    <n v="21.44"/>
    <x v="1"/>
    <x v="1"/>
    <x v="1"/>
    <n v="1"/>
    <x v="1"/>
  </r>
  <r>
    <s v="M"/>
    <x v="28"/>
    <n v="57.9"/>
    <n v="1.67"/>
    <n v="20.8"/>
    <n v="20.760873462655528"/>
    <n v="0"/>
    <x v="0"/>
    <n v="101.4"/>
    <s v="140/98"/>
    <n v="140"/>
    <n v="98"/>
    <n v="265"/>
    <x v="0"/>
    <n v="46"/>
    <n v="86"/>
    <x v="0"/>
    <x v="1"/>
    <x v="1"/>
    <s v="Y"/>
    <x v="2"/>
    <n v="167"/>
    <n v="0.60699999999999998"/>
    <x v="3"/>
    <n v="140"/>
    <n v="98"/>
    <x v="3"/>
    <n v="189"/>
    <n v="4.1100000000000003"/>
    <x v="0"/>
    <n v="16.46"/>
    <x v="0"/>
    <x v="0"/>
    <x v="0"/>
    <n v="0"/>
    <x v="0"/>
  </r>
  <r>
    <s v="F"/>
    <x v="6"/>
    <n v="119"/>
    <n v="1.73"/>
    <n v="39.799999999999997"/>
    <n v="39.760767148919108"/>
    <n v="0"/>
    <x v="1"/>
    <n v="86.2"/>
    <s v="127/87"/>
    <n v="127"/>
    <n v="87"/>
    <n v="215"/>
    <x v="0"/>
    <n v="30"/>
    <n v="94"/>
    <x v="0"/>
    <x v="0"/>
    <x v="1"/>
    <s v="N"/>
    <x v="2"/>
    <n v="173"/>
    <n v="0.498"/>
    <x v="0"/>
    <m/>
    <n v="87"/>
    <x v="1"/>
    <n v="155"/>
    <n v="5.17"/>
    <x v="0"/>
    <n v="20.61"/>
    <x v="1"/>
    <x v="0"/>
    <x v="1"/>
    <n v="1"/>
    <x v="0"/>
  </r>
  <r>
    <s v="F"/>
    <x v="10"/>
    <n v="54.2"/>
    <n v="1.85"/>
    <n v="15.8"/>
    <n v="15.836376917457997"/>
    <n v="0"/>
    <x v="3"/>
    <n v="88.6"/>
    <s v="137/88"/>
    <n v="137"/>
    <n v="88"/>
    <n v="251"/>
    <x v="0"/>
    <n v="69"/>
    <n v="76"/>
    <x v="0"/>
    <x v="1"/>
    <x v="1"/>
    <s v="N"/>
    <x v="3"/>
    <n v="185"/>
    <n v="0.47899999999999998"/>
    <x v="0"/>
    <n v="137"/>
    <n v="88"/>
    <x v="1"/>
    <n v="152"/>
    <n v="2.2000000000000002"/>
    <x v="0"/>
    <n v="15.03"/>
    <x v="0"/>
    <x v="0"/>
    <x v="0"/>
    <n v="0"/>
    <x v="0"/>
  </r>
  <r>
    <s v="F"/>
    <x v="1"/>
    <n v="69.2"/>
    <m/>
    <n v="19.600000000000001"/>
    <s v=""/>
    <s v=""/>
    <x v="0"/>
    <n v="77.5"/>
    <s v="90/63"/>
    <n v="90"/>
    <n v="63"/>
    <n v="279"/>
    <x v="0"/>
    <n v="68"/>
    <n v="90"/>
    <x v="1"/>
    <x v="1"/>
    <x v="2"/>
    <s v="Y"/>
    <x v="0"/>
    <n v="188"/>
    <n v="0.41199999999999998"/>
    <x v="2"/>
    <m/>
    <n v="63"/>
    <x v="2"/>
    <n v="181"/>
    <n v="2.66"/>
    <x v="1"/>
    <n v="14"/>
    <x v="1"/>
    <x v="1"/>
    <x v="1"/>
    <n v="1"/>
    <x v="0"/>
  </r>
  <r>
    <s v="F"/>
    <x v="21"/>
    <n v="116.2"/>
    <n v="1.65"/>
    <n v="42.7"/>
    <n v="42.681359044995418"/>
    <n v="0"/>
    <x v="1"/>
    <n v="89.4"/>
    <s v="139/96"/>
    <n v="139"/>
    <n v="96"/>
    <n v="205"/>
    <x v="0"/>
    <n v="68"/>
    <n v="80"/>
    <x v="1"/>
    <x v="0"/>
    <x v="1"/>
    <s v="Y"/>
    <x v="1"/>
    <n v="165"/>
    <n v="0.54200000000000004"/>
    <x v="1"/>
    <n v="139"/>
    <n v="96"/>
    <x v="1"/>
    <n v="107"/>
    <n v="1.57"/>
    <x v="0"/>
    <n v="21.59"/>
    <x v="1"/>
    <x v="1"/>
    <x v="1"/>
    <n v="1"/>
    <x v="0"/>
  </r>
  <r>
    <s v="F"/>
    <x v="17"/>
    <n v="90.7"/>
    <n v="1.7"/>
    <n v="31.4"/>
    <n v="31.384083044982702"/>
    <n v="0"/>
    <x v="1"/>
    <n v="77.599999999999994"/>
    <s v="103/63"/>
    <n v="103"/>
    <n v="63"/>
    <n v="141"/>
    <x v="2"/>
    <n v="68"/>
    <n v="79"/>
    <x v="0"/>
    <x v="0"/>
    <x v="0"/>
    <s v="N"/>
    <x v="0"/>
    <n v="170"/>
    <n v="0.45600000000000002"/>
    <x v="2"/>
    <n v="103"/>
    <m/>
    <x v="2"/>
    <n v="43"/>
    <n v="0.63"/>
    <x v="0"/>
    <n v="16.25"/>
    <x v="1"/>
    <x v="1"/>
    <x v="1"/>
    <n v="1"/>
    <x v="0"/>
  </r>
  <r>
    <s v="F"/>
    <x v="6"/>
    <n v="86.7"/>
    <n v="1.62"/>
    <n v="33"/>
    <n v="33.036122542295374"/>
    <n v="0"/>
    <x v="1"/>
    <n v="88.5"/>
    <s v="113/77"/>
    <n v="113"/>
    <n v="77"/>
    <n v="250"/>
    <x v="0"/>
    <n v="36"/>
    <n v="104"/>
    <x v="0"/>
    <x v="0"/>
    <x v="1"/>
    <s v="Y"/>
    <x v="0"/>
    <n v="162"/>
    <n v="0.54600000000000004"/>
    <x v="1"/>
    <n v="113"/>
    <n v="77"/>
    <x v="2"/>
    <n v="184"/>
    <n v="5.1100000000000003"/>
    <x v="1"/>
    <n v="19.25"/>
    <x v="1"/>
    <x v="0"/>
    <x v="1"/>
    <n v="1"/>
    <x v="0"/>
  </r>
  <r>
    <s v="M"/>
    <x v="21"/>
    <n v="75.099999999999994"/>
    <n v="1.89"/>
    <n v="21"/>
    <n v="21.024047479073932"/>
    <n v="0"/>
    <x v="0"/>
    <n v="104.3"/>
    <s v="112/93"/>
    <n v="112"/>
    <n v="93"/>
    <n v="111"/>
    <x v="2"/>
    <n v="42"/>
    <n v="95"/>
    <x v="0"/>
    <x v="0"/>
    <x v="0"/>
    <s v="N"/>
    <x v="0"/>
    <n v="189"/>
    <n v="0.55200000000000005"/>
    <x v="1"/>
    <n v="112"/>
    <n v="93"/>
    <x v="3"/>
    <n v="39"/>
    <n v="0.93"/>
    <x v="0"/>
    <n v="14.02"/>
    <x v="0"/>
    <x v="0"/>
    <x v="0"/>
    <n v="0"/>
    <x v="0"/>
  </r>
  <r>
    <s v="M"/>
    <x v="2"/>
    <n v="64.900000000000006"/>
    <n v="1.83"/>
    <n v="19.399999999999999"/>
    <n v="19.379497745528383"/>
    <n v="0"/>
    <x v="0"/>
    <n v="99.8"/>
    <s v="96/93"/>
    <n v="96"/>
    <n v="93"/>
    <n v="173"/>
    <x v="1"/>
    <n v="65"/>
    <n v="101"/>
    <x v="0"/>
    <x v="1"/>
    <x v="1"/>
    <s v="N"/>
    <x v="3"/>
    <n v="183"/>
    <n v="0.54500000000000004"/>
    <x v="1"/>
    <n v="96"/>
    <n v="93"/>
    <x v="3"/>
    <n v="78"/>
    <n v="1.2"/>
    <x v="0"/>
    <n v="12.14"/>
    <x v="2"/>
    <x v="0"/>
    <x v="0"/>
    <n v="0"/>
    <x v="0"/>
  </r>
  <r>
    <s v="F"/>
    <x v="17"/>
    <n v="79.099999999999994"/>
    <n v="1.81"/>
    <n v="24.1"/>
    <n v="24.144562131803056"/>
    <n v="0"/>
    <x v="0"/>
    <n v="76.400000000000006"/>
    <s v="118/97"/>
    <n v="118"/>
    <n v="97"/>
    <n v="147"/>
    <x v="2"/>
    <n v="70"/>
    <n v="83"/>
    <x v="1"/>
    <x v="0"/>
    <x v="0"/>
    <s v="Y"/>
    <x v="4"/>
    <n v="181"/>
    <n v="0.42199999999999999"/>
    <x v="2"/>
    <n v="118"/>
    <n v="97"/>
    <x v="3"/>
    <n v="47"/>
    <n v="0.67"/>
    <x v="0"/>
    <n v="15.66"/>
    <x v="1"/>
    <x v="1"/>
    <x v="1"/>
    <n v="1"/>
    <x v="0"/>
  </r>
  <r>
    <s v="M"/>
    <x v="7"/>
    <n v="103.6"/>
    <n v="1.83"/>
    <n v="30.9"/>
    <n v="30.935531069903544"/>
    <n v="0"/>
    <x v="1"/>
    <n v="78.599999999999994"/>
    <s v="94/78"/>
    <n v="94"/>
    <n v="78"/>
    <m/>
    <x v="2"/>
    <n v="79"/>
    <n v="75"/>
    <x v="0"/>
    <x v="1"/>
    <x v="2"/>
    <s v="N"/>
    <x v="3"/>
    <n v="183"/>
    <n v="0.43"/>
    <x v="2"/>
    <n v="94"/>
    <n v="78"/>
    <x v="2"/>
    <n v="55"/>
    <n v="0.7"/>
    <x v="0"/>
    <n v="14.16"/>
    <x v="2"/>
    <x v="0"/>
    <x v="0"/>
    <n v="0"/>
    <x v="0"/>
  </r>
  <r>
    <s v="F"/>
    <x v="22"/>
    <n v="88.1"/>
    <n v="1.63"/>
    <n v="33.200000000000003"/>
    <n v="33.158944634724676"/>
    <n v="0"/>
    <x v="1"/>
    <n v="98.7"/>
    <s v="95/81"/>
    <n v="95"/>
    <n v="81"/>
    <n v="166"/>
    <x v="1"/>
    <n v="78"/>
    <n v="103"/>
    <x v="1"/>
    <x v="0"/>
    <x v="0"/>
    <s v="Y"/>
    <x v="4"/>
    <m/>
    <n v="0.60599999999999998"/>
    <x v="3"/>
    <n v="95"/>
    <n v="81"/>
    <x v="1"/>
    <n v="58"/>
    <n v="0.74"/>
    <x v="0"/>
    <n v="16.71"/>
    <x v="1"/>
    <x v="1"/>
    <x v="1"/>
    <n v="1"/>
    <x v="0"/>
  </r>
  <r>
    <s v="F"/>
    <x v="18"/>
    <n v="80"/>
    <n v="1.86"/>
    <n v="23.1"/>
    <n v="23.12406058503873"/>
    <n v="0"/>
    <x v="0"/>
    <n v="93.5"/>
    <s v="110/98"/>
    <n v="110"/>
    <n v="98"/>
    <n v="143"/>
    <x v="2"/>
    <n v="60"/>
    <n v="139"/>
    <x v="1"/>
    <x v="1"/>
    <x v="1"/>
    <s v="Y"/>
    <x v="0"/>
    <n v="186"/>
    <n v="0.503"/>
    <x v="0"/>
    <n v="110"/>
    <n v="98"/>
    <x v="3"/>
    <n v="53"/>
    <n v="0.88"/>
    <x v="0"/>
    <n v="12.98"/>
    <x v="0"/>
    <x v="0"/>
    <x v="0"/>
    <n v="0"/>
    <x v="0"/>
  </r>
  <r>
    <s v="M"/>
    <x v="28"/>
    <n v="55"/>
    <m/>
    <n v="18.8"/>
    <s v=""/>
    <s v=""/>
    <x v="0"/>
    <n v="108.6"/>
    <s v="132/76"/>
    <n v="132"/>
    <n v="76"/>
    <n v="183"/>
    <x v="0"/>
    <n v="53"/>
    <n v="115"/>
    <x v="0"/>
    <x v="0"/>
    <x v="2"/>
    <s v="Y"/>
    <x v="0"/>
    <n v="171"/>
    <n v="0.63500000000000001"/>
    <x v="3"/>
    <n v="132"/>
    <n v="76"/>
    <x v="1"/>
    <n v="100"/>
    <n v="1.89"/>
    <x v="0"/>
    <n v="16.02"/>
    <x v="0"/>
    <x v="0"/>
    <x v="0"/>
    <n v="0"/>
    <x v="1"/>
  </r>
  <r>
    <s v="F"/>
    <x v="18"/>
    <n v="110.4"/>
    <n v="1.71"/>
    <n v="37.799999999999997"/>
    <n v="37.755206730275987"/>
    <n v="0"/>
    <x v="1"/>
    <n v="99"/>
    <s v="116/95"/>
    <n v="116"/>
    <n v="95"/>
    <n v="265"/>
    <x v="0"/>
    <n v="65"/>
    <n v="124"/>
    <x v="1"/>
    <x v="0"/>
    <x v="2"/>
    <s v="Y"/>
    <x v="1"/>
    <n v="171"/>
    <n v="0.57899999999999996"/>
    <x v="1"/>
    <n v="116"/>
    <m/>
    <x v="3"/>
    <n v="170"/>
    <n v="2.62"/>
    <x v="0"/>
    <n v="20.66"/>
    <x v="1"/>
    <x v="1"/>
    <x v="1"/>
    <n v="1"/>
    <x v="0"/>
  </r>
  <r>
    <s v="M"/>
    <x v="28"/>
    <n v="59.5"/>
    <n v="1.74"/>
    <n v="19.7"/>
    <n v="19.652530056810676"/>
    <n v="0"/>
    <x v="0"/>
    <m/>
    <s v="107/80"/>
    <n v="107"/>
    <n v="80"/>
    <n v="183"/>
    <x v="0"/>
    <n v="63"/>
    <n v="85"/>
    <x v="0"/>
    <x v="1"/>
    <x v="2"/>
    <s v="Y"/>
    <x v="2"/>
    <n v="174"/>
    <n v="0.499"/>
    <x v="0"/>
    <n v="107"/>
    <n v="80"/>
    <x v="1"/>
    <n v="90"/>
    <n v="1.43"/>
    <x v="0"/>
    <n v="12.95"/>
    <x v="0"/>
    <x v="0"/>
    <x v="0"/>
    <n v="0"/>
    <x v="0"/>
  </r>
  <r>
    <s v="M"/>
    <x v="19"/>
    <n v="82.5"/>
    <n v="1.74"/>
    <n v="27.2"/>
    <n v="27.249306381292111"/>
    <n v="0"/>
    <x v="2"/>
    <n v="81.7"/>
    <s v="136/92"/>
    <n v="136"/>
    <n v="92"/>
    <n v="200"/>
    <x v="0"/>
    <n v="52"/>
    <n v="108"/>
    <x v="1"/>
    <x v="0"/>
    <x v="0"/>
    <s v="N"/>
    <x v="1"/>
    <n v="174"/>
    <n v="0.47"/>
    <x v="0"/>
    <n v="136"/>
    <n v="92"/>
    <x v="1"/>
    <n v="118"/>
    <n v="2.27"/>
    <x v="0"/>
    <n v="18.239999999999998"/>
    <x v="1"/>
    <x v="0"/>
    <x v="1"/>
    <n v="1"/>
    <x v="0"/>
  </r>
  <r>
    <s v="M"/>
    <x v="20"/>
    <n v="91.3"/>
    <n v="1.87"/>
    <n v="26.1"/>
    <n v="26.10883925762818"/>
    <n v="0"/>
    <x v="2"/>
    <n v="80"/>
    <s v="102/61"/>
    <n v="102"/>
    <n v="61"/>
    <n v="271"/>
    <x v="0"/>
    <n v="31"/>
    <n v="126"/>
    <x v="1"/>
    <x v="0"/>
    <x v="1"/>
    <s v="N"/>
    <x v="0"/>
    <n v="187"/>
    <n v="0.42799999999999999"/>
    <x v="2"/>
    <n v="102"/>
    <n v="61"/>
    <x v="2"/>
    <n v="210"/>
    <n v="6.77"/>
    <x v="1"/>
    <n v="17.739999999999998"/>
    <x v="1"/>
    <x v="0"/>
    <x v="1"/>
    <n v="1"/>
    <x v="0"/>
  </r>
  <r>
    <s v="F"/>
    <x v="22"/>
    <n v="93.4"/>
    <n v="1.63"/>
    <n v="35.200000000000003"/>
    <n v="35.153750611615045"/>
    <n v="0"/>
    <x v="1"/>
    <n v="77.599999999999994"/>
    <s v="116/65"/>
    <n v="116"/>
    <n v="65"/>
    <n v="297"/>
    <x v="0"/>
    <n v="48"/>
    <n v="147"/>
    <x v="1"/>
    <x v="1"/>
    <x v="1"/>
    <s v="Y"/>
    <x v="0"/>
    <n v="163"/>
    <n v="0.47599999999999998"/>
    <x v="0"/>
    <n v="116"/>
    <n v="65"/>
    <x v="2"/>
    <n v="219"/>
    <n v="4.5599999999999996"/>
    <x v="1"/>
    <n v="18.78"/>
    <x v="1"/>
    <x v="0"/>
    <x v="1"/>
    <n v="1"/>
    <x v="0"/>
  </r>
  <r>
    <s v="F"/>
    <x v="22"/>
    <n v="63.7"/>
    <n v="1.84"/>
    <m/>
    <n v="18.814981096408317"/>
    <n v="1"/>
    <x v="3"/>
    <n v="89.7"/>
    <s v="92/62"/>
    <n v="92"/>
    <n v="62"/>
    <n v="155"/>
    <x v="1"/>
    <n v="41"/>
    <n v="105"/>
    <x v="0"/>
    <x v="0"/>
    <x v="0"/>
    <s v="Y"/>
    <x v="1"/>
    <n v="184"/>
    <n v="0.48699999999999999"/>
    <x v="0"/>
    <n v="92"/>
    <n v="62"/>
    <x v="2"/>
    <n v="84"/>
    <n v="2.0499999999999998"/>
    <x v="0"/>
    <m/>
    <x v="1"/>
    <x v="0"/>
    <x v="1"/>
    <n v="1"/>
    <x v="0"/>
  </r>
  <r>
    <s v="F"/>
    <x v="25"/>
    <m/>
    <n v="1.73"/>
    <n v="33.4"/>
    <n v="0"/>
    <n v="1"/>
    <x v="1"/>
    <n v="93.8"/>
    <s v="145/79"/>
    <n v="145"/>
    <n v="79"/>
    <n v="208"/>
    <x v="0"/>
    <n v="61"/>
    <n v="79"/>
    <x v="0"/>
    <x v="1"/>
    <x v="2"/>
    <s v="N"/>
    <x v="3"/>
    <n v="173"/>
    <n v="0.54200000000000004"/>
    <x v="1"/>
    <n v="145"/>
    <n v="79"/>
    <x v="3"/>
    <n v="117"/>
    <n v="1.92"/>
    <x v="0"/>
    <n v="18.09"/>
    <x v="0"/>
    <x v="0"/>
    <x v="0"/>
    <n v="0"/>
    <x v="0"/>
  </r>
  <r>
    <s v="M"/>
    <x v="2"/>
    <n v="99.4"/>
    <n v="1.61"/>
    <n v="38.299999999999997"/>
    <n v="38.34728598433702"/>
    <n v="0"/>
    <x v="1"/>
    <n v="99.4"/>
    <s v="95/93"/>
    <n v="95"/>
    <n v="93"/>
    <n v="191"/>
    <x v="0"/>
    <n v="71"/>
    <n v="125"/>
    <x v="0"/>
    <x v="0"/>
    <x v="0"/>
    <s v="N"/>
    <x v="0"/>
    <n v="161"/>
    <n v="0.61699999999999999"/>
    <x v="3"/>
    <m/>
    <n v="93"/>
    <x v="3"/>
    <n v="90"/>
    <n v="1.27"/>
    <x v="0"/>
    <n v="18.23"/>
    <x v="0"/>
    <x v="0"/>
    <x v="0"/>
    <n v="0"/>
    <x v="0"/>
  </r>
  <r>
    <s v="F"/>
    <x v="14"/>
    <n v="67.5"/>
    <n v="1.73"/>
    <n v="22.6"/>
    <n v="22.55337632396672"/>
    <n v="0"/>
    <x v="0"/>
    <n v="91.9"/>
    <s v="144/63"/>
    <n v="144"/>
    <n v="63"/>
    <n v="286"/>
    <x v="0"/>
    <n v="54"/>
    <n v="112"/>
    <x v="1"/>
    <x v="1"/>
    <x v="0"/>
    <s v="N"/>
    <x v="0"/>
    <n v="173"/>
    <n v="0.53100000000000003"/>
    <x v="1"/>
    <n v="144"/>
    <n v="63"/>
    <x v="3"/>
    <n v="202"/>
    <n v="3.74"/>
    <x v="0"/>
    <n v="17.440000000000001"/>
    <x v="0"/>
    <x v="0"/>
    <x v="0"/>
    <n v="0"/>
    <x v="0"/>
  </r>
  <r>
    <s v="M"/>
    <x v="22"/>
    <n v="99.5"/>
    <n v="1.89"/>
    <n v="27.9"/>
    <n v="27.854763304498757"/>
    <n v="0"/>
    <x v="2"/>
    <n v="83.7"/>
    <s v="116/91"/>
    <n v="116"/>
    <n v="91"/>
    <n v="105"/>
    <x v="2"/>
    <n v="33"/>
    <n v="134"/>
    <x v="0"/>
    <x v="1"/>
    <x v="0"/>
    <s v="N"/>
    <x v="2"/>
    <n v="189"/>
    <n v="0.443"/>
    <x v="2"/>
    <n v="116"/>
    <n v="91"/>
    <x v="3"/>
    <n v="42"/>
    <n v="1.27"/>
    <x v="0"/>
    <n v="13.48"/>
    <x v="1"/>
    <x v="0"/>
    <x v="1"/>
    <n v="1"/>
    <x v="0"/>
  </r>
  <r>
    <s v="F"/>
    <x v="13"/>
    <n v="70.599999999999994"/>
    <n v="1.66"/>
    <n v="25.6"/>
    <n v="25.620554507185368"/>
    <n v="0"/>
    <x v="2"/>
    <n v="86.1"/>
    <s v="116/85"/>
    <n v="116"/>
    <n v="85"/>
    <n v="187"/>
    <x v="0"/>
    <n v="65"/>
    <n v="75"/>
    <x v="1"/>
    <x v="0"/>
    <x v="0"/>
    <s v="Y"/>
    <x v="4"/>
    <n v="166"/>
    <n v="0.51900000000000002"/>
    <x v="0"/>
    <n v="116"/>
    <n v="85"/>
    <x v="1"/>
    <n v="92"/>
    <n v="1.42"/>
    <x v="0"/>
    <n v="16.66"/>
    <x v="1"/>
    <x v="1"/>
    <x v="1"/>
    <n v="1"/>
    <x v="0"/>
  </r>
  <r>
    <s v="M"/>
    <x v="0"/>
    <n v="119.2"/>
    <n v="1.65"/>
    <n v="43.8"/>
    <n v="43.78328741965106"/>
    <n v="0"/>
    <x v="1"/>
    <n v="85"/>
    <s v="144/96"/>
    <n v="144"/>
    <n v="96"/>
    <n v="205"/>
    <x v="0"/>
    <n v="80"/>
    <n v="121"/>
    <x v="1"/>
    <x v="1"/>
    <x v="2"/>
    <s v="N"/>
    <x v="2"/>
    <n v="165"/>
    <n v="0.51500000000000001"/>
    <x v="0"/>
    <n v="144"/>
    <n v="96"/>
    <x v="3"/>
    <n v="95"/>
    <n v="1.19"/>
    <x v="0"/>
    <n v="20.059999999999999"/>
    <x v="0"/>
    <x v="0"/>
    <x v="0"/>
    <n v="0"/>
    <x v="0"/>
  </r>
  <r>
    <s v="M"/>
    <x v="11"/>
    <n v="82.7"/>
    <n v="1.9"/>
    <n v="22.9"/>
    <n v="22.908587257617729"/>
    <n v="0"/>
    <x v="0"/>
    <n v="95.7"/>
    <s v="107/88"/>
    <n v="107"/>
    <n v="88"/>
    <n v="119"/>
    <x v="2"/>
    <n v="37"/>
    <n v="146"/>
    <x v="1"/>
    <x v="1"/>
    <x v="2"/>
    <s v="N"/>
    <x v="2"/>
    <n v="190"/>
    <n v="0.504"/>
    <x v="0"/>
    <n v="107"/>
    <n v="88"/>
    <x v="1"/>
    <n v="52"/>
    <n v="1.41"/>
    <x v="0"/>
    <n v="12.31"/>
    <x v="0"/>
    <x v="0"/>
    <x v="0"/>
    <n v="0"/>
    <x v="0"/>
  </r>
  <r>
    <s v="F"/>
    <x v="13"/>
    <n v="87.5"/>
    <n v="1.73"/>
    <n v="29.2"/>
    <n v="29.235858197734636"/>
    <n v="0"/>
    <x v="2"/>
    <n v="99.9"/>
    <s v="118/96"/>
    <n v="118"/>
    <n v="96"/>
    <n v="135"/>
    <x v="2"/>
    <n v="72"/>
    <n v="110"/>
    <x v="0"/>
    <x v="1"/>
    <x v="0"/>
    <s v="Y"/>
    <x v="0"/>
    <n v="173"/>
    <n v="0.57699999999999996"/>
    <x v="1"/>
    <n v="118"/>
    <n v="96"/>
    <x v="3"/>
    <n v="33"/>
    <n v="0.46"/>
    <x v="0"/>
    <n v="14.44"/>
    <x v="0"/>
    <x v="0"/>
    <x v="0"/>
    <n v="0"/>
    <x v="0"/>
  </r>
  <r>
    <s v="F"/>
    <x v="25"/>
    <n v="56.3"/>
    <n v="1.62"/>
    <n v="21.5"/>
    <n v="21.452522481329062"/>
    <n v="0"/>
    <x v="0"/>
    <n v="84.5"/>
    <s v="136/75"/>
    <n v="136"/>
    <n v="75"/>
    <n v="131"/>
    <x v="2"/>
    <n v="61"/>
    <n v="73"/>
    <x v="0"/>
    <x v="1"/>
    <x v="0"/>
    <s v="Y"/>
    <x v="0"/>
    <n v="162"/>
    <n v="0.52200000000000002"/>
    <x v="0"/>
    <n v="136"/>
    <n v="75"/>
    <x v="1"/>
    <n v="40"/>
    <n v="0.66"/>
    <x v="0"/>
    <n v="13.72"/>
    <x v="0"/>
    <x v="0"/>
    <x v="0"/>
    <n v="0"/>
    <x v="0"/>
  </r>
  <r>
    <s v="F"/>
    <x v="22"/>
    <n v="81.599999999999994"/>
    <n v="1.88"/>
    <n v="23.1"/>
    <n v="23.087369850611136"/>
    <n v="0"/>
    <x v="0"/>
    <n v="80.2"/>
    <s v="117/83"/>
    <n v="117"/>
    <n v="83"/>
    <n v="130"/>
    <x v="2"/>
    <n v="69"/>
    <n v="83"/>
    <x v="1"/>
    <x v="0"/>
    <x v="1"/>
    <s v="N"/>
    <x v="0"/>
    <n v="188"/>
    <m/>
    <x v="4"/>
    <n v="117"/>
    <n v="83"/>
    <x v="1"/>
    <n v="31"/>
    <n v="0.45"/>
    <x v="0"/>
    <m/>
    <x v="0"/>
    <x v="0"/>
    <x v="0"/>
    <n v="0"/>
    <x v="0"/>
  </r>
  <r>
    <s v="M"/>
    <x v="24"/>
    <n v="117.9"/>
    <n v="1.9"/>
    <n v="32.700000000000003"/>
    <n v="32.659279778393355"/>
    <n v="0"/>
    <x v="1"/>
    <n v="93.1"/>
    <s v="127/99"/>
    <n v="127"/>
    <n v="99"/>
    <n v="293"/>
    <x v="0"/>
    <n v="69"/>
    <n v="125"/>
    <x v="0"/>
    <x v="1"/>
    <x v="2"/>
    <s v="Y"/>
    <x v="2"/>
    <m/>
    <n v="0.49"/>
    <x v="0"/>
    <n v="127"/>
    <n v="99"/>
    <x v="3"/>
    <n v="194"/>
    <n v="2.81"/>
    <x v="0"/>
    <n v="18.75"/>
    <x v="0"/>
    <x v="0"/>
    <x v="0"/>
    <n v="0"/>
    <x v="0"/>
  </r>
  <r>
    <s v="F"/>
    <x v="24"/>
    <n v="114.2"/>
    <m/>
    <n v="40.9"/>
    <s v=""/>
    <s v=""/>
    <x v="1"/>
    <n v="91.1"/>
    <s v="146/60"/>
    <n v="146"/>
    <n v="60"/>
    <n v="263"/>
    <x v="0"/>
    <n v="70"/>
    <n v="78"/>
    <x v="1"/>
    <x v="0"/>
    <x v="0"/>
    <s v="N"/>
    <x v="1"/>
    <n v="167"/>
    <n v="0.54600000000000004"/>
    <x v="1"/>
    <n v="146"/>
    <n v="60"/>
    <x v="3"/>
    <n v="163"/>
    <n v="2.33"/>
    <x v="0"/>
    <n v="22.74"/>
    <x v="1"/>
    <x v="1"/>
    <x v="1"/>
    <n v="1"/>
    <x v="0"/>
  </r>
  <r>
    <s v="M"/>
    <x v="0"/>
    <n v="111.1"/>
    <n v="1.72"/>
    <n v="37.6"/>
    <n v="37.554083288263925"/>
    <n v="0"/>
    <x v="1"/>
    <n v="86.9"/>
    <s v="138/68"/>
    <n v="138"/>
    <n v="68"/>
    <n v="246"/>
    <x v="0"/>
    <n v="61"/>
    <n v="98"/>
    <x v="1"/>
    <x v="1"/>
    <x v="0"/>
    <s v="N"/>
    <x v="0"/>
    <n v="172"/>
    <n v="0.505"/>
    <x v="0"/>
    <n v="138"/>
    <n v="68"/>
    <x v="1"/>
    <n v="155"/>
    <n v="2.54"/>
    <x v="0"/>
    <n v="19.34"/>
    <x v="1"/>
    <x v="1"/>
    <x v="1"/>
    <n v="1"/>
    <x v="0"/>
  </r>
  <r>
    <s v="F"/>
    <x v="8"/>
    <n v="102.2"/>
    <n v="1.83"/>
    <n v="30.5"/>
    <n v="30.517483352742687"/>
    <n v="0"/>
    <x v="1"/>
    <n v="109.1"/>
    <s v="118/67"/>
    <n v="118"/>
    <n v="67"/>
    <n v="191"/>
    <x v="0"/>
    <n v="37"/>
    <n v="99"/>
    <x v="1"/>
    <x v="0"/>
    <x v="0"/>
    <s v="Y"/>
    <x v="4"/>
    <n v="183"/>
    <n v="0.59599999999999997"/>
    <x v="3"/>
    <n v="118"/>
    <n v="67"/>
    <x v="2"/>
    <n v="124"/>
    <n v="3.35"/>
    <x v="1"/>
    <n v="17.82"/>
    <x v="1"/>
    <x v="0"/>
    <x v="1"/>
    <n v="1"/>
    <x v="0"/>
  </r>
  <r>
    <s v="M"/>
    <x v="21"/>
    <n v="60.3"/>
    <n v="1.78"/>
    <n v="19"/>
    <n v="19.031687918192144"/>
    <n v="0"/>
    <x v="0"/>
    <n v="108.4"/>
    <s v="128/60"/>
    <n v="128"/>
    <n v="60"/>
    <n v="123"/>
    <x v="2"/>
    <n v="35"/>
    <n v="101"/>
    <x v="1"/>
    <x v="1"/>
    <x v="1"/>
    <s v="N"/>
    <x v="2"/>
    <n v="178"/>
    <n v="0.60899999999999999"/>
    <x v="3"/>
    <n v="128"/>
    <n v="60"/>
    <x v="0"/>
    <n v="58"/>
    <n v="1.66"/>
    <x v="0"/>
    <n v="12.66"/>
    <x v="0"/>
    <x v="0"/>
    <x v="0"/>
    <n v="0"/>
    <x v="0"/>
  </r>
  <r>
    <s v="M"/>
    <x v="15"/>
    <n v="68.099999999999994"/>
    <n v="1.76"/>
    <n v="22"/>
    <n v="21.984762396694215"/>
    <n v="0"/>
    <x v="0"/>
    <n v="80.099999999999994"/>
    <s v="111/77"/>
    <n v="111"/>
    <n v="77"/>
    <n v="202"/>
    <x v="0"/>
    <n v="59"/>
    <n v="91"/>
    <x v="1"/>
    <x v="1"/>
    <x v="0"/>
    <s v="N"/>
    <x v="0"/>
    <n v="176"/>
    <n v="0.45500000000000002"/>
    <x v="2"/>
    <n v="111"/>
    <n v="77"/>
    <x v="2"/>
    <n v="113"/>
    <n v="1.92"/>
    <x v="0"/>
    <n v="13.99"/>
    <x v="0"/>
    <x v="0"/>
    <x v="0"/>
    <n v="0"/>
    <x v="0"/>
  </r>
  <r>
    <s v="F"/>
    <x v="24"/>
    <n v="58"/>
    <n v="1.85"/>
    <n v="16.899999999999999"/>
    <n v="16.946676406135865"/>
    <n v="0"/>
    <x v="3"/>
    <n v="74.599999999999994"/>
    <s v="102/92"/>
    <n v="102"/>
    <n v="92"/>
    <n v="218"/>
    <x v="0"/>
    <n v="78"/>
    <n v="88"/>
    <x v="0"/>
    <x v="1"/>
    <x v="2"/>
    <s v="N"/>
    <x v="3"/>
    <n v="185"/>
    <n v="0.40300000000000002"/>
    <x v="2"/>
    <n v="102"/>
    <n v="92"/>
    <x v="3"/>
    <n v="110"/>
    <n v="1.41"/>
    <x v="0"/>
    <m/>
    <x v="2"/>
    <x v="0"/>
    <x v="0"/>
    <n v="0"/>
    <x v="0"/>
  </r>
  <r>
    <s v="F"/>
    <x v="27"/>
    <n v="90.8"/>
    <n v="1.86"/>
    <n v="26.2"/>
    <n v="26.245808764018957"/>
    <n v="0"/>
    <x v="2"/>
    <n v="71.099999999999994"/>
    <s v="141/70"/>
    <n v="141"/>
    <n v="70"/>
    <n v="100"/>
    <x v="2"/>
    <m/>
    <n v="121"/>
    <x v="0"/>
    <x v="1"/>
    <x v="0"/>
    <s v="N"/>
    <x v="2"/>
    <n v="186"/>
    <n v="0.38200000000000001"/>
    <x v="2"/>
    <n v="141"/>
    <n v="70"/>
    <x v="3"/>
    <n v="28"/>
    <s v=""/>
    <x v="0"/>
    <n v="14.29"/>
    <x v="0"/>
    <x v="0"/>
    <x v="0"/>
    <n v="0"/>
    <x v="0"/>
  </r>
  <r>
    <s v="M"/>
    <x v="26"/>
    <n v="70.5"/>
    <n v="1.61"/>
    <n v="27.2"/>
    <n v="27.198024767562977"/>
    <n v="0"/>
    <x v="2"/>
    <n v="107.3"/>
    <s v="122/94"/>
    <n v="122"/>
    <n v="94"/>
    <n v="219"/>
    <x v="0"/>
    <n v="71"/>
    <n v="140"/>
    <x v="1"/>
    <x v="1"/>
    <x v="0"/>
    <s v="Y"/>
    <x v="1"/>
    <n v="161"/>
    <n v="0.66600000000000004"/>
    <x v="3"/>
    <n v="122"/>
    <n v="94"/>
    <x v="3"/>
    <n v="118"/>
    <n v="1.66"/>
    <x v="0"/>
    <n v="15.92"/>
    <x v="1"/>
    <x v="1"/>
    <x v="1"/>
    <n v="1"/>
    <x v="0"/>
  </r>
  <r>
    <s v="M"/>
    <x v="13"/>
    <n v="110.9"/>
    <n v="1.71"/>
    <n v="37.9"/>
    <n v="37.9261995143805"/>
    <n v="0"/>
    <x v="1"/>
    <n v="70.5"/>
    <s v="127/77"/>
    <n v="127"/>
    <n v="77"/>
    <n v="298"/>
    <x v="0"/>
    <n v="63"/>
    <n v="120"/>
    <x v="0"/>
    <x v="0"/>
    <x v="0"/>
    <s v="N"/>
    <x v="0"/>
    <n v="171"/>
    <n v="0.41199999999999998"/>
    <x v="2"/>
    <n v="127"/>
    <n v="77"/>
    <x v="0"/>
    <n v="205"/>
    <n v="3.25"/>
    <x v="0"/>
    <n v="21.89"/>
    <x v="1"/>
    <x v="1"/>
    <x v="1"/>
    <n v="1"/>
    <x v="0"/>
  </r>
  <r>
    <s v="M"/>
    <x v="28"/>
    <m/>
    <n v="1.83"/>
    <n v="17.100000000000001"/>
    <n v="0"/>
    <n v="1"/>
    <x v="3"/>
    <n v="79.400000000000006"/>
    <s v="132/77"/>
    <n v="132"/>
    <n v="77"/>
    <n v="245"/>
    <x v="0"/>
    <n v="55"/>
    <n v="148"/>
    <x v="0"/>
    <x v="1"/>
    <x v="0"/>
    <s v="Y"/>
    <x v="0"/>
    <n v="183"/>
    <n v="0.434"/>
    <x v="2"/>
    <n v="132"/>
    <n v="77"/>
    <x v="1"/>
    <n v="160"/>
    <n v="2.91"/>
    <x v="0"/>
    <n v="14.92"/>
    <x v="1"/>
    <x v="0"/>
    <x v="1"/>
    <n v="1"/>
    <x v="0"/>
  </r>
  <r>
    <s v="M"/>
    <x v="15"/>
    <n v="62.1"/>
    <n v="1.73"/>
    <n v="20.7"/>
    <n v="20.749106218049384"/>
    <n v="0"/>
    <x v="0"/>
    <n v="82"/>
    <s v="91/91"/>
    <n v="91"/>
    <n v="91"/>
    <n v="150"/>
    <x v="1"/>
    <n v="34"/>
    <m/>
    <x v="0"/>
    <x v="1"/>
    <x v="2"/>
    <s v="N"/>
    <x v="3"/>
    <n v="173"/>
    <n v="0.47399999999999998"/>
    <x v="0"/>
    <n v="91"/>
    <n v="91"/>
    <x v="3"/>
    <n v="86"/>
    <n v="2.5299999999999998"/>
    <x v="0"/>
    <n v="11.69"/>
    <x v="2"/>
    <x v="0"/>
    <x v="0"/>
    <n v="0"/>
    <x v="0"/>
  </r>
  <r>
    <s v="M"/>
    <x v="5"/>
    <n v="108.7"/>
    <n v="1.86"/>
    <m/>
    <n v="31.419817319921375"/>
    <n v="1"/>
    <x v="3"/>
    <n v="96.9"/>
    <s v="130/95"/>
    <n v="130"/>
    <n v="95"/>
    <n v="250"/>
    <x v="0"/>
    <n v="47"/>
    <n v="106"/>
    <x v="0"/>
    <x v="1"/>
    <x v="0"/>
    <s v="Y"/>
    <x v="0"/>
    <m/>
    <n v="0.52100000000000002"/>
    <x v="0"/>
    <n v="130"/>
    <m/>
    <x v="1"/>
    <n v="173"/>
    <n v="3.68"/>
    <x v="0"/>
    <n v="17.78"/>
    <x v="1"/>
    <x v="0"/>
    <x v="1"/>
    <n v="1"/>
    <x v="0"/>
  </r>
  <r>
    <s v="F"/>
    <x v="26"/>
    <n v="91.2"/>
    <n v="1.89"/>
    <n v="25.5"/>
    <n v="25.531200134374739"/>
    <n v="0"/>
    <x v="2"/>
    <n v="106.5"/>
    <s v="95/89"/>
    <n v="95"/>
    <n v="89"/>
    <n v="286"/>
    <x v="0"/>
    <n v="30"/>
    <m/>
    <x v="1"/>
    <x v="1"/>
    <x v="1"/>
    <s v="Y"/>
    <x v="0"/>
    <n v="189"/>
    <n v="0.56299999999999994"/>
    <x v="1"/>
    <n v="95"/>
    <n v="89"/>
    <x v="1"/>
    <n v="226"/>
    <n v="7.53"/>
    <x v="0"/>
    <m/>
    <x v="1"/>
    <x v="0"/>
    <x v="1"/>
    <n v="1"/>
    <x v="0"/>
  </r>
  <r>
    <s v="M"/>
    <x v="28"/>
    <n v="83.2"/>
    <n v="1.86"/>
    <n v="24"/>
    <n v="24.04902300844028"/>
    <n v="0"/>
    <x v="0"/>
    <n v="108.2"/>
    <s v="143/81"/>
    <n v="143"/>
    <n v="81"/>
    <n v="129"/>
    <x v="2"/>
    <n v="42"/>
    <n v="83"/>
    <x v="0"/>
    <x v="1"/>
    <x v="2"/>
    <s v="N"/>
    <x v="3"/>
    <n v="186"/>
    <n v="0.58199999999999996"/>
    <x v="1"/>
    <n v="143"/>
    <n v="81"/>
    <x v="1"/>
    <n v="57"/>
    <n v="1.36"/>
    <x v="0"/>
    <n v="14.53"/>
    <x v="2"/>
    <x v="0"/>
    <x v="0"/>
    <n v="0"/>
    <x v="0"/>
  </r>
  <r>
    <s v="M"/>
    <x v="27"/>
    <n v="87.4"/>
    <n v="1.77"/>
    <n v="27.9"/>
    <n v="27.897475182738038"/>
    <n v="0"/>
    <x v="2"/>
    <n v="79.2"/>
    <s v="94/69"/>
    <n v="94"/>
    <n v="69"/>
    <n v="287"/>
    <x v="0"/>
    <n v="35"/>
    <n v="117"/>
    <x v="0"/>
    <x v="0"/>
    <x v="2"/>
    <s v="N"/>
    <x v="2"/>
    <n v="177"/>
    <n v="0.44700000000000001"/>
    <x v="2"/>
    <n v="94"/>
    <n v="69"/>
    <x v="2"/>
    <n v="222"/>
    <n v="6.34"/>
    <x v="1"/>
    <m/>
    <x v="1"/>
    <x v="0"/>
    <x v="1"/>
    <n v="1"/>
    <x v="0"/>
  </r>
  <r>
    <s v="M"/>
    <x v="9"/>
    <n v="52.1"/>
    <n v="1.65"/>
    <n v="19.100000000000001"/>
    <n v="19.136822773186413"/>
    <n v="0"/>
    <x v="0"/>
    <n v="81.2"/>
    <s v="102/62"/>
    <n v="102"/>
    <n v="62"/>
    <n v="119"/>
    <x v="2"/>
    <n v="54"/>
    <n v="97"/>
    <x v="1"/>
    <x v="1"/>
    <x v="1"/>
    <s v="Y"/>
    <x v="0"/>
    <n v="165"/>
    <n v="0.49199999999999999"/>
    <x v="0"/>
    <n v="102"/>
    <n v="62"/>
    <x v="2"/>
    <n v="35"/>
    <n v="0.65"/>
    <x v="0"/>
    <n v="11.3"/>
    <x v="0"/>
    <x v="0"/>
    <x v="0"/>
    <n v="0"/>
    <x v="0"/>
  </r>
  <r>
    <s v="M"/>
    <x v="17"/>
    <n v="109.3"/>
    <n v="1.67"/>
    <n v="39.200000000000003"/>
    <n v="39.191078920004301"/>
    <n v="0"/>
    <x v="1"/>
    <n v="96.2"/>
    <s v="141/63"/>
    <n v="141"/>
    <n v="63"/>
    <n v="109"/>
    <x v="2"/>
    <n v="30"/>
    <n v="130"/>
    <x v="0"/>
    <x v="1"/>
    <x v="0"/>
    <s v="N"/>
    <x v="2"/>
    <n v="167"/>
    <n v="0.57599999999999996"/>
    <x v="1"/>
    <n v="141"/>
    <n v="63"/>
    <x v="3"/>
    <n v="49"/>
    <n v="1.63"/>
    <x v="0"/>
    <n v="17.07"/>
    <x v="1"/>
    <x v="0"/>
    <x v="1"/>
    <n v="1"/>
    <x v="0"/>
  </r>
  <r>
    <s v="F"/>
    <x v="25"/>
    <n v="67.099999999999994"/>
    <n v="1.85"/>
    <n v="19.600000000000001"/>
    <n v="19.605551497443386"/>
    <n v="0"/>
    <x v="0"/>
    <n v="96.8"/>
    <s v="111/72"/>
    <n v="111"/>
    <n v="72"/>
    <n v="184"/>
    <x v="0"/>
    <n v="40"/>
    <n v="82"/>
    <x v="0"/>
    <x v="1"/>
    <x v="1"/>
    <s v="Y"/>
    <x v="2"/>
    <n v="185"/>
    <n v="0.52300000000000002"/>
    <x v="1"/>
    <n v="111"/>
    <n v="72"/>
    <x v="2"/>
    <n v="114"/>
    <n v="2.85"/>
    <x v="0"/>
    <n v="13.15"/>
    <x v="0"/>
    <x v="0"/>
    <x v="0"/>
    <n v="0"/>
    <x v="0"/>
  </r>
  <r>
    <s v="F"/>
    <x v="20"/>
    <n v="64.3"/>
    <n v="1.89"/>
    <n v="18"/>
    <n v="18.000615884213769"/>
    <n v="0"/>
    <x v="3"/>
    <n v="108.6"/>
    <s v="100/91"/>
    <n v="100"/>
    <n v="91"/>
    <n v="261"/>
    <x v="0"/>
    <n v="55"/>
    <n v="82"/>
    <x v="0"/>
    <x v="1"/>
    <x v="1"/>
    <s v="Y"/>
    <x v="2"/>
    <n v="189"/>
    <n v="0.57499999999999996"/>
    <x v="1"/>
    <m/>
    <n v="91"/>
    <x v="3"/>
    <n v="176"/>
    <n v="3.2"/>
    <x v="0"/>
    <n v="13.82"/>
    <x v="0"/>
    <x v="0"/>
    <x v="0"/>
    <n v="0"/>
    <x v="0"/>
  </r>
  <r>
    <s v="M"/>
    <x v="28"/>
    <n v="72.599999999999994"/>
    <n v="1.83"/>
    <n v="21.7"/>
    <n v="21.678760189913103"/>
    <n v="0"/>
    <x v="0"/>
    <n v="96.7"/>
    <s v="121/65"/>
    <n v="121"/>
    <n v="65"/>
    <n v="126"/>
    <x v="2"/>
    <n v="57"/>
    <n v="97"/>
    <x v="0"/>
    <x v="0"/>
    <x v="2"/>
    <s v="N"/>
    <x v="2"/>
    <n v="183"/>
    <n v="0.52800000000000002"/>
    <x v="1"/>
    <n v="121"/>
    <n v="65"/>
    <x v="0"/>
    <n v="39"/>
    <n v="0.68"/>
    <x v="0"/>
    <n v="14.91"/>
    <x v="0"/>
    <x v="0"/>
    <x v="0"/>
    <n v="0"/>
    <x v="0"/>
  </r>
  <r>
    <s v="M"/>
    <x v="3"/>
    <n v="54.6"/>
    <n v="1.84"/>
    <n v="16.100000000000001"/>
    <n v="16.127126654064273"/>
    <n v="0"/>
    <x v="3"/>
    <n v="110"/>
    <s v="147/79"/>
    <n v="147"/>
    <n v="79"/>
    <n v="277"/>
    <x v="0"/>
    <n v="67"/>
    <n v="87"/>
    <x v="1"/>
    <x v="1"/>
    <x v="0"/>
    <s v="Y"/>
    <x v="1"/>
    <n v="184"/>
    <n v="0.59799999999999998"/>
    <x v="3"/>
    <n v="147"/>
    <n v="79"/>
    <x v="3"/>
    <n v="180"/>
    <n v="2.69"/>
    <x v="0"/>
    <n v="16.11"/>
    <x v="1"/>
    <x v="1"/>
    <x v="1"/>
    <n v="1"/>
    <x v="0"/>
  </r>
  <r>
    <s v="F"/>
    <x v="19"/>
    <n v="87"/>
    <n v="1.66"/>
    <n v="31.6"/>
    <n v="31.572071418202935"/>
    <n v="0"/>
    <x v="1"/>
    <n v="91.5"/>
    <s v="139/81"/>
    <n v="139"/>
    <n v="81"/>
    <n v="207"/>
    <x v="0"/>
    <n v="56"/>
    <n v="82"/>
    <x v="0"/>
    <x v="1"/>
    <x v="0"/>
    <s v="Y"/>
    <x v="0"/>
    <n v="166"/>
    <n v="0.55100000000000005"/>
    <x v="1"/>
    <n v="139"/>
    <n v="81"/>
    <x v="1"/>
    <n v="121"/>
    <n v="2.16"/>
    <x v="0"/>
    <n v="17.41"/>
    <x v="1"/>
    <x v="0"/>
    <x v="1"/>
    <n v="1"/>
    <x v="0"/>
  </r>
  <r>
    <s v="M"/>
    <x v="5"/>
    <n v="94.7"/>
    <n v="1.79"/>
    <m/>
    <n v="29.555881526793797"/>
    <n v="1"/>
    <x v="3"/>
    <n v="89.8"/>
    <s v="119/60"/>
    <n v="119"/>
    <n v="60"/>
    <n v="248"/>
    <x v="0"/>
    <n v="50"/>
    <n v="130"/>
    <x v="1"/>
    <x v="0"/>
    <x v="2"/>
    <s v="N"/>
    <x v="0"/>
    <n v="179"/>
    <n v="0.502"/>
    <x v="0"/>
    <n v="119"/>
    <n v="60"/>
    <x v="2"/>
    <n v="168"/>
    <n v="3.36"/>
    <x v="1"/>
    <m/>
    <x v="1"/>
    <x v="0"/>
    <x v="1"/>
    <n v="1"/>
    <x v="0"/>
  </r>
  <r>
    <s v="M"/>
    <x v="16"/>
    <n v="101.3"/>
    <n v="1.73"/>
    <n v="33.799999999999997"/>
    <n v="33.8467706906345"/>
    <n v="0"/>
    <x v="1"/>
    <n v="86.5"/>
    <s v="114/86"/>
    <n v="114"/>
    <n v="86"/>
    <n v="132"/>
    <x v="2"/>
    <n v="80"/>
    <n v="128"/>
    <x v="0"/>
    <x v="1"/>
    <x v="1"/>
    <s v="Y"/>
    <x v="2"/>
    <n v="173"/>
    <n v="0.5"/>
    <x v="0"/>
    <n v="114"/>
    <n v="86"/>
    <x v="1"/>
    <n v="22"/>
    <n v="0.28000000000000003"/>
    <x v="0"/>
    <n v="15.1"/>
    <x v="0"/>
    <x v="0"/>
    <x v="0"/>
    <n v="0"/>
    <x v="0"/>
  </r>
  <r>
    <s v="F"/>
    <x v="10"/>
    <n v="60"/>
    <n v="1.7"/>
    <n v="20.8"/>
    <n v="20.761245674740486"/>
    <n v="0"/>
    <x v="0"/>
    <n v="88.8"/>
    <s v="114/73"/>
    <n v="114"/>
    <n v="73"/>
    <n v="237"/>
    <x v="0"/>
    <n v="78"/>
    <n v="90"/>
    <x v="0"/>
    <x v="1"/>
    <x v="0"/>
    <s v="N"/>
    <x v="2"/>
    <n v="170"/>
    <n v="0.52200000000000002"/>
    <x v="0"/>
    <n v="114"/>
    <n v="73"/>
    <x v="2"/>
    <n v="129"/>
    <n v="1.65"/>
    <x v="0"/>
    <n v="14.6"/>
    <x v="0"/>
    <x v="0"/>
    <x v="0"/>
    <n v="0"/>
    <x v="0"/>
  </r>
  <r>
    <s v="M"/>
    <x v="24"/>
    <n v="70"/>
    <n v="1.74"/>
    <n v="23.1"/>
    <n v="23.120623596247853"/>
    <n v="0"/>
    <x v="0"/>
    <n v="95.9"/>
    <s v="99/70"/>
    <n v="99"/>
    <n v="70"/>
    <n v="184"/>
    <x v="0"/>
    <n v="44"/>
    <n v="80"/>
    <x v="1"/>
    <x v="0"/>
    <x v="0"/>
    <s v="Y"/>
    <x v="4"/>
    <n v="174"/>
    <n v="0.55100000000000005"/>
    <x v="1"/>
    <n v="99"/>
    <n v="70"/>
    <x v="2"/>
    <m/>
    <n v="0"/>
    <x v="0"/>
    <n v="15.25"/>
    <x v="1"/>
    <x v="0"/>
    <x v="1"/>
    <n v="1"/>
    <x v="0"/>
  </r>
  <r>
    <s v="F"/>
    <x v="4"/>
    <n v="103.5"/>
    <n v="1.79"/>
    <n v="32.299999999999997"/>
    <n v="32.302362597921416"/>
    <n v="0"/>
    <x v="1"/>
    <n v="101"/>
    <s v="123/76"/>
    <n v="123"/>
    <n v="76"/>
    <n v="270"/>
    <x v="0"/>
    <n v="39"/>
    <n v="84"/>
    <x v="1"/>
    <x v="0"/>
    <x v="1"/>
    <s v="Y"/>
    <x v="1"/>
    <n v="179"/>
    <n v="0.56399999999999995"/>
    <x v="1"/>
    <n v="123"/>
    <n v="76"/>
    <x v="0"/>
    <n v="201"/>
    <n v="5.15"/>
    <x v="0"/>
    <n v="20.010000000000002"/>
    <x v="1"/>
    <x v="0"/>
    <x v="1"/>
    <n v="1"/>
    <x v="0"/>
  </r>
  <r>
    <s v="M"/>
    <x v="25"/>
    <n v="55.4"/>
    <n v="1.87"/>
    <n v="15.8"/>
    <n v="15.842603448768907"/>
    <n v="0"/>
    <x v="3"/>
    <n v="99.1"/>
    <s v="124/78"/>
    <n v="124"/>
    <n v="78"/>
    <n v="209"/>
    <x v="0"/>
    <n v="38"/>
    <n v="81"/>
    <x v="0"/>
    <x v="1"/>
    <x v="1"/>
    <s v="N"/>
    <x v="3"/>
    <n v="187"/>
    <n v="0.53"/>
    <x v="1"/>
    <n v="124"/>
    <n v="78"/>
    <x v="0"/>
    <n v="141"/>
    <n v="3.71"/>
    <x v="0"/>
    <n v="13.54"/>
    <x v="0"/>
    <x v="0"/>
    <x v="0"/>
    <n v="0"/>
    <x v="0"/>
  </r>
  <r>
    <s v="F"/>
    <x v="13"/>
    <n v="89.8"/>
    <n v="1.69"/>
    <m/>
    <n v="31.441476138790662"/>
    <n v="1"/>
    <x v="3"/>
    <n v="88.3"/>
    <s v="109/61"/>
    <n v="109"/>
    <n v="61"/>
    <n v="174"/>
    <x v="1"/>
    <m/>
    <n v="140"/>
    <x v="0"/>
    <x v="1"/>
    <x v="2"/>
    <s v="N"/>
    <x v="3"/>
    <n v="169"/>
    <n v="0.52200000000000002"/>
    <x v="0"/>
    <n v="109"/>
    <n v="61"/>
    <x v="2"/>
    <n v="108"/>
    <s v=""/>
    <x v="0"/>
    <n v="15.21"/>
    <x v="0"/>
    <x v="0"/>
    <x v="0"/>
    <n v="0"/>
    <x v="0"/>
  </r>
  <r>
    <s v="M"/>
    <x v="13"/>
    <n v="66.400000000000006"/>
    <n v="1.88"/>
    <n v="18.8"/>
    <n v="18.786781349026711"/>
    <n v="0"/>
    <x v="0"/>
    <n v="106.3"/>
    <s v="104/64"/>
    <n v="104"/>
    <n v="64"/>
    <n v="283"/>
    <x v="0"/>
    <n v="65"/>
    <n v="97"/>
    <x v="0"/>
    <x v="0"/>
    <x v="1"/>
    <s v="N"/>
    <x v="2"/>
    <n v="188"/>
    <n v="0.56499999999999995"/>
    <x v="1"/>
    <n v="104"/>
    <n v="64"/>
    <x v="2"/>
    <n v="188"/>
    <n v="2.89"/>
    <x v="0"/>
    <n v="16.62"/>
    <x v="0"/>
    <x v="0"/>
    <x v="0"/>
    <n v="0"/>
    <x v="0"/>
  </r>
  <r>
    <s v="F"/>
    <x v="16"/>
    <n v="50.7"/>
    <n v="1.73"/>
    <n v="16.899999999999999"/>
    <n v="16.940091550001672"/>
    <n v="0"/>
    <x v="3"/>
    <n v="94"/>
    <s v="127/84"/>
    <n v="127"/>
    <n v="84"/>
    <n v="160"/>
    <x v="1"/>
    <n v="57"/>
    <n v="77"/>
    <x v="1"/>
    <x v="0"/>
    <x v="1"/>
    <s v="N"/>
    <x v="0"/>
    <n v="173"/>
    <n v="0.54300000000000004"/>
    <x v="1"/>
    <n v="127"/>
    <n v="84"/>
    <x v="1"/>
    <n v="73"/>
    <n v="1.28"/>
    <x v="0"/>
    <n v="14.93"/>
    <x v="0"/>
    <x v="0"/>
    <x v="0"/>
    <n v="0"/>
    <x v="1"/>
  </r>
  <r>
    <s v="M"/>
    <x v="26"/>
    <n v="98.9"/>
    <n v="1.67"/>
    <n v="35.5"/>
    <n v="35.4620101115135"/>
    <n v="0"/>
    <x v="1"/>
    <n v="108.7"/>
    <s v="104/95"/>
    <n v="104"/>
    <n v="95"/>
    <n v="216"/>
    <x v="0"/>
    <n v="45"/>
    <n v="87"/>
    <x v="0"/>
    <x v="0"/>
    <x v="0"/>
    <s v="N"/>
    <x v="0"/>
    <n v="167"/>
    <n v="0.65100000000000002"/>
    <x v="3"/>
    <n v="104"/>
    <n v="95"/>
    <x v="3"/>
    <n v="141"/>
    <n v="3.13"/>
    <x v="0"/>
    <n v="18.62"/>
    <x v="1"/>
    <x v="0"/>
    <x v="1"/>
    <n v="1"/>
    <x v="1"/>
  </r>
  <r>
    <s v="F"/>
    <x v="7"/>
    <n v="76.400000000000006"/>
    <n v="1.63"/>
    <n v="28.8"/>
    <n v="28.75531634611766"/>
    <n v="0"/>
    <x v="2"/>
    <n v="91.6"/>
    <s v="98/86"/>
    <n v="98"/>
    <n v="86"/>
    <n v="119"/>
    <x v="2"/>
    <n v="48"/>
    <n v="71"/>
    <x v="1"/>
    <x v="0"/>
    <x v="1"/>
    <s v="N"/>
    <x v="0"/>
    <n v="163"/>
    <m/>
    <x v="4"/>
    <n v="98"/>
    <n v="86"/>
    <x v="1"/>
    <n v="41"/>
    <n v="0.85"/>
    <x v="0"/>
    <n v="15.04"/>
    <x v="0"/>
    <x v="0"/>
    <x v="0"/>
    <n v="0"/>
    <x v="0"/>
  </r>
  <r>
    <s v="M"/>
    <x v="21"/>
    <n v="55.9"/>
    <n v="1.71"/>
    <n v="19.100000000000001"/>
    <n v="19.116993262884307"/>
    <n v="0"/>
    <x v="0"/>
    <n v="105.8"/>
    <s v="131/66"/>
    <n v="131"/>
    <n v="66"/>
    <n v="296"/>
    <x v="0"/>
    <n v="43"/>
    <n v="111"/>
    <x v="1"/>
    <x v="0"/>
    <x v="1"/>
    <s v="Y"/>
    <x v="1"/>
    <n v="171"/>
    <n v="0.61899999999999999"/>
    <x v="3"/>
    <n v="131"/>
    <n v="66"/>
    <x v="1"/>
    <n v="223"/>
    <n v="5.19"/>
    <x v="0"/>
    <n v="18.29"/>
    <x v="1"/>
    <x v="0"/>
    <x v="1"/>
    <n v="1"/>
    <x v="0"/>
  </r>
  <r>
    <s v="M"/>
    <x v="1"/>
    <n v="55.8"/>
    <n v="1.79"/>
    <n v="17.399999999999999"/>
    <n v="17.415186791922849"/>
    <n v="0"/>
    <x v="3"/>
    <n v="73"/>
    <s v="146/65"/>
    <n v="146"/>
    <n v="65"/>
    <n v="258"/>
    <x v="0"/>
    <n v="54"/>
    <n v="85"/>
    <x v="1"/>
    <x v="1"/>
    <x v="0"/>
    <s v="N"/>
    <x v="0"/>
    <n v="179"/>
    <n v="0.40799999999999997"/>
    <x v="2"/>
    <n v="146"/>
    <n v="65"/>
    <x v="3"/>
    <n v="174"/>
    <n v="3.22"/>
    <x v="0"/>
    <n v="15.94"/>
    <x v="1"/>
    <x v="0"/>
    <x v="1"/>
    <n v="1"/>
    <x v="0"/>
  </r>
  <r>
    <s v="M"/>
    <x v="10"/>
    <n v="105.1"/>
    <n v="1.81"/>
    <n v="32.1"/>
    <n v="32.080827813558805"/>
    <n v="0"/>
    <x v="1"/>
    <n v="81"/>
    <s v="113/95"/>
    <n v="113"/>
    <n v="95"/>
    <n v="234"/>
    <x v="0"/>
    <n v="58"/>
    <n v="74"/>
    <x v="0"/>
    <x v="0"/>
    <x v="0"/>
    <s v="N"/>
    <x v="0"/>
    <n v="181"/>
    <n v="0.44800000000000001"/>
    <x v="2"/>
    <n v="113"/>
    <n v="95"/>
    <x v="3"/>
    <n v="146"/>
    <n v="2.52"/>
    <x v="0"/>
    <n v="18.75"/>
    <x v="1"/>
    <x v="0"/>
    <x v="1"/>
    <n v="1"/>
    <x v="1"/>
  </r>
  <r>
    <s v="M"/>
    <x v="23"/>
    <n v="56.9"/>
    <n v="1.7"/>
    <n v="19.7"/>
    <n v="19.688581314878896"/>
    <n v="0"/>
    <x v="0"/>
    <n v="75.3"/>
    <s v="141/71"/>
    <n v="141"/>
    <n v="71"/>
    <n v="109"/>
    <x v="2"/>
    <n v="32"/>
    <n v="122"/>
    <x v="0"/>
    <x v="0"/>
    <x v="1"/>
    <s v="N"/>
    <x v="2"/>
    <n v="170"/>
    <n v="0.443"/>
    <x v="2"/>
    <m/>
    <n v="71"/>
    <x v="3"/>
    <n v="47"/>
    <n v="1.47"/>
    <x v="0"/>
    <n v="15.17"/>
    <x v="0"/>
    <x v="0"/>
    <x v="0"/>
    <n v="0"/>
    <x v="1"/>
  </r>
  <r>
    <s v="F"/>
    <x v="10"/>
    <n v="77.2"/>
    <n v="1.82"/>
    <n v="23.3"/>
    <n v="23.306363965704623"/>
    <n v="0"/>
    <x v="0"/>
    <n v="99.2"/>
    <s v="130/61"/>
    <n v="130"/>
    <n v="61"/>
    <n v="118"/>
    <x v="2"/>
    <n v="43"/>
    <n v="120"/>
    <x v="1"/>
    <x v="1"/>
    <x v="2"/>
    <s v="N"/>
    <x v="2"/>
    <n v="182"/>
    <n v="0.54500000000000004"/>
    <x v="1"/>
    <n v="130"/>
    <n v="61"/>
    <x v="1"/>
    <n v="45"/>
    <n v="1.05"/>
    <x v="0"/>
    <n v="13.52"/>
    <x v="0"/>
    <x v="0"/>
    <x v="0"/>
    <n v="0"/>
    <x v="0"/>
  </r>
  <r>
    <s v="F"/>
    <x v="13"/>
    <n v="118.8"/>
    <n v="1.61"/>
    <n v="45.8"/>
    <n v="45.831565140233778"/>
    <n v="0"/>
    <x v="1"/>
    <n v="102"/>
    <s v="118/67"/>
    <n v="118"/>
    <n v="67"/>
    <n v="236"/>
    <x v="0"/>
    <n v="59"/>
    <m/>
    <x v="1"/>
    <x v="0"/>
    <x v="0"/>
    <s v="Y"/>
    <x v="4"/>
    <n v="161"/>
    <m/>
    <x v="4"/>
    <n v="118"/>
    <n v="67"/>
    <x v="2"/>
    <n v="147"/>
    <n v="2.4900000000000002"/>
    <x v="1"/>
    <n v="21.78"/>
    <x v="1"/>
    <x v="0"/>
    <x v="1"/>
    <n v="1"/>
    <x v="0"/>
  </r>
  <r>
    <s v="M"/>
    <x v="15"/>
    <n v="61.2"/>
    <n v="1.62"/>
    <n v="23.3"/>
    <n v="23.319615912208501"/>
    <n v="0"/>
    <x v="0"/>
    <n v="97.2"/>
    <s v="140/67"/>
    <n v="140"/>
    <n v="67"/>
    <n v="219"/>
    <x v="0"/>
    <n v="78"/>
    <m/>
    <x v="0"/>
    <x v="1"/>
    <x v="2"/>
    <s v="Y"/>
    <x v="2"/>
    <n v="162"/>
    <n v="0.6"/>
    <x v="3"/>
    <n v="140"/>
    <n v="67"/>
    <x v="3"/>
    <m/>
    <n v="0"/>
    <x v="0"/>
    <n v="16.04"/>
    <x v="0"/>
    <x v="0"/>
    <x v="0"/>
    <n v="0"/>
    <x v="0"/>
  </r>
  <r>
    <s v="F"/>
    <x v="21"/>
    <n v="84.6"/>
    <m/>
    <n v="30.3"/>
    <s v=""/>
    <s v=""/>
    <x v="1"/>
    <n v="77.900000000000006"/>
    <s v="104/62"/>
    <n v="104"/>
    <n v="62"/>
    <n v="236"/>
    <x v="0"/>
    <n v="70"/>
    <n v="126"/>
    <x v="0"/>
    <x v="0"/>
    <x v="1"/>
    <s v="Y"/>
    <x v="0"/>
    <n v="167"/>
    <n v="0.46600000000000003"/>
    <x v="0"/>
    <n v="104"/>
    <n v="62"/>
    <x v="2"/>
    <n v="136"/>
    <n v="1.94"/>
    <x v="1"/>
    <n v="17.98"/>
    <x v="1"/>
    <x v="1"/>
    <x v="1"/>
    <n v="1"/>
    <x v="0"/>
  </r>
  <r>
    <s v="F"/>
    <x v="14"/>
    <n v="109.1"/>
    <n v="1.81"/>
    <n v="33.299999999999997"/>
    <n v="33.30179176459815"/>
    <n v="0"/>
    <x v="1"/>
    <n v="91.9"/>
    <s v="127/71"/>
    <n v="127"/>
    <n v="71"/>
    <n v="120"/>
    <x v="2"/>
    <n v="56"/>
    <n v="149"/>
    <x v="0"/>
    <x v="1"/>
    <x v="1"/>
    <s v="N"/>
    <x v="3"/>
    <n v="181"/>
    <n v="0.50800000000000001"/>
    <x v="0"/>
    <n v="127"/>
    <n v="71"/>
    <x v="0"/>
    <n v="34"/>
    <n v="0.61"/>
    <x v="0"/>
    <n v="15.41"/>
    <x v="2"/>
    <x v="0"/>
    <x v="0"/>
    <n v="0"/>
    <x v="0"/>
  </r>
  <r>
    <s v="F"/>
    <x v="2"/>
    <n v="110.2"/>
    <n v="1.77"/>
    <n v="35.200000000000003"/>
    <n v="35.175077404321875"/>
    <n v="0"/>
    <x v="1"/>
    <n v="102"/>
    <s v="92/100"/>
    <n v="92"/>
    <n v="100"/>
    <n v="247"/>
    <x v="0"/>
    <n v="67"/>
    <n v="106"/>
    <x v="1"/>
    <x v="1"/>
    <x v="1"/>
    <s v="Y"/>
    <x v="0"/>
    <n v="177"/>
    <n v="0.57599999999999996"/>
    <x v="1"/>
    <n v="92"/>
    <n v="100"/>
    <x v="3"/>
    <n v="150"/>
    <n v="2.2400000000000002"/>
    <x v="0"/>
    <n v="16.579999999999998"/>
    <x v="1"/>
    <x v="1"/>
    <x v="1"/>
    <n v="1"/>
    <x v="0"/>
  </r>
  <r>
    <s v="M"/>
    <x v="8"/>
    <n v="67.099999999999994"/>
    <n v="1.77"/>
    <n v="21.4"/>
    <n v="21.41785566088927"/>
    <n v="0"/>
    <x v="0"/>
    <n v="98"/>
    <s v="126/100"/>
    <n v="126"/>
    <n v="100"/>
    <n v="268"/>
    <x v="0"/>
    <n v="47"/>
    <n v="79"/>
    <x v="0"/>
    <x v="1"/>
    <x v="0"/>
    <s v="Y"/>
    <x v="0"/>
    <m/>
    <n v="0.55400000000000005"/>
    <x v="1"/>
    <m/>
    <n v="100"/>
    <x v="3"/>
    <n v="191"/>
    <n v="4.0599999999999996"/>
    <x v="0"/>
    <n v="15.94"/>
    <x v="1"/>
    <x v="0"/>
    <x v="1"/>
    <n v="1"/>
    <x v="0"/>
  </r>
  <r>
    <s v="F"/>
    <x v="2"/>
    <n v="111.6"/>
    <n v="1.75"/>
    <n v="36.4"/>
    <n v="36.440816326530609"/>
    <n v="0"/>
    <x v="1"/>
    <n v="85.1"/>
    <s v="131/62"/>
    <n v="131"/>
    <n v="62"/>
    <n v="265"/>
    <x v="0"/>
    <n v="66"/>
    <n v="127"/>
    <x v="0"/>
    <x v="1"/>
    <x v="1"/>
    <s v="N"/>
    <x v="3"/>
    <n v="175"/>
    <n v="0.48599999999999999"/>
    <x v="0"/>
    <n v="131"/>
    <n v="62"/>
    <x v="1"/>
    <n v="169"/>
    <n v="2.56"/>
    <x v="0"/>
    <n v="19.13"/>
    <x v="0"/>
    <x v="0"/>
    <x v="0"/>
    <n v="0"/>
    <x v="0"/>
  </r>
  <r>
    <s v="M"/>
    <x v="16"/>
    <n v="90.2"/>
    <n v="1.61"/>
    <n v="34.799999999999997"/>
    <n v="34.798040199066392"/>
    <n v="0"/>
    <x v="1"/>
    <n v="85.3"/>
    <s v="136/76"/>
    <n v="136"/>
    <n v="76"/>
    <n v="300"/>
    <x v="0"/>
    <n v="33"/>
    <n v="84"/>
    <x v="0"/>
    <x v="0"/>
    <x v="2"/>
    <s v="Y"/>
    <x v="0"/>
    <m/>
    <n v="0.53"/>
    <x v="1"/>
    <n v="136"/>
    <m/>
    <x v="1"/>
    <n v="237"/>
    <n v="7.18"/>
    <x v="0"/>
    <n v="21.76"/>
    <x v="1"/>
    <x v="0"/>
    <x v="1"/>
    <n v="1"/>
    <x v="1"/>
  </r>
  <r>
    <s v="F"/>
    <x v="28"/>
    <n v="67"/>
    <n v="1.88"/>
    <n v="19"/>
    <n v="18.956541421457676"/>
    <n v="0"/>
    <x v="0"/>
    <n v="108.1"/>
    <s v="122/97"/>
    <n v="122"/>
    <n v="97"/>
    <n v="300"/>
    <x v="0"/>
    <n v="49"/>
    <n v="148"/>
    <x v="0"/>
    <x v="1"/>
    <x v="0"/>
    <s v="N"/>
    <x v="2"/>
    <n v="188"/>
    <n v="0.57499999999999996"/>
    <x v="1"/>
    <n v="122"/>
    <n v="97"/>
    <x v="3"/>
    <n v="221"/>
    <n v="4.51"/>
    <x v="0"/>
    <n v="15.9"/>
    <x v="0"/>
    <x v="0"/>
    <x v="0"/>
    <n v="0"/>
    <x v="0"/>
  </r>
  <r>
    <s v="M"/>
    <x v="20"/>
    <n v="96.8"/>
    <n v="1.86"/>
    <n v="28"/>
    <n v="27.980113307896861"/>
    <n v="0"/>
    <x v="2"/>
    <n v="71.400000000000006"/>
    <s v="112/75"/>
    <n v="112"/>
    <n v="75"/>
    <n v="230"/>
    <x v="0"/>
    <n v="57"/>
    <n v="91"/>
    <x v="1"/>
    <x v="0"/>
    <x v="1"/>
    <s v="N"/>
    <x v="0"/>
    <m/>
    <n v="0.38400000000000001"/>
    <x v="2"/>
    <n v="112"/>
    <n v="75"/>
    <x v="2"/>
    <n v="143"/>
    <n v="2.5099999999999998"/>
    <x v="1"/>
    <n v="17.8"/>
    <x v="1"/>
    <x v="0"/>
    <x v="1"/>
    <n v="1"/>
    <x v="0"/>
  </r>
  <r>
    <s v="M"/>
    <x v="21"/>
    <n v="59.4"/>
    <n v="1.89"/>
    <n v="16.600000000000001"/>
    <n v="16.628873771730916"/>
    <n v="0"/>
    <x v="3"/>
    <n v="94.4"/>
    <s v="125/61"/>
    <n v="125"/>
    <n v="61"/>
    <n v="228"/>
    <x v="0"/>
    <n v="71"/>
    <n v="147"/>
    <x v="0"/>
    <x v="0"/>
    <x v="1"/>
    <s v="N"/>
    <x v="2"/>
    <n v="189"/>
    <n v="0.499"/>
    <x v="0"/>
    <n v="125"/>
    <m/>
    <x v="0"/>
    <n v="127"/>
    <n v="1.79"/>
    <x v="0"/>
    <n v="16.13"/>
    <x v="0"/>
    <x v="0"/>
    <x v="0"/>
    <n v="0"/>
    <x v="0"/>
  </r>
  <r>
    <s v="F"/>
    <x v="21"/>
    <n v="93.5"/>
    <n v="1.76"/>
    <n v="30.2"/>
    <n v="30.184659090909093"/>
    <n v="0"/>
    <x v="1"/>
    <n v="92.1"/>
    <s v="102/64"/>
    <n v="102"/>
    <n v="64"/>
    <n v="290"/>
    <x v="0"/>
    <n v="39"/>
    <n v="78"/>
    <x v="1"/>
    <x v="0"/>
    <x v="0"/>
    <s v="N"/>
    <x v="1"/>
    <n v="176"/>
    <n v="0.52300000000000002"/>
    <x v="1"/>
    <n v="102"/>
    <n v="64"/>
    <x v="2"/>
    <n v="221"/>
    <n v="5.67"/>
    <x v="1"/>
    <n v="18.940000000000001"/>
    <x v="1"/>
    <x v="0"/>
    <x v="1"/>
    <n v="1"/>
    <x v="0"/>
  </r>
  <r>
    <s v="F"/>
    <x v="4"/>
    <n v="72.3"/>
    <n v="1.74"/>
    <n v="23.9"/>
    <n v="23.880301228695995"/>
    <n v="0"/>
    <x v="0"/>
    <n v="91.6"/>
    <s v="99/90"/>
    <n v="99"/>
    <n v="90"/>
    <n v="208"/>
    <x v="0"/>
    <n v="63"/>
    <n v="114"/>
    <x v="0"/>
    <x v="1"/>
    <x v="1"/>
    <s v="N"/>
    <x v="3"/>
    <n v="174"/>
    <n v="0.52600000000000002"/>
    <x v="1"/>
    <n v="99"/>
    <n v="90"/>
    <x v="3"/>
    <n v="115"/>
    <n v="1.83"/>
    <x v="0"/>
    <n v="13.89"/>
    <x v="0"/>
    <x v="0"/>
    <x v="0"/>
    <n v="0"/>
    <x v="0"/>
  </r>
  <r>
    <s v="F"/>
    <x v="8"/>
    <n v="60.8"/>
    <n v="1.68"/>
    <n v="21.5"/>
    <n v="21.541950113378686"/>
    <n v="0"/>
    <x v="0"/>
    <n v="82.5"/>
    <s v="133/76"/>
    <n v="133"/>
    <n v="76"/>
    <n v="173"/>
    <x v="1"/>
    <n v="56"/>
    <n v="122"/>
    <x v="0"/>
    <x v="1"/>
    <x v="2"/>
    <s v="Y"/>
    <x v="2"/>
    <n v="168"/>
    <n v="0.49099999999999999"/>
    <x v="0"/>
    <n v="133"/>
    <n v="76"/>
    <x v="1"/>
    <n v="87"/>
    <n v="1.55"/>
    <x v="0"/>
    <n v="14.41"/>
    <x v="0"/>
    <x v="0"/>
    <x v="0"/>
    <n v="0"/>
    <x v="0"/>
  </r>
  <r>
    <s v="M"/>
    <x v="31"/>
    <n v="111"/>
    <n v="1.78"/>
    <n v="35"/>
    <n v="35.033455371796492"/>
    <n v="0"/>
    <x v="1"/>
    <n v="100"/>
    <s v="117/74"/>
    <n v="117"/>
    <n v="74"/>
    <n v="247"/>
    <x v="0"/>
    <n v="41"/>
    <n v="136"/>
    <x v="0"/>
    <x v="0"/>
    <x v="2"/>
    <s v="N"/>
    <x v="2"/>
    <n v="178"/>
    <n v="0.56200000000000006"/>
    <x v="1"/>
    <n v="117"/>
    <n v="74"/>
    <x v="2"/>
    <n v="176"/>
    <n v="4.29"/>
    <x v="1"/>
    <n v="19.79"/>
    <x v="1"/>
    <x v="0"/>
    <x v="1"/>
    <n v="1"/>
    <x v="0"/>
  </r>
  <r>
    <s v="F"/>
    <x v="26"/>
    <n v="103"/>
    <n v="1.8"/>
    <n v="31.8"/>
    <n v="31.79012345679012"/>
    <n v="0"/>
    <x v="1"/>
    <n v="94.4"/>
    <s v="139/68"/>
    <n v="139"/>
    <n v="68"/>
    <n v="107"/>
    <x v="2"/>
    <n v="42"/>
    <n v="124"/>
    <x v="0"/>
    <x v="1"/>
    <x v="0"/>
    <s v="Y"/>
    <x v="0"/>
    <n v="180"/>
    <n v="0.52400000000000002"/>
    <x v="1"/>
    <n v="139"/>
    <n v="68"/>
    <x v="1"/>
    <n v="35"/>
    <n v="0.83"/>
    <x v="0"/>
    <n v="15.45"/>
    <x v="1"/>
    <x v="0"/>
    <x v="1"/>
    <n v="1"/>
    <x v="0"/>
  </r>
  <r>
    <s v="M"/>
    <x v="5"/>
    <n v="95.7"/>
    <m/>
    <n v="35.200000000000003"/>
    <s v=""/>
    <s v=""/>
    <x v="1"/>
    <n v="72.099999999999994"/>
    <s v="140/62"/>
    <n v="140"/>
    <n v="62"/>
    <n v="118"/>
    <x v="2"/>
    <n v="45"/>
    <n v="91"/>
    <x v="1"/>
    <x v="0"/>
    <x v="2"/>
    <s v="Y"/>
    <x v="1"/>
    <n v="165"/>
    <m/>
    <x v="4"/>
    <n v="140"/>
    <n v="62"/>
    <x v="3"/>
    <n v="43"/>
    <n v="0.96"/>
    <x v="0"/>
    <n v="18.399999999999999"/>
    <x v="1"/>
    <x v="0"/>
    <x v="1"/>
    <n v="1"/>
    <x v="0"/>
  </r>
  <r>
    <s v="F"/>
    <x v="13"/>
    <n v="64.599999999999994"/>
    <n v="1.62"/>
    <n v="24.6"/>
    <n v="24.615150129553413"/>
    <n v="0"/>
    <x v="0"/>
    <n v="92.8"/>
    <s v="90/70"/>
    <n v="90"/>
    <n v="70"/>
    <n v="106"/>
    <x v="2"/>
    <n v="43"/>
    <n v="114"/>
    <x v="1"/>
    <x v="0"/>
    <x v="2"/>
    <s v="N"/>
    <x v="0"/>
    <n v="162"/>
    <n v="0.57299999999999995"/>
    <x v="1"/>
    <n v="90"/>
    <n v="70"/>
    <x v="2"/>
    <n v="33"/>
    <n v="0.77"/>
    <x v="0"/>
    <n v="13.54"/>
    <x v="0"/>
    <x v="0"/>
    <x v="0"/>
    <n v="0"/>
    <x v="0"/>
  </r>
  <r>
    <s v="M"/>
    <x v="2"/>
    <n v="56.2"/>
    <n v="1.89"/>
    <n v="15.7"/>
    <n v="15.733042188068644"/>
    <n v="0"/>
    <x v="3"/>
    <n v="74.599999999999994"/>
    <s v="146/65"/>
    <n v="146"/>
    <n v="65"/>
    <n v="131"/>
    <x v="2"/>
    <n v="45"/>
    <n v="93"/>
    <x v="0"/>
    <x v="0"/>
    <x v="0"/>
    <s v="Y"/>
    <x v="1"/>
    <n v="189"/>
    <n v="0.39500000000000002"/>
    <x v="2"/>
    <n v="146"/>
    <n v="65"/>
    <x v="3"/>
    <n v="56"/>
    <n v="1.24"/>
    <x v="0"/>
    <n v="15.06"/>
    <x v="0"/>
    <x v="0"/>
    <x v="0"/>
    <n v="0"/>
    <x v="0"/>
  </r>
  <r>
    <s v="F"/>
    <x v="18"/>
    <n v="65.2"/>
    <n v="1.71"/>
    <n v="22.3"/>
    <n v="22.297459047228209"/>
    <n v="0"/>
    <x v="0"/>
    <n v="86"/>
    <s v="97/67"/>
    <n v="97"/>
    <n v="67"/>
    <n v="229"/>
    <x v="0"/>
    <n v="68"/>
    <m/>
    <x v="0"/>
    <x v="0"/>
    <x v="0"/>
    <s v="Y"/>
    <x v="1"/>
    <n v="171"/>
    <n v="0.503"/>
    <x v="0"/>
    <n v="97"/>
    <n v="67"/>
    <x v="2"/>
    <n v="131"/>
    <n v="1.93"/>
    <x v="1"/>
    <n v="15.89"/>
    <x v="1"/>
    <x v="1"/>
    <x v="1"/>
    <n v="1"/>
    <x v="0"/>
  </r>
  <r>
    <s v="F"/>
    <x v="6"/>
    <m/>
    <n v="1.69"/>
    <n v="35.5"/>
    <n v="0"/>
    <n v="1"/>
    <x v="1"/>
    <n v="77.8"/>
    <s v="126/99"/>
    <n v="126"/>
    <n v="99"/>
    <n v="126"/>
    <x v="2"/>
    <n v="57"/>
    <n v="88"/>
    <x v="1"/>
    <x v="0"/>
    <x v="2"/>
    <s v="Y"/>
    <x v="1"/>
    <n v="169"/>
    <m/>
    <x v="4"/>
    <n v="126"/>
    <n v="99"/>
    <x v="3"/>
    <n v="39"/>
    <n v="0.68"/>
    <x v="0"/>
    <n v="17.920000000000002"/>
    <x v="1"/>
    <x v="0"/>
    <x v="1"/>
    <n v="1"/>
    <x v="0"/>
  </r>
  <r>
    <s v="M"/>
    <x v="12"/>
    <n v="77.900000000000006"/>
    <n v="1.72"/>
    <n v="26.3"/>
    <n v="26.331800973499192"/>
    <n v="0"/>
    <x v="2"/>
    <n v="95.9"/>
    <s v="120/91"/>
    <n v="120"/>
    <n v="91"/>
    <n v="208"/>
    <x v="0"/>
    <n v="66"/>
    <n v="103"/>
    <x v="0"/>
    <x v="0"/>
    <x v="2"/>
    <s v="N"/>
    <x v="2"/>
    <n v="172"/>
    <n v="0.55800000000000005"/>
    <x v="1"/>
    <n v="120"/>
    <n v="91"/>
    <x v="3"/>
    <n v="112"/>
    <n v="1.7"/>
    <x v="0"/>
    <n v="17.420000000000002"/>
    <x v="0"/>
    <x v="0"/>
    <x v="0"/>
    <n v="0"/>
    <x v="0"/>
  </r>
  <r>
    <s v="M"/>
    <x v="8"/>
    <n v="107.2"/>
    <n v="1.61"/>
    <n v="41.4"/>
    <n v="41.356429150109946"/>
    <n v="0"/>
    <x v="1"/>
    <n v="80.8"/>
    <s v="113/77"/>
    <n v="113"/>
    <n v="77"/>
    <n v="152"/>
    <x v="1"/>
    <n v="80"/>
    <n v="134"/>
    <x v="1"/>
    <x v="1"/>
    <x v="2"/>
    <s v="N"/>
    <x v="2"/>
    <n v="161"/>
    <n v="0.502"/>
    <x v="0"/>
    <n v="113"/>
    <m/>
    <x v="2"/>
    <n v="42"/>
    <n v="0.53"/>
    <x v="0"/>
    <n v="16.97"/>
    <x v="0"/>
    <x v="0"/>
    <x v="0"/>
    <n v="0"/>
    <x v="0"/>
  </r>
  <r>
    <s v="M"/>
    <x v="29"/>
    <n v="86.5"/>
    <n v="1.6"/>
    <n v="33.799999999999997"/>
    <n v="33.789062499999993"/>
    <n v="0"/>
    <x v="1"/>
    <n v="70.7"/>
    <s v="119/65"/>
    <n v="119"/>
    <n v="65"/>
    <n v="181"/>
    <x v="0"/>
    <n v="47"/>
    <n v="129"/>
    <x v="0"/>
    <x v="1"/>
    <x v="1"/>
    <s v="N"/>
    <x v="3"/>
    <n v="160"/>
    <n v="0.442"/>
    <x v="2"/>
    <n v="119"/>
    <n v="65"/>
    <x v="2"/>
    <n v="104"/>
    <n v="2.21"/>
    <x v="0"/>
    <n v="16.329999999999998"/>
    <x v="0"/>
    <x v="0"/>
    <x v="0"/>
    <n v="0"/>
    <x v="0"/>
  </r>
  <r>
    <s v="M"/>
    <x v="2"/>
    <n v="73.2"/>
    <n v="1.62"/>
    <n v="27.9"/>
    <n v="27.892089620484679"/>
    <n v="0"/>
    <x v="2"/>
    <n v="70.2"/>
    <s v="115/100"/>
    <n v="115"/>
    <n v="100"/>
    <m/>
    <x v="2"/>
    <n v="34"/>
    <n v="104"/>
    <x v="1"/>
    <x v="0"/>
    <x v="1"/>
    <s v="N"/>
    <x v="0"/>
    <n v="162"/>
    <n v="0.433"/>
    <x v="2"/>
    <n v="115"/>
    <n v="100"/>
    <x v="3"/>
    <n v="160"/>
    <n v="4.71"/>
    <x v="0"/>
    <n v="17.809999999999999"/>
    <x v="1"/>
    <x v="0"/>
    <x v="1"/>
    <n v="1"/>
    <x v="0"/>
  </r>
  <r>
    <s v="M"/>
    <x v="3"/>
    <n v="113"/>
    <n v="1.7"/>
    <n v="39.1"/>
    <n v="39.100346020761251"/>
    <n v="0"/>
    <x v="1"/>
    <n v="82.6"/>
    <s v="113/70"/>
    <n v="113"/>
    <n v="70"/>
    <n v="270"/>
    <x v="0"/>
    <n v="44"/>
    <n v="103"/>
    <x v="1"/>
    <x v="0"/>
    <x v="1"/>
    <s v="N"/>
    <x v="0"/>
    <n v="170"/>
    <n v="0.48599999999999999"/>
    <x v="0"/>
    <n v="113"/>
    <n v="70"/>
    <x v="2"/>
    <n v="196"/>
    <n v="4.45"/>
    <x v="1"/>
    <n v="20.87"/>
    <x v="1"/>
    <x v="0"/>
    <x v="1"/>
    <n v="1"/>
    <x v="0"/>
  </r>
  <r>
    <s v="M"/>
    <x v="11"/>
    <n v="120"/>
    <m/>
    <n v="35.4"/>
    <s v=""/>
    <s v=""/>
    <x v="1"/>
    <n v="100.9"/>
    <s v="94/68"/>
    <n v="94"/>
    <n v="68"/>
    <n v="223"/>
    <x v="0"/>
    <n v="62"/>
    <n v="84"/>
    <x v="1"/>
    <x v="0"/>
    <x v="2"/>
    <s v="Y"/>
    <x v="1"/>
    <n v="184"/>
    <n v="0.54800000000000004"/>
    <x v="1"/>
    <n v="94"/>
    <n v="68"/>
    <x v="2"/>
    <n v="131"/>
    <n v="2.11"/>
    <x v="1"/>
    <n v="18.239999999999998"/>
    <x v="1"/>
    <x v="1"/>
    <x v="1"/>
    <n v="1"/>
    <x v="0"/>
  </r>
  <r>
    <s v="F"/>
    <x v="25"/>
    <n v="114"/>
    <n v="1.66"/>
    <n v="41.4"/>
    <n v="41.370300479024536"/>
    <n v="0"/>
    <x v="1"/>
    <n v="73.900000000000006"/>
    <s v="111/97"/>
    <n v="111"/>
    <n v="97"/>
    <n v="120"/>
    <x v="2"/>
    <n v="34"/>
    <n v="93"/>
    <x v="1"/>
    <x v="1"/>
    <x v="1"/>
    <s v="N"/>
    <x v="2"/>
    <n v="166"/>
    <n v="0.44500000000000001"/>
    <x v="2"/>
    <n v="111"/>
    <n v="97"/>
    <x v="3"/>
    <n v="56"/>
    <n v="1.65"/>
    <x v="0"/>
    <n v="16.23"/>
    <x v="1"/>
    <x v="0"/>
    <x v="1"/>
    <n v="1"/>
    <x v="0"/>
  </r>
  <r>
    <s v="M"/>
    <x v="26"/>
    <n v="82.7"/>
    <n v="1.84"/>
    <n v="24.4"/>
    <n v="24.426984877126653"/>
    <n v="0"/>
    <x v="0"/>
    <n v="100.2"/>
    <s v="145/65"/>
    <n v="145"/>
    <n v="65"/>
    <n v="158"/>
    <x v="1"/>
    <n v="75"/>
    <n v="107"/>
    <x v="1"/>
    <x v="1"/>
    <x v="2"/>
    <s v="N"/>
    <x v="2"/>
    <n v="184"/>
    <n v="0.54500000000000004"/>
    <x v="1"/>
    <n v="145"/>
    <n v="65"/>
    <x v="3"/>
    <n v="53"/>
    <n v="0.71"/>
    <x v="0"/>
    <n v="15.29"/>
    <x v="0"/>
    <x v="0"/>
    <x v="0"/>
    <n v="0"/>
    <x v="0"/>
  </r>
  <r>
    <s v="F"/>
    <x v="2"/>
    <n v="110.5"/>
    <m/>
    <n v="42.6"/>
    <s v=""/>
    <s v=""/>
    <x v="1"/>
    <n v="76.900000000000006"/>
    <s v="133/95"/>
    <n v="133"/>
    <n v="95"/>
    <n v="173"/>
    <x v="1"/>
    <n v="55"/>
    <n v="99"/>
    <x v="0"/>
    <x v="1"/>
    <x v="2"/>
    <s v="Y"/>
    <x v="2"/>
    <n v="161"/>
    <n v="0.47799999999999998"/>
    <x v="0"/>
    <n v="133"/>
    <n v="95"/>
    <x v="1"/>
    <n v="88"/>
    <n v="1.6"/>
    <x v="0"/>
    <n v="18.63"/>
    <x v="0"/>
    <x v="0"/>
    <x v="0"/>
    <n v="0"/>
    <x v="0"/>
  </r>
  <r>
    <s v="M"/>
    <x v="3"/>
    <n v="60.1"/>
    <n v="1.87"/>
    <n v="17.2"/>
    <n v="17.186651033772769"/>
    <n v="0"/>
    <x v="3"/>
    <n v="106.6"/>
    <s v="149/60"/>
    <n v="149"/>
    <n v="60"/>
    <n v="182"/>
    <x v="0"/>
    <n v="54"/>
    <n v="70"/>
    <x v="0"/>
    <x v="0"/>
    <x v="1"/>
    <s v="Y"/>
    <x v="0"/>
    <n v="187"/>
    <n v="0.56999999999999995"/>
    <x v="1"/>
    <n v="149"/>
    <n v="60"/>
    <x v="3"/>
    <n v="98"/>
    <n v="1.81"/>
    <x v="0"/>
    <n v="16.53"/>
    <x v="0"/>
    <x v="0"/>
    <x v="0"/>
    <n v="0"/>
    <x v="0"/>
  </r>
  <r>
    <s v="M"/>
    <x v="1"/>
    <n v="109.8"/>
    <n v="1.81"/>
    <n v="33.5"/>
    <n v="33.515460456030034"/>
    <n v="0"/>
    <x v="1"/>
    <n v="101.1"/>
    <s v="102/95"/>
    <n v="102"/>
    <n v="95"/>
    <n v="265"/>
    <x v="0"/>
    <n v="76"/>
    <n v="121"/>
    <x v="0"/>
    <x v="0"/>
    <x v="1"/>
    <s v="N"/>
    <x v="2"/>
    <n v="181"/>
    <n v="0.55900000000000005"/>
    <x v="1"/>
    <n v="102"/>
    <n v="95"/>
    <x v="3"/>
    <n v="159"/>
    <n v="2.09"/>
    <x v="0"/>
    <n v="19.100000000000001"/>
    <x v="1"/>
    <x v="1"/>
    <x v="1"/>
    <n v="1"/>
    <x v="1"/>
  </r>
  <r>
    <s v="F"/>
    <x v="20"/>
    <n v="111.4"/>
    <n v="1.89"/>
    <n v="31.2"/>
    <n v="31.186137006242831"/>
    <n v="0"/>
    <x v="1"/>
    <n v="101.8"/>
    <s v="132/84"/>
    <n v="132"/>
    <n v="84"/>
    <n v="266"/>
    <x v="0"/>
    <n v="44"/>
    <n v="113"/>
    <x v="1"/>
    <x v="1"/>
    <x v="0"/>
    <s v="Y"/>
    <x v="1"/>
    <n v="189"/>
    <n v="0.53900000000000003"/>
    <x v="1"/>
    <n v="132"/>
    <n v="84"/>
    <x v="1"/>
    <n v="192"/>
    <n v="4.3600000000000003"/>
    <x v="0"/>
    <n v="18.16"/>
    <x v="1"/>
    <x v="0"/>
    <x v="1"/>
    <n v="1"/>
    <x v="0"/>
  </r>
  <r>
    <s v="F"/>
    <x v="19"/>
    <n v="54.3"/>
    <n v="1.69"/>
    <n v="19"/>
    <n v="19.011939357865622"/>
    <n v="0"/>
    <x v="0"/>
    <n v="78"/>
    <s v="135/83"/>
    <n v="135"/>
    <n v="83"/>
    <n v="124"/>
    <x v="2"/>
    <n v="61"/>
    <n v="124"/>
    <x v="1"/>
    <x v="0"/>
    <x v="0"/>
    <s v="N"/>
    <x v="1"/>
    <n v="169"/>
    <n v="0.46200000000000002"/>
    <x v="0"/>
    <n v="135"/>
    <n v="83"/>
    <x v="1"/>
    <n v="33"/>
    <n v="0.54"/>
    <x v="0"/>
    <n v="15.03"/>
    <x v="0"/>
    <x v="0"/>
    <x v="0"/>
    <n v="0"/>
    <x v="0"/>
  </r>
  <r>
    <s v="M"/>
    <x v="5"/>
    <n v="88.4"/>
    <n v="1.86"/>
    <n v="25.6"/>
    <n v="25.552086946467799"/>
    <n v="0"/>
    <x v="2"/>
    <n v="90.1"/>
    <s v="116/69"/>
    <n v="116"/>
    <n v="69"/>
    <n v="268"/>
    <x v="0"/>
    <n v="68"/>
    <n v="88"/>
    <x v="1"/>
    <x v="1"/>
    <x v="0"/>
    <s v="N"/>
    <x v="0"/>
    <n v="186"/>
    <n v="0.48399999999999999"/>
    <x v="0"/>
    <n v="116"/>
    <n v="69"/>
    <x v="2"/>
    <n v="170"/>
    <n v="2.5"/>
    <x v="1"/>
    <n v="16.28"/>
    <x v="1"/>
    <x v="1"/>
    <x v="1"/>
    <n v="1"/>
    <x v="0"/>
  </r>
  <r>
    <s v="F"/>
    <x v="28"/>
    <n v="94"/>
    <n v="1.71"/>
    <n v="32.1"/>
    <n v="32.146643411648029"/>
    <n v="0"/>
    <x v="1"/>
    <n v="90.6"/>
    <s v="90/82"/>
    <n v="90"/>
    <n v="82"/>
    <n v="108"/>
    <x v="2"/>
    <m/>
    <n v="89"/>
    <x v="0"/>
    <x v="1"/>
    <x v="1"/>
    <s v="N"/>
    <x v="3"/>
    <n v="171"/>
    <n v="0.53"/>
    <x v="1"/>
    <n v="90"/>
    <n v="82"/>
    <x v="1"/>
    <n v="24"/>
    <s v=""/>
    <x v="0"/>
    <n v="13.08"/>
    <x v="0"/>
    <x v="0"/>
    <x v="0"/>
    <n v="0"/>
    <x v="0"/>
  </r>
  <r>
    <s v="F"/>
    <x v="27"/>
    <n v="83.8"/>
    <n v="1.76"/>
    <n v="27.1"/>
    <n v="27.053202479338843"/>
    <n v="0"/>
    <x v="2"/>
    <n v="106.5"/>
    <s v="131/75"/>
    <n v="131"/>
    <n v="75"/>
    <n v="280"/>
    <x v="0"/>
    <n v="52"/>
    <n v="135"/>
    <x v="1"/>
    <x v="0"/>
    <x v="1"/>
    <s v="N"/>
    <x v="0"/>
    <n v="176"/>
    <n v="0.60499999999999998"/>
    <x v="3"/>
    <n v="131"/>
    <n v="75"/>
    <x v="1"/>
    <n v="198"/>
    <n v="3.81"/>
    <x v="0"/>
    <n v="19.57"/>
    <x v="1"/>
    <x v="0"/>
    <x v="1"/>
    <n v="1"/>
    <x v="0"/>
  </r>
  <r>
    <s v="F"/>
    <x v="13"/>
    <n v="104.2"/>
    <n v="1.88"/>
    <n v="29.5"/>
    <n v="29.481665912177458"/>
    <n v="0"/>
    <x v="2"/>
    <n v="83.7"/>
    <s v="138/76"/>
    <n v="138"/>
    <n v="76"/>
    <n v="140"/>
    <x v="2"/>
    <n v="63"/>
    <n v="92"/>
    <x v="1"/>
    <x v="0"/>
    <x v="2"/>
    <s v="Y"/>
    <x v="1"/>
    <n v="188"/>
    <m/>
    <x v="4"/>
    <n v="138"/>
    <n v="76"/>
    <x v="1"/>
    <n v="47"/>
    <n v="0.75"/>
    <x v="0"/>
    <n v="17.600000000000001"/>
    <x v="1"/>
    <x v="1"/>
    <x v="1"/>
    <n v="1"/>
    <x v="0"/>
  </r>
  <r>
    <s v="F"/>
    <x v="25"/>
    <m/>
    <n v="1.85"/>
    <n v="22.7"/>
    <n v="0"/>
    <n v="1"/>
    <x v="0"/>
    <n v="99.6"/>
    <s v="130/77"/>
    <n v="130"/>
    <n v="77"/>
    <n v="203"/>
    <x v="0"/>
    <n v="35"/>
    <n v="122"/>
    <x v="1"/>
    <x v="0"/>
    <x v="0"/>
    <s v="Y"/>
    <x v="4"/>
    <n v="185"/>
    <n v="0.53800000000000003"/>
    <x v="1"/>
    <n v="130"/>
    <n v="77"/>
    <x v="1"/>
    <n v="138"/>
    <n v="3.94"/>
    <x v="0"/>
    <n v="17.100000000000001"/>
    <x v="1"/>
    <x v="0"/>
    <x v="1"/>
    <n v="1"/>
    <x v="1"/>
  </r>
  <r>
    <s v="F"/>
    <x v="12"/>
    <n v="118.4"/>
    <n v="1.74"/>
    <n v="39.1"/>
    <n v="39.106883339939223"/>
    <n v="0"/>
    <x v="1"/>
    <n v="74.3"/>
    <s v="101/92"/>
    <n v="101"/>
    <n v="92"/>
    <n v="213"/>
    <x v="0"/>
    <n v="49"/>
    <n v="140"/>
    <x v="0"/>
    <x v="0"/>
    <x v="2"/>
    <s v="Y"/>
    <x v="0"/>
    <n v="174"/>
    <n v="0.42699999999999999"/>
    <x v="2"/>
    <n v="101"/>
    <n v="92"/>
    <x v="3"/>
    <n v="134"/>
    <n v="2.73"/>
    <x v="0"/>
    <n v="19.13"/>
    <x v="1"/>
    <x v="0"/>
    <x v="1"/>
    <n v="1"/>
    <x v="0"/>
  </r>
  <r>
    <s v="M"/>
    <x v="8"/>
    <n v="114.5"/>
    <n v="1.9"/>
    <n v="31.7"/>
    <n v="31.717451523545709"/>
    <n v="0"/>
    <x v="1"/>
    <n v="80"/>
    <s v="144/99"/>
    <n v="144"/>
    <n v="99"/>
    <n v="201"/>
    <x v="0"/>
    <n v="46"/>
    <n v="135"/>
    <x v="1"/>
    <x v="0"/>
    <x v="0"/>
    <s v="Y"/>
    <x v="4"/>
    <n v="190"/>
    <n v="0.42099999999999999"/>
    <x v="2"/>
    <n v="144"/>
    <n v="99"/>
    <x v="3"/>
    <n v="125"/>
    <n v="2.72"/>
    <x v="0"/>
    <n v="19.559999999999999"/>
    <x v="1"/>
    <x v="0"/>
    <x v="1"/>
    <n v="1"/>
    <x v="0"/>
  </r>
  <r>
    <s v="F"/>
    <x v="28"/>
    <n v="85.2"/>
    <n v="1.66"/>
    <n v="30.9"/>
    <n v="30.918856147481495"/>
    <n v="0"/>
    <x v="1"/>
    <n v="89.7"/>
    <s v="106/77"/>
    <n v="106"/>
    <n v="77"/>
    <n v="250"/>
    <x v="0"/>
    <m/>
    <n v="135"/>
    <x v="1"/>
    <x v="0"/>
    <x v="1"/>
    <s v="N"/>
    <x v="0"/>
    <n v="166"/>
    <n v="0.54"/>
    <x v="1"/>
    <n v="106"/>
    <n v="77"/>
    <x v="2"/>
    <n v="156"/>
    <s v=""/>
    <x v="1"/>
    <n v="18.48"/>
    <x v="1"/>
    <x v="0"/>
    <x v="1"/>
    <n v="1"/>
    <x v="0"/>
  </r>
  <r>
    <s v="F"/>
    <x v="9"/>
    <m/>
    <n v="1.7"/>
    <n v="22.5"/>
    <n v="0"/>
    <n v="1"/>
    <x v="0"/>
    <n v="75.2"/>
    <s v="139/60"/>
    <n v="139"/>
    <n v="60"/>
    <n v="190"/>
    <x v="0"/>
    <n v="33"/>
    <n v="90"/>
    <x v="1"/>
    <x v="0"/>
    <x v="0"/>
    <s v="Y"/>
    <x v="4"/>
    <n v="170"/>
    <n v="0.442"/>
    <x v="2"/>
    <n v="139"/>
    <n v="60"/>
    <x v="1"/>
    <n v="127"/>
    <n v="3.85"/>
    <x v="0"/>
    <n v="17.25"/>
    <x v="1"/>
    <x v="0"/>
    <x v="1"/>
    <n v="1"/>
    <x v="0"/>
  </r>
  <r>
    <s v="F"/>
    <x v="4"/>
    <n v="117"/>
    <n v="1.89"/>
    <n v="32.799999999999997"/>
    <n v="32.753842277651806"/>
    <n v="0"/>
    <x v="1"/>
    <n v="80.599999999999994"/>
    <s v="112/93"/>
    <n v="112"/>
    <n v="93"/>
    <n v="135"/>
    <x v="2"/>
    <n v="43"/>
    <n v="128"/>
    <x v="1"/>
    <x v="0"/>
    <x v="2"/>
    <s v="N"/>
    <x v="0"/>
    <n v="189"/>
    <n v="0.42599999999999999"/>
    <x v="2"/>
    <m/>
    <n v="93"/>
    <x v="3"/>
    <n v="62"/>
    <n v="1.44"/>
    <x v="0"/>
    <n v="16.86"/>
    <x v="1"/>
    <x v="0"/>
    <x v="1"/>
    <n v="1"/>
    <x v="1"/>
  </r>
  <r>
    <s v="M"/>
    <x v="3"/>
    <n v="105.4"/>
    <n v="1.83"/>
    <n v="31.5"/>
    <n v="31.473020991967509"/>
    <n v="0"/>
    <x v="1"/>
    <n v="109.7"/>
    <s v="142/84"/>
    <n v="142"/>
    <n v="84"/>
    <n v="230"/>
    <x v="0"/>
    <n v="73"/>
    <n v="128"/>
    <x v="0"/>
    <x v="0"/>
    <x v="0"/>
    <s v="N"/>
    <x v="0"/>
    <n v="183"/>
    <n v="0.59899999999999998"/>
    <x v="3"/>
    <n v="142"/>
    <n v="84"/>
    <x v="1"/>
    <n v="127"/>
    <n v="1.74"/>
    <x v="0"/>
    <n v="20"/>
    <x v="1"/>
    <x v="1"/>
    <x v="1"/>
    <n v="1"/>
    <x v="0"/>
  </r>
  <r>
    <s v="M"/>
    <x v="15"/>
    <n v="55.4"/>
    <n v="1.86"/>
    <n v="16"/>
    <n v="16.013411955139318"/>
    <n v="0"/>
    <x v="3"/>
    <n v="86.2"/>
    <s v="93/63"/>
    <n v="93"/>
    <n v="63"/>
    <n v="109"/>
    <x v="2"/>
    <n v="50"/>
    <n v="143"/>
    <x v="1"/>
    <x v="0"/>
    <x v="2"/>
    <s v="N"/>
    <x v="0"/>
    <n v="186"/>
    <n v="0.46300000000000002"/>
    <x v="0"/>
    <n v="93"/>
    <n v="63"/>
    <x v="2"/>
    <n v="29"/>
    <n v="0.57999999999999996"/>
    <x v="0"/>
    <n v="12.03"/>
    <x v="0"/>
    <x v="0"/>
    <x v="0"/>
    <n v="0"/>
    <x v="0"/>
  </r>
  <r>
    <s v="F"/>
    <x v="16"/>
    <n v="105.5"/>
    <n v="1.71"/>
    <n v="36.1"/>
    <n v="36.079477446051783"/>
    <n v="0"/>
    <x v="1"/>
    <n v="83.1"/>
    <s v="104/70"/>
    <n v="104"/>
    <n v="70"/>
    <n v="280"/>
    <x v="0"/>
    <n v="63"/>
    <m/>
    <x v="1"/>
    <x v="0"/>
    <x v="2"/>
    <s v="Y"/>
    <x v="1"/>
    <n v="171"/>
    <n v="0.48599999999999999"/>
    <x v="0"/>
    <n v="104"/>
    <n v="70"/>
    <x v="2"/>
    <n v="187"/>
    <n v="2.97"/>
    <x v="1"/>
    <n v="20.02"/>
    <x v="1"/>
    <x v="1"/>
    <x v="1"/>
    <n v="1"/>
    <x v="0"/>
  </r>
  <r>
    <s v="F"/>
    <x v="22"/>
    <n v="73.2"/>
    <n v="1.8"/>
    <n v="22.6"/>
    <n v="22.592592592592592"/>
    <n v="0"/>
    <x v="0"/>
    <n v="79.3"/>
    <s v="126/81"/>
    <n v="126"/>
    <n v="81"/>
    <n v="135"/>
    <x v="2"/>
    <n v="71"/>
    <n v="117"/>
    <x v="1"/>
    <x v="0"/>
    <x v="0"/>
    <s v="N"/>
    <x v="1"/>
    <n v="180"/>
    <n v="0.441"/>
    <x v="2"/>
    <n v="126"/>
    <n v="81"/>
    <x v="1"/>
    <m/>
    <n v="0"/>
    <x v="0"/>
    <n v="15.52"/>
    <x v="1"/>
    <x v="1"/>
    <x v="1"/>
    <n v="1"/>
    <x v="0"/>
  </r>
  <r>
    <s v="M"/>
    <x v="25"/>
    <n v="66"/>
    <n v="1.82"/>
    <n v="19.899999999999999"/>
    <n v="19.925129815239703"/>
    <n v="0"/>
    <x v="0"/>
    <n v="80.5"/>
    <s v="148/94"/>
    <n v="148"/>
    <n v="94"/>
    <n v="159"/>
    <x v="1"/>
    <n v="73"/>
    <n v="71"/>
    <x v="1"/>
    <x v="0"/>
    <x v="0"/>
    <s v="N"/>
    <x v="1"/>
    <n v="182"/>
    <n v="0.442"/>
    <x v="2"/>
    <n v="148"/>
    <n v="94"/>
    <x v="3"/>
    <n v="56"/>
    <n v="0.77"/>
    <x v="0"/>
    <n v="16.559999999999999"/>
    <x v="1"/>
    <x v="1"/>
    <x v="1"/>
    <n v="1"/>
    <x v="1"/>
  </r>
  <r>
    <s v="M"/>
    <x v="17"/>
    <n v="51.6"/>
    <n v="1.68"/>
    <n v="18.3"/>
    <n v="18.282312925170071"/>
    <n v="0"/>
    <x v="3"/>
    <n v="71.8"/>
    <s v="106/92"/>
    <n v="106"/>
    <n v="92"/>
    <n v="137"/>
    <x v="2"/>
    <n v="37"/>
    <n v="105"/>
    <x v="0"/>
    <x v="1"/>
    <x v="2"/>
    <s v="Y"/>
    <x v="2"/>
    <n v="168"/>
    <n v="0.42699999999999999"/>
    <x v="2"/>
    <n v="106"/>
    <n v="92"/>
    <x v="3"/>
    <n v="70"/>
    <n v="1.89"/>
    <x v="0"/>
    <n v="11.7"/>
    <x v="0"/>
    <x v="0"/>
    <x v="0"/>
    <n v="0"/>
    <x v="0"/>
  </r>
  <r>
    <s v="F"/>
    <x v="1"/>
    <m/>
    <n v="1.65"/>
    <n v="21.4"/>
    <n v="0"/>
    <n v="1"/>
    <x v="0"/>
    <n v="92.6"/>
    <s v="107/89"/>
    <n v="107"/>
    <n v="89"/>
    <n v="179"/>
    <x v="1"/>
    <n v="75"/>
    <n v="139"/>
    <x v="1"/>
    <x v="1"/>
    <x v="2"/>
    <s v="N"/>
    <x v="2"/>
    <n v="165"/>
    <n v="0.56100000000000005"/>
    <x v="1"/>
    <n v="107"/>
    <n v="89"/>
    <x v="1"/>
    <n v="74"/>
    <n v="0.99"/>
    <x v="0"/>
    <n v="13.21"/>
    <x v="0"/>
    <x v="0"/>
    <x v="0"/>
    <n v="0"/>
    <x v="0"/>
  </r>
  <r>
    <s v="F"/>
    <x v="29"/>
    <n v="54.3"/>
    <n v="1.81"/>
    <n v="16.600000000000001"/>
    <n v="16.574585635359114"/>
    <n v="0"/>
    <x v="3"/>
    <n v="99.1"/>
    <s v="133/65"/>
    <n v="133"/>
    <n v="65"/>
    <n v="187"/>
    <x v="0"/>
    <n v="78"/>
    <n v="80"/>
    <x v="0"/>
    <x v="0"/>
    <x v="1"/>
    <s v="N"/>
    <x v="2"/>
    <n v="181"/>
    <n v="0.54800000000000004"/>
    <x v="1"/>
    <n v="133"/>
    <n v="65"/>
    <x v="1"/>
    <n v="79"/>
    <n v="1.01"/>
    <x v="0"/>
    <n v="15.71"/>
    <x v="0"/>
    <x v="0"/>
    <x v="0"/>
    <n v="0"/>
    <x v="1"/>
  </r>
  <r>
    <s v="F"/>
    <x v="6"/>
    <n v="79"/>
    <n v="1.74"/>
    <m/>
    <n v="26.09327520147972"/>
    <n v="1"/>
    <x v="3"/>
    <n v="92.4"/>
    <s v="147/85"/>
    <n v="147"/>
    <n v="85"/>
    <n v="212"/>
    <x v="0"/>
    <n v="73"/>
    <n v="90"/>
    <x v="1"/>
    <x v="1"/>
    <x v="2"/>
    <s v="N"/>
    <x v="2"/>
    <n v="174"/>
    <n v="0.53100000000000003"/>
    <x v="1"/>
    <n v="147"/>
    <n v="85"/>
    <x v="1"/>
    <m/>
    <n v="0"/>
    <x v="0"/>
    <n v="16.809999999999999"/>
    <x v="0"/>
    <x v="0"/>
    <x v="0"/>
    <n v="0"/>
    <x v="0"/>
  </r>
  <r>
    <s v="M"/>
    <x v="23"/>
    <n v="85.9"/>
    <n v="1.78"/>
    <n v="27.1"/>
    <n v="27.111475823759626"/>
    <n v="0"/>
    <x v="2"/>
    <n v="87.2"/>
    <s v="144/70"/>
    <n v="144"/>
    <n v="70"/>
    <n v="189"/>
    <x v="0"/>
    <n v="44"/>
    <n v="100"/>
    <x v="0"/>
    <x v="1"/>
    <x v="0"/>
    <s v="N"/>
    <x v="2"/>
    <n v="178"/>
    <n v="0.49"/>
    <x v="0"/>
    <n v="144"/>
    <n v="70"/>
    <x v="3"/>
    <m/>
    <n v="0"/>
    <x v="0"/>
    <n v="16.399999999999999"/>
    <x v="0"/>
    <x v="0"/>
    <x v="0"/>
    <n v="0"/>
    <x v="0"/>
  </r>
  <r>
    <s v="M"/>
    <x v="19"/>
    <n v="60.3"/>
    <n v="1.7"/>
    <n v="20.9"/>
    <n v="20.865051903114189"/>
    <n v="0"/>
    <x v="0"/>
    <n v="70.099999999999994"/>
    <s v="141/96"/>
    <n v="141"/>
    <n v="96"/>
    <n v="253"/>
    <x v="0"/>
    <n v="38"/>
    <n v="119"/>
    <x v="1"/>
    <x v="1"/>
    <x v="2"/>
    <s v="Y"/>
    <x v="0"/>
    <n v="170"/>
    <n v="0.41199999999999998"/>
    <x v="2"/>
    <n v="141"/>
    <n v="96"/>
    <x v="3"/>
    <n v="185"/>
    <n v="4.87"/>
    <x v="0"/>
    <n v="16.29"/>
    <x v="1"/>
    <x v="0"/>
    <x v="1"/>
    <n v="1"/>
    <x v="0"/>
  </r>
  <r>
    <s v="F"/>
    <x v="30"/>
    <n v="60.5"/>
    <n v="1.64"/>
    <n v="22.5"/>
    <n v="22.494051160023798"/>
    <n v="0"/>
    <x v="0"/>
    <n v="76.400000000000006"/>
    <s v="104/80"/>
    <n v="104"/>
    <n v="80"/>
    <n v="178"/>
    <x v="1"/>
    <n v="78"/>
    <n v="124"/>
    <x v="0"/>
    <x v="1"/>
    <x v="2"/>
    <s v="Y"/>
    <x v="2"/>
    <n v="164"/>
    <n v="0.46600000000000003"/>
    <x v="0"/>
    <n v="104"/>
    <n v="80"/>
    <x v="1"/>
    <n v="70"/>
    <n v="0.9"/>
    <x v="0"/>
    <n v="13.26"/>
    <x v="0"/>
    <x v="0"/>
    <x v="0"/>
    <n v="0"/>
    <x v="0"/>
  </r>
  <r>
    <s v="F"/>
    <x v="8"/>
    <n v="82.9"/>
    <n v="1.89"/>
    <n v="23.2"/>
    <n v="23.207636964250725"/>
    <n v="0"/>
    <x v="0"/>
    <n v="84.4"/>
    <s v="129/60"/>
    <n v="129"/>
    <n v="60"/>
    <n v="109"/>
    <x v="2"/>
    <n v="70"/>
    <n v="108"/>
    <x v="0"/>
    <x v="0"/>
    <x v="1"/>
    <s v="Y"/>
    <x v="0"/>
    <n v="189"/>
    <n v="0.44700000000000001"/>
    <x v="2"/>
    <n v="129"/>
    <n v="60"/>
    <x v="0"/>
    <n v="9"/>
    <n v="0.13"/>
    <x v="0"/>
    <n v="15.27"/>
    <x v="0"/>
    <x v="0"/>
    <x v="0"/>
    <n v="0"/>
    <x v="0"/>
  </r>
  <r>
    <s v="F"/>
    <x v="8"/>
    <n v="103.2"/>
    <n v="1.75"/>
    <n v="33.700000000000003"/>
    <n v="33.697959183673468"/>
    <n v="0"/>
    <x v="1"/>
    <n v="75.5"/>
    <s v="146/99"/>
    <n v="146"/>
    <n v="99"/>
    <n v="256"/>
    <x v="0"/>
    <n v="38"/>
    <n v="104"/>
    <x v="0"/>
    <x v="1"/>
    <x v="0"/>
    <s v="Y"/>
    <x v="0"/>
    <m/>
    <n v="0.43099999999999999"/>
    <x v="2"/>
    <n v="146"/>
    <n v="99"/>
    <x v="3"/>
    <n v="188"/>
    <n v="4.95"/>
    <x v="0"/>
    <n v="19.16"/>
    <x v="1"/>
    <x v="0"/>
    <x v="1"/>
    <n v="1"/>
    <x v="0"/>
  </r>
  <r>
    <s v="F"/>
    <x v="11"/>
    <n v="74.400000000000006"/>
    <n v="1.88"/>
    <n v="21.1"/>
    <n v="21.050248981439569"/>
    <n v="0"/>
    <x v="0"/>
    <n v="91.1"/>
    <s v="90/97"/>
    <n v="90"/>
    <n v="97"/>
    <n v="176"/>
    <x v="1"/>
    <n v="73"/>
    <n v="98"/>
    <x v="1"/>
    <x v="1"/>
    <x v="0"/>
    <s v="N"/>
    <x v="0"/>
    <n v="188"/>
    <n v="0.48499999999999999"/>
    <x v="0"/>
    <n v="90"/>
    <n v="97"/>
    <x v="3"/>
    <n v="73"/>
    <n v="1"/>
    <x v="0"/>
    <n v="12.24"/>
    <x v="0"/>
    <x v="0"/>
    <x v="0"/>
    <n v="0"/>
    <x v="0"/>
  </r>
  <r>
    <s v="F"/>
    <x v="19"/>
    <n v="93.2"/>
    <n v="1.63"/>
    <n v="35.1"/>
    <n v="35.078474914373899"/>
    <n v="0"/>
    <x v="1"/>
    <n v="95.5"/>
    <s v="139/91"/>
    <n v="139"/>
    <n v="91"/>
    <m/>
    <x v="2"/>
    <n v="57"/>
    <n v="123"/>
    <x v="1"/>
    <x v="1"/>
    <x v="2"/>
    <s v="Y"/>
    <x v="0"/>
    <n v="163"/>
    <n v="0.58599999999999997"/>
    <x v="3"/>
    <m/>
    <n v="91"/>
    <x v="1"/>
    <n v="180"/>
    <n v="3.16"/>
    <x v="0"/>
    <n v="19.309999999999999"/>
    <x v="1"/>
    <x v="0"/>
    <x v="1"/>
    <n v="1"/>
    <x v="0"/>
  </r>
  <r>
    <s v="M"/>
    <x v="10"/>
    <n v="74.900000000000006"/>
    <n v="1.81"/>
    <n v="22.9"/>
    <n v="22.862549983211746"/>
    <n v="0"/>
    <x v="0"/>
    <n v="72.099999999999994"/>
    <s v="121/93"/>
    <n v="121"/>
    <n v="93"/>
    <n v="258"/>
    <x v="0"/>
    <n v="53"/>
    <n v="109"/>
    <x v="1"/>
    <x v="1"/>
    <x v="1"/>
    <s v="Y"/>
    <x v="0"/>
    <n v="181"/>
    <n v="0.39800000000000002"/>
    <x v="2"/>
    <n v="121"/>
    <n v="93"/>
    <x v="3"/>
    <n v="175"/>
    <n v="3.3"/>
    <x v="0"/>
    <n v="15.79"/>
    <x v="1"/>
    <x v="0"/>
    <x v="1"/>
    <n v="1"/>
    <x v="0"/>
  </r>
  <r>
    <s v="F"/>
    <x v="5"/>
    <n v="57.9"/>
    <n v="1.73"/>
    <n v="19.3"/>
    <n v="19.345785024558118"/>
    <n v="0"/>
    <x v="0"/>
    <n v="84.7"/>
    <s v="126/86"/>
    <n v="126"/>
    <n v="86"/>
    <n v="111"/>
    <x v="2"/>
    <n v="57"/>
    <n v="124"/>
    <x v="1"/>
    <x v="1"/>
    <x v="0"/>
    <s v="N"/>
    <x v="0"/>
    <m/>
    <m/>
    <x v="4"/>
    <n v="126"/>
    <n v="86"/>
    <x v="1"/>
    <n v="24"/>
    <n v="0.42"/>
    <x v="0"/>
    <n v="12.38"/>
    <x v="0"/>
    <x v="0"/>
    <x v="0"/>
    <n v="0"/>
    <x v="0"/>
  </r>
  <r>
    <s v="F"/>
    <x v="17"/>
    <n v="82.7"/>
    <n v="1.63"/>
    <n v="31.1"/>
    <n v="31.126500809213749"/>
    <n v="0"/>
    <x v="1"/>
    <n v="82.1"/>
    <s v="132/65"/>
    <n v="132"/>
    <n v="65"/>
    <n v="158"/>
    <x v="1"/>
    <n v="78"/>
    <n v="91"/>
    <x v="0"/>
    <x v="0"/>
    <x v="1"/>
    <s v="Y"/>
    <x v="0"/>
    <n v="163"/>
    <n v="0.504"/>
    <x v="0"/>
    <m/>
    <n v="65"/>
    <x v="1"/>
    <n v="50"/>
    <n v="0.64"/>
    <x v="0"/>
    <n v="17.98"/>
    <x v="1"/>
    <x v="1"/>
    <x v="1"/>
    <n v="1"/>
    <x v="0"/>
  </r>
  <r>
    <s v="M"/>
    <x v="29"/>
    <n v="91.2"/>
    <n v="1.68"/>
    <n v="32.299999999999997"/>
    <n v="32.312925170068034"/>
    <n v="0"/>
    <x v="1"/>
    <n v="73.2"/>
    <s v="124/80"/>
    <n v="124"/>
    <n v="80"/>
    <n v="249"/>
    <x v="0"/>
    <n v="60"/>
    <n v="147"/>
    <x v="0"/>
    <x v="1"/>
    <x v="2"/>
    <s v="N"/>
    <x v="3"/>
    <n v="168"/>
    <n v="0.436"/>
    <x v="2"/>
    <n v="124"/>
    <m/>
    <x v="1"/>
    <n v="159"/>
    <n v="2.65"/>
    <x v="0"/>
    <n v="17.64"/>
    <x v="0"/>
    <x v="0"/>
    <x v="0"/>
    <n v="0"/>
    <x v="0"/>
  </r>
  <r>
    <s v="F"/>
    <x v="16"/>
    <n v="115.2"/>
    <n v="1.74"/>
    <n v="38"/>
    <n v="38.049940546967896"/>
    <n v="0"/>
    <x v="1"/>
    <n v="88.1"/>
    <s v="146/80"/>
    <n v="146"/>
    <n v="80"/>
    <n v="100"/>
    <x v="2"/>
    <n v="32"/>
    <n v="72"/>
    <x v="0"/>
    <x v="0"/>
    <x v="0"/>
    <s v="Y"/>
    <x v="1"/>
    <n v="174"/>
    <n v="0.50600000000000001"/>
    <x v="0"/>
    <n v="146"/>
    <n v="80"/>
    <x v="1"/>
    <n v="38"/>
    <n v="1.19"/>
    <x v="0"/>
    <n v="18.899999999999999"/>
    <x v="1"/>
    <x v="0"/>
    <x v="1"/>
    <n v="1"/>
    <x v="1"/>
  </r>
  <r>
    <s v="F"/>
    <x v="3"/>
    <n v="96.3"/>
    <n v="1.74"/>
    <n v="31.8"/>
    <n v="31.807372175980973"/>
    <n v="0"/>
    <x v="1"/>
    <n v="91.3"/>
    <s v="93/95"/>
    <n v="93"/>
    <n v="95"/>
    <n v="109"/>
    <x v="2"/>
    <n v="53"/>
    <n v="129"/>
    <x v="0"/>
    <x v="0"/>
    <x v="1"/>
    <s v="Y"/>
    <x v="0"/>
    <n v="174"/>
    <n v="0.52500000000000002"/>
    <x v="1"/>
    <n v="93"/>
    <n v="95"/>
    <x v="3"/>
    <n v="26"/>
    <n v="0.49"/>
    <x v="0"/>
    <n v="15.19"/>
    <x v="0"/>
    <x v="0"/>
    <x v="0"/>
    <n v="0"/>
    <x v="0"/>
  </r>
  <r>
    <s v="M"/>
    <x v="6"/>
    <n v="102.6"/>
    <n v="1.74"/>
    <n v="33.9"/>
    <n v="33.888228299643281"/>
    <n v="0"/>
    <x v="1"/>
    <n v="103.5"/>
    <s v="134/68"/>
    <n v="134"/>
    <n v="68"/>
    <n v="127"/>
    <x v="2"/>
    <n v="60"/>
    <n v="138"/>
    <x v="0"/>
    <x v="0"/>
    <x v="1"/>
    <s v="N"/>
    <x v="2"/>
    <n v="174"/>
    <m/>
    <x v="4"/>
    <n v="134"/>
    <n v="68"/>
    <x v="1"/>
    <n v="37"/>
    <n v="0.62"/>
    <x v="0"/>
    <n v="18.02"/>
    <x v="0"/>
    <x v="0"/>
    <x v="0"/>
    <n v="0"/>
    <x v="0"/>
  </r>
  <r>
    <s v="F"/>
    <x v="29"/>
    <m/>
    <n v="1.79"/>
    <n v="26.1"/>
    <n v="0"/>
    <n v="1"/>
    <x v="2"/>
    <n v="99.2"/>
    <s v="121/100"/>
    <n v="121"/>
    <n v="100"/>
    <n v="245"/>
    <x v="0"/>
    <n v="37"/>
    <n v="72"/>
    <x v="1"/>
    <x v="1"/>
    <x v="2"/>
    <s v="N"/>
    <x v="2"/>
    <n v="179"/>
    <n v="0.55400000000000005"/>
    <x v="1"/>
    <n v="121"/>
    <n v="100"/>
    <x v="3"/>
    <m/>
    <n v="0"/>
    <x v="0"/>
    <n v="16.170000000000002"/>
    <x v="1"/>
    <x v="0"/>
    <x v="1"/>
    <n v="1"/>
    <x v="0"/>
  </r>
  <r>
    <s v="M"/>
    <x v="19"/>
    <n v="51"/>
    <n v="1.63"/>
    <n v="19.2"/>
    <n v="19.195302796492154"/>
    <n v="0"/>
    <x v="0"/>
    <n v="95.4"/>
    <s v="92/60"/>
    <n v="92"/>
    <n v="60"/>
    <n v="121"/>
    <x v="2"/>
    <n v="46"/>
    <n v="143"/>
    <x v="1"/>
    <x v="1"/>
    <x v="1"/>
    <s v="N"/>
    <x v="2"/>
    <n v="163"/>
    <n v="0.58499999999999996"/>
    <x v="3"/>
    <n v="92"/>
    <n v="60"/>
    <x v="2"/>
    <n v="45"/>
    <n v="0.98"/>
    <x v="0"/>
    <n v="10.86"/>
    <x v="2"/>
    <x v="0"/>
    <x v="0"/>
    <n v="0"/>
    <x v="0"/>
  </r>
  <r>
    <s v="F"/>
    <x v="5"/>
    <n v="116.9"/>
    <n v="1.89"/>
    <n v="32.700000000000003"/>
    <n v="32.725847540662357"/>
    <n v="0"/>
    <x v="1"/>
    <n v="93.6"/>
    <s v="131/62"/>
    <n v="131"/>
    <n v="62"/>
    <n v="110"/>
    <x v="2"/>
    <n v="74"/>
    <n v="108"/>
    <x v="1"/>
    <x v="0"/>
    <x v="1"/>
    <s v="N"/>
    <x v="0"/>
    <n v="189"/>
    <n v="0.495"/>
    <x v="0"/>
    <n v="131"/>
    <n v="62"/>
    <x v="1"/>
    <m/>
    <n v="0"/>
    <x v="0"/>
    <n v="17.29"/>
    <x v="0"/>
    <x v="0"/>
    <x v="0"/>
    <n v="0"/>
    <x v="0"/>
  </r>
  <r>
    <s v="M"/>
    <x v="7"/>
    <m/>
    <n v="1.89"/>
    <n v="15.3"/>
    <n v="0"/>
    <n v="1"/>
    <x v="3"/>
    <n v="99.9"/>
    <s v="134/88"/>
    <n v="134"/>
    <n v="88"/>
    <n v="206"/>
    <x v="0"/>
    <n v="79"/>
    <n v="105"/>
    <x v="0"/>
    <x v="1"/>
    <x v="1"/>
    <s v="Y"/>
    <x v="2"/>
    <n v="189"/>
    <n v="0.52900000000000003"/>
    <x v="1"/>
    <n v="134"/>
    <n v="88"/>
    <x v="1"/>
    <n v="97"/>
    <n v="1.23"/>
    <x v="0"/>
    <n v="13.88"/>
    <x v="0"/>
    <x v="0"/>
    <x v="0"/>
    <n v="0"/>
    <x v="0"/>
  </r>
  <r>
    <s v="F"/>
    <x v="12"/>
    <n v="106.7"/>
    <n v="1.65"/>
    <n v="39.200000000000003"/>
    <n v="39.191919191919197"/>
    <n v="0"/>
    <x v="1"/>
    <n v="106.5"/>
    <s v="106/69"/>
    <n v="106"/>
    <n v="69"/>
    <n v="201"/>
    <x v="0"/>
    <n v="76"/>
    <n v="127"/>
    <x v="0"/>
    <x v="1"/>
    <x v="1"/>
    <s v="N"/>
    <x v="3"/>
    <n v="165"/>
    <n v="0.64500000000000002"/>
    <x v="3"/>
    <n v="106"/>
    <n v="69"/>
    <x v="2"/>
    <n v="95"/>
    <n v="1.25"/>
    <x v="0"/>
    <n v="17.16"/>
    <x v="0"/>
    <x v="0"/>
    <x v="0"/>
    <n v="0"/>
    <x v="0"/>
  </r>
  <r>
    <s v="F"/>
    <x v="30"/>
    <n v="62.7"/>
    <n v="1.63"/>
    <n v="23.6"/>
    <n v="23.598931085099178"/>
    <n v="0"/>
    <x v="0"/>
    <n v="93.9"/>
    <s v="110/86"/>
    <n v="110"/>
    <n v="86"/>
    <n v="252"/>
    <x v="0"/>
    <n v="42"/>
    <n v="114"/>
    <x v="1"/>
    <x v="0"/>
    <x v="0"/>
    <s v="Y"/>
    <x v="4"/>
    <n v="163"/>
    <n v="0.57599999999999996"/>
    <x v="1"/>
    <n v="110"/>
    <n v="86"/>
    <x v="1"/>
    <n v="180"/>
    <n v="4.29"/>
    <x v="0"/>
    <n v="17.260000000000002"/>
    <x v="1"/>
    <x v="0"/>
    <x v="1"/>
    <n v="1"/>
    <x v="0"/>
  </r>
  <r>
    <s v="F"/>
    <x v="11"/>
    <n v="98.1"/>
    <n v="1.84"/>
    <m/>
    <n v="28.975661625708881"/>
    <n v="1"/>
    <x v="3"/>
    <n v="73.3"/>
    <s v="143/95"/>
    <n v="143"/>
    <n v="95"/>
    <n v="235"/>
    <x v="0"/>
    <n v="75"/>
    <n v="100"/>
    <x v="0"/>
    <x v="0"/>
    <x v="0"/>
    <s v="Y"/>
    <x v="1"/>
    <n v="184"/>
    <n v="0.39800000000000002"/>
    <x v="2"/>
    <n v="143"/>
    <n v="95"/>
    <x v="3"/>
    <n v="130"/>
    <n v="1.73"/>
    <x v="0"/>
    <n v="19.649999999999999"/>
    <x v="1"/>
    <x v="1"/>
    <x v="1"/>
    <n v="1"/>
    <x v="0"/>
  </r>
  <r>
    <s v="F"/>
    <x v="15"/>
    <m/>
    <n v="1.76"/>
    <n v="19.7"/>
    <n v="0"/>
    <n v="1"/>
    <x v="0"/>
    <n v="88"/>
    <s v="98/88"/>
    <n v="98"/>
    <n v="88"/>
    <m/>
    <x v="2"/>
    <n v="44"/>
    <m/>
    <x v="1"/>
    <x v="0"/>
    <x v="2"/>
    <s v="Y"/>
    <x v="1"/>
    <n v="176"/>
    <n v="0.5"/>
    <x v="0"/>
    <n v="98"/>
    <n v="88"/>
    <x v="1"/>
    <n v="177"/>
    <n v="4.0199999999999996"/>
    <x v="0"/>
    <n v="15.86"/>
    <x v="1"/>
    <x v="0"/>
    <x v="1"/>
    <n v="1"/>
    <x v="0"/>
  </r>
  <r>
    <s v="M"/>
    <x v="0"/>
    <n v="94.9"/>
    <n v="1.84"/>
    <n v="28"/>
    <n v="28.030482041587902"/>
    <n v="0"/>
    <x v="2"/>
    <n v="79.3"/>
    <s v="143/66"/>
    <n v="143"/>
    <n v="66"/>
    <n v="206"/>
    <x v="0"/>
    <n v="46"/>
    <n v="122"/>
    <x v="1"/>
    <x v="1"/>
    <x v="0"/>
    <s v="N"/>
    <x v="0"/>
    <n v="184"/>
    <n v="0.43099999999999999"/>
    <x v="2"/>
    <n v="143"/>
    <n v="66"/>
    <x v="3"/>
    <n v="130"/>
    <n v="2.83"/>
    <x v="0"/>
    <n v="16.87"/>
    <x v="1"/>
    <x v="0"/>
    <x v="1"/>
    <n v="1"/>
    <x v="0"/>
  </r>
  <r>
    <s v="M"/>
    <x v="11"/>
    <n v="76.900000000000006"/>
    <n v="1.64"/>
    <n v="28.6"/>
    <n v="28.591612135633557"/>
    <n v="0"/>
    <x v="2"/>
    <n v="101.5"/>
    <s v="101/79"/>
    <n v="101"/>
    <n v="79"/>
    <n v="181"/>
    <x v="0"/>
    <n v="63"/>
    <n v="144"/>
    <x v="1"/>
    <x v="1"/>
    <x v="0"/>
    <s v="N"/>
    <x v="0"/>
    <n v="164"/>
    <n v="0.61899999999999999"/>
    <x v="3"/>
    <n v="101"/>
    <n v="79"/>
    <x v="2"/>
    <n v="88"/>
    <n v="1.4"/>
    <x v="0"/>
    <n v="14.39"/>
    <x v="0"/>
    <x v="0"/>
    <x v="0"/>
    <n v="0"/>
    <x v="0"/>
  </r>
  <r>
    <s v="M"/>
    <x v="1"/>
    <n v="83"/>
    <n v="1.61"/>
    <n v="32"/>
    <n v="32.020369584506767"/>
    <n v="0"/>
    <x v="1"/>
    <n v="77.7"/>
    <s v="116/66"/>
    <n v="116"/>
    <n v="66"/>
    <n v="210"/>
    <x v="0"/>
    <n v="32"/>
    <n v="100"/>
    <x v="1"/>
    <x v="1"/>
    <x v="1"/>
    <s v="Y"/>
    <x v="0"/>
    <n v="161"/>
    <n v="0.48299999999999998"/>
    <x v="0"/>
    <n v="116"/>
    <n v="66"/>
    <x v="2"/>
    <m/>
    <n v="0"/>
    <x v="0"/>
    <n v="16.399999999999999"/>
    <x v="1"/>
    <x v="0"/>
    <x v="1"/>
    <n v="1"/>
    <x v="0"/>
  </r>
  <r>
    <s v="F"/>
    <x v="15"/>
    <n v="83.1"/>
    <n v="1.81"/>
    <n v="25.4"/>
    <n v="25.365526082842401"/>
    <n v="0"/>
    <x v="2"/>
    <n v="99.9"/>
    <s v="106/92"/>
    <n v="106"/>
    <n v="92"/>
    <n v="167"/>
    <x v="1"/>
    <n v="42"/>
    <n v="87"/>
    <x v="1"/>
    <x v="0"/>
    <x v="2"/>
    <s v="N"/>
    <x v="0"/>
    <n v="181"/>
    <n v="0.55200000000000005"/>
    <x v="1"/>
    <n v="106"/>
    <n v="92"/>
    <x v="3"/>
    <n v="95"/>
    <n v="2.2599999999999998"/>
    <x v="0"/>
    <n v="15.72"/>
    <x v="0"/>
    <x v="0"/>
    <x v="0"/>
    <n v="0"/>
    <x v="0"/>
  </r>
  <r>
    <s v="F"/>
    <x v="9"/>
    <n v="102.7"/>
    <n v="1.61"/>
    <n v="39.6"/>
    <n v="39.620385016010182"/>
    <n v="0"/>
    <x v="1"/>
    <n v="107.3"/>
    <s v="95/88"/>
    <n v="95"/>
    <n v="88"/>
    <n v="188"/>
    <x v="0"/>
    <n v="56"/>
    <n v="86"/>
    <x v="1"/>
    <x v="0"/>
    <x v="1"/>
    <s v="Y"/>
    <x v="1"/>
    <n v="161"/>
    <n v="0.66600000000000004"/>
    <x v="3"/>
    <n v="95"/>
    <n v="88"/>
    <x v="1"/>
    <n v="102"/>
    <n v="1.82"/>
    <x v="0"/>
    <n v="18.43"/>
    <x v="1"/>
    <x v="0"/>
    <x v="1"/>
    <n v="1"/>
    <x v="0"/>
  </r>
  <r>
    <s v="M"/>
    <x v="2"/>
    <n v="81.2"/>
    <n v="1.84"/>
    <n v="24"/>
    <n v="23.983931947069944"/>
    <n v="0"/>
    <x v="0"/>
    <n v="86.1"/>
    <s v="131/84"/>
    <n v="131"/>
    <n v="84"/>
    <n v="223"/>
    <x v="0"/>
    <n v="38"/>
    <n v="81"/>
    <x v="0"/>
    <x v="0"/>
    <x v="0"/>
    <s v="Y"/>
    <x v="1"/>
    <n v="184"/>
    <n v="0.46800000000000003"/>
    <x v="0"/>
    <n v="131"/>
    <n v="84"/>
    <x v="1"/>
    <n v="155"/>
    <n v="4.08"/>
    <x v="0"/>
    <n v="17.809999999999999"/>
    <x v="1"/>
    <x v="0"/>
    <x v="1"/>
    <n v="1"/>
    <x v="0"/>
  </r>
  <r>
    <s v="F"/>
    <x v="26"/>
    <n v="54.1"/>
    <m/>
    <n v="16"/>
    <s v=""/>
    <s v=""/>
    <x v="3"/>
    <n v="102.1"/>
    <s v="101/86"/>
    <n v="101"/>
    <n v="86"/>
    <n v="150"/>
    <x v="1"/>
    <n v="57"/>
    <n v="100"/>
    <x v="1"/>
    <x v="1"/>
    <x v="2"/>
    <s v="Y"/>
    <x v="0"/>
    <n v="184"/>
    <n v="0.55500000000000005"/>
    <x v="1"/>
    <n v="101"/>
    <n v="86"/>
    <x v="1"/>
    <n v="63"/>
    <n v="1.1100000000000001"/>
    <x v="0"/>
    <n v="11.25"/>
    <x v="0"/>
    <x v="0"/>
    <x v="0"/>
    <n v="0"/>
    <x v="0"/>
  </r>
  <r>
    <s v="F"/>
    <x v="2"/>
    <n v="93.7"/>
    <n v="1.75"/>
    <n v="30.6"/>
    <n v="30.59591836734694"/>
    <n v="0"/>
    <x v="1"/>
    <n v="78.8"/>
    <s v="134/81"/>
    <n v="134"/>
    <n v="81"/>
    <n v="119"/>
    <x v="2"/>
    <n v="41"/>
    <n v="96"/>
    <x v="1"/>
    <x v="1"/>
    <x v="1"/>
    <s v="N"/>
    <x v="2"/>
    <n v="175"/>
    <n v="0.45"/>
    <x v="2"/>
    <n v="134"/>
    <n v="81"/>
    <x v="1"/>
    <m/>
    <n v="0"/>
    <x v="0"/>
    <n v="15.2"/>
    <x v="0"/>
    <x v="0"/>
    <x v="0"/>
    <n v="0"/>
    <x v="0"/>
  </r>
  <r>
    <s v="M"/>
    <x v="25"/>
    <n v="84.1"/>
    <n v="1.76"/>
    <n v="27.2"/>
    <n v="27.150051652892561"/>
    <n v="0"/>
    <x v="2"/>
    <n v="83.4"/>
    <s v="130/65"/>
    <n v="130"/>
    <n v="65"/>
    <n v="111"/>
    <x v="2"/>
    <n v="61"/>
    <n v="113"/>
    <x v="0"/>
    <x v="1"/>
    <x v="0"/>
    <s v="N"/>
    <x v="2"/>
    <n v="176"/>
    <n v="0.47399999999999998"/>
    <x v="0"/>
    <n v="130"/>
    <n v="65"/>
    <x v="1"/>
    <n v="20"/>
    <n v="0.33"/>
    <x v="0"/>
    <n v="14.16"/>
    <x v="0"/>
    <x v="0"/>
    <x v="0"/>
    <n v="0"/>
    <x v="0"/>
  </r>
  <r>
    <s v="F"/>
    <x v="17"/>
    <n v="112.2"/>
    <n v="1.69"/>
    <n v="39.299999999999997"/>
    <n v="39.28433878365604"/>
    <n v="0"/>
    <x v="1"/>
    <n v="75.3"/>
    <s v="138/61"/>
    <n v="138"/>
    <n v="61"/>
    <n v="285"/>
    <x v="0"/>
    <n v="60"/>
    <n v="99"/>
    <x v="1"/>
    <x v="1"/>
    <x v="0"/>
    <s v="Y"/>
    <x v="1"/>
    <n v="169"/>
    <n v="0.44600000000000001"/>
    <x v="2"/>
    <n v="138"/>
    <n v="61"/>
    <x v="1"/>
    <n v="195"/>
    <n v="3.25"/>
    <x v="0"/>
    <n v="20.46"/>
    <x v="1"/>
    <x v="1"/>
    <x v="1"/>
    <n v="1"/>
    <x v="0"/>
  </r>
  <r>
    <s v="M"/>
    <x v="6"/>
    <n v="109.6"/>
    <n v="1.83"/>
    <m/>
    <n v="32.727164143450082"/>
    <n v="1"/>
    <x v="3"/>
    <n v="90.1"/>
    <s v="146/90"/>
    <n v="146"/>
    <n v="90"/>
    <m/>
    <x v="2"/>
    <m/>
    <n v="86"/>
    <x v="0"/>
    <x v="0"/>
    <x v="0"/>
    <s v="Y"/>
    <x v="1"/>
    <n v="183"/>
    <n v="0.49199999999999999"/>
    <x v="0"/>
    <m/>
    <n v="90"/>
    <x v="3"/>
    <n v="128"/>
    <s v=""/>
    <x v="0"/>
    <n v="20.14"/>
    <x v="1"/>
    <x v="0"/>
    <x v="1"/>
    <n v="1"/>
    <x v="0"/>
  </r>
  <r>
    <s v="F"/>
    <x v="10"/>
    <n v="54.2"/>
    <n v="1.87"/>
    <n v="15.5"/>
    <n v="15.499442363236007"/>
    <n v="0"/>
    <x v="3"/>
    <n v="89.8"/>
    <s v="92/94"/>
    <n v="92"/>
    <n v="94"/>
    <n v="245"/>
    <x v="0"/>
    <n v="36"/>
    <n v="99"/>
    <x v="0"/>
    <x v="0"/>
    <x v="0"/>
    <s v="Y"/>
    <x v="1"/>
    <n v="187"/>
    <n v="0.48"/>
    <x v="0"/>
    <n v="92"/>
    <n v="94"/>
    <x v="3"/>
    <n v="179"/>
    <n v="4.97"/>
    <x v="0"/>
    <m/>
    <x v="1"/>
    <x v="0"/>
    <x v="1"/>
    <n v="1"/>
    <x v="1"/>
  </r>
  <r>
    <s v="M"/>
    <x v="32"/>
    <n v="56.283000000000001"/>
    <n v="1.9410000000000001"/>
    <n v="32.701999999999998"/>
    <n v="14.939159613545497"/>
    <n v="1"/>
    <x v="1"/>
    <n v="107.777"/>
    <s v="135/69"/>
    <n v="135"/>
    <n v="69"/>
    <n v="276"/>
    <x v="0"/>
    <n v="83"/>
    <n v="177"/>
    <x v="1"/>
    <x v="0"/>
    <x v="2"/>
    <s v="N"/>
    <x v="0"/>
    <n v="194.06200000000001"/>
    <n v="0.55500000000000005"/>
    <x v="1"/>
    <n v="135"/>
    <n v="69"/>
    <x v="1"/>
    <n v="163"/>
    <n v="1.96"/>
    <x v="0"/>
    <n v="20.81"/>
    <x v="2"/>
    <x v="0"/>
    <x v="0"/>
    <n v="0"/>
    <x v="1"/>
  </r>
  <r>
    <s v="F"/>
    <x v="33"/>
    <n v="87.543999999999997"/>
    <m/>
    <n v="38.527000000000001"/>
    <s v=""/>
    <s v=""/>
    <x v="1"/>
    <n v="86.486999999999995"/>
    <s v="154/60"/>
    <n v="154"/>
    <n v="60"/>
    <n v="125"/>
    <x v="2"/>
    <n v="48"/>
    <n v="167"/>
    <x v="1"/>
    <x v="0"/>
    <x v="2"/>
    <s v="Y"/>
    <x v="1"/>
    <n v="178.33699999999999"/>
    <n v="0.48499999999999999"/>
    <x v="0"/>
    <n v="154"/>
    <n v="60"/>
    <x v="3"/>
    <n v="47"/>
    <n v="0.98"/>
    <x v="0"/>
    <n v="19.905000000000001"/>
    <x v="1"/>
    <x v="0"/>
    <x v="1"/>
    <n v="1"/>
    <x v="1"/>
  </r>
  <r>
    <s v="M"/>
    <x v="29"/>
    <n v="97.400999999999996"/>
    <n v="1.7709999999999999"/>
    <n v="32.968000000000004"/>
    <n v="31.054625290257334"/>
    <n v="1"/>
    <x v="1"/>
    <n v="79.328000000000003"/>
    <s v="147/78"/>
    <n v="147"/>
    <n v="78"/>
    <n v="177"/>
    <x v="1"/>
    <n v="40"/>
    <n v="176"/>
    <x v="1"/>
    <x v="0"/>
    <x v="1"/>
    <s v="Y"/>
    <x v="1"/>
    <n v="177.14599999999999"/>
    <n v="0.44800000000000001"/>
    <x v="2"/>
    <m/>
    <n v="78"/>
    <x v="3"/>
    <n v="107"/>
    <n v="2.68"/>
    <x v="0"/>
    <n v="19.484000000000002"/>
    <x v="0"/>
    <x v="0"/>
    <x v="0"/>
    <n v="0"/>
    <x v="1"/>
  </r>
  <r>
    <s v="F"/>
    <x v="3"/>
    <n v="82.164000000000001"/>
    <n v="1.986"/>
    <n v="34.701000000000001"/>
    <n v="20.831621957935155"/>
    <n v="1"/>
    <x v="1"/>
    <n v="117.72"/>
    <s v="154/69"/>
    <n v="154"/>
    <n v="69"/>
    <n v="285"/>
    <x v="0"/>
    <n v="83"/>
    <n v="73"/>
    <x v="0"/>
    <x v="0"/>
    <x v="2"/>
    <s v="Y"/>
    <x v="0"/>
    <n v="198.596"/>
    <m/>
    <x v="4"/>
    <n v="154"/>
    <n v="69"/>
    <x v="3"/>
    <n v="172"/>
    <n v="2.0699999999999998"/>
    <x v="0"/>
    <n v="22.34"/>
    <x v="2"/>
    <x v="0"/>
    <x v="0"/>
    <n v="0"/>
    <x v="0"/>
  </r>
  <r>
    <s v="M"/>
    <x v="34"/>
    <n v="93.938999999999993"/>
    <n v="1.988"/>
    <n v="28.5"/>
    <n v="23.769123797108605"/>
    <n v="1"/>
    <x v="2"/>
    <n v="112.81399999999999"/>
    <s v="105/110"/>
    <n v="105"/>
    <n v="110"/>
    <n v="174"/>
    <x v="1"/>
    <n v="45"/>
    <n v="83"/>
    <x v="0"/>
    <x v="0"/>
    <x v="2"/>
    <s v="N"/>
    <x v="2"/>
    <n v="198.84200000000001"/>
    <n v="0.56699999999999995"/>
    <x v="1"/>
    <n v="105"/>
    <n v="110"/>
    <x v="3"/>
    <m/>
    <n v="0"/>
    <x v="0"/>
    <n v="16.43"/>
    <x v="1"/>
    <x v="0"/>
    <x v="1"/>
    <n v="1"/>
    <x v="1"/>
  </r>
  <r>
    <s v="M"/>
    <x v="27"/>
    <n v="77.491"/>
    <n v="1.73"/>
    <n v="19.614999999999998"/>
    <n v="25.891610144007483"/>
    <n v="1"/>
    <x v="0"/>
    <n v="94.611999999999995"/>
    <s v="125/118"/>
    <n v="125"/>
    <n v="118"/>
    <n v="156"/>
    <x v="1"/>
    <n v="36"/>
    <n v="174"/>
    <x v="1"/>
    <x v="1"/>
    <x v="1"/>
    <s v="N"/>
    <x v="2"/>
    <n v="172.97399999999999"/>
    <n v="0.54700000000000004"/>
    <x v="1"/>
    <n v="125"/>
    <n v="118"/>
    <x v="3"/>
    <n v="90"/>
    <n v="2.5"/>
    <x v="0"/>
    <n v="13.292999999999999"/>
    <x v="2"/>
    <x v="0"/>
    <x v="0"/>
    <n v="0"/>
    <x v="0"/>
  </r>
  <r>
    <s v="F"/>
    <x v="7"/>
    <n v="68.516000000000005"/>
    <n v="1.929"/>
    <n v="39.966999999999999"/>
    <n v="18.41312686422966"/>
    <n v="1"/>
    <x v="1"/>
    <n v="96.956999999999994"/>
    <s v="105/84"/>
    <n v="105"/>
    <n v="84"/>
    <n v="241"/>
    <x v="0"/>
    <n v="52"/>
    <n v="103"/>
    <x v="1"/>
    <x v="1"/>
    <x v="2"/>
    <s v="Y"/>
    <x v="0"/>
    <n v="192.93600000000001"/>
    <n v="0.503"/>
    <x v="0"/>
    <n v="105"/>
    <n v="84"/>
    <x v="1"/>
    <n v="159"/>
    <n v="3.06"/>
    <x v="0"/>
    <n v="18.062999999999999"/>
    <x v="1"/>
    <x v="0"/>
    <x v="1"/>
    <n v="1"/>
    <x v="0"/>
  </r>
  <r>
    <s v="M"/>
    <x v="35"/>
    <n v="86.405000000000001"/>
    <n v="1.972"/>
    <n v="35.85"/>
    <n v="22.219027850351164"/>
    <n v="1"/>
    <x v="1"/>
    <n v="99.563999999999993"/>
    <s v="129/93"/>
    <n v="129"/>
    <n v="93"/>
    <n v="222"/>
    <x v="0"/>
    <n v="40"/>
    <m/>
    <x v="0"/>
    <x v="1"/>
    <x v="2"/>
    <s v="N"/>
    <x v="3"/>
    <n v="197.21600000000001"/>
    <n v="0.505"/>
    <x v="0"/>
    <n v="129"/>
    <n v="93"/>
    <x v="3"/>
    <n v="152"/>
    <n v="3.8"/>
    <x v="0"/>
    <n v="18.059999999999999"/>
    <x v="1"/>
    <x v="0"/>
    <x v="1"/>
    <n v="1"/>
    <x v="0"/>
  </r>
  <r>
    <s v="M"/>
    <x v="23"/>
    <n v="105"/>
    <m/>
    <n v="25.309000000000001"/>
    <s v=""/>
    <s v=""/>
    <x v="2"/>
    <n v="110.277"/>
    <s v="144/93"/>
    <n v="144"/>
    <n v="93"/>
    <n v="126"/>
    <x v="2"/>
    <n v="50"/>
    <n v="91"/>
    <x v="0"/>
    <x v="1"/>
    <x v="2"/>
    <s v="N"/>
    <x v="3"/>
    <n v="176.828"/>
    <n v="0.624"/>
    <x v="3"/>
    <n v="144"/>
    <n v="93"/>
    <x v="3"/>
    <n v="46"/>
    <n v="0.92"/>
    <x v="0"/>
    <m/>
    <x v="0"/>
    <x v="0"/>
    <x v="0"/>
    <n v="0"/>
    <x v="0"/>
  </r>
  <r>
    <s v="M"/>
    <x v="21"/>
    <n v="51.094999999999999"/>
    <n v="1.5209999999999999"/>
    <n v="20.190000000000001"/>
    <n v="22.086147863723347"/>
    <n v="1"/>
    <x v="0"/>
    <n v="72.274000000000001"/>
    <s v="159/91"/>
    <n v="159"/>
    <n v="91"/>
    <n v="296"/>
    <x v="0"/>
    <m/>
    <n v="123"/>
    <x v="0"/>
    <x v="1"/>
    <x v="2"/>
    <s v="N"/>
    <x v="3"/>
    <n v="152.08000000000001"/>
    <m/>
    <x v="4"/>
    <n v="159"/>
    <n v="91"/>
    <x v="3"/>
    <n v="211"/>
    <s v=""/>
    <x v="0"/>
    <n v="17.908000000000001"/>
    <x v="2"/>
    <x v="0"/>
    <x v="0"/>
    <n v="0"/>
    <x v="0"/>
  </r>
  <r>
    <s v="F"/>
    <x v="28"/>
    <n v="69.367000000000004"/>
    <n v="1.8320000000000001"/>
    <n v="30.099"/>
    <n v="20.668167559733796"/>
    <n v="1"/>
    <x v="1"/>
    <n v="112.452"/>
    <s v="149/107"/>
    <n v="149"/>
    <n v="107"/>
    <m/>
    <x v="2"/>
    <n v="47"/>
    <n v="90"/>
    <x v="1"/>
    <x v="1"/>
    <x v="0"/>
    <s v="N"/>
    <x v="0"/>
    <n v="183.17400000000001"/>
    <n v="0.61399999999999999"/>
    <x v="3"/>
    <n v="149"/>
    <n v="107"/>
    <x v="3"/>
    <n v="210"/>
    <n v="4.47"/>
    <x v="0"/>
    <n v="19.21"/>
    <x v="2"/>
    <x v="0"/>
    <x v="0"/>
    <n v="0"/>
    <x v="0"/>
  </r>
  <r>
    <s v="F"/>
    <x v="29"/>
    <n v="90.05"/>
    <m/>
    <n v="33.582000000000001"/>
    <s v=""/>
    <s v=""/>
    <x v="1"/>
    <n v="85.075999999999993"/>
    <s v="120/102"/>
    <n v="120"/>
    <n v="102"/>
    <n v="238"/>
    <x v="0"/>
    <n v="51"/>
    <n v="161"/>
    <x v="0"/>
    <x v="0"/>
    <x v="0"/>
    <s v="Y"/>
    <x v="1"/>
    <m/>
    <n v="0.5"/>
    <x v="0"/>
    <n v="120"/>
    <n v="102"/>
    <x v="3"/>
    <n v="157"/>
    <n v="3.08"/>
    <x v="0"/>
    <n v="19.475999999999999"/>
    <x v="2"/>
    <x v="0"/>
    <x v="0"/>
    <n v="0"/>
    <x v="1"/>
  </r>
  <r>
    <s v="F"/>
    <x v="24"/>
    <n v="91.147999999999996"/>
    <n v="1.998"/>
    <n v="38.405000000000001"/>
    <n v="22.832642452262071"/>
    <n v="1"/>
    <x v="1"/>
    <n v="108.75"/>
    <s v="108/95"/>
    <n v="108"/>
    <n v="95"/>
    <n v="272"/>
    <x v="0"/>
    <n v="40"/>
    <n v="157"/>
    <x v="0"/>
    <x v="0"/>
    <x v="0"/>
    <s v="Y"/>
    <x v="1"/>
    <n v="199.80199999999999"/>
    <n v="0.54400000000000004"/>
    <x v="1"/>
    <n v="108"/>
    <n v="95"/>
    <x v="3"/>
    <n v="202"/>
    <n v="5.05"/>
    <x v="0"/>
    <n v="20.521000000000001"/>
    <x v="2"/>
    <x v="0"/>
    <x v="0"/>
    <n v="0"/>
    <x v="0"/>
  </r>
  <r>
    <s v="M"/>
    <x v="36"/>
    <n v="80.069000000000003"/>
    <m/>
    <n v="29.166"/>
    <s v=""/>
    <s v=""/>
    <x v="2"/>
    <n v="80.971000000000004"/>
    <s v="120/87"/>
    <n v="120"/>
    <n v="87"/>
    <n v="151"/>
    <x v="1"/>
    <n v="35"/>
    <n v="70"/>
    <x v="0"/>
    <x v="0"/>
    <x v="1"/>
    <s v="N"/>
    <x v="2"/>
    <n v="155.93100000000001"/>
    <n v="0.51900000000000002"/>
    <x v="0"/>
    <n v="120"/>
    <n v="87"/>
    <x v="1"/>
    <n v="86"/>
    <n v="2.46"/>
    <x v="0"/>
    <n v="16.853000000000002"/>
    <x v="0"/>
    <x v="0"/>
    <x v="0"/>
    <n v="0"/>
    <x v="1"/>
  </r>
  <r>
    <s v="F"/>
    <x v="34"/>
    <n v="58.323999999999998"/>
    <n v="1.6339999999999999"/>
    <n v="36.951999999999998"/>
    <n v="21.844554741726085"/>
    <n v="1"/>
    <x v="1"/>
    <n v="86.34"/>
    <s v="168/60"/>
    <n v="168"/>
    <n v="60"/>
    <n v="233"/>
    <x v="0"/>
    <n v="86"/>
    <n v="114"/>
    <x v="1"/>
    <x v="0"/>
    <x v="0"/>
    <s v="N"/>
    <x v="1"/>
    <n v="163.422"/>
    <n v="0.52800000000000002"/>
    <x v="1"/>
    <n v="168"/>
    <n v="60"/>
    <x v="3"/>
    <n v="117"/>
    <n v="1.36"/>
    <x v="0"/>
    <n v="22.45"/>
    <x v="2"/>
    <x v="0"/>
    <x v="0"/>
    <n v="0"/>
    <x v="1"/>
  </r>
  <r>
    <s v="M"/>
    <x v="28"/>
    <n v="55.683999999999997"/>
    <n v="1.552"/>
    <m/>
    <n v="23.117826017642681"/>
    <n v="1"/>
    <x v="3"/>
    <n v="103.846"/>
    <s v="147/87"/>
    <n v="147"/>
    <n v="87"/>
    <n v="298"/>
    <x v="0"/>
    <n v="53"/>
    <n v="149"/>
    <x v="1"/>
    <x v="0"/>
    <x v="0"/>
    <s v="Y"/>
    <x v="4"/>
    <n v="155.167"/>
    <n v="0.66900000000000004"/>
    <x v="3"/>
    <n v="147"/>
    <n v="87"/>
    <x v="1"/>
    <n v="215"/>
    <n v="4.0599999999999996"/>
    <x v="0"/>
    <n v="21.032"/>
    <x v="1"/>
    <x v="0"/>
    <x v="1"/>
    <n v="1"/>
    <x v="1"/>
  </r>
  <r>
    <s v="F"/>
    <x v="37"/>
    <n v="88.094999999999999"/>
    <n v="1.738"/>
    <n v="24.181999999999999"/>
    <n v="29.164310656932759"/>
    <n v="1"/>
    <x v="0"/>
    <n v="70.090999999999994"/>
    <s v="99/80"/>
    <n v="99"/>
    <n v="80"/>
    <n v="141"/>
    <x v="2"/>
    <n v="35"/>
    <n v="74"/>
    <x v="1"/>
    <x v="0"/>
    <x v="0"/>
    <s v="N"/>
    <x v="1"/>
    <n v="173.78"/>
    <n v="0.40300000000000002"/>
    <x v="2"/>
    <n v="99"/>
    <n v="80"/>
    <x v="1"/>
    <n v="76"/>
    <n v="2.17"/>
    <x v="0"/>
    <n v="14.606"/>
    <x v="0"/>
    <x v="0"/>
    <x v="0"/>
    <n v="0"/>
    <x v="0"/>
  </r>
  <r>
    <s v="M"/>
    <x v="38"/>
    <n v="102.027"/>
    <n v="1.786"/>
    <n v="18.585000000000001"/>
    <n v="31.985431043239124"/>
    <n v="1"/>
    <x v="0"/>
    <n v="83.74"/>
    <s v="152/109"/>
    <n v="152"/>
    <n v="109"/>
    <n v="182"/>
    <x v="0"/>
    <n v="87"/>
    <n v="102"/>
    <x v="1"/>
    <x v="1"/>
    <x v="0"/>
    <s v="N"/>
    <x v="0"/>
    <n v="178.63300000000001"/>
    <n v="0.46899999999999997"/>
    <x v="0"/>
    <n v="152"/>
    <n v="109"/>
    <x v="3"/>
    <n v="65"/>
    <n v="0.75"/>
    <x v="0"/>
    <n v="14.957000000000001"/>
    <x v="0"/>
    <x v="0"/>
    <x v="0"/>
    <n v="0"/>
    <x v="0"/>
  </r>
  <r>
    <s v="F"/>
    <x v="31"/>
    <n v="98.343000000000004"/>
    <n v="1.887"/>
    <n v="35.972999999999999"/>
    <n v="27.618472301910064"/>
    <n v="1"/>
    <x v="1"/>
    <n v="103.28400000000001"/>
    <s v="104/99"/>
    <n v="104"/>
    <n v="99"/>
    <n v="295"/>
    <x v="0"/>
    <n v="64"/>
    <n v="75"/>
    <x v="1"/>
    <x v="0"/>
    <x v="2"/>
    <s v="N"/>
    <x v="0"/>
    <n v="188.71100000000001"/>
    <n v="0.54700000000000004"/>
    <x v="1"/>
    <n v="104"/>
    <n v="99"/>
    <x v="3"/>
    <n v="201"/>
    <n v="3.14"/>
    <x v="0"/>
    <n v="20.295000000000002"/>
    <x v="2"/>
    <x v="0"/>
    <x v="0"/>
    <n v="0"/>
    <x v="1"/>
  </r>
  <r>
    <s v="M"/>
    <x v="38"/>
    <n v="75.956999999999994"/>
    <n v="1.6539999999999999"/>
    <n v="21.277999999999999"/>
    <n v="27.764943437111164"/>
    <n v="1"/>
    <x v="0"/>
    <n v="117.142"/>
    <s v="155/119"/>
    <n v="155"/>
    <n v="119"/>
    <n v="112"/>
    <x v="2"/>
    <n v="61"/>
    <n v="89"/>
    <x v="0"/>
    <x v="1"/>
    <x v="1"/>
    <s v="N"/>
    <x v="3"/>
    <n v="165.435"/>
    <n v="0.70799999999999996"/>
    <x v="3"/>
    <n v="155"/>
    <n v="119"/>
    <x v="3"/>
    <n v="21"/>
    <n v="0.34"/>
    <x v="0"/>
    <n v="14.246"/>
    <x v="0"/>
    <x v="0"/>
    <x v="0"/>
    <n v="0"/>
    <x v="0"/>
  </r>
  <r>
    <s v="M"/>
    <x v="39"/>
    <n v="114.312"/>
    <n v="1.6879999999999999"/>
    <n v="25.163"/>
    <n v="40.118708025426201"/>
    <n v="1"/>
    <x v="2"/>
    <m/>
    <s v="140/106"/>
    <n v="140"/>
    <n v="106"/>
    <n v="210"/>
    <x v="0"/>
    <n v="41"/>
    <n v="80"/>
    <x v="1"/>
    <x v="1"/>
    <x v="0"/>
    <s v="N"/>
    <x v="0"/>
    <n v="168.81200000000001"/>
    <n v="0.58399999999999996"/>
    <x v="1"/>
    <n v="140"/>
    <n v="106"/>
    <x v="3"/>
    <n v="139"/>
    <n v="3.39"/>
    <x v="0"/>
    <n v="16.233000000000001"/>
    <x v="0"/>
    <x v="0"/>
    <x v="0"/>
    <n v="0"/>
    <x v="0"/>
  </r>
  <r>
    <s v="F"/>
    <x v="40"/>
    <m/>
    <n v="1.754"/>
    <n v="37.484000000000002"/>
    <n v="0"/>
    <n v="1"/>
    <x v="1"/>
    <n v="95.49"/>
    <s v="113/119"/>
    <n v="113"/>
    <n v="119"/>
    <n v="172"/>
    <x v="1"/>
    <n v="65"/>
    <n v="141"/>
    <x v="0"/>
    <x v="1"/>
    <x v="0"/>
    <s v="N"/>
    <x v="2"/>
    <n v="175.352"/>
    <n v="0.54500000000000004"/>
    <x v="1"/>
    <n v="113"/>
    <n v="119"/>
    <x v="3"/>
    <n v="77"/>
    <n v="1.18"/>
    <x v="0"/>
    <n v="16.587"/>
    <x v="2"/>
    <x v="0"/>
    <x v="0"/>
    <n v="0"/>
    <x v="0"/>
  </r>
  <r>
    <s v="F"/>
    <x v="6"/>
    <n v="82.742999999999995"/>
    <n v="1.9770000000000001"/>
    <n v="24.571999999999999"/>
    <n v="21.169856997351175"/>
    <n v="1"/>
    <x v="0"/>
    <n v="95.001999999999995"/>
    <s v="136/114"/>
    <n v="136"/>
    <n v="114"/>
    <n v="282"/>
    <x v="0"/>
    <n v="57"/>
    <n v="164"/>
    <x v="0"/>
    <x v="0"/>
    <x v="0"/>
    <s v="Y"/>
    <x v="1"/>
    <n v="197.67"/>
    <n v="0.48099999999999998"/>
    <x v="0"/>
    <n v="136"/>
    <n v="114"/>
    <x v="1"/>
    <n v="195"/>
    <n v="3.42"/>
    <x v="0"/>
    <n v="19.353999999999999"/>
    <x v="1"/>
    <x v="0"/>
    <x v="1"/>
    <n v="1"/>
    <x v="0"/>
  </r>
  <r>
    <s v="M"/>
    <x v="24"/>
    <n v="98.221999999999994"/>
    <n v="1.9830000000000001"/>
    <n v="24.088999999999999"/>
    <n v="24.978326872719677"/>
    <n v="1"/>
    <x v="0"/>
    <n v="116.852"/>
    <s v="103/68"/>
    <n v="103"/>
    <n v="68"/>
    <n v="152"/>
    <x v="1"/>
    <n v="47"/>
    <m/>
    <x v="1"/>
    <x v="1"/>
    <x v="1"/>
    <s v="Y"/>
    <x v="0"/>
    <n v="198.255"/>
    <n v="0.58899999999999997"/>
    <x v="3"/>
    <n v="103"/>
    <n v="68"/>
    <x v="2"/>
    <n v="75"/>
    <n v="1.6"/>
    <x v="0"/>
    <n v="13.007999999999999"/>
    <x v="1"/>
    <x v="0"/>
    <x v="1"/>
    <n v="1"/>
    <x v="0"/>
  </r>
  <r>
    <s v="M"/>
    <x v="19"/>
    <n v="104.34399999999999"/>
    <n v="1.9550000000000001"/>
    <n v="27.114999999999998"/>
    <n v="27.30071101052452"/>
    <n v="1"/>
    <x v="2"/>
    <n v="74.353999999999999"/>
    <s v="174/119"/>
    <n v="174"/>
    <n v="119"/>
    <n v="160"/>
    <x v="1"/>
    <n v="39"/>
    <n v="89"/>
    <x v="0"/>
    <x v="1"/>
    <x v="0"/>
    <s v="N"/>
    <x v="2"/>
    <n v="195.47499999999999"/>
    <n v="0.38"/>
    <x v="2"/>
    <n v="174"/>
    <m/>
    <x v="3"/>
    <n v="91"/>
    <n v="2.33"/>
    <x v="0"/>
    <n v="17.323"/>
    <x v="0"/>
    <x v="0"/>
    <x v="0"/>
    <n v="0"/>
    <x v="0"/>
  </r>
  <r>
    <s v="M"/>
    <x v="18"/>
    <n v="72.361999999999995"/>
    <n v="1.5920000000000001"/>
    <n v="27.881"/>
    <n v="28.551204515037494"/>
    <n v="1"/>
    <x v="2"/>
    <n v="117.02200000000001"/>
    <s v="121/92"/>
    <n v="121"/>
    <n v="92"/>
    <n v="107"/>
    <x v="2"/>
    <n v="40"/>
    <n v="97"/>
    <x v="0"/>
    <x v="0"/>
    <x v="0"/>
    <s v="N"/>
    <x v="0"/>
    <n v="159.161"/>
    <n v="0.73499999999999999"/>
    <x v="3"/>
    <n v="121"/>
    <n v="92"/>
    <x v="3"/>
    <n v="37"/>
    <n v="0.93"/>
    <x v="0"/>
    <n v="15.766"/>
    <x v="1"/>
    <x v="0"/>
    <x v="1"/>
    <n v="1"/>
    <x v="0"/>
  </r>
  <r>
    <s v="F"/>
    <x v="41"/>
    <n v="68.852999999999994"/>
    <n v="1.9510000000000001"/>
    <n v="24.155999999999999"/>
    <n v="18.088740518931136"/>
    <n v="1"/>
    <x v="0"/>
    <n v="82.284999999999997"/>
    <s v="116/86"/>
    <n v="116"/>
    <n v="86"/>
    <n v="192"/>
    <x v="0"/>
    <m/>
    <n v="183"/>
    <x v="1"/>
    <x v="1"/>
    <x v="1"/>
    <s v="N"/>
    <x v="2"/>
    <n v="195.06"/>
    <n v="0.42199999999999999"/>
    <x v="2"/>
    <n v="116"/>
    <n v="86"/>
    <x v="1"/>
    <n v="107"/>
    <s v=""/>
    <x v="0"/>
    <n v="14.471"/>
    <x v="0"/>
    <x v="0"/>
    <x v="0"/>
    <n v="0"/>
    <x v="0"/>
  </r>
  <r>
    <s v="M"/>
    <x v="6"/>
    <n v="117.678"/>
    <n v="1.7929999999999999"/>
    <n v="23.637"/>
    <n v="36.604518594808034"/>
    <n v="1"/>
    <x v="0"/>
    <n v="105.11"/>
    <s v="121/72"/>
    <n v="121"/>
    <n v="72"/>
    <n v="269"/>
    <x v="0"/>
    <n v="41"/>
    <n v="103"/>
    <x v="0"/>
    <x v="0"/>
    <x v="1"/>
    <s v="N"/>
    <x v="2"/>
    <n v="179.27"/>
    <n v="0.58599999999999997"/>
    <x v="3"/>
    <n v="121"/>
    <n v="72"/>
    <x v="0"/>
    <n v="198"/>
    <n v="4.83"/>
    <x v="0"/>
    <n v="18.157"/>
    <x v="1"/>
    <x v="0"/>
    <x v="1"/>
    <n v="1"/>
    <x v="0"/>
  </r>
  <r>
    <s v="M"/>
    <x v="22"/>
    <n v="58.262999999999998"/>
    <n v="1.6160000000000001"/>
    <n v="30.568999999999999"/>
    <n v="22.310542471326336"/>
    <n v="1"/>
    <x v="1"/>
    <n v="83.263999999999996"/>
    <s v="109/78"/>
    <n v="109"/>
    <n v="78"/>
    <n v="244"/>
    <x v="0"/>
    <n v="49"/>
    <n v="115"/>
    <x v="1"/>
    <x v="0"/>
    <x v="0"/>
    <s v="Y"/>
    <x v="4"/>
    <n v="161.637"/>
    <n v="0.51500000000000001"/>
    <x v="0"/>
    <n v="109"/>
    <n v="78"/>
    <x v="2"/>
    <n v="165"/>
    <n v="3.37"/>
    <x v="0"/>
    <n v="18.443999999999999"/>
    <x v="2"/>
    <x v="0"/>
    <x v="0"/>
    <n v="0"/>
    <x v="0"/>
  </r>
  <r>
    <s v="M"/>
    <x v="40"/>
    <n v="114.137"/>
    <n v="1.9770000000000001"/>
    <n v="19.395"/>
    <n v="29.202034832030158"/>
    <n v="1"/>
    <x v="0"/>
    <n v="85.766000000000005"/>
    <s v="162/118"/>
    <n v="162"/>
    <n v="118"/>
    <n v="104"/>
    <x v="2"/>
    <n v="64"/>
    <n v="94"/>
    <x v="0"/>
    <x v="0"/>
    <x v="1"/>
    <s v="N"/>
    <x v="2"/>
    <n v="197.697"/>
    <n v="0.434"/>
    <x v="2"/>
    <n v="162"/>
    <n v="118"/>
    <x v="3"/>
    <n v="10"/>
    <n v="0.16"/>
    <x v="0"/>
    <n v="16.059000000000001"/>
    <x v="0"/>
    <x v="0"/>
    <x v="0"/>
    <n v="0"/>
    <x v="1"/>
  </r>
  <r>
    <s v="M"/>
    <x v="31"/>
    <n v="103.97"/>
    <n v="1.5589999999999999"/>
    <n v="37.058"/>
    <n v="42.777540741935447"/>
    <n v="1"/>
    <x v="1"/>
    <n v="112.72199999999999"/>
    <s v="155/70"/>
    <n v="155"/>
    <n v="70"/>
    <n v="169"/>
    <x v="1"/>
    <n v="72"/>
    <n v="74"/>
    <x v="0"/>
    <x v="0"/>
    <x v="1"/>
    <s v="Y"/>
    <x v="0"/>
    <n v="155.87200000000001"/>
    <n v="0.72299999999999998"/>
    <x v="3"/>
    <n v="155"/>
    <n v="70"/>
    <x v="3"/>
    <n v="67"/>
    <n v="0.93"/>
    <x v="0"/>
    <n v="20.542000000000002"/>
    <x v="2"/>
    <x v="0"/>
    <x v="0"/>
    <n v="0"/>
    <x v="1"/>
  </r>
  <r>
    <s v="M"/>
    <x v="42"/>
    <n v="86.75"/>
    <n v="1.7569999999999999"/>
    <n v="24.963000000000001"/>
    <n v="28.101270825309225"/>
    <n v="1"/>
    <x v="2"/>
    <n v="110.819"/>
    <s v="169/89"/>
    <n v="169"/>
    <n v="89"/>
    <n v="207"/>
    <x v="0"/>
    <m/>
    <n v="115"/>
    <x v="1"/>
    <x v="1"/>
    <x v="0"/>
    <s v="N"/>
    <x v="0"/>
    <n v="175.69399999999999"/>
    <n v="0.63100000000000001"/>
    <x v="3"/>
    <n v="169"/>
    <n v="89"/>
    <x v="1"/>
    <n v="124"/>
    <s v=""/>
    <x v="0"/>
    <n v="17.582999999999998"/>
    <x v="2"/>
    <x v="0"/>
    <x v="0"/>
    <n v="0"/>
    <x v="0"/>
  </r>
  <r>
    <s v="M"/>
    <x v="32"/>
    <n v="58.598999999999997"/>
    <n v="1.5740000000000001"/>
    <n v="28.085999999999999"/>
    <n v="23.652701378338271"/>
    <n v="1"/>
    <x v="2"/>
    <n v="93.554000000000002"/>
    <s v="154/62"/>
    <n v="154"/>
    <n v="62"/>
    <n v="197"/>
    <x v="0"/>
    <n v="65"/>
    <n v="125"/>
    <x v="0"/>
    <x v="0"/>
    <x v="2"/>
    <s v="N"/>
    <x v="2"/>
    <n v="157.43899999999999"/>
    <n v="0.59399999999999997"/>
    <x v="3"/>
    <n v="154"/>
    <n v="62"/>
    <x v="3"/>
    <n v="102"/>
    <n v="1.57"/>
    <x v="0"/>
    <n v="19.257000000000001"/>
    <x v="0"/>
    <x v="0"/>
    <x v="0"/>
    <n v="0"/>
    <x v="1"/>
  </r>
  <r>
    <s v="M"/>
    <x v="43"/>
    <n v="61.902000000000001"/>
    <n v="1.5229999999999999"/>
    <n v="27.202999999999999"/>
    <n v="26.687314536701205"/>
    <n v="1"/>
    <x v="2"/>
    <n v="108.373"/>
    <s v="163/73"/>
    <n v="163"/>
    <n v="73"/>
    <n v="200"/>
    <x v="0"/>
    <n v="44"/>
    <n v="104"/>
    <x v="1"/>
    <x v="0"/>
    <x v="1"/>
    <s v="N"/>
    <x v="0"/>
    <n v="152.291"/>
    <n v="0.71199999999999997"/>
    <x v="3"/>
    <n v="163"/>
    <n v="73"/>
    <x v="3"/>
    <n v="126"/>
    <n v="2.86"/>
    <x v="0"/>
    <n v="19.591000000000001"/>
    <x v="2"/>
    <x v="0"/>
    <x v="0"/>
    <n v="0"/>
    <x v="0"/>
  </r>
  <r>
    <s v="F"/>
    <x v="12"/>
    <n v="90.147000000000006"/>
    <n v="1.7829999999999999"/>
    <n v="28.042999999999999"/>
    <n v="28.356236645152119"/>
    <n v="1"/>
    <x v="2"/>
    <n v="111.875"/>
    <s v="161/114"/>
    <n v="161"/>
    <n v="114"/>
    <n v="249"/>
    <x v="0"/>
    <n v="34"/>
    <n v="176"/>
    <x v="0"/>
    <x v="0"/>
    <x v="0"/>
    <s v="N"/>
    <x v="0"/>
    <n v="178.274"/>
    <n v="0.628"/>
    <x v="3"/>
    <n v="161"/>
    <n v="114"/>
    <x v="3"/>
    <n v="185"/>
    <n v="5.44"/>
    <x v="0"/>
    <n v="20.638999999999999"/>
    <x v="1"/>
    <x v="0"/>
    <x v="1"/>
    <n v="1"/>
    <x v="0"/>
  </r>
  <r>
    <s v="F"/>
    <x v="24"/>
    <n v="56.029000000000003"/>
    <n v="1.962"/>
    <n v="25.34"/>
    <n v="14.555088994670399"/>
    <n v="1"/>
    <x v="2"/>
    <n v="78.28"/>
    <s v="163/91"/>
    <n v="163"/>
    <n v="91"/>
    <n v="138"/>
    <x v="2"/>
    <n v="66"/>
    <n v="154"/>
    <x v="0"/>
    <x v="0"/>
    <x v="1"/>
    <s v="Y"/>
    <x v="0"/>
    <n v="196.18899999999999"/>
    <n v="0.39900000000000002"/>
    <x v="2"/>
    <n v="163"/>
    <n v="91"/>
    <x v="3"/>
    <n v="42"/>
    <n v="0.64"/>
    <x v="0"/>
    <n v="17.978000000000002"/>
    <x v="1"/>
    <x v="1"/>
    <x v="1"/>
    <n v="1"/>
    <x v="0"/>
  </r>
  <r>
    <s v="F"/>
    <x v="13"/>
    <n v="102.547"/>
    <n v="1.9790000000000001"/>
    <n v="20.358000000000001"/>
    <n v="26.183721393990101"/>
    <n v="1"/>
    <x v="0"/>
    <n v="115.742"/>
    <s v="148/98"/>
    <n v="148"/>
    <n v="98"/>
    <n v="266"/>
    <x v="0"/>
    <n v="44"/>
    <n v="159"/>
    <x v="1"/>
    <x v="1"/>
    <x v="0"/>
    <s v="Y"/>
    <x v="1"/>
    <n v="197.85900000000001"/>
    <n v="0.58499999999999996"/>
    <x v="3"/>
    <n v="148"/>
    <n v="98"/>
    <x v="3"/>
    <n v="192"/>
    <n v="4.3600000000000003"/>
    <x v="0"/>
    <n v="16.792000000000002"/>
    <x v="1"/>
    <x v="0"/>
    <x v="1"/>
    <n v="1"/>
    <x v="0"/>
  </r>
  <r>
    <s v="F"/>
    <x v="44"/>
    <n v="56.982999999999997"/>
    <n v="1.9450000000000001"/>
    <n v="25.004999999999999"/>
    <n v="15.062813489205066"/>
    <n v="1"/>
    <x v="2"/>
    <n v="93.257000000000005"/>
    <s v="149/101"/>
    <n v="149"/>
    <n v="101"/>
    <n v="217"/>
    <x v="0"/>
    <n v="48"/>
    <m/>
    <x v="0"/>
    <x v="0"/>
    <x v="1"/>
    <s v="Y"/>
    <x v="0"/>
    <n v="194.524"/>
    <n v="0.47899999999999998"/>
    <x v="0"/>
    <n v="149"/>
    <m/>
    <x v="3"/>
    <n v="139"/>
    <n v="2.9"/>
    <x v="0"/>
    <n v="18.791"/>
    <x v="2"/>
    <x v="0"/>
    <x v="0"/>
    <n v="0"/>
    <x v="1"/>
  </r>
  <r>
    <s v="F"/>
    <x v="30"/>
    <n v="116.55800000000001"/>
    <n v="1.665"/>
    <n v="25.079000000000001"/>
    <n v="42.044927810693579"/>
    <n v="1"/>
    <x v="2"/>
    <n v="103.991"/>
    <s v="121/115"/>
    <n v="121"/>
    <n v="115"/>
    <n v="130"/>
    <x v="2"/>
    <n v="39"/>
    <n v="189"/>
    <x v="0"/>
    <x v="0"/>
    <x v="1"/>
    <s v="Y"/>
    <x v="0"/>
    <n v="166.524"/>
    <n v="0.624"/>
    <x v="3"/>
    <n v="121"/>
    <n v="115"/>
    <x v="3"/>
    <n v="61"/>
    <n v="1.56"/>
    <x v="0"/>
    <n v="15.666"/>
    <x v="0"/>
    <x v="0"/>
    <x v="0"/>
    <n v="0"/>
    <x v="0"/>
  </r>
  <r>
    <s v="F"/>
    <x v="23"/>
    <n v="75.849999999999994"/>
    <n v="1.831"/>
    <n v="38.493000000000002"/>
    <n v="22.62449512477178"/>
    <n v="1"/>
    <x v="1"/>
    <n v="89.087999999999994"/>
    <s v="131/92"/>
    <n v="131"/>
    <n v="92"/>
    <m/>
    <x v="2"/>
    <n v="69"/>
    <n v="175"/>
    <x v="0"/>
    <x v="1"/>
    <x v="2"/>
    <s v="N"/>
    <x v="3"/>
    <n v="183.089"/>
    <n v="0.48699999999999999"/>
    <x v="0"/>
    <n v="131"/>
    <n v="92"/>
    <x v="1"/>
    <n v="50"/>
    <n v="0.72"/>
    <x v="0"/>
    <n v="17.228999999999999"/>
    <x v="0"/>
    <x v="0"/>
    <x v="0"/>
    <n v="0"/>
    <x v="0"/>
  </r>
  <r>
    <s v="F"/>
    <x v="3"/>
    <n v="80.807000000000002"/>
    <n v="1.6990000000000001"/>
    <n v="35.97"/>
    <n v="27.993823877979672"/>
    <n v="1"/>
    <x v="1"/>
    <n v="102.551"/>
    <s v="108/115"/>
    <n v="108"/>
    <n v="115"/>
    <n v="228"/>
    <x v="0"/>
    <n v="86"/>
    <n v="149"/>
    <x v="0"/>
    <x v="1"/>
    <x v="1"/>
    <s v="Y"/>
    <x v="2"/>
    <n v="169.90199999999999"/>
    <n v="0.60399999999999998"/>
    <x v="3"/>
    <n v="108"/>
    <m/>
    <x v="3"/>
    <n v="112"/>
    <n v="1.3"/>
    <x v="0"/>
    <n v="17.154"/>
    <x v="0"/>
    <x v="0"/>
    <x v="0"/>
    <n v="0"/>
    <x v="0"/>
  </r>
  <r>
    <s v="M"/>
    <x v="45"/>
    <m/>
    <n v="1.9239999999999999"/>
    <n v="35.881"/>
    <n v="0"/>
    <n v="1"/>
    <x v="1"/>
    <n v="97.462000000000003"/>
    <s v="102/102"/>
    <n v="102"/>
    <n v="102"/>
    <n v="198"/>
    <x v="0"/>
    <n v="55"/>
    <n v="149"/>
    <x v="1"/>
    <x v="1"/>
    <x v="0"/>
    <s v="N"/>
    <x v="0"/>
    <n v="192.375"/>
    <n v="0.50700000000000001"/>
    <x v="0"/>
    <n v="102"/>
    <n v="102"/>
    <x v="3"/>
    <n v="113"/>
    <n v="2.0499999999999998"/>
    <x v="0"/>
    <n v="16.236000000000001"/>
    <x v="1"/>
    <x v="0"/>
    <x v="1"/>
    <n v="1"/>
    <x v="0"/>
  </r>
  <r>
    <s v="F"/>
    <x v="41"/>
    <n v="57.835999999999999"/>
    <n v="1.554"/>
    <n v="24.007999999999999"/>
    <n v="23.949487269950588"/>
    <n v="0"/>
    <x v="0"/>
    <n v="115.565"/>
    <s v="157/75"/>
    <n v="157"/>
    <n v="75"/>
    <n v="211"/>
    <x v="0"/>
    <n v="81"/>
    <n v="85"/>
    <x v="0"/>
    <x v="1"/>
    <x v="2"/>
    <s v="N"/>
    <x v="3"/>
    <n v="155.404"/>
    <n v="0.74399999999999999"/>
    <x v="3"/>
    <n v="157"/>
    <n v="75"/>
    <x v="3"/>
    <n v="100"/>
    <n v="1.23"/>
    <x v="0"/>
    <n v="16.872"/>
    <x v="0"/>
    <x v="0"/>
    <x v="0"/>
    <n v="0"/>
    <x v="0"/>
  </r>
  <r>
    <s v="M"/>
    <x v="13"/>
    <n v="87.111000000000004"/>
    <n v="1.552"/>
    <n v="37.164999999999999"/>
    <n v="36.16509126899777"/>
    <n v="1"/>
    <x v="1"/>
    <n v="96.013000000000005"/>
    <s v="171/99"/>
    <n v="171"/>
    <n v="99"/>
    <n v="218"/>
    <x v="0"/>
    <n v="63"/>
    <n v="157"/>
    <x v="1"/>
    <x v="1"/>
    <x v="2"/>
    <s v="N"/>
    <x v="2"/>
    <m/>
    <n v="0.61899999999999999"/>
    <x v="3"/>
    <n v="171"/>
    <n v="99"/>
    <x v="3"/>
    <n v="125"/>
    <n v="1.98"/>
    <x v="0"/>
    <n v="20.343"/>
    <x v="1"/>
    <x v="1"/>
    <x v="1"/>
    <n v="1"/>
    <x v="0"/>
  </r>
  <r>
    <s v="F"/>
    <x v="29"/>
    <n v="60.755000000000003"/>
    <n v="1.675"/>
    <n v="25.623999999999999"/>
    <n v="21.654711517041658"/>
    <n v="1"/>
    <x v="2"/>
    <n v="82.403000000000006"/>
    <s v="143/96"/>
    <n v="143"/>
    <n v="96"/>
    <n v="185"/>
    <x v="0"/>
    <n v="42"/>
    <n v="184"/>
    <x v="1"/>
    <x v="0"/>
    <x v="0"/>
    <s v="Y"/>
    <x v="4"/>
    <n v="167.46199999999999"/>
    <n v="0.49199999999999999"/>
    <x v="0"/>
    <n v="143"/>
    <n v="96"/>
    <x v="3"/>
    <n v="113"/>
    <n v="2.69"/>
    <x v="0"/>
    <n v="17.975000000000001"/>
    <x v="0"/>
    <x v="0"/>
    <x v="0"/>
    <n v="0"/>
    <x v="1"/>
  </r>
  <r>
    <s v="F"/>
    <x v="26"/>
    <n v="55.807000000000002"/>
    <n v="1.881"/>
    <n v="35.554000000000002"/>
    <n v="15.772883144661874"/>
    <n v="1"/>
    <x v="1"/>
    <n v="87.524000000000001"/>
    <s v="118/67"/>
    <n v="118"/>
    <n v="67"/>
    <n v="134"/>
    <x v="2"/>
    <n v="78"/>
    <n v="176"/>
    <x v="0"/>
    <x v="0"/>
    <x v="0"/>
    <s v="N"/>
    <x v="0"/>
    <n v="188.107"/>
    <n v="0.46500000000000002"/>
    <x v="0"/>
    <n v="118"/>
    <n v="67"/>
    <x v="2"/>
    <n v="26"/>
    <n v="0.33"/>
    <x v="0"/>
    <n v="17.690999999999999"/>
    <x v="2"/>
    <x v="0"/>
    <x v="0"/>
    <n v="0"/>
    <x v="0"/>
  </r>
  <r>
    <s v="M"/>
    <x v="29"/>
    <n v="78.113"/>
    <n v="1.915"/>
    <n v="30.027999999999999"/>
    <n v="21.30030199946826"/>
    <n v="1"/>
    <x v="1"/>
    <n v="102.369"/>
    <s v="124/110"/>
    <n v="124"/>
    <n v="110"/>
    <n v="277"/>
    <x v="0"/>
    <n v="85"/>
    <n v="116"/>
    <x v="0"/>
    <x v="0"/>
    <x v="2"/>
    <s v="Y"/>
    <x v="0"/>
    <n v="191.535"/>
    <n v="0.53400000000000003"/>
    <x v="1"/>
    <n v="124"/>
    <n v="110"/>
    <x v="3"/>
    <n v="162"/>
    <n v="1.91"/>
    <x v="0"/>
    <n v="19.745999999999999"/>
    <x v="1"/>
    <x v="1"/>
    <x v="1"/>
    <n v="1"/>
    <x v="1"/>
  </r>
  <r>
    <s v="F"/>
    <x v="0"/>
    <n v="53.08"/>
    <n v="1.5960000000000001"/>
    <n v="38.350999999999999"/>
    <n v="20.838436944491551"/>
    <n v="1"/>
    <x v="1"/>
    <n v="78.852000000000004"/>
    <s v="167/83"/>
    <n v="167"/>
    <n v="83"/>
    <n v="184"/>
    <x v="0"/>
    <n v="85"/>
    <n v="95"/>
    <x v="1"/>
    <x v="0"/>
    <x v="1"/>
    <s v="Y"/>
    <x v="1"/>
    <n v="159.614"/>
    <n v="0.49399999999999999"/>
    <x v="0"/>
    <n v="167"/>
    <n v="83"/>
    <x v="1"/>
    <n v="69"/>
    <n v="0.81"/>
    <x v="0"/>
    <m/>
    <x v="2"/>
    <x v="0"/>
    <x v="0"/>
    <n v="0"/>
    <x v="0"/>
  </r>
  <r>
    <s v="M"/>
    <x v="40"/>
    <n v="116.129"/>
    <n v="1.859"/>
    <n v="28.103000000000002"/>
    <n v="33.603298261716773"/>
    <n v="1"/>
    <x v="2"/>
    <n v="114.06100000000001"/>
    <s v="125/93"/>
    <n v="125"/>
    <n v="93"/>
    <n v="285"/>
    <x v="0"/>
    <n v="67"/>
    <n v="92"/>
    <x v="1"/>
    <x v="1"/>
    <x v="0"/>
    <s v="N"/>
    <x v="0"/>
    <n v="185.94300000000001"/>
    <n v="0.61299999999999999"/>
    <x v="3"/>
    <n v="125"/>
    <n v="93"/>
    <x v="3"/>
    <n v="188"/>
    <n v="2.81"/>
    <x v="0"/>
    <n v="17.571000000000002"/>
    <x v="1"/>
    <x v="1"/>
    <x v="1"/>
    <n v="1"/>
    <x v="0"/>
  </r>
  <r>
    <s v="M"/>
    <x v="9"/>
    <n v="112.71599999999999"/>
    <n v="1.77"/>
    <n v="38.307000000000002"/>
    <n v="35.978167193335246"/>
    <n v="1"/>
    <x v="1"/>
    <n v="74.33"/>
    <s v="153/95"/>
    <n v="153"/>
    <n v="95"/>
    <n v="259"/>
    <x v="0"/>
    <m/>
    <n v="70"/>
    <x v="1"/>
    <x v="1"/>
    <x v="2"/>
    <s v="Y"/>
    <x v="0"/>
    <n v="177.02699999999999"/>
    <n v="0.42"/>
    <x v="2"/>
    <n v="153"/>
    <n v="95"/>
    <x v="3"/>
    <n v="175"/>
    <s v=""/>
    <x v="0"/>
    <n v="20.491"/>
    <x v="2"/>
    <x v="0"/>
    <x v="0"/>
    <n v="0"/>
    <x v="0"/>
  </r>
  <r>
    <s v="F"/>
    <x v="38"/>
    <n v="103.35899999999999"/>
    <n v="1.9430000000000001"/>
    <n v="28.356999999999999"/>
    <n v="27.378061685467632"/>
    <n v="1"/>
    <x v="2"/>
    <n v="95.531000000000006"/>
    <s v="162/114"/>
    <n v="162"/>
    <n v="114"/>
    <n v="190"/>
    <x v="0"/>
    <n v="35"/>
    <n v="84"/>
    <x v="1"/>
    <x v="1"/>
    <x v="2"/>
    <s v="Y"/>
    <x v="0"/>
    <n v="194.298"/>
    <n v="0.49199999999999999"/>
    <x v="0"/>
    <n v="162"/>
    <n v="114"/>
    <x v="3"/>
    <n v="125"/>
    <n v="3.57"/>
    <x v="0"/>
    <n v="17.571000000000002"/>
    <x v="0"/>
    <x v="0"/>
    <x v="0"/>
    <n v="0"/>
    <x v="0"/>
  </r>
  <r>
    <s v="F"/>
    <x v="45"/>
    <n v="90.216999999999999"/>
    <n v="1.754"/>
    <n v="19.222000000000001"/>
    <n v="29.324404618731059"/>
    <n v="1"/>
    <x v="0"/>
    <n v="78.796000000000006"/>
    <s v="141/83"/>
    <n v="141"/>
    <n v="83"/>
    <n v="266"/>
    <x v="0"/>
    <n v="89"/>
    <n v="168"/>
    <x v="0"/>
    <x v="0"/>
    <x v="2"/>
    <s v="N"/>
    <x v="2"/>
    <n v="175.37100000000001"/>
    <n v="0.44900000000000001"/>
    <x v="2"/>
    <n v="141"/>
    <n v="83"/>
    <x v="1"/>
    <n v="147"/>
    <n v="1.65"/>
    <x v="0"/>
    <n v="18.213999999999999"/>
    <x v="0"/>
    <x v="0"/>
    <x v="0"/>
    <n v="0"/>
    <x v="1"/>
  </r>
  <r>
    <s v="F"/>
    <x v="2"/>
    <n v="67.730999999999995"/>
    <n v="1.798"/>
    <n v="20.350000000000001"/>
    <n v="20.951161901556663"/>
    <n v="1"/>
    <x v="0"/>
    <n v="101.315"/>
    <s v="168/86"/>
    <n v="168"/>
    <n v="86"/>
    <n v="143"/>
    <x v="2"/>
    <n v="31"/>
    <n v="151"/>
    <x v="0"/>
    <x v="1"/>
    <x v="1"/>
    <s v="Y"/>
    <x v="2"/>
    <n v="179.839"/>
    <n v="0.56299999999999994"/>
    <x v="1"/>
    <n v="168"/>
    <n v="86"/>
    <x v="1"/>
    <n v="82"/>
    <n v="2.65"/>
    <x v="0"/>
    <n v="15.33"/>
    <x v="2"/>
    <x v="0"/>
    <x v="0"/>
    <n v="0"/>
    <x v="0"/>
  </r>
  <r>
    <s v="F"/>
    <x v="6"/>
    <n v="55.311"/>
    <n v="1.8160000000000001"/>
    <n v="30.302"/>
    <n v="16.771805682237186"/>
    <n v="1"/>
    <x v="1"/>
    <n v="107.283"/>
    <s v="92/61"/>
    <n v="92"/>
    <n v="61"/>
    <n v="203"/>
    <x v="0"/>
    <n v="59"/>
    <n v="82"/>
    <x v="0"/>
    <x v="0"/>
    <x v="1"/>
    <s v="Y"/>
    <x v="0"/>
    <n v="181.62700000000001"/>
    <n v="0.59099999999999997"/>
    <x v="3"/>
    <n v="92"/>
    <n v="61"/>
    <x v="2"/>
    <n v="114"/>
    <n v="1.93"/>
    <x v="1"/>
    <n v="16.72"/>
    <x v="1"/>
    <x v="0"/>
    <x v="1"/>
    <n v="1"/>
    <x v="0"/>
  </r>
  <r>
    <s v="M"/>
    <x v="4"/>
    <n v="50.307000000000002"/>
    <n v="1.633"/>
    <n v="28.206"/>
    <n v="18.864967005901327"/>
    <n v="1"/>
    <x v="2"/>
    <n v="75.421000000000006"/>
    <s v="122/119"/>
    <n v="122"/>
    <n v="119"/>
    <n v="260"/>
    <x v="0"/>
    <n v="62"/>
    <n v="124"/>
    <x v="1"/>
    <x v="0"/>
    <x v="1"/>
    <s v="N"/>
    <x v="0"/>
    <n v="163.321"/>
    <n v="0.46200000000000002"/>
    <x v="0"/>
    <n v="122"/>
    <n v="119"/>
    <x v="3"/>
    <n v="168"/>
    <n v="2.71"/>
    <x v="0"/>
    <n v="18.940999999999999"/>
    <x v="2"/>
    <x v="0"/>
    <x v="0"/>
    <n v="0"/>
    <x v="1"/>
  </r>
  <r>
    <s v="F"/>
    <x v="46"/>
    <n v="104.107"/>
    <n v="1.782"/>
    <n v="21.760999999999999"/>
    <n v="32.784195616219556"/>
    <n v="1"/>
    <x v="0"/>
    <n v="115.72799999999999"/>
    <s v="133/101"/>
    <n v="133"/>
    <n v="101"/>
    <n v="292"/>
    <x v="0"/>
    <n v="63"/>
    <n v="90"/>
    <x v="0"/>
    <x v="1"/>
    <x v="2"/>
    <s v="N"/>
    <x v="3"/>
    <n v="178.221"/>
    <n v="0.64900000000000002"/>
    <x v="3"/>
    <n v="133"/>
    <n v="101"/>
    <x v="1"/>
    <n v="199"/>
    <n v="3.16"/>
    <x v="0"/>
    <n v="16.841999999999999"/>
    <x v="0"/>
    <x v="0"/>
    <x v="0"/>
    <n v="0"/>
    <x v="0"/>
  </r>
  <r>
    <s v="F"/>
    <x v="33"/>
    <n v="102.495"/>
    <n v="1.97"/>
    <n v="24.384"/>
    <n v="26.410111056713649"/>
    <n v="1"/>
    <x v="0"/>
    <n v="80.456000000000003"/>
    <s v="120/110"/>
    <n v="120"/>
    <n v="110"/>
    <n v="112"/>
    <x v="2"/>
    <n v="55"/>
    <n v="77"/>
    <x v="1"/>
    <x v="1"/>
    <x v="0"/>
    <s v="Y"/>
    <x v="1"/>
    <n v="197.029"/>
    <n v="0.40799999999999997"/>
    <x v="2"/>
    <n v="120"/>
    <n v="110"/>
    <x v="3"/>
    <n v="27"/>
    <n v="0.49"/>
    <x v="0"/>
    <n v="13.117000000000001"/>
    <x v="2"/>
    <x v="0"/>
    <x v="0"/>
    <n v="0"/>
    <x v="0"/>
  </r>
  <r>
    <s v="F"/>
    <x v="15"/>
    <n v="108.182"/>
    <n v="1.927"/>
    <n v="18.600999999999999"/>
    <n v="29.133427175453615"/>
    <n v="1"/>
    <x v="0"/>
    <n v="115.85899999999999"/>
    <s v="103/64"/>
    <n v="103"/>
    <n v="64"/>
    <n v="101"/>
    <x v="2"/>
    <n v="59"/>
    <n v="146"/>
    <x v="0"/>
    <x v="1"/>
    <x v="1"/>
    <s v="Y"/>
    <x v="2"/>
    <n v="192.71199999999999"/>
    <n v="0.60099999999999998"/>
    <x v="3"/>
    <n v="103"/>
    <n v="64"/>
    <x v="2"/>
    <n v="12"/>
    <n v="0.2"/>
    <x v="0"/>
    <n v="10.89"/>
    <x v="1"/>
    <x v="0"/>
    <x v="1"/>
    <n v="1"/>
    <x v="0"/>
  </r>
  <r>
    <s v="F"/>
    <x v="4"/>
    <n v="97.126000000000005"/>
    <n v="1.72"/>
    <m/>
    <n v="32.830584099513253"/>
    <n v="1"/>
    <x v="3"/>
    <n v="81.804000000000002"/>
    <s v="94/63"/>
    <n v="94"/>
    <n v="63"/>
    <n v="159"/>
    <x v="1"/>
    <n v="89"/>
    <n v="74"/>
    <x v="0"/>
    <x v="1"/>
    <x v="1"/>
    <s v="Y"/>
    <x v="2"/>
    <n v="172.01900000000001"/>
    <n v="0.47599999999999998"/>
    <x v="0"/>
    <n v="94"/>
    <n v="63"/>
    <x v="2"/>
    <n v="40"/>
    <n v="0.45"/>
    <x v="0"/>
    <n v="13.047000000000001"/>
    <x v="0"/>
    <x v="0"/>
    <x v="0"/>
    <n v="0"/>
    <x v="0"/>
  </r>
  <r>
    <s v="F"/>
    <x v="33"/>
    <n v="85.781000000000006"/>
    <m/>
    <n v="19.832999999999998"/>
    <s v=""/>
    <s v=""/>
    <x v="0"/>
    <n v="108.559"/>
    <s v="154/114"/>
    <n v="154"/>
    <n v="114"/>
    <n v="210"/>
    <x v="0"/>
    <n v="81"/>
    <n v="107"/>
    <x v="1"/>
    <x v="1"/>
    <x v="2"/>
    <s v="Y"/>
    <x v="0"/>
    <n v="182.97399999999999"/>
    <n v="0.59299999999999997"/>
    <x v="3"/>
    <n v="154"/>
    <n v="114"/>
    <x v="3"/>
    <n v="99"/>
    <n v="1.22"/>
    <x v="0"/>
    <n v="15.867000000000001"/>
    <x v="0"/>
    <x v="0"/>
    <x v="0"/>
    <n v="0"/>
    <x v="0"/>
  </r>
  <r>
    <s v="M"/>
    <x v="3"/>
    <n v="51.936"/>
    <n v="1.9359999999999999"/>
    <n v="36.442"/>
    <n v="13.856635475718873"/>
    <n v="1"/>
    <x v="1"/>
    <n v="115.755"/>
    <s v="105/108"/>
    <n v="105"/>
    <n v="108"/>
    <n v="107"/>
    <x v="2"/>
    <n v="52"/>
    <n v="125"/>
    <x v="1"/>
    <x v="0"/>
    <x v="0"/>
    <s v="N"/>
    <x v="1"/>
    <n v="193.61"/>
    <n v="0.59799999999999998"/>
    <x v="3"/>
    <n v="105"/>
    <n v="108"/>
    <x v="3"/>
    <n v="25"/>
    <n v="0.48"/>
    <x v="0"/>
    <n v="16.678000000000001"/>
    <x v="1"/>
    <x v="0"/>
    <x v="1"/>
    <n v="1"/>
    <x v="0"/>
  </r>
  <r>
    <s v="M"/>
    <x v="28"/>
    <n v="98.406000000000006"/>
    <n v="1.956"/>
    <n v="24.042999999999999"/>
    <n v="25.720764801083973"/>
    <n v="1"/>
    <x v="0"/>
    <n v="96.171999999999997"/>
    <s v="139/83"/>
    <n v="139"/>
    <n v="83"/>
    <n v="194"/>
    <x v="0"/>
    <n v="62"/>
    <n v="191"/>
    <x v="0"/>
    <x v="0"/>
    <x v="1"/>
    <s v="Y"/>
    <x v="0"/>
    <n v="195.56299999999999"/>
    <n v="0.49199999999999999"/>
    <x v="0"/>
    <n v="139"/>
    <n v="83"/>
    <x v="1"/>
    <n v="102"/>
    <n v="1.65"/>
    <x v="0"/>
    <n v="17.638999999999999"/>
    <x v="1"/>
    <x v="1"/>
    <x v="1"/>
    <n v="1"/>
    <x v="1"/>
  </r>
  <r>
    <s v="F"/>
    <x v="4"/>
    <n v="67.057000000000002"/>
    <m/>
    <n v="31.312000000000001"/>
    <s v=""/>
    <s v=""/>
    <x v="1"/>
    <n v="101.93"/>
    <s v="96/85"/>
    <n v="96"/>
    <n v="85"/>
    <n v="185"/>
    <x v="0"/>
    <n v="70"/>
    <n v="172"/>
    <x v="0"/>
    <x v="1"/>
    <x v="2"/>
    <s v="N"/>
    <x v="3"/>
    <n v="159.965"/>
    <n v="0.63700000000000001"/>
    <x v="3"/>
    <n v="96"/>
    <n v="85"/>
    <x v="1"/>
    <n v="85"/>
    <n v="1.21"/>
    <x v="0"/>
    <n v="14.762"/>
    <x v="2"/>
    <x v="0"/>
    <x v="0"/>
    <n v="0"/>
    <x v="0"/>
  </r>
  <r>
    <s v="M"/>
    <x v="47"/>
    <n v="100.845"/>
    <n v="1.591"/>
    <n v="22.896999999999998"/>
    <n v="39.83951208893837"/>
    <n v="1"/>
    <x v="0"/>
    <n v="88.019000000000005"/>
    <s v="145/91"/>
    <n v="145"/>
    <n v="91"/>
    <n v="196"/>
    <x v="0"/>
    <n v="76"/>
    <n v="135"/>
    <x v="1"/>
    <x v="1"/>
    <x v="1"/>
    <s v="Y"/>
    <x v="0"/>
    <n v="159.065"/>
    <n v="0.55300000000000005"/>
    <x v="1"/>
    <n v="145"/>
    <n v="91"/>
    <x v="3"/>
    <n v="90"/>
    <n v="1.18"/>
    <x v="0"/>
    <n v="15.749000000000001"/>
    <x v="0"/>
    <x v="0"/>
    <x v="0"/>
    <n v="0"/>
    <x v="0"/>
  </r>
  <r>
    <s v="M"/>
    <x v="8"/>
    <n v="107.611"/>
    <n v="1.718"/>
    <n v="26.407"/>
    <n v="36.459469751897664"/>
    <n v="1"/>
    <x v="2"/>
    <n v="80.588999999999999"/>
    <s v="117/60"/>
    <n v="117"/>
    <n v="60"/>
    <n v="162"/>
    <x v="1"/>
    <n v="69"/>
    <n v="94"/>
    <x v="1"/>
    <x v="1"/>
    <x v="0"/>
    <s v="N"/>
    <x v="0"/>
    <n v="171.8"/>
    <n v="0.46899999999999997"/>
    <x v="0"/>
    <n v="117"/>
    <n v="60"/>
    <x v="2"/>
    <n v="63"/>
    <n v="0.91"/>
    <x v="0"/>
    <n v="14.371"/>
    <x v="1"/>
    <x v="1"/>
    <x v="1"/>
    <n v="1"/>
    <x v="0"/>
  </r>
  <r>
    <s v="F"/>
    <x v="3"/>
    <n v="90.260999999999996"/>
    <n v="1.6359999999999999"/>
    <n v="26.895"/>
    <n v="33.723569921270197"/>
    <n v="1"/>
    <x v="2"/>
    <n v="77.206999999999994"/>
    <s v="164/87"/>
    <n v="164"/>
    <n v="87"/>
    <n v="287"/>
    <x v="0"/>
    <n v="57"/>
    <n v="158"/>
    <x v="1"/>
    <x v="0"/>
    <x v="2"/>
    <s v="N"/>
    <x v="0"/>
    <m/>
    <n v="0.47199999999999998"/>
    <x v="0"/>
    <n v="164"/>
    <m/>
    <x v="1"/>
    <n v="200"/>
    <n v="3.51"/>
    <x v="0"/>
    <n v="21.318999999999999"/>
    <x v="1"/>
    <x v="0"/>
    <x v="1"/>
    <n v="1"/>
    <x v="0"/>
  </r>
  <r>
    <s v="F"/>
    <x v="8"/>
    <n v="81.247"/>
    <n v="1.9490000000000001"/>
    <n v="39.118000000000002"/>
    <n v="21.388663879149192"/>
    <n v="1"/>
    <x v="1"/>
    <n v="77.647000000000006"/>
    <s v="158/74"/>
    <n v="158"/>
    <n v="74"/>
    <n v="274"/>
    <x v="0"/>
    <m/>
    <n v="170"/>
    <x v="0"/>
    <x v="0"/>
    <x v="1"/>
    <s v="N"/>
    <x v="2"/>
    <n v="194.93199999999999"/>
    <n v="0.39800000000000002"/>
    <x v="2"/>
    <n v="158"/>
    <n v="74"/>
    <x v="3"/>
    <n v="193"/>
    <s v=""/>
    <x v="0"/>
    <n v="23.204000000000001"/>
    <x v="0"/>
    <x v="0"/>
    <x v="0"/>
    <n v="0"/>
    <x v="0"/>
  </r>
  <r>
    <s v="F"/>
    <x v="48"/>
    <n v="76.602999999999994"/>
    <n v="1.85"/>
    <n v="39.712000000000003"/>
    <n v="22.382176771365955"/>
    <n v="1"/>
    <x v="1"/>
    <n v="106.93"/>
    <s v="90/87"/>
    <n v="90"/>
    <n v="87"/>
    <n v="179"/>
    <x v="1"/>
    <n v="30"/>
    <n v="189"/>
    <x v="0"/>
    <x v="0"/>
    <x v="0"/>
    <s v="Y"/>
    <x v="1"/>
    <n v="185.041"/>
    <n v="0.57799999999999996"/>
    <x v="1"/>
    <n v="90"/>
    <n v="87"/>
    <x v="1"/>
    <n v="119"/>
    <n v="3.97"/>
    <x v="0"/>
    <m/>
    <x v="1"/>
    <x v="0"/>
    <x v="1"/>
    <n v="1"/>
    <x v="1"/>
  </r>
  <r>
    <s v="F"/>
    <x v="9"/>
    <n v="82.337000000000003"/>
    <n v="1.7270000000000001"/>
    <n v="18.827999999999999"/>
    <n v="27.60643735568036"/>
    <n v="1"/>
    <x v="0"/>
    <n v="72.052999999999997"/>
    <s v="154/70"/>
    <n v="154"/>
    <n v="70"/>
    <n v="207"/>
    <x v="0"/>
    <n v="53"/>
    <n v="92"/>
    <x v="1"/>
    <x v="0"/>
    <x v="2"/>
    <s v="Y"/>
    <x v="1"/>
    <n v="172.71700000000001"/>
    <n v="0.41699999999999998"/>
    <x v="2"/>
    <n v="154"/>
    <n v="70"/>
    <x v="3"/>
    <n v="124"/>
    <n v="2.34"/>
    <x v="0"/>
    <n v="17.606000000000002"/>
    <x v="1"/>
    <x v="0"/>
    <x v="1"/>
    <n v="1"/>
    <x v="0"/>
  </r>
  <r>
    <s v="M"/>
    <x v="37"/>
    <n v="99.08"/>
    <n v="1.77"/>
    <n v="24.835000000000001"/>
    <n v="31.62565035590028"/>
    <n v="1"/>
    <x v="0"/>
    <n v="96.245000000000005"/>
    <s v="103/107"/>
    <n v="103"/>
    <n v="107"/>
    <n v="147"/>
    <x v="2"/>
    <n v="38"/>
    <n v="165"/>
    <x v="1"/>
    <x v="0"/>
    <x v="1"/>
    <s v="Y"/>
    <x v="1"/>
    <n v="177.012"/>
    <n v="0.54400000000000004"/>
    <x v="1"/>
    <n v="103"/>
    <n v="107"/>
    <x v="3"/>
    <n v="79"/>
    <n v="2.08"/>
    <x v="0"/>
    <n v="15.057"/>
    <x v="1"/>
    <x v="0"/>
    <x v="1"/>
    <n v="1"/>
    <x v="0"/>
  </r>
  <r>
    <s v="F"/>
    <x v="48"/>
    <n v="115.384"/>
    <n v="1.744"/>
    <n v="34.636000000000003"/>
    <n v="37.936095446511239"/>
    <n v="1"/>
    <x v="1"/>
    <n v="102.26"/>
    <s v="128/97"/>
    <n v="128"/>
    <n v="97"/>
    <n v="164"/>
    <x v="1"/>
    <n v="31"/>
    <n v="122"/>
    <x v="1"/>
    <x v="1"/>
    <x v="2"/>
    <s v="Y"/>
    <x v="0"/>
    <n v="174.38499999999999"/>
    <n v="0.58599999999999997"/>
    <x v="3"/>
    <n v="128"/>
    <n v="97"/>
    <x v="3"/>
    <n v="103"/>
    <n v="3.32"/>
    <x v="0"/>
    <n v="16.606999999999999"/>
    <x v="0"/>
    <x v="0"/>
    <x v="0"/>
    <n v="0"/>
    <x v="0"/>
  </r>
  <r>
    <s v="M"/>
    <x v="0"/>
    <m/>
    <n v="1.657"/>
    <n v="21.387"/>
    <n v="0"/>
    <n v="1"/>
    <x v="0"/>
    <n v="75.28"/>
    <s v="147/81"/>
    <n v="147"/>
    <n v="81"/>
    <n v="281"/>
    <x v="0"/>
    <n v="63"/>
    <n v="153"/>
    <x v="1"/>
    <x v="0"/>
    <x v="0"/>
    <s v="N"/>
    <x v="1"/>
    <n v="165.71199999999999"/>
    <n v="0.45400000000000001"/>
    <x v="2"/>
    <n v="147"/>
    <n v="81"/>
    <x v="1"/>
    <n v="188"/>
    <n v="2.98"/>
    <x v="0"/>
    <n v="19.247"/>
    <x v="1"/>
    <x v="1"/>
    <x v="1"/>
    <n v="1"/>
    <x v="0"/>
  </r>
  <r>
    <s v="M"/>
    <x v="24"/>
    <n v="80.563000000000002"/>
    <n v="1.7150000000000001"/>
    <n v="30.696000000000002"/>
    <n v="27.39096804902719"/>
    <n v="1"/>
    <x v="1"/>
    <n v="111.462"/>
    <s v="177/98"/>
    <n v="177"/>
    <n v="98"/>
    <n v="262"/>
    <x v="0"/>
    <n v="77"/>
    <n v="140"/>
    <x v="1"/>
    <x v="1"/>
    <x v="1"/>
    <s v="Y"/>
    <x v="0"/>
    <n v="171.53800000000001"/>
    <n v="0.65"/>
    <x v="3"/>
    <n v="177"/>
    <n v="98"/>
    <x v="3"/>
    <n v="155"/>
    <n v="2.0099999999999998"/>
    <x v="0"/>
    <n v="20.228999999999999"/>
    <x v="2"/>
    <x v="0"/>
    <x v="0"/>
    <n v="0"/>
    <x v="0"/>
  </r>
  <r>
    <s v="F"/>
    <x v="49"/>
    <n v="105.63"/>
    <n v="1.6819999999999999"/>
    <n v="33.093000000000004"/>
    <n v="37.336645548233307"/>
    <n v="1"/>
    <x v="1"/>
    <n v="105.92700000000001"/>
    <s v="172/77"/>
    <n v="172"/>
    <n v="77"/>
    <n v="212"/>
    <x v="0"/>
    <n v="59"/>
    <n v="98"/>
    <x v="0"/>
    <x v="1"/>
    <x v="0"/>
    <s v="Y"/>
    <x v="0"/>
    <n v="168.16499999999999"/>
    <n v="0.63"/>
    <x v="3"/>
    <n v="172"/>
    <n v="77"/>
    <x v="3"/>
    <n v="123"/>
    <n v="2.08"/>
    <x v="0"/>
    <n v="19.459"/>
    <x v="1"/>
    <x v="0"/>
    <x v="1"/>
    <n v="1"/>
    <x v="0"/>
  </r>
  <r>
    <s v="M"/>
    <x v="20"/>
    <n v="110.392"/>
    <n v="1.7050000000000001"/>
    <n v="34.826000000000001"/>
    <n v="37.974217627987372"/>
    <n v="1"/>
    <x v="1"/>
    <n v="95.951999999999998"/>
    <s v="165/85"/>
    <n v="165"/>
    <n v="85"/>
    <n v="276"/>
    <x v="0"/>
    <n v="56"/>
    <n v="70"/>
    <x v="0"/>
    <x v="1"/>
    <x v="0"/>
    <s v="Y"/>
    <x v="0"/>
    <n v="170.547"/>
    <n v="0.56299999999999994"/>
    <x v="1"/>
    <n v="165"/>
    <n v="85"/>
    <x v="1"/>
    <n v="190"/>
    <n v="3.39"/>
    <x v="0"/>
    <n v="20.734999999999999"/>
    <x v="0"/>
    <x v="0"/>
    <x v="0"/>
    <n v="0"/>
    <x v="0"/>
  </r>
  <r>
    <s v="M"/>
    <x v="5"/>
    <n v="73.070999999999998"/>
    <n v="1.6459999999999999"/>
    <n v="27.373000000000001"/>
    <n v="26.970275892513094"/>
    <n v="1"/>
    <x v="2"/>
    <n v="82.346000000000004"/>
    <s v="129/113"/>
    <n v="129"/>
    <n v="113"/>
    <m/>
    <x v="2"/>
    <m/>
    <n v="92"/>
    <x v="1"/>
    <x v="0"/>
    <x v="1"/>
    <s v="N"/>
    <x v="0"/>
    <n v="164.61500000000001"/>
    <n v="0.5"/>
    <x v="0"/>
    <n v="129"/>
    <n v="113"/>
    <x v="3"/>
    <n v="32"/>
    <s v=""/>
    <x v="0"/>
    <n v="16.425000000000001"/>
    <x v="1"/>
    <x v="0"/>
    <x v="1"/>
    <n v="1"/>
    <x v="0"/>
  </r>
  <r>
    <s v="F"/>
    <x v="10"/>
    <n v="57.427999999999997"/>
    <n v="1.8109999999999999"/>
    <n v="36.299999999999997"/>
    <n v="17.510026005260812"/>
    <n v="1"/>
    <x v="1"/>
    <n v="92.387"/>
    <s v="126/61"/>
    <n v="126"/>
    <n v="61"/>
    <n v="203"/>
    <x v="0"/>
    <m/>
    <n v="161"/>
    <x v="1"/>
    <x v="0"/>
    <x v="1"/>
    <s v="N"/>
    <x v="0"/>
    <n v="181.13800000000001"/>
    <n v="0.51"/>
    <x v="0"/>
    <n v="126"/>
    <n v="61"/>
    <x v="0"/>
    <m/>
    <s v=""/>
    <x v="0"/>
    <n v="19.62"/>
    <x v="1"/>
    <x v="0"/>
    <x v="1"/>
    <n v="1"/>
    <x v="0"/>
  </r>
  <r>
    <s v="F"/>
    <x v="16"/>
    <n v="96.331999999999994"/>
    <n v="1.6739999999999999"/>
    <n v="38.898000000000003"/>
    <n v="34.376342658610355"/>
    <n v="1"/>
    <x v="1"/>
    <n v="103.991"/>
    <s v="179/90"/>
    <n v="179"/>
    <n v="90"/>
    <n v="212"/>
    <x v="0"/>
    <n v="35"/>
    <n v="96"/>
    <x v="1"/>
    <x v="0"/>
    <x v="1"/>
    <s v="Y"/>
    <x v="1"/>
    <n v="167.44499999999999"/>
    <n v="0.621"/>
    <x v="3"/>
    <m/>
    <n v="90"/>
    <x v="3"/>
    <n v="147"/>
    <n v="4.2"/>
    <x v="0"/>
    <n v="22.97"/>
    <x v="0"/>
    <x v="0"/>
    <x v="0"/>
    <n v="0"/>
    <x v="1"/>
  </r>
  <r>
    <s v="F"/>
    <x v="17"/>
    <n v="83.534000000000006"/>
    <n v="1.89"/>
    <n v="38.703000000000003"/>
    <n v="23.385123596763812"/>
    <n v="1"/>
    <x v="1"/>
    <n v="113.907"/>
    <s v="171/113"/>
    <n v="171"/>
    <n v="113"/>
    <n v="255"/>
    <x v="0"/>
    <n v="47"/>
    <n v="173"/>
    <x v="1"/>
    <x v="1"/>
    <x v="1"/>
    <s v="Y"/>
    <x v="0"/>
    <n v="188.965"/>
    <n v="0.60299999999999998"/>
    <x v="3"/>
    <n v="171"/>
    <n v="113"/>
    <x v="3"/>
    <n v="178"/>
    <n v="3.79"/>
    <x v="0"/>
    <n v="21.390999999999998"/>
    <x v="0"/>
    <x v="0"/>
    <x v="0"/>
    <n v="0"/>
    <x v="0"/>
  </r>
  <r>
    <s v="F"/>
    <x v="34"/>
    <n v="79.489000000000004"/>
    <n v="1.879"/>
    <n v="28.065999999999999"/>
    <n v="22.514042067715184"/>
    <n v="1"/>
    <x v="2"/>
    <n v="81.173000000000002"/>
    <s v="162/117"/>
    <n v="162"/>
    <n v="117"/>
    <n v="229"/>
    <x v="0"/>
    <n v="70"/>
    <n v="136"/>
    <x v="0"/>
    <x v="1"/>
    <x v="2"/>
    <s v="Y"/>
    <x v="2"/>
    <n v="187.85900000000001"/>
    <n v="0.432"/>
    <x v="2"/>
    <n v="162"/>
    <n v="117"/>
    <x v="3"/>
    <n v="129"/>
    <n v="1.84"/>
    <x v="0"/>
    <n v="18.292999999999999"/>
    <x v="2"/>
    <x v="0"/>
    <x v="0"/>
    <n v="0"/>
    <x v="0"/>
  </r>
  <r>
    <s v="F"/>
    <x v="5"/>
    <n v="105.351"/>
    <n v="1.68"/>
    <n v="28.038"/>
    <n v="37.326743197278915"/>
    <n v="1"/>
    <x v="2"/>
    <n v="109.807"/>
    <s v="146/91"/>
    <n v="146"/>
    <n v="91"/>
    <n v="288"/>
    <x v="0"/>
    <n v="48"/>
    <n v="161"/>
    <x v="1"/>
    <x v="0"/>
    <x v="1"/>
    <s v="Y"/>
    <x v="1"/>
    <n v="167.977"/>
    <n v="0.65400000000000003"/>
    <x v="3"/>
    <n v="146"/>
    <n v="91"/>
    <x v="3"/>
    <n v="210"/>
    <n v="4.38"/>
    <x v="0"/>
    <n v="20.667999999999999"/>
    <x v="2"/>
    <x v="0"/>
    <x v="0"/>
    <n v="0"/>
    <x v="0"/>
  </r>
  <r>
    <s v="F"/>
    <x v="45"/>
    <n v="67.144000000000005"/>
    <n v="1.532"/>
    <n v="22.811"/>
    <n v="28.608143759927465"/>
    <n v="1"/>
    <x v="0"/>
    <n v="99.79"/>
    <s v="127/99"/>
    <n v="127"/>
    <n v="99"/>
    <n v="260"/>
    <x v="0"/>
    <n v="59"/>
    <n v="106"/>
    <x v="0"/>
    <x v="1"/>
    <x v="1"/>
    <s v="N"/>
    <x v="3"/>
    <n v="153.17099999999999"/>
    <n v="0.65100000000000002"/>
    <x v="3"/>
    <n v="127"/>
    <n v="99"/>
    <x v="3"/>
    <n v="171"/>
    <n v="2.9"/>
    <x v="0"/>
    <n v="16.111999999999998"/>
    <x v="1"/>
    <x v="0"/>
    <x v="1"/>
    <n v="1"/>
    <x v="0"/>
  </r>
  <r>
    <s v="F"/>
    <x v="32"/>
    <n v="99.191000000000003"/>
    <n v="1.738"/>
    <m/>
    <n v="32.837699510435527"/>
    <n v="1"/>
    <x v="3"/>
    <n v="80.861999999999995"/>
    <s v="102/70"/>
    <n v="102"/>
    <n v="70"/>
    <n v="212"/>
    <x v="0"/>
    <n v="66"/>
    <n v="178"/>
    <x v="0"/>
    <x v="0"/>
    <x v="0"/>
    <s v="N"/>
    <x v="0"/>
    <n v="173.786"/>
    <n v="0.46500000000000002"/>
    <x v="0"/>
    <n v="102"/>
    <n v="70"/>
    <x v="2"/>
    <n v="116"/>
    <n v="1.76"/>
    <x v="0"/>
    <n v="18.044"/>
    <x v="0"/>
    <x v="0"/>
    <x v="0"/>
    <n v="0"/>
    <x v="0"/>
  </r>
  <r>
    <s v="M"/>
    <x v="3"/>
    <n v="104.303"/>
    <n v="1.8959999999999999"/>
    <n v="33.274000000000001"/>
    <n v="29.014836920721397"/>
    <n v="1"/>
    <x v="1"/>
    <n v="90.572000000000003"/>
    <s v="108/84"/>
    <n v="108"/>
    <n v="84"/>
    <n v="117"/>
    <x v="2"/>
    <n v="43"/>
    <n v="170"/>
    <x v="1"/>
    <x v="1"/>
    <x v="1"/>
    <s v="N"/>
    <x v="2"/>
    <n v="189.56899999999999"/>
    <n v="0.47799999999999998"/>
    <x v="0"/>
    <n v="108"/>
    <n v="84"/>
    <x v="1"/>
    <n v="44"/>
    <n v="1.02"/>
    <x v="0"/>
    <n v="14.395"/>
    <x v="1"/>
    <x v="0"/>
    <x v="1"/>
    <n v="1"/>
    <x v="0"/>
  </r>
  <r>
    <s v="F"/>
    <x v="18"/>
    <n v="74.353999999999999"/>
    <m/>
    <n v="26.4"/>
    <s v=""/>
    <s v=""/>
    <x v="2"/>
    <n v="96.936000000000007"/>
    <s v="102/60"/>
    <n v="102"/>
    <n v="60"/>
    <n v="160"/>
    <x v="1"/>
    <n v="37"/>
    <m/>
    <x v="1"/>
    <x v="0"/>
    <x v="2"/>
    <s v="Y"/>
    <x v="1"/>
    <n v="178.83199999999999"/>
    <n v="0.54200000000000004"/>
    <x v="1"/>
    <n v="102"/>
    <n v="60"/>
    <x v="2"/>
    <n v="93"/>
    <n v="2.5099999999999998"/>
    <x v="0"/>
    <n v="15.58"/>
    <x v="2"/>
    <x v="0"/>
    <x v="0"/>
    <n v="0"/>
    <x v="0"/>
  </r>
  <r>
    <s v="F"/>
    <x v="23"/>
    <n v="70.213999999999999"/>
    <n v="1.599"/>
    <n v="21.675999999999998"/>
    <n v="27.461660097911412"/>
    <n v="1"/>
    <x v="0"/>
    <n v="77.685000000000002"/>
    <s v="127/106"/>
    <n v="127"/>
    <n v="106"/>
    <n v="137"/>
    <x v="2"/>
    <n v="75"/>
    <n v="79"/>
    <x v="1"/>
    <x v="0"/>
    <x v="2"/>
    <s v="N"/>
    <x v="0"/>
    <n v="159.87799999999999"/>
    <m/>
    <x v="4"/>
    <n v="127"/>
    <n v="106"/>
    <x v="3"/>
    <n v="32"/>
    <n v="0.43"/>
    <x v="0"/>
    <n v="15.425000000000001"/>
    <x v="0"/>
    <x v="0"/>
    <x v="0"/>
    <n v="0"/>
    <x v="1"/>
  </r>
  <r>
    <s v="M"/>
    <x v="41"/>
    <n v="60.783000000000001"/>
    <n v="1.556"/>
    <n v="21.14"/>
    <n v="25.105157248498223"/>
    <n v="1"/>
    <x v="0"/>
    <n v="112.63"/>
    <s v="117/108"/>
    <n v="117"/>
    <n v="108"/>
    <n v="124"/>
    <x v="2"/>
    <n v="37"/>
    <n v="82"/>
    <x v="0"/>
    <x v="1"/>
    <x v="0"/>
    <s v="N"/>
    <x v="2"/>
    <n v="155.59899999999999"/>
    <n v="0.72399999999999998"/>
    <x v="3"/>
    <n v="117"/>
    <n v="108"/>
    <x v="3"/>
    <n v="57"/>
    <n v="1.54"/>
    <x v="0"/>
    <n v="12.558"/>
    <x v="1"/>
    <x v="0"/>
    <x v="1"/>
    <n v="1"/>
    <x v="0"/>
  </r>
  <r>
    <s v="F"/>
    <x v="26"/>
    <n v="56.171999999999997"/>
    <n v="1.958"/>
    <n v="20.582000000000001"/>
    <n v="14.651919106131729"/>
    <n v="1"/>
    <x v="0"/>
    <n v="79.411000000000001"/>
    <s v="167/108"/>
    <n v="167"/>
    <n v="108"/>
    <n v="127"/>
    <x v="2"/>
    <n v="57"/>
    <n v="91"/>
    <x v="1"/>
    <x v="1"/>
    <x v="2"/>
    <s v="Y"/>
    <x v="0"/>
    <n v="195.76900000000001"/>
    <n v="0.40600000000000003"/>
    <x v="2"/>
    <n v="167"/>
    <m/>
    <x v="3"/>
    <n v="40"/>
    <n v="0.7"/>
    <x v="0"/>
    <n v="15.006"/>
    <x v="2"/>
    <x v="0"/>
    <x v="0"/>
    <n v="0"/>
    <x v="0"/>
  </r>
  <r>
    <s v="M"/>
    <x v="13"/>
    <n v="108.047"/>
    <n v="1.51"/>
    <n v="22.56"/>
    <n v="47.38695671242489"/>
    <n v="1"/>
    <x v="0"/>
    <n v="88.790999999999997"/>
    <s v="109/86"/>
    <n v="109"/>
    <n v="86"/>
    <n v="194"/>
    <x v="0"/>
    <n v="44"/>
    <n v="84"/>
    <x v="1"/>
    <x v="1"/>
    <x v="2"/>
    <s v="Y"/>
    <x v="0"/>
    <n v="151.04300000000001"/>
    <n v="0.58799999999999997"/>
    <x v="3"/>
    <n v="109"/>
    <n v="86"/>
    <x v="1"/>
    <n v="120"/>
    <n v="2.73"/>
    <x v="0"/>
    <n v="13.842000000000001"/>
    <x v="0"/>
    <x v="0"/>
    <x v="0"/>
    <n v="0"/>
    <x v="0"/>
  </r>
  <r>
    <s v="F"/>
    <x v="40"/>
    <n v="92.343999999999994"/>
    <n v="1.629"/>
    <n v="22.933"/>
    <n v="34.798979967523863"/>
    <n v="1"/>
    <x v="0"/>
    <n v="118.05800000000001"/>
    <s v="132/72"/>
    <n v="132"/>
    <n v="72"/>
    <n v="234"/>
    <x v="0"/>
    <n v="66"/>
    <n v="197"/>
    <x v="0"/>
    <x v="0"/>
    <x v="1"/>
    <s v="N"/>
    <x v="2"/>
    <n v="162.928"/>
    <n v="0.72499999999999998"/>
    <x v="3"/>
    <n v="132"/>
    <n v="72"/>
    <x v="1"/>
    <n v="138"/>
    <n v="2.09"/>
    <x v="0"/>
    <n v="17.867000000000001"/>
    <x v="1"/>
    <x v="1"/>
    <x v="1"/>
    <n v="1"/>
    <x v="1"/>
  </r>
  <r>
    <s v="M"/>
    <x v="18"/>
    <n v="118.169"/>
    <n v="1.6719999999999999"/>
    <n v="28.821999999999999"/>
    <n v="42.269879924910143"/>
    <n v="1"/>
    <x v="2"/>
    <m/>
    <s v="174/76"/>
    <n v="174"/>
    <n v="76"/>
    <n v="265"/>
    <x v="0"/>
    <n v="73"/>
    <n v="74"/>
    <x v="0"/>
    <x v="0"/>
    <x v="0"/>
    <s v="Y"/>
    <x v="1"/>
    <n v="167.19900000000001"/>
    <n v="0.59299999999999997"/>
    <x v="3"/>
    <n v="174"/>
    <n v="76"/>
    <x v="3"/>
    <n v="162"/>
    <n v="2.2200000000000002"/>
    <x v="0"/>
    <n v="21.763999999999999"/>
    <x v="0"/>
    <x v="0"/>
    <x v="0"/>
    <n v="0"/>
    <x v="0"/>
  </r>
  <r>
    <s v="M"/>
    <x v="5"/>
    <n v="66.855000000000004"/>
    <n v="1.93"/>
    <n v="29.587"/>
    <n v="17.948132835780829"/>
    <n v="1"/>
    <x v="2"/>
    <n v="71.373000000000005"/>
    <s v="144/76"/>
    <n v="144"/>
    <n v="76"/>
    <n v="215"/>
    <x v="0"/>
    <n v="82"/>
    <n v="196"/>
    <x v="0"/>
    <x v="1"/>
    <x v="2"/>
    <s v="N"/>
    <x v="3"/>
    <n v="192.983"/>
    <n v="0.37"/>
    <x v="2"/>
    <n v="144"/>
    <n v="76"/>
    <x v="3"/>
    <n v="103"/>
    <n v="1.26"/>
    <x v="0"/>
    <n v="17.417000000000002"/>
    <x v="2"/>
    <x v="0"/>
    <x v="0"/>
    <n v="0"/>
    <x v="0"/>
  </r>
  <r>
    <s v="F"/>
    <x v="36"/>
    <n v="83.355000000000004"/>
    <n v="1.847"/>
    <n v="27.68"/>
    <n v="24.434185405502536"/>
    <n v="1"/>
    <x v="2"/>
    <n v="81.436000000000007"/>
    <s v="102/96"/>
    <n v="102"/>
    <n v="96"/>
    <n v="281"/>
    <x v="0"/>
    <n v="83"/>
    <n v="162"/>
    <x v="1"/>
    <x v="0"/>
    <x v="1"/>
    <s v="Y"/>
    <x v="1"/>
    <n v="184.697"/>
    <n v="0.441"/>
    <x v="2"/>
    <n v="102"/>
    <n v="96"/>
    <x v="3"/>
    <n v="168"/>
    <n v="2.02"/>
    <x v="0"/>
    <m/>
    <x v="1"/>
    <x v="1"/>
    <x v="1"/>
    <n v="1"/>
    <x v="1"/>
  </r>
  <r>
    <s v="F"/>
    <x v="13"/>
    <m/>
    <n v="1.976"/>
    <n v="36.826999999999998"/>
    <n v="0"/>
    <n v="1"/>
    <x v="1"/>
    <n v="109.577"/>
    <s v="100/84"/>
    <n v="100"/>
    <n v="84"/>
    <n v="216"/>
    <x v="0"/>
    <n v="55"/>
    <n v="192"/>
    <x v="1"/>
    <x v="1"/>
    <x v="1"/>
    <s v="N"/>
    <x v="2"/>
    <n v="197.58099999999999"/>
    <n v="0.55500000000000005"/>
    <x v="1"/>
    <n v="100"/>
    <n v="84"/>
    <x v="1"/>
    <n v="131"/>
    <n v="2.38"/>
    <x v="0"/>
    <n v="16.684999999999999"/>
    <x v="2"/>
    <x v="0"/>
    <x v="0"/>
    <n v="0"/>
    <x v="0"/>
  </r>
  <r>
    <s v="F"/>
    <x v="14"/>
    <m/>
    <n v="1.78"/>
    <m/>
    <n v="0"/>
    <n v="0"/>
    <x v="3"/>
    <n v="119.672"/>
    <s v="113/65"/>
    <n v="113"/>
    <n v="65"/>
    <n v="173"/>
    <x v="1"/>
    <n v="60"/>
    <n v="187"/>
    <x v="0"/>
    <x v="0"/>
    <x v="1"/>
    <s v="Y"/>
    <x v="0"/>
    <n v="177.99600000000001"/>
    <n v="0.67200000000000004"/>
    <x v="3"/>
    <n v="113"/>
    <n v="65"/>
    <x v="2"/>
    <n v="83"/>
    <n v="1.38"/>
    <x v="0"/>
    <n v="18.323"/>
    <x v="1"/>
    <x v="1"/>
    <x v="1"/>
    <n v="1"/>
    <x v="0"/>
  </r>
  <r>
    <s v="M"/>
    <x v="50"/>
    <n v="88.77"/>
    <n v="1.5720000000000001"/>
    <n v="25.428000000000001"/>
    <n v="35.922051939475168"/>
    <n v="1"/>
    <x v="2"/>
    <n v="76.659000000000006"/>
    <s v="170/89"/>
    <n v="170"/>
    <n v="89"/>
    <n v="150"/>
    <x v="1"/>
    <n v="38"/>
    <n v="164"/>
    <x v="0"/>
    <x v="0"/>
    <x v="1"/>
    <s v="Y"/>
    <x v="0"/>
    <n v="157.22"/>
    <n v="0.48799999999999999"/>
    <x v="0"/>
    <n v="170"/>
    <n v="89"/>
    <x v="1"/>
    <n v="82"/>
    <n v="2.16"/>
    <x v="0"/>
    <n v="18.585999999999999"/>
    <x v="0"/>
    <x v="0"/>
    <x v="0"/>
    <n v="0"/>
    <x v="1"/>
  </r>
  <r>
    <s v="M"/>
    <x v="28"/>
    <n v="65.311000000000007"/>
    <n v="1.589"/>
    <n v="32.176000000000002"/>
    <n v="25.866551864394967"/>
    <n v="1"/>
    <x v="1"/>
    <n v="99.412000000000006"/>
    <s v="139/106"/>
    <n v="139"/>
    <n v="106"/>
    <n v="272"/>
    <x v="0"/>
    <n v="38"/>
    <n v="81"/>
    <x v="1"/>
    <x v="1"/>
    <x v="1"/>
    <s v="N"/>
    <x v="2"/>
    <n v="158.88999999999999"/>
    <n v="0.626"/>
    <x v="3"/>
    <n v="139"/>
    <n v="106"/>
    <x v="1"/>
    <n v="204"/>
    <n v="5.37"/>
    <x v="0"/>
    <n v="18.824999999999999"/>
    <x v="1"/>
    <x v="0"/>
    <x v="1"/>
    <n v="1"/>
    <x v="0"/>
  </r>
  <r>
    <s v="F"/>
    <x v="39"/>
    <n v="71.323999999999998"/>
    <n v="1.9450000000000001"/>
    <n v="37.817"/>
    <n v="18.853695124933086"/>
    <n v="1"/>
    <x v="1"/>
    <n v="80.259"/>
    <s v="92/88"/>
    <n v="92"/>
    <n v="88"/>
    <n v="203"/>
    <x v="0"/>
    <n v="46"/>
    <n v="85"/>
    <x v="1"/>
    <x v="1"/>
    <x v="1"/>
    <s v="Y"/>
    <x v="0"/>
    <n v="194.48699999999999"/>
    <n v="0.41299999999999998"/>
    <x v="2"/>
    <n v="92"/>
    <n v="88"/>
    <x v="1"/>
    <n v="127"/>
    <n v="2.76"/>
    <x v="0"/>
    <n v="16.222999999999999"/>
    <x v="1"/>
    <x v="0"/>
    <x v="1"/>
    <n v="1"/>
    <x v="0"/>
  </r>
  <r>
    <s v="M"/>
    <x v="20"/>
    <n v="64.42"/>
    <n v="1.921"/>
    <n v="28.513000000000002"/>
    <n v="17.456854443923852"/>
    <n v="1"/>
    <x v="2"/>
    <n v="81.260999999999996"/>
    <s v="131/115"/>
    <n v="131"/>
    <n v="115"/>
    <n v="219"/>
    <x v="0"/>
    <n v="74"/>
    <n v="157"/>
    <x v="0"/>
    <x v="0"/>
    <x v="0"/>
    <s v="Y"/>
    <x v="1"/>
    <n v="192.12200000000001"/>
    <n v="0.42299999999999999"/>
    <x v="2"/>
    <n v="131"/>
    <n v="115"/>
    <x v="1"/>
    <n v="115"/>
    <n v="1.55"/>
    <x v="0"/>
    <n v="18.632999999999999"/>
    <x v="0"/>
    <x v="0"/>
    <x v="0"/>
    <n v="0"/>
    <x v="0"/>
  </r>
  <r>
    <s v="F"/>
    <x v="34"/>
    <n v="99.691000000000003"/>
    <n v="1.57"/>
    <n v="25.021000000000001"/>
    <n v="40.444237088725707"/>
    <n v="1"/>
    <x v="2"/>
    <n v="88.168999999999997"/>
    <s v="109/84"/>
    <n v="109"/>
    <n v="84"/>
    <n v="194"/>
    <x v="0"/>
    <n v="31"/>
    <n v="196"/>
    <x v="0"/>
    <x v="1"/>
    <x v="2"/>
    <s v="N"/>
    <x v="3"/>
    <n v="157.04300000000001"/>
    <n v="0.56100000000000005"/>
    <x v="1"/>
    <n v="109"/>
    <n v="84"/>
    <x v="1"/>
    <n v="133"/>
    <n v="4.29"/>
    <x v="0"/>
    <n v="14.334"/>
    <x v="1"/>
    <x v="0"/>
    <x v="1"/>
    <n v="1"/>
    <x v="0"/>
  </r>
  <r>
    <s v="M"/>
    <x v="4"/>
    <n v="53.317"/>
    <n v="1.913"/>
    <n v="28.419"/>
    <n v="14.569202001656478"/>
    <n v="1"/>
    <x v="2"/>
    <n v="110.331"/>
    <s v="172/108"/>
    <n v="172"/>
    <n v="108"/>
    <n v="100"/>
    <x v="2"/>
    <n v="88"/>
    <n v="106"/>
    <x v="1"/>
    <x v="1"/>
    <x v="2"/>
    <s v="N"/>
    <x v="2"/>
    <n v="191.25299999999999"/>
    <n v="0.57699999999999996"/>
    <x v="1"/>
    <n v="172"/>
    <n v="108"/>
    <x v="3"/>
    <n v="-18"/>
    <n v="-0.2"/>
    <x v="0"/>
    <n v="16.283999999999999"/>
    <x v="1"/>
    <x v="1"/>
    <x v="1"/>
    <n v="1"/>
    <x v="0"/>
  </r>
  <r>
    <s v="M"/>
    <x v="30"/>
    <n v="71.372"/>
    <n v="1.9239999999999999"/>
    <n v="34.363"/>
    <n v="19.280475101680924"/>
    <n v="1"/>
    <x v="1"/>
    <n v="84.581000000000003"/>
    <s v="108/115"/>
    <n v="108"/>
    <n v="115"/>
    <n v="178"/>
    <x v="1"/>
    <n v="60"/>
    <n v="164"/>
    <x v="1"/>
    <x v="0"/>
    <x v="1"/>
    <s v="Y"/>
    <x v="1"/>
    <m/>
    <n v="0.44"/>
    <x v="2"/>
    <n v="108"/>
    <n v="115"/>
    <x v="3"/>
    <n v="88"/>
    <n v="1.47"/>
    <x v="0"/>
    <n v="17.832999999999998"/>
    <x v="1"/>
    <x v="1"/>
    <x v="1"/>
    <n v="1"/>
    <x v="0"/>
  </r>
  <r>
    <s v="M"/>
    <x v="51"/>
    <n v="85.786000000000001"/>
    <n v="1.9610000000000001"/>
    <n v="19.439"/>
    <n v="22.308030563348893"/>
    <n v="1"/>
    <x v="0"/>
    <m/>
    <s v="121/105"/>
    <n v="121"/>
    <n v="105"/>
    <n v="230"/>
    <x v="0"/>
    <n v="76"/>
    <n v="103"/>
    <x v="1"/>
    <x v="0"/>
    <x v="0"/>
    <s v="Y"/>
    <x v="4"/>
    <n v="196.07"/>
    <n v="0.439"/>
    <x v="2"/>
    <n v="121"/>
    <n v="105"/>
    <x v="3"/>
    <n v="124"/>
    <n v="1.63"/>
    <x v="0"/>
    <n v="16.538"/>
    <x v="2"/>
    <x v="0"/>
    <x v="0"/>
    <n v="0"/>
    <x v="1"/>
  </r>
  <r>
    <s v="M"/>
    <x v="52"/>
    <n v="54.923000000000002"/>
    <n v="1.8720000000000001"/>
    <n v="39.978999999999999"/>
    <n v="15.672654594930234"/>
    <n v="1"/>
    <x v="1"/>
    <n v="106.94799999999999"/>
    <s v="179/79"/>
    <n v="179"/>
    <n v="79"/>
    <n v="100"/>
    <x v="2"/>
    <n v="61"/>
    <n v="70"/>
    <x v="1"/>
    <x v="0"/>
    <x v="0"/>
    <s v="Y"/>
    <x v="4"/>
    <n v="187.16499999999999"/>
    <n v="0.57099999999999995"/>
    <x v="1"/>
    <n v="179"/>
    <n v="79"/>
    <x v="3"/>
    <n v="9"/>
    <n v="0.15"/>
    <x v="0"/>
    <n v="20.946000000000002"/>
    <x v="0"/>
    <x v="0"/>
    <x v="0"/>
    <n v="0"/>
    <x v="1"/>
  </r>
  <r>
    <s v="M"/>
    <x v="38"/>
    <n v="116.72199999999999"/>
    <n v="1.9690000000000001"/>
    <n v="33.073999999999998"/>
    <n v="30.106570584537728"/>
    <n v="1"/>
    <x v="1"/>
    <n v="105.557"/>
    <s v="94/117"/>
    <n v="94"/>
    <n v="117"/>
    <n v="118"/>
    <x v="2"/>
    <n v="87"/>
    <m/>
    <x v="0"/>
    <x v="0"/>
    <x v="0"/>
    <s v="N"/>
    <x v="0"/>
    <n v="196.899"/>
    <n v="0.53600000000000003"/>
    <x v="1"/>
    <n v="94"/>
    <n v="117"/>
    <x v="3"/>
    <n v="1"/>
    <n v="0.01"/>
    <x v="0"/>
    <n v="15.675000000000001"/>
    <x v="2"/>
    <x v="0"/>
    <x v="0"/>
    <n v="0"/>
    <x v="1"/>
  </r>
  <r>
    <s v="F"/>
    <x v="32"/>
    <n v="106.884"/>
    <n v="1.728"/>
    <n v="20.629000000000001"/>
    <n v="35.795235339506178"/>
    <n v="1"/>
    <x v="0"/>
    <n v="101.182"/>
    <s v="155/79"/>
    <n v="155"/>
    <n v="79"/>
    <n v="102"/>
    <x v="2"/>
    <n v="54"/>
    <n v="192"/>
    <x v="1"/>
    <x v="0"/>
    <x v="1"/>
    <s v="N"/>
    <x v="0"/>
    <n v="172.80199999999999"/>
    <n v="0.58599999999999997"/>
    <x v="3"/>
    <n v="155"/>
    <n v="79"/>
    <x v="3"/>
    <n v="18"/>
    <n v="0.33"/>
    <x v="0"/>
    <m/>
    <x v="0"/>
    <x v="0"/>
    <x v="0"/>
    <n v="0"/>
    <x v="1"/>
  </r>
  <r>
    <s v="M"/>
    <x v="22"/>
    <n v="90.77"/>
    <n v="1.6419999999999999"/>
    <n v="18.899000000000001"/>
    <n v="33.666349673091105"/>
    <n v="1"/>
    <x v="0"/>
    <n v="114.08499999999999"/>
    <s v="130/109"/>
    <n v="130"/>
    <n v="109"/>
    <n v="199"/>
    <x v="0"/>
    <n v="32"/>
    <n v="70"/>
    <x v="0"/>
    <x v="0"/>
    <x v="1"/>
    <s v="N"/>
    <x v="2"/>
    <n v="164.18299999999999"/>
    <n v="0.69499999999999995"/>
    <x v="3"/>
    <n v="130"/>
    <n v="109"/>
    <x v="1"/>
    <n v="137"/>
    <n v="4.28"/>
    <x v="0"/>
    <n v="16.260000000000002"/>
    <x v="0"/>
    <x v="0"/>
    <x v="0"/>
    <n v="0"/>
    <x v="0"/>
  </r>
  <r>
    <s v="F"/>
    <x v="28"/>
    <n v="53.542000000000002"/>
    <n v="1.69"/>
    <n v="28.713000000000001"/>
    <n v="18.746542488008124"/>
    <n v="1"/>
    <x v="2"/>
    <n v="73.144999999999996"/>
    <s v="103/90"/>
    <n v="103"/>
    <n v="90"/>
    <n v="176"/>
    <x v="1"/>
    <n v="79"/>
    <n v="111"/>
    <x v="1"/>
    <x v="1"/>
    <x v="1"/>
    <s v="Y"/>
    <x v="0"/>
    <n v="168.958"/>
    <n v="0.433"/>
    <x v="2"/>
    <n v="103"/>
    <n v="90"/>
    <x v="3"/>
    <n v="67"/>
    <n v="0.85"/>
    <x v="0"/>
    <n v="14.413"/>
    <x v="2"/>
    <x v="0"/>
    <x v="0"/>
    <n v="0"/>
    <x v="0"/>
  </r>
  <r>
    <s v="F"/>
    <x v="50"/>
    <n v="63.398000000000003"/>
    <n v="1.7849999999999999"/>
    <n v="31.238"/>
    <n v="19.897527638506386"/>
    <n v="1"/>
    <x v="1"/>
    <n v="83.495000000000005"/>
    <s v="137/113"/>
    <n v="137"/>
    <n v="113"/>
    <n v="218"/>
    <x v="0"/>
    <n v="63"/>
    <n v="72"/>
    <x v="1"/>
    <x v="0"/>
    <x v="1"/>
    <s v="N"/>
    <x v="0"/>
    <n v="178.49"/>
    <n v="0.46800000000000003"/>
    <x v="0"/>
    <n v="137"/>
    <n v="113"/>
    <x v="1"/>
    <n v="125"/>
    <n v="1.98"/>
    <x v="0"/>
    <n v="19.457999999999998"/>
    <x v="1"/>
    <x v="1"/>
    <x v="1"/>
    <n v="1"/>
    <x v="1"/>
  </r>
  <r>
    <s v="F"/>
    <x v="29"/>
    <n v="94.003"/>
    <n v="1.5489999999999999"/>
    <n v="34.152999999999999"/>
    <n v="39.177694766318766"/>
    <n v="1"/>
    <x v="1"/>
    <n v="77.307000000000002"/>
    <s v="152/114"/>
    <n v="152"/>
    <n v="114"/>
    <n v="238"/>
    <x v="0"/>
    <n v="85"/>
    <n v="154"/>
    <x v="0"/>
    <x v="0"/>
    <x v="2"/>
    <s v="Y"/>
    <x v="0"/>
    <m/>
    <n v="0.499"/>
    <x v="0"/>
    <n v="152"/>
    <n v="114"/>
    <x v="3"/>
    <n v="123"/>
    <n v="1.45"/>
    <x v="0"/>
    <n v="21.190999999999999"/>
    <x v="2"/>
    <x v="0"/>
    <x v="0"/>
    <n v="0"/>
    <x v="1"/>
  </r>
  <r>
    <s v="M"/>
    <x v="10"/>
    <n v="119.063"/>
    <n v="1.823"/>
    <n v="33.326000000000001"/>
    <n v="35.826425851909342"/>
    <n v="1"/>
    <x v="1"/>
    <n v="76.637"/>
    <s v="109/118"/>
    <n v="109"/>
    <n v="118"/>
    <n v="250"/>
    <x v="0"/>
    <n v="73"/>
    <n v="185"/>
    <x v="0"/>
    <x v="0"/>
    <x v="1"/>
    <s v="N"/>
    <x v="2"/>
    <n v="182.29"/>
    <n v="0.42"/>
    <x v="2"/>
    <n v="109"/>
    <n v="118"/>
    <x v="3"/>
    <n v="147"/>
    <n v="2.0099999999999998"/>
    <x v="0"/>
    <n v="19.114999999999998"/>
    <x v="1"/>
    <x v="1"/>
    <x v="1"/>
    <n v="1"/>
    <x v="1"/>
  </r>
  <r>
    <s v="M"/>
    <x v="24"/>
    <n v="93.834000000000003"/>
    <n v="1.8069999999999999"/>
    <n v="24.548999999999999"/>
    <n v="28.737165220784082"/>
    <n v="1"/>
    <x v="0"/>
    <n v="97.454999999999998"/>
    <s v="155/110"/>
    <n v="155"/>
    <n v="110"/>
    <n v="295"/>
    <x v="0"/>
    <n v="69"/>
    <n v="197"/>
    <x v="0"/>
    <x v="0"/>
    <x v="0"/>
    <s v="N"/>
    <x v="0"/>
    <n v="180.66499999999999"/>
    <m/>
    <x v="4"/>
    <n v="155"/>
    <n v="110"/>
    <x v="3"/>
    <n v="196"/>
    <n v="2.84"/>
    <x v="0"/>
    <n v="20.56"/>
    <x v="2"/>
    <x v="0"/>
    <x v="0"/>
    <n v="0"/>
    <x v="0"/>
  </r>
  <r>
    <s v="F"/>
    <x v="5"/>
    <n v="59.622999999999998"/>
    <n v="1.6259999999999999"/>
    <n v="25.751000000000001"/>
    <n v="22.551360199948864"/>
    <n v="1"/>
    <x v="2"/>
    <n v="75.781999999999996"/>
    <s v="170/76"/>
    <n v="170"/>
    <n v="76"/>
    <n v="259"/>
    <x v="0"/>
    <n v="80"/>
    <n v="82"/>
    <x v="0"/>
    <x v="1"/>
    <x v="0"/>
    <s v="Y"/>
    <x v="0"/>
    <n v="162.59899999999999"/>
    <n v="0.46600000000000003"/>
    <x v="0"/>
    <n v="170"/>
    <n v="76"/>
    <x v="3"/>
    <n v="149"/>
    <n v="1.86"/>
    <x v="0"/>
    <n v="18.829999999999998"/>
    <x v="0"/>
    <x v="0"/>
    <x v="0"/>
    <n v="0"/>
    <x v="0"/>
  </r>
  <r>
    <s v="F"/>
    <x v="41"/>
    <m/>
    <n v="1.589"/>
    <m/>
    <n v="0"/>
    <n v="0"/>
    <x v="3"/>
    <n v="89.795000000000002"/>
    <s v="134/85"/>
    <n v="134"/>
    <n v="85"/>
    <n v="183"/>
    <x v="0"/>
    <n v="39"/>
    <n v="159"/>
    <x v="0"/>
    <x v="0"/>
    <x v="0"/>
    <s v="N"/>
    <x v="0"/>
    <n v="158.923"/>
    <n v="0.56499999999999995"/>
    <x v="1"/>
    <n v="134"/>
    <n v="85"/>
    <x v="1"/>
    <m/>
    <n v="0"/>
    <x v="0"/>
    <n v="20.323"/>
    <x v="0"/>
    <x v="0"/>
    <x v="0"/>
    <n v="0"/>
    <x v="1"/>
  </r>
  <r>
    <s v="M"/>
    <x v="7"/>
    <n v="100.84"/>
    <n v="1.7689999999999999"/>
    <n v="25.382999999999999"/>
    <n v="32.22383099936377"/>
    <n v="1"/>
    <x v="2"/>
    <n v="73.367999999999995"/>
    <s v="124/101"/>
    <n v="124"/>
    <n v="101"/>
    <n v="201"/>
    <x v="0"/>
    <n v="31"/>
    <n v="172"/>
    <x v="0"/>
    <x v="0"/>
    <x v="1"/>
    <s v="Y"/>
    <x v="0"/>
    <n v="176.911"/>
    <n v="0.41499999999999998"/>
    <x v="2"/>
    <m/>
    <n v="101"/>
    <x v="3"/>
    <m/>
    <n v="0"/>
    <x v="0"/>
    <n v="17.297000000000001"/>
    <x v="0"/>
    <x v="0"/>
    <x v="0"/>
    <n v="0"/>
    <x v="0"/>
  </r>
  <r>
    <s v="F"/>
    <x v="10"/>
    <n v="100.13"/>
    <n v="1.84"/>
    <n v="22.242000000000001"/>
    <n v="29.57525992438563"/>
    <n v="1"/>
    <x v="0"/>
    <n v="80.813999999999993"/>
    <s v="165/99"/>
    <n v="165"/>
    <n v="99"/>
    <n v="123"/>
    <x v="2"/>
    <n v="54"/>
    <n v="94"/>
    <x v="0"/>
    <x v="1"/>
    <x v="0"/>
    <s v="N"/>
    <x v="2"/>
    <n v="183.988"/>
    <n v="0.439"/>
    <x v="2"/>
    <n v="165"/>
    <n v="99"/>
    <x v="3"/>
    <n v="39"/>
    <n v="0.72"/>
    <x v="0"/>
    <n v="15.157999999999999"/>
    <x v="2"/>
    <x v="0"/>
    <x v="0"/>
    <n v="0"/>
    <x v="0"/>
  </r>
  <r>
    <s v="F"/>
    <x v="2"/>
    <n v="98.783000000000001"/>
    <n v="1.76"/>
    <n v="36.078000000000003"/>
    <n v="31.890173037190085"/>
    <n v="1"/>
    <x v="1"/>
    <n v="74.397000000000006"/>
    <s v="117/62"/>
    <n v="117"/>
    <n v="62"/>
    <n v="227"/>
    <x v="0"/>
    <n v="77"/>
    <n v="105"/>
    <x v="0"/>
    <x v="1"/>
    <x v="1"/>
    <s v="Y"/>
    <x v="2"/>
    <n v="175.99799999999999"/>
    <n v="0.42299999999999999"/>
    <x v="2"/>
    <n v="117"/>
    <n v="62"/>
    <x v="2"/>
    <n v="120"/>
    <n v="1.56"/>
    <x v="1"/>
    <n v="17.606000000000002"/>
    <x v="1"/>
    <x v="1"/>
    <x v="1"/>
    <n v="1"/>
    <x v="0"/>
  </r>
  <r>
    <s v="M"/>
    <x v="39"/>
    <n v="115.739"/>
    <n v="1.7989999999999999"/>
    <n v="22.463999999999999"/>
    <n v="35.76163769569964"/>
    <n v="1"/>
    <x v="0"/>
    <n v="77.691999999999993"/>
    <s v="173/96"/>
    <n v="173"/>
    <n v="96"/>
    <n v="151"/>
    <x v="1"/>
    <n v="50"/>
    <n v="188"/>
    <x v="1"/>
    <x v="0"/>
    <x v="1"/>
    <s v="N"/>
    <x v="0"/>
    <n v="179.90799999999999"/>
    <n v="0.432"/>
    <x v="2"/>
    <n v="173"/>
    <n v="96"/>
    <x v="3"/>
    <n v="71"/>
    <n v="1.42"/>
    <x v="0"/>
    <n v="18.163"/>
    <x v="1"/>
    <x v="0"/>
    <x v="1"/>
    <n v="1"/>
    <x v="0"/>
  </r>
  <r>
    <s v="F"/>
    <x v="7"/>
    <n v="53.055999999999997"/>
    <n v="1.7829999999999999"/>
    <n v="25.81"/>
    <n v="16.689057777243733"/>
    <n v="1"/>
    <x v="2"/>
    <n v="73.491"/>
    <s v="111/97"/>
    <n v="111"/>
    <n v="97"/>
    <n v="274"/>
    <x v="0"/>
    <n v="61"/>
    <n v="160"/>
    <x v="1"/>
    <x v="0"/>
    <x v="1"/>
    <s v="Y"/>
    <x v="1"/>
    <n v="178.3"/>
    <n v="0.41199999999999998"/>
    <x v="2"/>
    <n v="111"/>
    <n v="97"/>
    <x v="3"/>
    <n v="183"/>
    <n v="3"/>
    <x v="0"/>
    <n v="18.192"/>
    <x v="2"/>
    <x v="0"/>
    <x v="0"/>
    <n v="0"/>
    <x v="0"/>
  </r>
  <r>
    <s v="F"/>
    <x v="53"/>
    <n v="112.22499999999999"/>
    <n v="1.9339999999999999"/>
    <n v="23.06"/>
    <n v="30.003828512580085"/>
    <n v="1"/>
    <x v="0"/>
    <n v="110.373"/>
    <s v="178/90"/>
    <n v="178"/>
    <n v="90"/>
    <n v="247"/>
    <x v="0"/>
    <n v="66"/>
    <n v="151"/>
    <x v="0"/>
    <x v="1"/>
    <x v="2"/>
    <s v="N"/>
    <x v="3"/>
    <n v="193.41"/>
    <n v="0.57099999999999995"/>
    <x v="1"/>
    <n v="178"/>
    <n v="90"/>
    <x v="3"/>
    <n v="151"/>
    <n v="2.29"/>
    <x v="0"/>
    <n v="18.452000000000002"/>
    <x v="0"/>
    <x v="0"/>
    <x v="0"/>
    <n v="0"/>
    <x v="0"/>
  </r>
  <r>
    <s v="M"/>
    <x v="20"/>
    <n v="73.935000000000002"/>
    <n v="1.9279999999999999"/>
    <n v="38.51"/>
    <n v="19.890056558943549"/>
    <n v="1"/>
    <x v="1"/>
    <n v="112.14700000000001"/>
    <s v="159/78"/>
    <n v="159"/>
    <n v="78"/>
    <n v="167"/>
    <x v="1"/>
    <n v="71"/>
    <n v="115"/>
    <x v="0"/>
    <x v="0"/>
    <x v="1"/>
    <s v="N"/>
    <x v="2"/>
    <n v="192.751"/>
    <n v="0.58199999999999996"/>
    <x v="1"/>
    <n v="159"/>
    <n v="78"/>
    <x v="3"/>
    <n v="66"/>
    <n v="0.93"/>
    <x v="0"/>
    <n v="20.992000000000001"/>
    <x v="2"/>
    <x v="0"/>
    <x v="0"/>
    <n v="0"/>
    <x v="0"/>
  </r>
  <r>
    <s v="M"/>
    <x v="6"/>
    <n v="116.535"/>
    <n v="1.8120000000000001"/>
    <n v="28.501999999999999"/>
    <n v="35.492778094528013"/>
    <n v="1"/>
    <x v="2"/>
    <n v="76.302000000000007"/>
    <s v="118/78"/>
    <n v="118"/>
    <n v="78"/>
    <n v="143"/>
    <x v="2"/>
    <n v="61"/>
    <n v="145"/>
    <x v="0"/>
    <x v="0"/>
    <x v="2"/>
    <s v="Y"/>
    <x v="0"/>
    <n v="181.19900000000001"/>
    <n v="0.42099999999999999"/>
    <x v="2"/>
    <n v="118"/>
    <n v="78"/>
    <x v="2"/>
    <n v="52"/>
    <n v="0.85"/>
    <x v="0"/>
    <n v="16.46"/>
    <x v="0"/>
    <x v="0"/>
    <x v="0"/>
    <n v="0"/>
    <x v="0"/>
  </r>
  <r>
    <s v="F"/>
    <x v="13"/>
    <n v="76.59"/>
    <n v="1.7270000000000001"/>
    <n v="22.260999999999999"/>
    <n v="25.679549134308498"/>
    <n v="1"/>
    <x v="0"/>
    <n v="87.186999999999998"/>
    <s v="138/71"/>
    <n v="138"/>
    <n v="71"/>
    <n v="245"/>
    <x v="0"/>
    <n v="71"/>
    <n v="156"/>
    <x v="0"/>
    <x v="0"/>
    <x v="0"/>
    <s v="N"/>
    <x v="0"/>
    <n v="172.655"/>
    <n v="0.505"/>
    <x v="0"/>
    <n v="138"/>
    <n v="71"/>
    <x v="1"/>
    <n v="144"/>
    <n v="2.0299999999999998"/>
    <x v="0"/>
    <n v="18.251999999999999"/>
    <x v="0"/>
    <x v="0"/>
    <x v="0"/>
    <n v="0"/>
    <x v="0"/>
  </r>
  <r>
    <s v="F"/>
    <x v="41"/>
    <n v="96.578999999999994"/>
    <n v="1.8640000000000001"/>
    <n v="35.783000000000001"/>
    <n v="27.796549485162735"/>
    <n v="1"/>
    <x v="1"/>
    <n v="93.995999999999995"/>
    <s v="114/91"/>
    <n v="114"/>
    <n v="91"/>
    <n v="282"/>
    <x v="0"/>
    <n v="59"/>
    <n v="174"/>
    <x v="0"/>
    <x v="1"/>
    <x v="2"/>
    <s v="Y"/>
    <x v="2"/>
    <n v="186.374"/>
    <n v="0.504"/>
    <x v="0"/>
    <n v="114"/>
    <n v="91"/>
    <x v="3"/>
    <n v="193"/>
    <n v="3.27"/>
    <x v="0"/>
    <n v="18.497"/>
    <x v="2"/>
    <x v="0"/>
    <x v="0"/>
    <n v="0"/>
    <x v="0"/>
  </r>
  <r>
    <s v="M"/>
    <x v="48"/>
    <n v="61.744999999999997"/>
    <n v="1.8149999999999999"/>
    <n v="33.881"/>
    <n v="18.743407022896129"/>
    <n v="1"/>
    <x v="1"/>
    <n v="81.766000000000005"/>
    <s v="161/97"/>
    <n v="161"/>
    <n v="97"/>
    <n v="277"/>
    <x v="0"/>
    <n v="53"/>
    <n v="100"/>
    <x v="1"/>
    <x v="0"/>
    <x v="1"/>
    <s v="Y"/>
    <x v="1"/>
    <n v="181.476"/>
    <m/>
    <x v="4"/>
    <n v="161"/>
    <n v="97"/>
    <x v="3"/>
    <n v="194"/>
    <n v="3.66"/>
    <x v="0"/>
    <n v="22.366"/>
    <x v="2"/>
    <x v="0"/>
    <x v="0"/>
    <n v="0"/>
    <x v="1"/>
  </r>
  <r>
    <s v="M"/>
    <x v="39"/>
    <n v="104.574"/>
    <n v="1.6519999999999999"/>
    <n v="36.427"/>
    <n v="38.318070692798813"/>
    <n v="1"/>
    <x v="1"/>
    <n v="102.483"/>
    <s v="179/97"/>
    <n v="179"/>
    <n v="97"/>
    <n v="179"/>
    <x v="1"/>
    <n v="62"/>
    <n v="154"/>
    <x v="1"/>
    <x v="0"/>
    <x v="0"/>
    <s v="N"/>
    <x v="1"/>
    <n v="165.154"/>
    <n v="0.621"/>
    <x v="3"/>
    <n v="179"/>
    <n v="97"/>
    <x v="3"/>
    <n v="87"/>
    <n v="1.4"/>
    <x v="0"/>
    <n v="21.815000000000001"/>
    <x v="0"/>
    <x v="0"/>
    <x v="0"/>
    <n v="0"/>
    <x v="0"/>
  </r>
  <r>
    <s v="M"/>
    <x v="29"/>
    <n v="113.801"/>
    <n v="2"/>
    <n v="26.901"/>
    <n v="28.45025"/>
    <n v="1"/>
    <x v="2"/>
    <n v="96.6"/>
    <s v="125/116"/>
    <n v="125"/>
    <n v="116"/>
    <n v="273"/>
    <x v="0"/>
    <n v="70"/>
    <n v="125"/>
    <x v="1"/>
    <x v="0"/>
    <x v="2"/>
    <s v="N"/>
    <x v="0"/>
    <n v="199.96"/>
    <n v="0.48299999999999998"/>
    <x v="0"/>
    <n v="125"/>
    <n v="116"/>
    <x v="3"/>
    <n v="173"/>
    <n v="2.4700000000000002"/>
    <x v="0"/>
    <n v="19.09"/>
    <x v="0"/>
    <x v="0"/>
    <x v="0"/>
    <n v="0"/>
    <x v="1"/>
  </r>
  <r>
    <s v="F"/>
    <x v="40"/>
    <n v="85.24"/>
    <n v="1.7969999999999999"/>
    <n v="23.600999999999999"/>
    <n v="26.396557175456902"/>
    <n v="1"/>
    <x v="0"/>
    <n v="82.224000000000004"/>
    <s v="125/72"/>
    <n v="125"/>
    <n v="72"/>
    <n v="224"/>
    <x v="0"/>
    <n v="67"/>
    <n v="171"/>
    <x v="1"/>
    <x v="1"/>
    <x v="1"/>
    <s v="Y"/>
    <x v="0"/>
    <n v="179.73599999999999"/>
    <n v="0.45700000000000002"/>
    <x v="2"/>
    <n v="125"/>
    <n v="72"/>
    <x v="0"/>
    <n v="127"/>
    <n v="1.9"/>
    <x v="0"/>
    <n v="15.45"/>
    <x v="2"/>
    <x v="0"/>
    <x v="0"/>
    <n v="0"/>
    <x v="0"/>
  </r>
  <r>
    <s v="M"/>
    <x v="1"/>
    <m/>
    <n v="1.847"/>
    <n v="35.527999999999999"/>
    <n v="0"/>
    <n v="1"/>
    <x v="1"/>
    <n v="114.91200000000001"/>
    <s v="112/113"/>
    <n v="112"/>
    <n v="113"/>
    <n v="296"/>
    <x v="0"/>
    <n v="36"/>
    <n v="73"/>
    <x v="0"/>
    <x v="0"/>
    <x v="0"/>
    <s v="Y"/>
    <x v="1"/>
    <n v="184.69399999999999"/>
    <n v="0.622"/>
    <x v="3"/>
    <n v="112"/>
    <n v="113"/>
    <x v="3"/>
    <n v="230"/>
    <n v="6.39"/>
    <x v="0"/>
    <n v="20.626000000000001"/>
    <x v="1"/>
    <x v="0"/>
    <x v="1"/>
    <n v="1"/>
    <x v="1"/>
  </r>
  <r>
    <s v="F"/>
    <x v="38"/>
    <n v="106.143"/>
    <n v="1.8480000000000001"/>
    <n v="37.142000000000003"/>
    <n v="31.080459043121376"/>
    <n v="1"/>
    <x v="1"/>
    <n v="82.367999999999995"/>
    <s v="100/67"/>
    <n v="100"/>
    <n v="67"/>
    <m/>
    <x v="2"/>
    <m/>
    <n v="187"/>
    <x v="1"/>
    <x v="0"/>
    <x v="2"/>
    <s v="Y"/>
    <x v="1"/>
    <n v="184.828"/>
    <n v="0.44600000000000001"/>
    <x v="2"/>
    <n v="100"/>
    <n v="67"/>
    <x v="2"/>
    <n v="127"/>
    <s v=""/>
    <x v="0"/>
    <n v="18.908000000000001"/>
    <x v="0"/>
    <x v="0"/>
    <x v="0"/>
    <n v="0"/>
    <x v="0"/>
  </r>
  <r>
    <s v="M"/>
    <x v="23"/>
    <n v="59.35"/>
    <n v="1.87"/>
    <n v="37.003999999999998"/>
    <n v="16.972175355314704"/>
    <n v="1"/>
    <x v="1"/>
    <n v="97.067999999999998"/>
    <s v="113/67"/>
    <n v="113"/>
    <n v="67"/>
    <n v="250"/>
    <x v="0"/>
    <m/>
    <n v="76"/>
    <x v="0"/>
    <x v="1"/>
    <x v="2"/>
    <s v="Y"/>
    <x v="2"/>
    <n v="187.03100000000001"/>
    <n v="0.51900000000000002"/>
    <x v="0"/>
    <n v="113"/>
    <n v="67"/>
    <x v="2"/>
    <n v="159"/>
    <s v=""/>
    <x v="0"/>
    <n v="18.050999999999998"/>
    <x v="0"/>
    <x v="0"/>
    <x v="0"/>
    <n v="0"/>
    <x v="0"/>
  </r>
  <r>
    <s v="M"/>
    <x v="42"/>
    <n v="61.982999999999997"/>
    <n v="1.7869999999999999"/>
    <n v="19.673999999999999"/>
    <n v="19.409908469707073"/>
    <n v="1"/>
    <x v="0"/>
    <m/>
    <s v="92/93"/>
    <n v="92"/>
    <n v="93"/>
    <n v="104"/>
    <x v="2"/>
    <n v="76"/>
    <n v="137"/>
    <x v="1"/>
    <x v="1"/>
    <x v="1"/>
    <s v="Y"/>
    <x v="0"/>
    <n v="178.65199999999999"/>
    <n v="0.53200000000000003"/>
    <x v="1"/>
    <n v="92"/>
    <n v="93"/>
    <x v="3"/>
    <n v="-2"/>
    <n v="-0.03"/>
    <x v="0"/>
    <m/>
    <x v="2"/>
    <x v="0"/>
    <x v="0"/>
    <n v="0"/>
    <x v="0"/>
  </r>
  <r>
    <s v="M"/>
    <x v="18"/>
    <n v="70.296999999999997"/>
    <m/>
    <n v="23.539000000000001"/>
    <s v=""/>
    <s v=""/>
    <x v="0"/>
    <n v="92.822999999999993"/>
    <s v="172/66"/>
    <n v="172"/>
    <n v="66"/>
    <n v="135"/>
    <x v="2"/>
    <n v="78"/>
    <n v="99"/>
    <x v="1"/>
    <x v="0"/>
    <x v="2"/>
    <s v="Y"/>
    <x v="1"/>
    <n v="185.23400000000001"/>
    <n v="0.501"/>
    <x v="0"/>
    <n v="172"/>
    <n v="66"/>
    <x v="3"/>
    <n v="27"/>
    <n v="0.35"/>
    <x v="0"/>
    <n v="18.007999999999999"/>
    <x v="2"/>
    <x v="0"/>
    <x v="0"/>
    <n v="0"/>
    <x v="0"/>
  </r>
  <r>
    <s v="F"/>
    <x v="34"/>
    <n v="115.768"/>
    <n v="1.64"/>
    <n v="28.486000000000001"/>
    <n v="43.042831647828677"/>
    <n v="1"/>
    <x v="2"/>
    <n v="107.307"/>
    <s v="162/95"/>
    <n v="162"/>
    <n v="95"/>
    <n v="260"/>
    <x v="0"/>
    <n v="46"/>
    <n v="131"/>
    <x v="1"/>
    <x v="1"/>
    <x v="1"/>
    <s v="N"/>
    <x v="2"/>
    <n v="163.97800000000001"/>
    <n v="0.65400000000000003"/>
    <x v="3"/>
    <n v="162"/>
    <n v="95"/>
    <x v="3"/>
    <n v="184"/>
    <n v="4"/>
    <x v="0"/>
    <n v="18.997"/>
    <x v="2"/>
    <x v="0"/>
    <x v="0"/>
    <n v="0"/>
    <x v="0"/>
  </r>
  <r>
    <s v="M"/>
    <x v="1"/>
    <n v="114.033"/>
    <n v="1.907"/>
    <n v="38.616999999999997"/>
    <n v="31.356614289693614"/>
    <n v="1"/>
    <x v="1"/>
    <n v="115.36199999999999"/>
    <s v="179/71"/>
    <n v="179"/>
    <n v="71"/>
    <n v="117"/>
    <x v="2"/>
    <n v="59"/>
    <n v="89"/>
    <x v="1"/>
    <x v="1"/>
    <x v="2"/>
    <s v="Y"/>
    <x v="0"/>
    <n v="190.72900000000001"/>
    <n v="0.60499999999999998"/>
    <x v="3"/>
    <n v="179"/>
    <m/>
    <x v="3"/>
    <n v="28"/>
    <n v="0.47"/>
    <x v="0"/>
    <n v="19.013000000000002"/>
    <x v="2"/>
    <x v="0"/>
    <x v="0"/>
    <n v="0"/>
    <x v="0"/>
  </r>
  <r>
    <s v="M"/>
    <x v="17"/>
    <n v="79.057000000000002"/>
    <n v="1.6379999999999999"/>
    <n v="33.725999999999999"/>
    <n v="29.465413165046868"/>
    <n v="1"/>
    <x v="1"/>
    <n v="112.245"/>
    <s v="93/117"/>
    <n v="93"/>
    <n v="117"/>
    <n v="197"/>
    <x v="0"/>
    <n v="82"/>
    <n v="109"/>
    <x v="0"/>
    <x v="0"/>
    <x v="0"/>
    <s v="N"/>
    <x v="0"/>
    <n v="163.815"/>
    <n v="0.68500000000000005"/>
    <x v="3"/>
    <n v="93"/>
    <n v="117"/>
    <x v="3"/>
    <n v="85"/>
    <n v="1.04"/>
    <x v="0"/>
    <n v="17.335000000000001"/>
    <x v="0"/>
    <x v="0"/>
    <x v="0"/>
    <n v="0"/>
    <x v="0"/>
  </r>
  <r>
    <s v="M"/>
    <x v="54"/>
    <n v="61.345999999999997"/>
    <n v="1.9690000000000001"/>
    <n v="27.276"/>
    <n v="15.823218237170812"/>
    <n v="1"/>
    <x v="2"/>
    <n v="114.44199999999999"/>
    <s v="126/91"/>
    <n v="126"/>
    <n v="91"/>
    <n v="223"/>
    <x v="0"/>
    <n v="82"/>
    <n v="108"/>
    <x v="1"/>
    <x v="1"/>
    <x v="2"/>
    <s v="Y"/>
    <x v="0"/>
    <n v="196.93700000000001"/>
    <n v="0.58099999999999996"/>
    <x v="1"/>
    <n v="126"/>
    <n v="91"/>
    <x v="3"/>
    <m/>
    <n v="0"/>
    <x v="0"/>
    <n v="16.215"/>
    <x v="1"/>
    <x v="1"/>
    <x v="1"/>
    <n v="1"/>
    <x v="0"/>
  </r>
  <r>
    <s v="F"/>
    <x v="54"/>
    <n v="54.046999999999997"/>
    <n v="1.794"/>
    <n v="33.164000000000001"/>
    <n v="16.792939179154097"/>
    <n v="1"/>
    <x v="1"/>
    <n v="119.48399999999999"/>
    <s v="93/93"/>
    <n v="93"/>
    <n v="93"/>
    <n v="178"/>
    <x v="1"/>
    <n v="57"/>
    <n v="96"/>
    <x v="0"/>
    <x v="0"/>
    <x v="0"/>
    <s v="N"/>
    <x v="0"/>
    <n v="179.40899999999999"/>
    <n v="0.66600000000000004"/>
    <x v="3"/>
    <n v="93"/>
    <n v="93"/>
    <x v="3"/>
    <n v="91"/>
    <n v="1.6"/>
    <x v="0"/>
    <n v="16.843"/>
    <x v="2"/>
    <x v="0"/>
    <x v="0"/>
    <n v="0"/>
    <x v="1"/>
  </r>
  <r>
    <s v="F"/>
    <x v="41"/>
    <n v="109.136"/>
    <n v="1.905"/>
    <n v="31.61"/>
    <n v="30.073091257293626"/>
    <n v="1"/>
    <x v="1"/>
    <n v="74.462000000000003"/>
    <s v="99/71"/>
    <n v="99"/>
    <n v="71"/>
    <n v="109"/>
    <x v="2"/>
    <n v="60"/>
    <n v="104"/>
    <x v="1"/>
    <x v="1"/>
    <x v="2"/>
    <s v="N"/>
    <x v="2"/>
    <n v="190.47300000000001"/>
    <n v="0.39100000000000001"/>
    <x v="2"/>
    <n v="99"/>
    <n v="71"/>
    <x v="2"/>
    <n v="19"/>
    <n v="0.32"/>
    <x v="0"/>
    <n v="13.452"/>
    <x v="1"/>
    <x v="1"/>
    <x v="1"/>
    <n v="1"/>
    <x v="0"/>
  </r>
  <r>
    <s v="M"/>
    <x v="25"/>
    <n v="94.117999999999995"/>
    <n v="1.7729999999999999"/>
    <n v="27.082999999999998"/>
    <n v="29.940235957740491"/>
    <n v="1"/>
    <x v="2"/>
    <n v="77.094999999999999"/>
    <s v="174/78"/>
    <n v="174"/>
    <n v="78"/>
    <n v="160"/>
    <x v="1"/>
    <n v="44"/>
    <n v="179"/>
    <x v="1"/>
    <x v="1"/>
    <x v="2"/>
    <s v="N"/>
    <x v="2"/>
    <n v="177.31899999999999"/>
    <n v="0.435"/>
    <x v="2"/>
    <n v="174"/>
    <n v="78"/>
    <x v="3"/>
    <n v="86"/>
    <n v="1.95"/>
    <x v="0"/>
    <n v="17.317"/>
    <x v="0"/>
    <x v="0"/>
    <x v="0"/>
    <n v="0"/>
    <x v="0"/>
  </r>
  <r>
    <s v="F"/>
    <x v="29"/>
    <n v="51.871000000000002"/>
    <n v="1.8939999999999999"/>
    <n v="30.558"/>
    <n v="14.459879416910404"/>
    <n v="1"/>
    <x v="1"/>
    <n v="83.375"/>
    <s v="99/108"/>
    <n v="99"/>
    <n v="108"/>
    <n v="261"/>
    <x v="0"/>
    <n v="36"/>
    <m/>
    <x v="0"/>
    <x v="0"/>
    <x v="1"/>
    <s v="N"/>
    <x v="2"/>
    <n v="189.36799999999999"/>
    <n v="0.44"/>
    <x v="2"/>
    <n v="99"/>
    <n v="108"/>
    <x v="3"/>
    <n v="195"/>
    <n v="5.42"/>
    <x v="0"/>
    <n v="18.282"/>
    <x v="1"/>
    <x v="0"/>
    <x v="1"/>
    <n v="1"/>
    <x v="1"/>
  </r>
  <r>
    <s v="F"/>
    <x v="9"/>
    <n v="117.726"/>
    <m/>
    <n v="24.768000000000001"/>
    <s v=""/>
    <s v=""/>
    <x v="0"/>
    <n v="92.332999999999998"/>
    <s v="166/77"/>
    <n v="166"/>
    <n v="77"/>
    <n v="139"/>
    <x v="2"/>
    <m/>
    <n v="139"/>
    <x v="0"/>
    <x v="1"/>
    <x v="2"/>
    <s v="N"/>
    <x v="3"/>
    <n v="185.18899999999999"/>
    <n v="0.499"/>
    <x v="0"/>
    <n v="166"/>
    <n v="77"/>
    <x v="3"/>
    <n v="53"/>
    <s v=""/>
    <x v="0"/>
    <n v="16.033999999999999"/>
    <x v="1"/>
    <x v="0"/>
    <x v="1"/>
    <n v="1"/>
    <x v="0"/>
  </r>
  <r>
    <s v="M"/>
    <x v="51"/>
    <n v="86.933000000000007"/>
    <n v="1.5169999999999999"/>
    <n v="39.320999999999998"/>
    <n v="37.775785657516295"/>
    <n v="1"/>
    <x v="1"/>
    <n v="79.563999999999993"/>
    <s v="105/68"/>
    <n v="105"/>
    <n v="68"/>
    <n v="257"/>
    <x v="0"/>
    <n v="36"/>
    <n v="105"/>
    <x v="0"/>
    <x v="1"/>
    <x v="2"/>
    <s v="N"/>
    <x v="3"/>
    <n v="151.73699999999999"/>
    <n v="0.52400000000000002"/>
    <x v="1"/>
    <n v="105"/>
    <n v="68"/>
    <x v="2"/>
    <n v="191"/>
    <n v="5.31"/>
    <x v="0"/>
    <n v="18.254000000000001"/>
    <x v="2"/>
    <x v="0"/>
    <x v="0"/>
    <n v="0"/>
    <x v="0"/>
  </r>
  <r>
    <s v="M"/>
    <x v="8"/>
    <n v="101.761"/>
    <n v="1.51"/>
    <n v="27.321999999999999"/>
    <n v="44.630060085083983"/>
    <n v="1"/>
    <x v="2"/>
    <m/>
    <s v="136/101"/>
    <n v="136"/>
    <n v="101"/>
    <n v="278"/>
    <x v="0"/>
    <n v="83"/>
    <n v="168"/>
    <x v="1"/>
    <x v="1"/>
    <x v="1"/>
    <s v="N"/>
    <x v="2"/>
    <n v="151.02199999999999"/>
    <n v="0.70799999999999996"/>
    <x v="3"/>
    <n v="136"/>
    <n v="101"/>
    <x v="1"/>
    <n v="165"/>
    <n v="1.99"/>
    <x v="0"/>
    <n v="17.824000000000002"/>
    <x v="2"/>
    <x v="0"/>
    <x v="0"/>
    <n v="0"/>
    <x v="0"/>
  </r>
  <r>
    <s v="M"/>
    <x v="7"/>
    <n v="76.971000000000004"/>
    <n v="1.921"/>
    <n v="39.555"/>
    <n v="20.857987323863128"/>
    <n v="1"/>
    <x v="1"/>
    <n v="85.308000000000007"/>
    <s v="112/119"/>
    <n v="112"/>
    <n v="119"/>
    <n v="148"/>
    <x v="2"/>
    <n v="31"/>
    <n v="117"/>
    <x v="1"/>
    <x v="0"/>
    <x v="2"/>
    <s v="Y"/>
    <x v="1"/>
    <n v="192.06299999999999"/>
    <n v="0.44400000000000001"/>
    <x v="2"/>
    <n v="112"/>
    <n v="119"/>
    <x v="3"/>
    <n v="87"/>
    <n v="2.81"/>
    <x v="0"/>
    <n v="18.471"/>
    <x v="1"/>
    <x v="0"/>
    <x v="1"/>
    <n v="1"/>
    <x v="0"/>
  </r>
  <r>
    <s v="M"/>
    <x v="2"/>
    <n v="115.322"/>
    <n v="1.589"/>
    <n v="27.756"/>
    <n v="45.673508200850641"/>
    <n v="1"/>
    <x v="2"/>
    <n v="75.941000000000003"/>
    <s v="159/89"/>
    <n v="159"/>
    <n v="89"/>
    <n v="121"/>
    <x v="2"/>
    <n v="53"/>
    <n v="103"/>
    <x v="0"/>
    <x v="1"/>
    <x v="2"/>
    <s v="Y"/>
    <x v="2"/>
    <n v="158.85599999999999"/>
    <n v="0.47799999999999998"/>
    <x v="0"/>
    <n v="159"/>
    <n v="89"/>
    <x v="1"/>
    <n v="38"/>
    <n v="0.72"/>
    <x v="0"/>
    <n v="15.920999999999999"/>
    <x v="2"/>
    <x v="0"/>
    <x v="0"/>
    <n v="0"/>
    <x v="0"/>
  </r>
  <r>
    <s v="M"/>
    <x v="30"/>
    <n v="83.064999999999998"/>
    <n v="1.9710000000000001"/>
    <n v="28.154"/>
    <n v="21.38182746732749"/>
    <n v="1"/>
    <x v="2"/>
    <n v="92.423000000000002"/>
    <s v="103/81"/>
    <n v="103"/>
    <n v="81"/>
    <n v="104"/>
    <x v="2"/>
    <n v="89"/>
    <n v="71"/>
    <x v="0"/>
    <x v="1"/>
    <x v="0"/>
    <s v="Y"/>
    <x v="0"/>
    <n v="197.12700000000001"/>
    <n v="0.46899999999999997"/>
    <x v="0"/>
    <n v="103"/>
    <n v="81"/>
    <x v="1"/>
    <n v="-15"/>
    <n v="-0.17"/>
    <x v="0"/>
    <n v="12.861000000000001"/>
    <x v="0"/>
    <x v="0"/>
    <x v="0"/>
    <n v="0"/>
    <x v="0"/>
  </r>
  <r>
    <s v="M"/>
    <x v="26"/>
    <n v="108.125"/>
    <n v="1.5680000000000001"/>
    <n v="25.887"/>
    <n v="43.977851025614321"/>
    <n v="1"/>
    <x v="2"/>
    <n v="103.05500000000001"/>
    <s v="157/61"/>
    <n v="157"/>
    <n v="61"/>
    <n v="255"/>
    <x v="0"/>
    <m/>
    <n v="137"/>
    <x v="1"/>
    <x v="0"/>
    <x v="1"/>
    <s v="N"/>
    <x v="0"/>
    <n v="156.839"/>
    <n v="0.65700000000000003"/>
    <x v="3"/>
    <n v="157"/>
    <n v="61"/>
    <x v="3"/>
    <n v="180"/>
    <s v=""/>
    <x v="0"/>
    <n v="20.126999999999999"/>
    <x v="2"/>
    <x v="0"/>
    <x v="0"/>
    <n v="0"/>
    <x v="1"/>
  </r>
  <r>
    <s v="M"/>
    <x v="2"/>
    <n v="95.772000000000006"/>
    <n v="1.6890000000000001"/>
    <n v="21.716999999999999"/>
    <n v="33.572157950251707"/>
    <n v="1"/>
    <x v="0"/>
    <n v="79.183999999999997"/>
    <s v="113/99"/>
    <n v="113"/>
    <n v="99"/>
    <n v="163"/>
    <x v="1"/>
    <n v="83"/>
    <n v="154"/>
    <x v="0"/>
    <x v="0"/>
    <x v="1"/>
    <s v="Y"/>
    <x v="0"/>
    <n v="168.88399999999999"/>
    <n v="0.46899999999999997"/>
    <x v="0"/>
    <n v="113"/>
    <n v="99"/>
    <x v="3"/>
    <n v="50"/>
    <n v="0.6"/>
    <x v="0"/>
    <n v="15.253"/>
    <x v="1"/>
    <x v="1"/>
    <x v="1"/>
    <n v="1"/>
    <x v="0"/>
  </r>
  <r>
    <s v="M"/>
    <x v="18"/>
    <n v="102.828"/>
    <n v="1.9770000000000001"/>
    <n v="38.314999999999998"/>
    <n v="26.308618920315034"/>
    <n v="1"/>
    <x v="1"/>
    <n v="100.4"/>
    <s v="151/77"/>
    <n v="151"/>
    <n v="77"/>
    <n v="294"/>
    <x v="0"/>
    <n v="30"/>
    <n v="88"/>
    <x v="1"/>
    <x v="0"/>
    <x v="1"/>
    <s v="Y"/>
    <x v="1"/>
    <n v="197.715"/>
    <n v="0.50800000000000001"/>
    <x v="0"/>
    <n v="151"/>
    <n v="77"/>
    <x v="3"/>
    <n v="234"/>
    <n v="7.8"/>
    <x v="0"/>
    <n v="23.093"/>
    <x v="2"/>
    <x v="0"/>
    <x v="0"/>
    <n v="0"/>
    <x v="0"/>
  </r>
  <r>
    <s v="M"/>
    <x v="55"/>
    <n v="58.953000000000003"/>
    <n v="1.6879999999999999"/>
    <n v="25.286000000000001"/>
    <n v="20.690025493587299"/>
    <n v="1"/>
    <x v="2"/>
    <m/>
    <s v="110/114"/>
    <n v="110"/>
    <n v="114"/>
    <n v="258"/>
    <x v="0"/>
    <n v="58"/>
    <n v="146"/>
    <x v="0"/>
    <x v="1"/>
    <x v="1"/>
    <s v="Y"/>
    <x v="2"/>
    <n v="168.76300000000001"/>
    <n v="0.45500000000000002"/>
    <x v="2"/>
    <n v="110"/>
    <n v="114"/>
    <x v="3"/>
    <n v="170"/>
    <n v="2.93"/>
    <x v="0"/>
    <n v="15.717000000000001"/>
    <x v="1"/>
    <x v="0"/>
    <x v="1"/>
    <n v="1"/>
    <x v="0"/>
  </r>
  <r>
    <s v="M"/>
    <x v="32"/>
    <n v="99.585999999999999"/>
    <n v="1.8979999999999999"/>
    <n v="39.517000000000003"/>
    <n v="27.644317516858191"/>
    <n v="1"/>
    <x v="1"/>
    <n v="107.48099999999999"/>
    <s v="171/80"/>
    <n v="171"/>
    <n v="80"/>
    <n v="125"/>
    <x v="2"/>
    <n v="45"/>
    <n v="101"/>
    <x v="1"/>
    <x v="0"/>
    <x v="1"/>
    <s v="N"/>
    <x v="0"/>
    <n v="189.82"/>
    <n v="0.56599999999999995"/>
    <x v="1"/>
    <n v="171"/>
    <n v="80"/>
    <x v="1"/>
    <n v="50"/>
    <n v="1.1100000000000001"/>
    <x v="0"/>
    <n v="20.952999999999999"/>
    <x v="2"/>
    <x v="0"/>
    <x v="0"/>
    <n v="0"/>
    <x v="1"/>
  </r>
  <r>
    <s v="M"/>
    <x v="48"/>
    <n v="96.063000000000002"/>
    <n v="1.986"/>
    <n v="27.821000000000002"/>
    <n v="24.355534055609816"/>
    <n v="1"/>
    <x v="2"/>
    <n v="72.712999999999994"/>
    <s v="158/74"/>
    <n v="158"/>
    <n v="74"/>
    <n v="211"/>
    <x v="0"/>
    <n v="74"/>
    <n v="75"/>
    <x v="1"/>
    <x v="0"/>
    <x v="0"/>
    <s v="N"/>
    <x v="1"/>
    <n v="198.64699999999999"/>
    <n v="0.36599999999999999"/>
    <x v="2"/>
    <n v="158"/>
    <n v="74"/>
    <x v="3"/>
    <n v="107"/>
    <n v="1.45"/>
    <x v="0"/>
    <n v="19.684000000000001"/>
    <x v="2"/>
    <x v="0"/>
    <x v="0"/>
    <n v="0"/>
    <x v="1"/>
  </r>
  <r>
    <s v="F"/>
    <x v="32"/>
    <n v="60.206000000000003"/>
    <n v="1.857"/>
    <n v="21.033000000000001"/>
    <n v="17.458863390469165"/>
    <n v="1"/>
    <x v="0"/>
    <n v="78.745000000000005"/>
    <s v="140/61"/>
    <n v="140"/>
    <n v="61"/>
    <n v="123"/>
    <x v="2"/>
    <n v="76"/>
    <n v="109"/>
    <x v="0"/>
    <x v="1"/>
    <x v="0"/>
    <s v="N"/>
    <x v="2"/>
    <n v="185.68100000000001"/>
    <n v="0.42399999999999999"/>
    <x v="2"/>
    <n v="140"/>
    <n v="61"/>
    <x v="3"/>
    <n v="17"/>
    <n v="0.22"/>
    <x v="0"/>
    <n v="13.667"/>
    <x v="2"/>
    <x v="0"/>
    <x v="0"/>
    <n v="0"/>
    <x v="0"/>
  </r>
  <r>
    <s v="F"/>
    <x v="2"/>
    <n v="59.238"/>
    <n v="1.623"/>
    <n v="26.465"/>
    <n v="22.488648050266331"/>
    <n v="1"/>
    <x v="2"/>
    <n v="98.698999999999998"/>
    <s v="113/66"/>
    <n v="113"/>
    <n v="66"/>
    <n v="247"/>
    <x v="0"/>
    <n v="41"/>
    <n v="71"/>
    <x v="0"/>
    <x v="0"/>
    <x v="2"/>
    <s v="Y"/>
    <x v="0"/>
    <n v="162.27799999999999"/>
    <n v="0.60799999999999998"/>
    <x v="3"/>
    <n v="113"/>
    <n v="66"/>
    <x v="2"/>
    <n v="176"/>
    <n v="4.29"/>
    <x v="0"/>
    <n v="17.882999999999999"/>
    <x v="0"/>
    <x v="0"/>
    <x v="0"/>
    <n v="0"/>
    <x v="0"/>
  </r>
  <r>
    <s v="M"/>
    <x v="5"/>
    <n v="116.375"/>
    <n v="1.91"/>
    <n v="33.597000000000001"/>
    <n v="31.900167210328664"/>
    <n v="1"/>
    <x v="1"/>
    <m/>
    <s v="98/91"/>
    <n v="98"/>
    <n v="91"/>
    <n v="240"/>
    <x v="0"/>
    <n v="60"/>
    <n v="180"/>
    <x v="0"/>
    <x v="0"/>
    <x v="1"/>
    <s v="Y"/>
    <x v="0"/>
    <n v="191.024"/>
    <n v="0.42599999999999999"/>
    <x v="2"/>
    <n v="98"/>
    <n v="91"/>
    <x v="3"/>
    <n v="150"/>
    <n v="2.5"/>
    <x v="0"/>
    <n v="18.419"/>
    <x v="0"/>
    <x v="0"/>
    <x v="0"/>
    <n v="0"/>
    <x v="0"/>
  </r>
  <r>
    <s v="M"/>
    <x v="45"/>
    <n v="92.384"/>
    <n v="1.5640000000000001"/>
    <n v="33.505000000000003"/>
    <n v="37.767937153733946"/>
    <n v="1"/>
    <x v="1"/>
    <n v="82.86"/>
    <s v="146/72"/>
    <n v="146"/>
    <n v="72"/>
    <n v="146"/>
    <x v="2"/>
    <n v="84"/>
    <n v="117"/>
    <x v="1"/>
    <x v="1"/>
    <x v="0"/>
    <s v="N"/>
    <x v="0"/>
    <m/>
    <n v="0.53"/>
    <x v="1"/>
    <n v="146"/>
    <n v="72"/>
    <x v="3"/>
    <n v="32"/>
    <n v="0.38"/>
    <x v="0"/>
    <n v="16.920999999999999"/>
    <x v="2"/>
    <x v="0"/>
    <x v="0"/>
    <n v="0"/>
    <x v="0"/>
  </r>
  <r>
    <s v="M"/>
    <x v="19"/>
    <n v="112.709"/>
    <n v="1.8420000000000001"/>
    <n v="26.524000000000001"/>
    <n v="33.218448530547334"/>
    <n v="1"/>
    <x v="2"/>
    <n v="107.197"/>
    <s v="112/77"/>
    <n v="112"/>
    <n v="77"/>
    <n v="155"/>
    <x v="1"/>
    <n v="64"/>
    <n v="160"/>
    <x v="1"/>
    <x v="1"/>
    <x v="2"/>
    <s v="Y"/>
    <x v="0"/>
    <n v="184.20699999999999"/>
    <n v="0.58199999999999996"/>
    <x v="1"/>
    <n v="112"/>
    <n v="77"/>
    <x v="2"/>
    <n v="61"/>
    <n v="0.95"/>
    <x v="0"/>
    <n v="14.005000000000001"/>
    <x v="1"/>
    <x v="1"/>
    <x v="1"/>
    <n v="1"/>
    <x v="0"/>
  </r>
  <r>
    <s v="M"/>
    <x v="38"/>
    <n v="71.227999999999994"/>
    <n v="1.7969999999999999"/>
    <n v="19.484999999999999"/>
    <n v="22.057414060223419"/>
    <n v="1"/>
    <x v="0"/>
    <n v="109.94199999999999"/>
    <s v="132/60"/>
    <n v="132"/>
    <n v="60"/>
    <n v="150"/>
    <x v="1"/>
    <n v="75"/>
    <n v="97"/>
    <x v="0"/>
    <x v="0"/>
    <x v="1"/>
    <s v="N"/>
    <x v="2"/>
    <n v="179.69900000000001"/>
    <n v="0.61199999999999999"/>
    <x v="3"/>
    <n v="132"/>
    <n v="60"/>
    <x v="1"/>
    <n v="45"/>
    <n v="0.6"/>
    <x v="0"/>
    <n v="15.497"/>
    <x v="2"/>
    <x v="0"/>
    <x v="0"/>
    <n v="0"/>
    <x v="1"/>
  </r>
  <r>
    <s v="F"/>
    <x v="4"/>
    <n v="69.87"/>
    <n v="1.944"/>
    <n v="20.785"/>
    <n v="18.488352893359753"/>
    <n v="1"/>
    <x v="0"/>
    <n v="86.259"/>
    <s v="162/106"/>
    <n v="162"/>
    <n v="106"/>
    <n v="151"/>
    <x v="1"/>
    <m/>
    <n v="139"/>
    <x v="1"/>
    <x v="1"/>
    <x v="2"/>
    <s v="N"/>
    <x v="2"/>
    <n v="194.45"/>
    <n v="0.44400000000000001"/>
    <x v="2"/>
    <n v="162"/>
    <n v="106"/>
    <x v="3"/>
    <n v="44"/>
    <s v=""/>
    <x v="0"/>
    <n v="15.276999999999999"/>
    <x v="1"/>
    <x v="0"/>
    <x v="1"/>
    <n v="1"/>
    <x v="0"/>
  </r>
  <r>
    <s v="F"/>
    <x v="2"/>
    <n v="68.159000000000006"/>
    <n v="1.655"/>
    <n v="31.213999999999999"/>
    <n v="24.884402296437599"/>
    <n v="1"/>
    <x v="1"/>
    <n v="92.111000000000004"/>
    <s v="113/70"/>
    <n v="113"/>
    <n v="70"/>
    <n v="123"/>
    <x v="2"/>
    <n v="34"/>
    <n v="118"/>
    <x v="1"/>
    <x v="1"/>
    <x v="1"/>
    <s v="N"/>
    <x v="2"/>
    <n v="165.53800000000001"/>
    <n v="0.55600000000000005"/>
    <x v="1"/>
    <n v="113"/>
    <n v="70"/>
    <x v="2"/>
    <m/>
    <n v="0"/>
    <x v="0"/>
    <n v="14.353"/>
    <x v="2"/>
    <x v="0"/>
    <x v="0"/>
    <n v="0"/>
    <x v="0"/>
  </r>
  <r>
    <s v="F"/>
    <x v="2"/>
    <n v="104.46899999999999"/>
    <n v="1.9950000000000001"/>
    <n v="25.39"/>
    <n v="26.248327585881995"/>
    <n v="1"/>
    <x v="2"/>
    <n v="86.894000000000005"/>
    <s v="164/90"/>
    <n v="164"/>
    <n v="90"/>
    <m/>
    <x v="2"/>
    <n v="82"/>
    <n v="175"/>
    <x v="0"/>
    <x v="1"/>
    <x v="0"/>
    <s v="Y"/>
    <x v="0"/>
    <n v="199.458"/>
    <n v="0.436"/>
    <x v="2"/>
    <n v="164"/>
    <n v="90"/>
    <x v="3"/>
    <n v="147"/>
    <n v="1.79"/>
    <x v="0"/>
    <n v="18.457999999999998"/>
    <x v="1"/>
    <x v="1"/>
    <x v="1"/>
    <n v="1"/>
    <x v="0"/>
  </r>
  <r>
    <s v="F"/>
    <x v="15"/>
    <n v="113.298"/>
    <n v="1.5089999999999999"/>
    <n v="22.850999999999999"/>
    <n v="49.755805788199893"/>
    <n v="1"/>
    <x v="0"/>
    <n v="113.07"/>
    <s v="133/115"/>
    <n v="133"/>
    <n v="115"/>
    <n v="241"/>
    <x v="0"/>
    <n v="77"/>
    <n v="95"/>
    <x v="1"/>
    <x v="1"/>
    <x v="0"/>
    <s v="Y"/>
    <x v="1"/>
    <n v="150.86799999999999"/>
    <n v="0.749"/>
    <x v="3"/>
    <n v="133"/>
    <n v="115"/>
    <x v="1"/>
    <n v="134"/>
    <n v="1.74"/>
    <x v="0"/>
    <n v="16.04"/>
    <x v="2"/>
    <x v="0"/>
    <x v="0"/>
    <n v="0"/>
    <x v="0"/>
  </r>
  <r>
    <s v="M"/>
    <x v="24"/>
    <n v="53.326999999999998"/>
    <n v="1.7050000000000001"/>
    <n v="34.231999999999999"/>
    <n v="18.344183486554119"/>
    <n v="1"/>
    <x v="1"/>
    <n v="111.739"/>
    <s v="117/116"/>
    <n v="117"/>
    <n v="116"/>
    <n v="287"/>
    <x v="0"/>
    <n v="82"/>
    <n v="140"/>
    <x v="1"/>
    <x v="1"/>
    <x v="1"/>
    <s v="N"/>
    <x v="2"/>
    <n v="170.45699999999999"/>
    <n v="0.65600000000000003"/>
    <x v="3"/>
    <n v="117"/>
    <n v="116"/>
    <x v="3"/>
    <n v="175"/>
    <n v="2.13"/>
    <x v="0"/>
    <n v="18.436"/>
    <x v="1"/>
    <x v="1"/>
    <x v="1"/>
    <n v="1"/>
    <x v="0"/>
  </r>
  <r>
    <s v="M"/>
    <x v="18"/>
    <n v="58.401000000000003"/>
    <n v="1.998"/>
    <n v="30.402999999999999"/>
    <n v="14.62949435922409"/>
    <n v="1"/>
    <x v="1"/>
    <n v="105.896"/>
    <s v="154/97"/>
    <n v="154"/>
    <n v="97"/>
    <n v="173"/>
    <x v="1"/>
    <n v="60"/>
    <n v="141"/>
    <x v="1"/>
    <x v="0"/>
    <x v="0"/>
    <s v="Y"/>
    <x v="4"/>
    <n v="199.821"/>
    <n v="0.53"/>
    <x v="1"/>
    <n v="154"/>
    <n v="97"/>
    <x v="3"/>
    <n v="83"/>
    <n v="1.38"/>
    <x v="0"/>
    <n v="19.241"/>
    <x v="0"/>
    <x v="0"/>
    <x v="0"/>
    <n v="0"/>
    <x v="0"/>
  </r>
  <r>
    <s v="M"/>
    <x v="4"/>
    <n v="50.863999999999997"/>
    <n v="1.782"/>
    <n v="25.684999999999999"/>
    <n v="16.017513959900789"/>
    <n v="1"/>
    <x v="2"/>
    <n v="119.736"/>
    <s v="117/108"/>
    <n v="117"/>
    <n v="108"/>
    <n v="273"/>
    <x v="0"/>
    <n v="37"/>
    <n v="108"/>
    <x v="0"/>
    <x v="0"/>
    <x v="1"/>
    <s v="N"/>
    <x v="2"/>
    <n v="178.178"/>
    <n v="0.67200000000000004"/>
    <x v="3"/>
    <n v="117"/>
    <n v="108"/>
    <x v="3"/>
    <n v="206"/>
    <n v="5.57"/>
    <x v="0"/>
    <n v="18.446999999999999"/>
    <x v="1"/>
    <x v="0"/>
    <x v="1"/>
    <n v="1"/>
    <x v="1"/>
  </r>
  <r>
    <s v="M"/>
    <x v="32"/>
    <n v="56.93"/>
    <n v="1.95"/>
    <n v="25.27"/>
    <n v="14.97172912557528"/>
    <n v="1"/>
    <x v="2"/>
    <n v="88.361000000000004"/>
    <s v="110/67"/>
    <n v="110"/>
    <n v="67"/>
    <m/>
    <x v="2"/>
    <n v="44"/>
    <n v="115"/>
    <x v="0"/>
    <x v="0"/>
    <x v="0"/>
    <s v="Y"/>
    <x v="1"/>
    <n v="195.01300000000001"/>
    <n v="0.45300000000000001"/>
    <x v="2"/>
    <n v="110"/>
    <n v="67"/>
    <x v="2"/>
    <n v="113"/>
    <n v="2.57"/>
    <x v="0"/>
    <n v="16.294"/>
    <x v="0"/>
    <x v="0"/>
    <x v="0"/>
    <n v="0"/>
    <x v="0"/>
  </r>
  <r>
    <s v="F"/>
    <x v="27"/>
    <n v="69.123000000000005"/>
    <n v="1.5820000000000001"/>
    <n v="35.716000000000001"/>
    <n v="27.619106221860662"/>
    <n v="1"/>
    <x v="1"/>
    <n v="82.75"/>
    <s v="175/98"/>
    <n v="175"/>
    <n v="98"/>
    <n v="251"/>
    <x v="0"/>
    <n v="75"/>
    <m/>
    <x v="1"/>
    <x v="1"/>
    <x v="1"/>
    <s v="N"/>
    <x v="2"/>
    <n v="158.19"/>
    <n v="0.52300000000000002"/>
    <x v="1"/>
    <n v="175"/>
    <n v="98"/>
    <x v="3"/>
    <n v="146"/>
    <n v="1.95"/>
    <x v="0"/>
    <n v="20.913"/>
    <x v="1"/>
    <x v="1"/>
    <x v="1"/>
    <n v="1"/>
    <x v="0"/>
  </r>
  <r>
    <s v="M"/>
    <x v="27"/>
    <n v="110.31699999999999"/>
    <n v="1.8520000000000001"/>
    <n v="33.401000000000003"/>
    <n v="32.163290867616112"/>
    <n v="1"/>
    <x v="1"/>
    <n v="100.033"/>
    <s v="110/90"/>
    <n v="110"/>
    <n v="90"/>
    <m/>
    <x v="2"/>
    <n v="87"/>
    <n v="180"/>
    <x v="0"/>
    <x v="0"/>
    <x v="1"/>
    <s v="Y"/>
    <x v="0"/>
    <n v="185.16800000000001"/>
    <n v="0.54"/>
    <x v="1"/>
    <n v="110"/>
    <n v="90"/>
    <x v="3"/>
    <n v="158"/>
    <n v="1.82"/>
    <x v="0"/>
    <n v="19.68"/>
    <x v="0"/>
    <x v="0"/>
    <x v="0"/>
    <n v="0"/>
    <x v="0"/>
  </r>
  <r>
    <s v="F"/>
    <x v="53"/>
    <n v="64.171999999999997"/>
    <n v="1.6779999999999999"/>
    <n v="20.372"/>
    <n v="22.79090977538673"/>
    <n v="1"/>
    <x v="0"/>
    <n v="100.568"/>
    <s v="146/96"/>
    <n v="146"/>
    <n v="96"/>
    <n v="225"/>
    <x v="0"/>
    <n v="78"/>
    <n v="140"/>
    <x v="1"/>
    <x v="1"/>
    <x v="1"/>
    <s v="Y"/>
    <x v="0"/>
    <n v="167.80600000000001"/>
    <n v="0.59899999999999998"/>
    <x v="3"/>
    <n v="146"/>
    <n v="96"/>
    <x v="3"/>
    <m/>
    <n v="0"/>
    <x v="0"/>
    <n v="15.874000000000001"/>
    <x v="2"/>
    <x v="0"/>
    <x v="0"/>
    <n v="0"/>
    <x v="0"/>
  </r>
  <r>
    <s v="M"/>
    <x v="22"/>
    <n v="113.143"/>
    <n v="1.518"/>
    <n v="25.745000000000001"/>
    <n v="49.100300131405128"/>
    <n v="1"/>
    <x v="2"/>
    <n v="97.483000000000004"/>
    <s v="133/95"/>
    <n v="133"/>
    <n v="95"/>
    <n v="150"/>
    <x v="1"/>
    <n v="54"/>
    <n v="133"/>
    <x v="1"/>
    <x v="0"/>
    <x v="0"/>
    <s v="Y"/>
    <x v="4"/>
    <n v="151.80500000000001"/>
    <n v="0.64200000000000002"/>
    <x v="3"/>
    <n v="133"/>
    <n v="95"/>
    <x v="1"/>
    <n v="66"/>
    <n v="1.22"/>
    <x v="0"/>
    <n v="16.798999999999999"/>
    <x v="1"/>
    <x v="0"/>
    <x v="1"/>
    <n v="1"/>
    <x v="0"/>
  </r>
  <r>
    <s v="M"/>
    <x v="16"/>
    <n v="68.763999999999996"/>
    <n v="1.742"/>
    <n v="34.994"/>
    <n v="22.66025695948413"/>
    <n v="1"/>
    <x v="1"/>
    <n v="94.353999999999999"/>
    <s v="156/64"/>
    <n v="156"/>
    <n v="64"/>
    <n v="261"/>
    <x v="0"/>
    <n v="43"/>
    <n v="78"/>
    <x v="0"/>
    <x v="1"/>
    <x v="2"/>
    <s v="Y"/>
    <x v="2"/>
    <n v="174.197"/>
    <n v="0.54200000000000004"/>
    <x v="1"/>
    <n v="156"/>
    <n v="64"/>
    <x v="3"/>
    <n v="188"/>
    <n v="4.37"/>
    <x v="0"/>
    <n v="20.018999999999998"/>
    <x v="2"/>
    <x v="0"/>
    <x v="0"/>
    <n v="0"/>
    <x v="0"/>
  </r>
  <r>
    <s v="M"/>
    <x v="50"/>
    <n v="51.857999999999997"/>
    <n v="1.6080000000000001"/>
    <n v="33.293999999999997"/>
    <n v="20.055970149253728"/>
    <n v="1"/>
    <x v="1"/>
    <n v="71.58"/>
    <s v="99/78"/>
    <n v="99"/>
    <n v="78"/>
    <n v="124"/>
    <x v="2"/>
    <n v="60"/>
    <n v="135"/>
    <x v="1"/>
    <x v="0"/>
    <x v="2"/>
    <s v="Y"/>
    <x v="1"/>
    <n v="160.768"/>
    <n v="0.44500000000000001"/>
    <x v="2"/>
    <n v="99"/>
    <m/>
    <x v="2"/>
    <n v="34"/>
    <n v="0.56999999999999995"/>
    <x v="0"/>
    <n v="16.088999999999999"/>
    <x v="2"/>
    <x v="0"/>
    <x v="0"/>
    <n v="0"/>
    <x v="0"/>
  </r>
  <r>
    <s v="M"/>
    <x v="52"/>
    <n v="72.349999999999994"/>
    <n v="1.738"/>
    <n v="37.643999999999998"/>
    <n v="23.951846030184292"/>
    <n v="1"/>
    <x v="1"/>
    <n v="73.531000000000006"/>
    <s v="145/103"/>
    <n v="145"/>
    <n v="103"/>
    <m/>
    <x v="2"/>
    <n v="41"/>
    <n v="76"/>
    <x v="1"/>
    <x v="1"/>
    <x v="2"/>
    <s v="Y"/>
    <x v="0"/>
    <n v="173.84200000000001"/>
    <n v="0.42299999999999999"/>
    <x v="2"/>
    <n v="145"/>
    <n v="103"/>
    <x v="3"/>
    <n v="96"/>
    <n v="2.34"/>
    <x v="0"/>
    <n v="18.119"/>
    <x v="0"/>
    <x v="0"/>
    <x v="0"/>
    <n v="0"/>
    <x v="0"/>
  </r>
  <r>
    <s v="M"/>
    <x v="32"/>
    <n v="100.935"/>
    <n v="1.512"/>
    <n v="32.673000000000002"/>
    <n v="44.150762156714535"/>
    <n v="1"/>
    <x v="1"/>
    <n v="80.738"/>
    <s v="151/78"/>
    <n v="151"/>
    <n v="78"/>
    <n v="106"/>
    <x v="2"/>
    <n v="30"/>
    <n v="191"/>
    <x v="1"/>
    <x v="0"/>
    <x v="2"/>
    <s v="N"/>
    <x v="0"/>
    <n v="151.18700000000001"/>
    <n v="0.53400000000000003"/>
    <x v="1"/>
    <n v="151"/>
    <n v="78"/>
    <x v="3"/>
    <n v="46"/>
    <n v="1.53"/>
    <x v="0"/>
    <n v="18.204999999999998"/>
    <x v="2"/>
    <x v="0"/>
    <x v="0"/>
    <n v="0"/>
    <x v="1"/>
  </r>
  <r>
    <s v="M"/>
    <x v="19"/>
    <n v="60.392000000000003"/>
    <n v="1.589"/>
    <n v="35.881"/>
    <n v="23.91837209956272"/>
    <n v="1"/>
    <x v="1"/>
    <n v="106.985"/>
    <s v="155/81"/>
    <n v="155"/>
    <n v="81"/>
    <n v="154"/>
    <x v="1"/>
    <n v="87"/>
    <n v="124"/>
    <x v="0"/>
    <x v="0"/>
    <x v="1"/>
    <s v="N"/>
    <x v="2"/>
    <m/>
    <n v="0.67300000000000004"/>
    <x v="3"/>
    <n v="155"/>
    <n v="81"/>
    <x v="1"/>
    <n v="37"/>
    <n v="0.43"/>
    <x v="0"/>
    <n v="20.006"/>
    <x v="0"/>
    <x v="0"/>
    <x v="0"/>
    <n v="0"/>
    <x v="0"/>
  </r>
  <r>
    <s v="F"/>
    <x v="26"/>
    <n v="86.528999999999996"/>
    <n v="1.8140000000000001"/>
    <n v="27.254000000000001"/>
    <n v="26.295844278665623"/>
    <n v="1"/>
    <x v="2"/>
    <n v="110.922"/>
    <s v="151/90"/>
    <n v="151"/>
    <n v="90"/>
    <n v="287"/>
    <x v="0"/>
    <n v="37"/>
    <m/>
    <x v="1"/>
    <x v="1"/>
    <x v="1"/>
    <s v="N"/>
    <x v="2"/>
    <n v="181.41900000000001"/>
    <n v="0.61099999999999999"/>
    <x v="3"/>
    <n v="151"/>
    <n v="90"/>
    <x v="3"/>
    <n v="220"/>
    <n v="5.95"/>
    <x v="0"/>
    <n v="18.741"/>
    <x v="2"/>
    <x v="0"/>
    <x v="0"/>
    <n v="0"/>
    <x v="0"/>
  </r>
  <r>
    <s v="M"/>
    <x v="8"/>
    <n v="56.454000000000001"/>
    <n v="1.9319999999999999"/>
    <n v="18.731000000000002"/>
    <n v="15.124480794208043"/>
    <n v="1"/>
    <x v="0"/>
    <m/>
    <s v="173/109"/>
    <n v="173"/>
    <n v="109"/>
    <n v="278"/>
    <x v="0"/>
    <n v="39"/>
    <m/>
    <x v="1"/>
    <x v="1"/>
    <x v="2"/>
    <s v="Y"/>
    <x v="0"/>
    <n v="193.20500000000001"/>
    <n v="0.376"/>
    <x v="2"/>
    <n v="173"/>
    <n v="109"/>
    <x v="3"/>
    <m/>
    <n v="0"/>
    <x v="0"/>
    <n v="17.956"/>
    <x v="0"/>
    <x v="0"/>
    <x v="0"/>
    <n v="0"/>
    <x v="0"/>
  </r>
  <r>
    <s v="M"/>
    <x v="43"/>
    <n v="114.988"/>
    <n v="1.978"/>
    <n v="25.492000000000001"/>
    <n v="29.390024342591559"/>
    <n v="1"/>
    <x v="2"/>
    <n v="119.996"/>
    <s v="136/72"/>
    <n v="136"/>
    <n v="72"/>
    <n v="132"/>
    <x v="2"/>
    <n v="67"/>
    <n v="148"/>
    <x v="1"/>
    <x v="1"/>
    <x v="0"/>
    <s v="Y"/>
    <x v="1"/>
    <n v="197.809"/>
    <m/>
    <x v="4"/>
    <n v="136"/>
    <n v="72"/>
    <x v="1"/>
    <n v="35"/>
    <n v="0.52"/>
    <x v="0"/>
    <n v="14.538"/>
    <x v="1"/>
    <x v="1"/>
    <x v="1"/>
    <n v="1"/>
    <x v="0"/>
  </r>
  <r>
    <s v="M"/>
    <x v="34"/>
    <n v="103.637"/>
    <n v="1.7170000000000001"/>
    <n v="34.828000000000003"/>
    <n v="35.153959056188597"/>
    <n v="1"/>
    <x v="1"/>
    <n v="99.754999999999995"/>
    <s v="128/61"/>
    <n v="128"/>
    <n v="61"/>
    <m/>
    <x v="2"/>
    <n v="42"/>
    <n v="175"/>
    <x v="1"/>
    <x v="0"/>
    <x v="2"/>
    <s v="Y"/>
    <x v="1"/>
    <n v="171.65899999999999"/>
    <n v="0.58099999999999996"/>
    <x v="1"/>
    <n v="128"/>
    <n v="61"/>
    <x v="0"/>
    <n v="148"/>
    <n v="3.52"/>
    <x v="0"/>
    <n v="19.765999999999998"/>
    <x v="1"/>
    <x v="0"/>
    <x v="1"/>
    <n v="1"/>
    <x v="0"/>
  </r>
  <r>
    <s v="F"/>
    <x v="53"/>
    <n v="115.58199999999999"/>
    <n v="1.972"/>
    <n v="25.184999999999999"/>
    <n v="29.721887356047546"/>
    <n v="1"/>
    <x v="2"/>
    <n v="110.35899999999999"/>
    <s v="158/84"/>
    <n v="158"/>
    <n v="84"/>
    <n v="122"/>
    <x v="2"/>
    <n v="44"/>
    <n v="137"/>
    <x v="1"/>
    <x v="0"/>
    <x v="1"/>
    <s v="Y"/>
    <x v="1"/>
    <n v="197.233"/>
    <n v="0.56000000000000005"/>
    <x v="1"/>
    <m/>
    <n v="84"/>
    <x v="1"/>
    <n v="48"/>
    <n v="1.0900000000000001"/>
    <x v="0"/>
    <n v="17.376999999999999"/>
    <x v="0"/>
    <x v="0"/>
    <x v="0"/>
    <n v="0"/>
    <x v="0"/>
  </r>
  <r>
    <s v="F"/>
    <x v="2"/>
    <n v="102.002"/>
    <n v="1.9470000000000001"/>
    <n v="31.382999999999999"/>
    <n v="26.907712839132753"/>
    <n v="1"/>
    <x v="1"/>
    <n v="110.059"/>
    <s v="136/112"/>
    <n v="136"/>
    <n v="112"/>
    <n v="161"/>
    <x v="1"/>
    <n v="76"/>
    <n v="100"/>
    <x v="0"/>
    <x v="1"/>
    <x v="0"/>
    <s v="Y"/>
    <x v="0"/>
    <n v="194.733"/>
    <n v="0.56499999999999995"/>
    <x v="1"/>
    <n v="136"/>
    <n v="112"/>
    <x v="1"/>
    <n v="55"/>
    <n v="0.72"/>
    <x v="0"/>
    <n v="16.297000000000001"/>
    <x v="0"/>
    <x v="0"/>
    <x v="0"/>
    <n v="0"/>
    <x v="0"/>
  </r>
  <r>
    <s v="M"/>
    <x v="51"/>
    <n v="101.774"/>
    <n v="1.5760000000000001"/>
    <n v="24.568000000000001"/>
    <n v="40.975514700198403"/>
    <n v="1"/>
    <x v="0"/>
    <n v="88.424999999999997"/>
    <s v="95/105"/>
    <n v="95"/>
    <n v="105"/>
    <n v="254"/>
    <x v="0"/>
    <n v="58"/>
    <n v="150"/>
    <x v="0"/>
    <x v="0"/>
    <x v="2"/>
    <s v="Y"/>
    <x v="0"/>
    <n v="157.6"/>
    <n v="0.56100000000000005"/>
    <x v="1"/>
    <n v="95"/>
    <n v="105"/>
    <x v="3"/>
    <n v="166"/>
    <n v="2.86"/>
    <x v="0"/>
    <n v="16.744"/>
    <x v="0"/>
    <x v="0"/>
    <x v="0"/>
    <n v="0"/>
    <x v="1"/>
  </r>
  <r>
    <s v="F"/>
    <x v="38"/>
    <n v="105.30200000000001"/>
    <n v="1.5429999999999999"/>
    <n v="34.625"/>
    <n v="44.228760412777127"/>
    <n v="1"/>
    <x v="1"/>
    <n v="113.675"/>
    <s v="141/87"/>
    <n v="141"/>
    <n v="87"/>
    <n v="272"/>
    <x v="0"/>
    <n v="55"/>
    <n v="117"/>
    <x v="0"/>
    <x v="1"/>
    <x v="2"/>
    <s v="N"/>
    <x v="3"/>
    <n v="154.33099999999999"/>
    <n v="0.73699999999999999"/>
    <x v="3"/>
    <n v="141"/>
    <n v="87"/>
    <x v="1"/>
    <m/>
    <n v="0"/>
    <x v="0"/>
    <n v="19.414999999999999"/>
    <x v="0"/>
    <x v="0"/>
    <x v="0"/>
    <n v="0"/>
    <x v="0"/>
  </r>
  <r>
    <s v="M"/>
    <x v="21"/>
    <n v="100.479"/>
    <n v="1.9690000000000001"/>
    <n v="33.57"/>
    <n v="25.916948867940633"/>
    <n v="1"/>
    <x v="1"/>
    <n v="85.733999999999995"/>
    <s v="103/119"/>
    <n v="103"/>
    <n v="119"/>
    <n v="293"/>
    <x v="0"/>
    <n v="89"/>
    <n v="95"/>
    <x v="1"/>
    <x v="0"/>
    <x v="1"/>
    <s v="Y"/>
    <x v="1"/>
    <n v="196.88"/>
    <n v="0.435"/>
    <x v="2"/>
    <n v="103"/>
    <n v="119"/>
    <x v="3"/>
    <n v="174"/>
    <n v="1.96"/>
    <x v="0"/>
    <n v="19.724"/>
    <x v="0"/>
    <x v="0"/>
    <x v="0"/>
    <n v="0"/>
    <x v="0"/>
  </r>
  <r>
    <s v="M"/>
    <x v="24"/>
    <n v="57.829000000000001"/>
    <n v="1.526"/>
    <n v="19.004999999999999"/>
    <n v="24.833424658475458"/>
    <n v="1"/>
    <x v="0"/>
    <n v="90.872"/>
    <s v="177/72"/>
    <n v="177"/>
    <n v="72"/>
    <n v="163"/>
    <x v="1"/>
    <n v="59"/>
    <n v="95"/>
    <x v="0"/>
    <x v="0"/>
    <x v="1"/>
    <s v="Y"/>
    <x v="0"/>
    <n v="152.624"/>
    <n v="0.59499999999999997"/>
    <x v="3"/>
    <n v="177"/>
    <n v="72"/>
    <x v="3"/>
    <n v="74"/>
    <n v="1.25"/>
    <x v="0"/>
    <n v="17.911000000000001"/>
    <x v="2"/>
    <x v="0"/>
    <x v="0"/>
    <n v="0"/>
    <x v="0"/>
  </r>
  <r>
    <s v="M"/>
    <x v="38"/>
    <m/>
    <m/>
    <n v="38.81"/>
    <s v=""/>
    <s v=""/>
    <x v="1"/>
    <m/>
    <s v="166/115"/>
    <n v="166"/>
    <n v="115"/>
    <n v="183"/>
    <x v="0"/>
    <n v="78"/>
    <n v="94"/>
    <x v="0"/>
    <x v="0"/>
    <x v="1"/>
    <s v="Y"/>
    <x v="0"/>
    <n v="150"/>
    <n v="0.46700000000000003"/>
    <x v="0"/>
    <n v="166"/>
    <n v="115"/>
    <x v="3"/>
    <n v="75"/>
    <n v="0.96"/>
    <x v="0"/>
    <n v="21.722000000000001"/>
    <x v="1"/>
    <x v="1"/>
    <x v="1"/>
    <n v="1"/>
    <x v="1"/>
  </r>
  <r>
    <s v="F"/>
    <x v="45"/>
    <n v="93.953999999999994"/>
    <n v="1.587"/>
    <n v="31.268999999999998"/>
    <n v="37.304516969755447"/>
    <n v="1"/>
    <x v="1"/>
    <n v="109.312"/>
    <s v="138/89"/>
    <n v="138"/>
    <n v="89"/>
    <n v="127"/>
    <x v="2"/>
    <n v="76"/>
    <n v="97"/>
    <x v="0"/>
    <x v="0"/>
    <x v="0"/>
    <s v="N"/>
    <x v="0"/>
    <n v="158.666"/>
    <n v="0.68899999999999995"/>
    <x v="3"/>
    <n v="138"/>
    <n v="89"/>
    <x v="1"/>
    <m/>
    <n v="0"/>
    <x v="0"/>
    <n v="17.693999999999999"/>
    <x v="2"/>
    <x v="0"/>
    <x v="0"/>
    <n v="0"/>
    <x v="1"/>
  </r>
  <r>
    <s v="M"/>
    <x v="5"/>
    <n v="69.347999999999999"/>
    <n v="1.621"/>
    <n v="23.952999999999999"/>
    <n v="26.391733117271347"/>
    <n v="1"/>
    <x v="0"/>
    <m/>
    <s v="147/119"/>
    <n v="147"/>
    <n v="119"/>
    <n v="293"/>
    <x v="0"/>
    <n v="66"/>
    <n v="135"/>
    <x v="0"/>
    <x v="1"/>
    <x v="2"/>
    <s v="Y"/>
    <x v="2"/>
    <n v="162.14500000000001"/>
    <n v="0.58799999999999997"/>
    <x v="3"/>
    <n v="147"/>
    <n v="119"/>
    <x v="3"/>
    <n v="197"/>
    <n v="2.98"/>
    <x v="0"/>
    <n v="18.001000000000001"/>
    <x v="1"/>
    <x v="1"/>
    <x v="1"/>
    <n v="1"/>
    <x v="0"/>
  </r>
  <r>
    <s v="F"/>
    <x v="23"/>
    <n v="82.313000000000002"/>
    <n v="1.518"/>
    <n v="35.055"/>
    <n v="35.721105191804625"/>
    <n v="1"/>
    <x v="1"/>
    <n v="95.308000000000007"/>
    <s v="144/90"/>
    <n v="144"/>
    <n v="90"/>
    <n v="156"/>
    <x v="1"/>
    <n v="35"/>
    <n v="139"/>
    <x v="0"/>
    <x v="0"/>
    <x v="0"/>
    <s v="Y"/>
    <x v="1"/>
    <n v="151.81100000000001"/>
    <n v="0.628"/>
    <x v="3"/>
    <n v="144"/>
    <n v="90"/>
    <x v="3"/>
    <n v="91"/>
    <n v="2.6"/>
    <x v="0"/>
    <n v="19.331"/>
    <x v="1"/>
    <x v="0"/>
    <x v="1"/>
    <n v="1"/>
    <x v="1"/>
  </r>
  <r>
    <s v="F"/>
    <x v="24"/>
    <n v="89.83"/>
    <n v="1.857"/>
    <n v="28.135000000000002"/>
    <n v="26.049392060024665"/>
    <n v="1"/>
    <x v="2"/>
    <n v="117.79600000000001"/>
    <s v="110/64"/>
    <n v="110"/>
    <n v="64"/>
    <n v="250"/>
    <x v="0"/>
    <n v="33"/>
    <n v="92"/>
    <x v="1"/>
    <x v="0"/>
    <x v="2"/>
    <s v="N"/>
    <x v="0"/>
    <m/>
    <n v="0.63400000000000001"/>
    <x v="3"/>
    <n v="110"/>
    <n v="64"/>
    <x v="2"/>
    <n v="187"/>
    <n v="5.67"/>
    <x v="0"/>
    <n v="18.126999999999999"/>
    <x v="0"/>
    <x v="0"/>
    <x v="0"/>
    <n v="0"/>
    <x v="0"/>
  </r>
  <r>
    <s v="F"/>
    <x v="31"/>
    <n v="83.558000000000007"/>
    <n v="1.784"/>
    <n v="26.809000000000001"/>
    <n v="26.254172615576426"/>
    <n v="1"/>
    <x v="2"/>
    <n v="103.006"/>
    <s v="168/110"/>
    <n v="168"/>
    <n v="110"/>
    <n v="137"/>
    <x v="2"/>
    <n v="72"/>
    <n v="147"/>
    <x v="1"/>
    <x v="0"/>
    <x v="1"/>
    <s v="Y"/>
    <x v="1"/>
    <n v="178.36500000000001"/>
    <n v="0.57799999999999996"/>
    <x v="1"/>
    <n v="168"/>
    <n v="110"/>
    <x v="3"/>
    <n v="35"/>
    <n v="0.49"/>
    <x v="0"/>
    <n v="18.501999999999999"/>
    <x v="1"/>
    <x v="1"/>
    <x v="1"/>
    <n v="1"/>
    <x v="1"/>
  </r>
  <r>
    <s v="M"/>
    <x v="30"/>
    <n v="70.563000000000002"/>
    <n v="1.901"/>
    <n v="31.814"/>
    <n v="19.525978325867971"/>
    <n v="1"/>
    <x v="1"/>
    <n v="102.616"/>
    <s v="123/91"/>
    <n v="123"/>
    <n v="91"/>
    <n v="197"/>
    <x v="0"/>
    <n v="68"/>
    <m/>
    <x v="1"/>
    <x v="1"/>
    <x v="1"/>
    <s v="N"/>
    <x v="2"/>
    <n v="190.14400000000001"/>
    <n v="0.54"/>
    <x v="1"/>
    <n v="123"/>
    <n v="91"/>
    <x v="3"/>
    <n v="99"/>
    <n v="1.46"/>
    <x v="0"/>
    <n v="16.452999999999999"/>
    <x v="2"/>
    <x v="0"/>
    <x v="0"/>
    <n v="0"/>
    <x v="0"/>
  </r>
  <r>
    <s v="F"/>
    <x v="41"/>
    <n v="92.602000000000004"/>
    <n v="1.9359999999999999"/>
    <n v="31.960999999999999"/>
    <n v="24.706410935045422"/>
    <n v="1"/>
    <x v="1"/>
    <n v="108.304"/>
    <s v="91/105"/>
    <n v="91"/>
    <n v="105"/>
    <n v="298"/>
    <x v="0"/>
    <n v="69"/>
    <n v="107"/>
    <x v="0"/>
    <x v="1"/>
    <x v="2"/>
    <s v="N"/>
    <x v="3"/>
    <n v="193.59100000000001"/>
    <n v="0.55900000000000005"/>
    <x v="1"/>
    <n v="91"/>
    <n v="105"/>
    <x v="3"/>
    <n v="199"/>
    <n v="2.88"/>
    <x v="0"/>
    <n v="16.902000000000001"/>
    <x v="0"/>
    <x v="0"/>
    <x v="0"/>
    <n v="0"/>
    <x v="0"/>
  </r>
  <r>
    <s v="M"/>
    <x v="12"/>
    <n v="88.135000000000005"/>
    <n v="1.984"/>
    <n v="37.984000000000002"/>
    <n v="22.390566060744021"/>
    <n v="1"/>
    <x v="1"/>
    <n v="92.120999999999995"/>
    <s v="154/71"/>
    <n v="154"/>
    <n v="71"/>
    <m/>
    <x v="2"/>
    <n v="72"/>
    <n v="195"/>
    <x v="1"/>
    <x v="1"/>
    <x v="0"/>
    <s v="N"/>
    <x v="0"/>
    <n v="198.43"/>
    <n v="0.46400000000000002"/>
    <x v="0"/>
    <n v="154"/>
    <n v="71"/>
    <x v="3"/>
    <n v="60"/>
    <n v="0.83"/>
    <x v="0"/>
    <n v="18.536999999999999"/>
    <x v="2"/>
    <x v="0"/>
    <x v="0"/>
    <n v="0"/>
    <x v="0"/>
  </r>
  <r>
    <s v="M"/>
    <x v="0"/>
    <n v="97.001999999999995"/>
    <n v="1.6419999999999999"/>
    <n v="25.102"/>
    <n v="35.977781766984506"/>
    <n v="1"/>
    <x v="2"/>
    <n v="109.869"/>
    <s v="105/72"/>
    <n v="105"/>
    <n v="72"/>
    <n v="160"/>
    <x v="1"/>
    <n v="44"/>
    <n v="86"/>
    <x v="0"/>
    <x v="0"/>
    <x v="2"/>
    <s v="N"/>
    <x v="2"/>
    <n v="164.15299999999999"/>
    <n v="0.66900000000000004"/>
    <x v="3"/>
    <n v="105"/>
    <n v="72"/>
    <x v="2"/>
    <n v="86"/>
    <n v="1.95"/>
    <x v="0"/>
    <n v="15.47"/>
    <x v="2"/>
    <x v="0"/>
    <x v="0"/>
    <n v="0"/>
    <x v="0"/>
  </r>
  <r>
    <s v="F"/>
    <x v="19"/>
    <n v="90.448999999999998"/>
    <n v="1.9810000000000001"/>
    <n v="26.614000000000001"/>
    <n v="23.048083496905608"/>
    <n v="1"/>
    <x v="2"/>
    <n v="87.471999999999994"/>
    <s v="164/63"/>
    <n v="164"/>
    <n v="63"/>
    <n v="208"/>
    <x v="0"/>
    <n v="43"/>
    <n v="73"/>
    <x v="1"/>
    <x v="1"/>
    <x v="0"/>
    <s v="Y"/>
    <x v="1"/>
    <n v="198.143"/>
    <n v="0.441"/>
    <x v="2"/>
    <n v="164"/>
    <n v="63"/>
    <x v="3"/>
    <n v="135"/>
    <n v="3.14"/>
    <x v="0"/>
    <n v="17.683"/>
    <x v="0"/>
    <x v="0"/>
    <x v="0"/>
    <n v="0"/>
    <x v="0"/>
  </r>
  <r>
    <s v="M"/>
    <x v="19"/>
    <m/>
    <n v="1.58"/>
    <n v="20.565999999999999"/>
    <n v="0"/>
    <n v="1"/>
    <x v="0"/>
    <n v="86.876000000000005"/>
    <s v="142/74"/>
    <n v="142"/>
    <n v="74"/>
    <n v="213"/>
    <x v="0"/>
    <n v="76"/>
    <n v="182"/>
    <x v="1"/>
    <x v="1"/>
    <x v="1"/>
    <s v="N"/>
    <x v="2"/>
    <n v="158.02500000000001"/>
    <n v="0.55000000000000004"/>
    <x v="1"/>
    <n v="142"/>
    <n v="74"/>
    <x v="3"/>
    <n v="107"/>
    <n v="1.41"/>
    <x v="0"/>
    <n v="15.473000000000001"/>
    <x v="1"/>
    <x v="1"/>
    <x v="1"/>
    <n v="1"/>
    <x v="0"/>
  </r>
  <r>
    <s v="M"/>
    <x v="45"/>
    <n v="105.461"/>
    <n v="1.5620000000000001"/>
    <n v="26.538"/>
    <n v="43.224484844112979"/>
    <n v="1"/>
    <x v="2"/>
    <n v="109.05"/>
    <s v="147/73"/>
    <n v="147"/>
    <n v="73"/>
    <n v="295"/>
    <x v="0"/>
    <n v="73"/>
    <n v="157"/>
    <x v="1"/>
    <x v="0"/>
    <x v="1"/>
    <s v="N"/>
    <x v="0"/>
    <n v="156.185"/>
    <n v="0.69799999999999995"/>
    <x v="3"/>
    <n v="147"/>
    <n v="73"/>
    <x v="3"/>
    <n v="192"/>
    <n v="2.63"/>
    <x v="0"/>
    <n v="20.558"/>
    <x v="0"/>
    <x v="0"/>
    <x v="0"/>
    <n v="0"/>
    <x v="1"/>
  </r>
  <r>
    <s v="F"/>
    <x v="5"/>
    <n v="112.497"/>
    <n v="1.657"/>
    <n v="34.683"/>
    <n v="40.972826461066212"/>
    <n v="1"/>
    <x v="1"/>
    <n v="77.507999999999996"/>
    <s v="121/73"/>
    <n v="121"/>
    <n v="73"/>
    <n v="130"/>
    <x v="2"/>
    <n v="87"/>
    <n v="81"/>
    <x v="1"/>
    <x v="0"/>
    <x v="2"/>
    <s v="N"/>
    <x v="0"/>
    <n v="165.65"/>
    <n v="0.46800000000000003"/>
    <x v="0"/>
    <n v="121"/>
    <m/>
    <x v="0"/>
    <n v="13"/>
    <n v="0.15"/>
    <x v="0"/>
    <n v="17.587"/>
    <x v="2"/>
    <x v="0"/>
    <x v="0"/>
    <n v="0"/>
    <x v="0"/>
  </r>
  <r>
    <s v="F"/>
    <x v="40"/>
    <n v="99.48"/>
    <n v="1.9750000000000001"/>
    <n v="38.491"/>
    <n v="25.503605191475724"/>
    <n v="1"/>
    <x v="1"/>
    <n v="71.545000000000002"/>
    <s v="129/65"/>
    <n v="129"/>
    <n v="65"/>
    <n v="161"/>
    <x v="1"/>
    <n v="76"/>
    <n v="130"/>
    <x v="0"/>
    <x v="1"/>
    <x v="2"/>
    <s v="Y"/>
    <x v="2"/>
    <n v="197.48400000000001"/>
    <n v="0.36199999999999999"/>
    <x v="2"/>
    <n v="129"/>
    <n v="65"/>
    <x v="0"/>
    <n v="55"/>
    <n v="0.72"/>
    <x v="0"/>
    <n v="17.367999999999999"/>
    <x v="1"/>
    <x v="1"/>
    <x v="1"/>
    <n v="1"/>
    <x v="0"/>
  </r>
  <r>
    <s v="F"/>
    <x v="48"/>
    <n v="59.262999999999998"/>
    <n v="1.583"/>
    <n v="31.780999999999999"/>
    <n v="23.649491258391734"/>
    <n v="1"/>
    <x v="1"/>
    <n v="104.872"/>
    <s v="92/86"/>
    <n v="92"/>
    <n v="86"/>
    <n v="219"/>
    <x v="0"/>
    <n v="70"/>
    <n v="105"/>
    <x v="0"/>
    <x v="0"/>
    <x v="0"/>
    <s v="N"/>
    <x v="0"/>
    <n v="158.25899999999999"/>
    <n v="0.66300000000000003"/>
    <x v="3"/>
    <m/>
    <n v="86"/>
    <x v="1"/>
    <n v="119"/>
    <n v="1.7"/>
    <x v="0"/>
    <n v="17.335999999999999"/>
    <x v="1"/>
    <x v="1"/>
    <x v="1"/>
    <n v="1"/>
    <x v="1"/>
  </r>
  <r>
    <s v="M"/>
    <x v="45"/>
    <n v="73.349000000000004"/>
    <n v="1.966"/>
    <n v="31.843"/>
    <n v="18.97698307649161"/>
    <n v="1"/>
    <x v="1"/>
    <n v="104.876"/>
    <s v="116/82"/>
    <n v="116"/>
    <n v="82"/>
    <n v="299"/>
    <x v="0"/>
    <n v="86"/>
    <n v="139"/>
    <x v="1"/>
    <x v="0"/>
    <x v="1"/>
    <s v="N"/>
    <x v="0"/>
    <n v="196.565"/>
    <n v="0.53400000000000003"/>
    <x v="1"/>
    <n v="116"/>
    <n v="82"/>
    <x v="1"/>
    <n v="183"/>
    <n v="2.13"/>
    <x v="0"/>
    <n v="20.149000000000001"/>
    <x v="1"/>
    <x v="1"/>
    <x v="1"/>
    <n v="1"/>
    <x v="1"/>
  </r>
  <r>
    <s v="M"/>
    <x v="15"/>
    <n v="89.56"/>
    <n v="1.5960000000000001"/>
    <n v="31.536999999999999"/>
    <n v="35.159955025408131"/>
    <n v="1"/>
    <x v="1"/>
    <n v="84.117999999999995"/>
    <s v="91/92"/>
    <n v="91"/>
    <n v="92"/>
    <n v="289"/>
    <x v="0"/>
    <n v="72"/>
    <n v="70"/>
    <x v="0"/>
    <x v="1"/>
    <x v="2"/>
    <s v="Y"/>
    <x v="2"/>
    <n v="159.55500000000001"/>
    <n v="0.52700000000000002"/>
    <x v="1"/>
    <n v="91"/>
    <n v="92"/>
    <x v="3"/>
    <n v="187"/>
    <n v="2.6"/>
    <x v="0"/>
    <n v="16.637"/>
    <x v="2"/>
    <x v="0"/>
    <x v="0"/>
    <n v="0"/>
    <x v="0"/>
  </r>
  <r>
    <s v="M"/>
    <x v="47"/>
    <n v="118.88800000000001"/>
    <m/>
    <n v="35.128999999999998"/>
    <s v=""/>
    <s v=""/>
    <x v="1"/>
    <n v="97.39"/>
    <s v="101/95"/>
    <n v="101"/>
    <n v="95"/>
    <n v="147"/>
    <x v="2"/>
    <n v="43"/>
    <n v="135"/>
    <x v="1"/>
    <x v="0"/>
    <x v="2"/>
    <s v="N"/>
    <x v="0"/>
    <n v="179.435"/>
    <n v="0.54300000000000004"/>
    <x v="1"/>
    <n v="101"/>
    <n v="95"/>
    <x v="3"/>
    <n v="74"/>
    <n v="1.72"/>
    <x v="0"/>
    <n v="17.015999999999998"/>
    <x v="2"/>
    <x v="0"/>
    <x v="0"/>
    <n v="0"/>
    <x v="1"/>
  </r>
  <r>
    <s v="F"/>
    <x v="26"/>
    <n v="117.124"/>
    <n v="1.8029999999999999"/>
    <n v="31.814"/>
    <n v="36.029185350477377"/>
    <n v="1"/>
    <x v="1"/>
    <n v="116.892"/>
    <s v="161/99"/>
    <n v="161"/>
    <n v="99"/>
    <n v="207"/>
    <x v="0"/>
    <n v="64"/>
    <n v="127"/>
    <x v="1"/>
    <x v="0"/>
    <x v="1"/>
    <s v="Y"/>
    <x v="1"/>
    <n v="180.31700000000001"/>
    <n v="0.64800000000000002"/>
    <x v="3"/>
    <n v="161"/>
    <n v="99"/>
    <x v="3"/>
    <n v="113"/>
    <n v="1.77"/>
    <x v="0"/>
    <n v="20.553000000000001"/>
    <x v="2"/>
    <x v="0"/>
    <x v="0"/>
    <n v="0"/>
    <x v="1"/>
  </r>
  <r>
    <s v="M"/>
    <x v="48"/>
    <n v="54.893000000000001"/>
    <n v="1.9139999999999999"/>
    <n v="30.824999999999999"/>
    <n v="14.984184074012202"/>
    <n v="1"/>
    <x v="1"/>
    <n v="78.863"/>
    <s v="124/72"/>
    <n v="124"/>
    <n v="72"/>
    <n v="211"/>
    <x v="0"/>
    <n v="64"/>
    <m/>
    <x v="0"/>
    <x v="1"/>
    <x v="1"/>
    <s v="Y"/>
    <x v="2"/>
    <n v="191.42"/>
    <m/>
    <x v="4"/>
    <n v="124"/>
    <n v="72"/>
    <x v="0"/>
    <n v="117"/>
    <n v="1.83"/>
    <x v="0"/>
    <n v="16.585000000000001"/>
    <x v="1"/>
    <x v="1"/>
    <x v="1"/>
    <n v="1"/>
    <x v="0"/>
  </r>
  <r>
    <s v="M"/>
    <x v="12"/>
    <n v="111.4"/>
    <n v="1.8620000000000001"/>
    <n v="24.745000000000001"/>
    <n v="32.131118035998384"/>
    <n v="1"/>
    <x v="0"/>
    <n v="93.126999999999995"/>
    <s v="157/109"/>
    <n v="157"/>
    <n v="109"/>
    <n v="181"/>
    <x v="0"/>
    <n v="61"/>
    <n v="123"/>
    <x v="0"/>
    <x v="0"/>
    <x v="1"/>
    <s v="Y"/>
    <x v="0"/>
    <n v="186.22399999999999"/>
    <n v="0.5"/>
    <x v="0"/>
    <n v="157"/>
    <n v="109"/>
    <x v="3"/>
    <n v="90"/>
    <n v="1.48"/>
    <x v="0"/>
    <n v="18.419"/>
    <x v="0"/>
    <x v="0"/>
    <x v="0"/>
    <n v="0"/>
    <x v="0"/>
  </r>
  <r>
    <s v="M"/>
    <x v="1"/>
    <n v="63.582999999999998"/>
    <n v="1.9810000000000001"/>
    <n v="30.974"/>
    <n v="16.202128193609099"/>
    <n v="1"/>
    <x v="1"/>
    <n v="82.141999999999996"/>
    <s v="172/79"/>
    <n v="172"/>
    <n v="79"/>
    <n v="194"/>
    <x v="0"/>
    <n v="75"/>
    <n v="150"/>
    <x v="1"/>
    <x v="1"/>
    <x v="2"/>
    <s v="N"/>
    <x v="2"/>
    <m/>
    <n v="0.41499999999999998"/>
    <x v="2"/>
    <n v="172"/>
    <n v="79"/>
    <x v="3"/>
    <n v="89"/>
    <n v="1.19"/>
    <x v="0"/>
    <n v="18.675000000000001"/>
    <x v="2"/>
    <x v="0"/>
    <x v="0"/>
    <n v="0"/>
    <x v="0"/>
  </r>
  <r>
    <s v="F"/>
    <x v="18"/>
    <n v="71.600999999999999"/>
    <n v="1.782"/>
    <n v="19.030999999999999"/>
    <n v="22.5477747924437"/>
    <n v="1"/>
    <x v="0"/>
    <n v="72.418999999999997"/>
    <s v="126/106"/>
    <n v="126"/>
    <n v="106"/>
    <n v="264"/>
    <x v="0"/>
    <n v="44"/>
    <n v="189"/>
    <x v="1"/>
    <x v="1"/>
    <x v="0"/>
    <s v="N"/>
    <x v="0"/>
    <n v="178.21700000000001"/>
    <n v="0.40600000000000003"/>
    <x v="2"/>
    <n v="126"/>
    <n v="106"/>
    <x v="3"/>
    <n v="190"/>
    <n v="4.32"/>
    <x v="0"/>
    <n v="15.385999999999999"/>
    <x v="2"/>
    <x v="0"/>
    <x v="0"/>
    <n v="0"/>
    <x v="0"/>
  </r>
  <r>
    <s v="F"/>
    <x v="6"/>
    <n v="113.34099999999999"/>
    <n v="1.7869999999999999"/>
    <n v="29.344999999999999"/>
    <n v="35.492609842457917"/>
    <n v="1"/>
    <x v="2"/>
    <n v="80.006"/>
    <s v="129/63"/>
    <n v="129"/>
    <n v="63"/>
    <n v="266"/>
    <x v="0"/>
    <n v="85"/>
    <n v="185"/>
    <x v="1"/>
    <x v="0"/>
    <x v="1"/>
    <s v="Y"/>
    <x v="1"/>
    <n v="178.697"/>
    <n v="0.44800000000000001"/>
    <x v="2"/>
    <n v="129"/>
    <n v="63"/>
    <x v="0"/>
    <n v="151"/>
    <n v="1.78"/>
    <x v="0"/>
    <n v="19.638999999999999"/>
    <x v="1"/>
    <x v="1"/>
    <x v="1"/>
    <n v="1"/>
    <x v="0"/>
  </r>
  <r>
    <s v="F"/>
    <x v="46"/>
    <n v="78.561000000000007"/>
    <m/>
    <n v="32.466000000000001"/>
    <s v=""/>
    <s v=""/>
    <x v="1"/>
    <n v="77.183999999999997"/>
    <s v="141/76"/>
    <n v="141"/>
    <n v="76"/>
    <n v="178"/>
    <x v="1"/>
    <n v="73"/>
    <n v="143"/>
    <x v="1"/>
    <x v="0"/>
    <x v="1"/>
    <s v="Y"/>
    <x v="1"/>
    <n v="170.589"/>
    <n v="0.45200000000000001"/>
    <x v="2"/>
    <n v="141"/>
    <n v="76"/>
    <x v="3"/>
    <n v="75"/>
    <n v="1.03"/>
    <x v="0"/>
    <n v="19.103000000000002"/>
    <x v="1"/>
    <x v="1"/>
    <x v="1"/>
    <n v="1"/>
    <x v="1"/>
  </r>
  <r>
    <s v="M"/>
    <x v="12"/>
    <n v="54.08"/>
    <n v="1.56"/>
    <n v="19.771999999999998"/>
    <n v="22.222222222222218"/>
    <n v="1"/>
    <x v="0"/>
    <n v="107.995"/>
    <s v="116/71"/>
    <n v="116"/>
    <n v="71"/>
    <n v="287"/>
    <x v="0"/>
    <n v="56"/>
    <n v="176"/>
    <x v="1"/>
    <x v="0"/>
    <x v="2"/>
    <s v="N"/>
    <x v="0"/>
    <n v="155.96100000000001"/>
    <n v="0.69199999999999995"/>
    <x v="3"/>
    <m/>
    <n v="71"/>
    <x v="2"/>
    <n v="201"/>
    <n v="3.59"/>
    <x v="0"/>
    <n v="17.494"/>
    <x v="0"/>
    <x v="0"/>
    <x v="0"/>
    <n v="0"/>
    <x v="0"/>
  </r>
  <r>
    <s v="M"/>
    <x v="7"/>
    <n v="60.436"/>
    <n v="1.506"/>
    <n v="20.268999999999998"/>
    <n v="26.64684334816555"/>
    <n v="1"/>
    <x v="0"/>
    <n v="79.7"/>
    <s v="168/63"/>
    <n v="168"/>
    <n v="63"/>
    <n v="119"/>
    <x v="2"/>
    <n v="46"/>
    <n v="190"/>
    <x v="0"/>
    <x v="1"/>
    <x v="1"/>
    <s v="N"/>
    <x v="3"/>
    <n v="150.61600000000001"/>
    <n v="0.52900000000000003"/>
    <x v="1"/>
    <n v="168"/>
    <n v="63"/>
    <x v="3"/>
    <n v="43"/>
    <n v="0.93"/>
    <x v="0"/>
    <n v="14.834"/>
    <x v="1"/>
    <x v="0"/>
    <x v="1"/>
    <n v="1"/>
    <x v="0"/>
  </r>
  <r>
    <s v="M"/>
    <x v="16"/>
    <n v="108.15900000000001"/>
    <n v="1.925"/>
    <n v="24.081"/>
    <n v="29.187788834542079"/>
    <n v="1"/>
    <x v="0"/>
    <m/>
    <s v="162/94"/>
    <n v="162"/>
    <n v="94"/>
    <n v="141"/>
    <x v="2"/>
    <m/>
    <n v="178"/>
    <x v="1"/>
    <x v="0"/>
    <x v="2"/>
    <s v="N"/>
    <x v="0"/>
    <m/>
    <n v="0.41099999999999998"/>
    <x v="2"/>
    <n v="162"/>
    <n v="94"/>
    <x v="3"/>
    <n v="63"/>
    <s v=""/>
    <x v="0"/>
    <n v="17.736000000000001"/>
    <x v="1"/>
    <x v="0"/>
    <x v="1"/>
    <n v="1"/>
    <x v="1"/>
  </r>
  <r>
    <s v="M"/>
    <x v="2"/>
    <n v="119.806"/>
    <n v="1.6080000000000001"/>
    <n v="31.884"/>
    <n v="46.334713249672028"/>
    <n v="1"/>
    <x v="1"/>
    <n v="80.539000000000001"/>
    <s v="124/100"/>
    <n v="124"/>
    <n v="100"/>
    <n v="242"/>
    <x v="0"/>
    <n v="78"/>
    <n v="116"/>
    <x v="1"/>
    <x v="1"/>
    <x v="2"/>
    <s v="Y"/>
    <x v="0"/>
    <m/>
    <n v="0.501"/>
    <x v="0"/>
    <n v="124"/>
    <n v="100"/>
    <x v="3"/>
    <n v="134"/>
    <n v="1.72"/>
    <x v="0"/>
    <m/>
    <x v="1"/>
    <x v="1"/>
    <x v="1"/>
    <n v="1"/>
    <x v="0"/>
  </r>
  <r>
    <s v="F"/>
    <x v="22"/>
    <n v="103.504"/>
    <n v="1.5389999999999999"/>
    <n v="27.606000000000002"/>
    <n v="43.699844755440211"/>
    <n v="1"/>
    <x v="2"/>
    <n v="93.716999999999999"/>
    <s v="156/103"/>
    <n v="156"/>
    <n v="103"/>
    <n v="238"/>
    <x v="0"/>
    <n v="87"/>
    <m/>
    <x v="0"/>
    <x v="1"/>
    <x v="1"/>
    <s v="Y"/>
    <x v="2"/>
    <n v="153.91800000000001"/>
    <n v="0.60899999999999999"/>
    <x v="3"/>
    <n v="156"/>
    <n v="103"/>
    <x v="3"/>
    <n v="121"/>
    <n v="1.39"/>
    <x v="0"/>
    <n v="18.081"/>
    <x v="0"/>
    <x v="0"/>
    <x v="0"/>
    <n v="0"/>
    <x v="0"/>
  </r>
  <r>
    <s v="M"/>
    <x v="5"/>
    <n v="74.183999999999997"/>
    <n v="1.966"/>
    <n v="32.116"/>
    <n v="19.193015754085994"/>
    <n v="1"/>
    <x v="1"/>
    <n v="88.628"/>
    <s v="171/76"/>
    <n v="171"/>
    <n v="76"/>
    <n v="242"/>
    <x v="0"/>
    <n v="77"/>
    <n v="112"/>
    <x v="1"/>
    <x v="0"/>
    <x v="0"/>
    <s v="N"/>
    <x v="1"/>
    <n v="196.58099999999999"/>
    <n v="0.45100000000000001"/>
    <x v="2"/>
    <n v="171"/>
    <n v="76"/>
    <x v="3"/>
    <n v="135"/>
    <n v="1.75"/>
    <x v="0"/>
    <n v="21.812999999999999"/>
    <x v="1"/>
    <x v="1"/>
    <x v="1"/>
    <n v="1"/>
    <x v="0"/>
  </r>
  <r>
    <s v="F"/>
    <x v="1"/>
    <n v="63.18"/>
    <n v="1.954"/>
    <m/>
    <n v="16.547428103284449"/>
    <n v="1"/>
    <x v="3"/>
    <n v="74.63"/>
    <s v="152/61"/>
    <n v="152"/>
    <n v="61"/>
    <n v="246"/>
    <x v="0"/>
    <n v="73"/>
    <n v="122"/>
    <x v="0"/>
    <x v="0"/>
    <x v="0"/>
    <s v="N"/>
    <x v="0"/>
    <n v="195.43700000000001"/>
    <m/>
    <x v="4"/>
    <n v="152"/>
    <n v="61"/>
    <x v="3"/>
    <n v="143"/>
    <n v="1.96"/>
    <x v="0"/>
    <n v="19.07"/>
    <x v="0"/>
    <x v="0"/>
    <x v="0"/>
    <n v="0"/>
    <x v="1"/>
  </r>
  <r>
    <s v="F"/>
    <x v="23"/>
    <n v="81.921999999999997"/>
    <n v="1.5660000000000001"/>
    <n v="29.849"/>
    <n v="33.405427270755141"/>
    <n v="1"/>
    <x v="2"/>
    <n v="89.554000000000002"/>
    <s v="95/115"/>
    <n v="95"/>
    <n v="115"/>
    <n v="195"/>
    <x v="0"/>
    <n v="87"/>
    <n v="112"/>
    <x v="0"/>
    <x v="0"/>
    <x v="2"/>
    <s v="N"/>
    <x v="2"/>
    <n v="156.60300000000001"/>
    <n v="0.57199999999999995"/>
    <x v="1"/>
    <n v="95"/>
    <n v="115"/>
    <x v="3"/>
    <n v="78"/>
    <n v="0.9"/>
    <x v="0"/>
    <m/>
    <x v="2"/>
    <x v="0"/>
    <x v="0"/>
    <n v="0"/>
    <x v="1"/>
  </r>
  <r>
    <s v="M"/>
    <x v="2"/>
    <n v="59.493000000000002"/>
    <n v="1.8959999999999999"/>
    <n v="25.012"/>
    <n v="16.549664850718369"/>
    <n v="1"/>
    <x v="2"/>
    <n v="83.275999999999996"/>
    <s v="120/61"/>
    <n v="120"/>
    <n v="61"/>
    <n v="226"/>
    <x v="0"/>
    <n v="83"/>
    <n v="174"/>
    <x v="1"/>
    <x v="1"/>
    <x v="2"/>
    <s v="N"/>
    <x v="2"/>
    <n v="189.58699999999999"/>
    <n v="0.439"/>
    <x v="2"/>
    <n v="120"/>
    <n v="61"/>
    <x v="0"/>
    <n v="113"/>
    <n v="1.36"/>
    <x v="0"/>
    <n v="15.522"/>
    <x v="2"/>
    <x v="0"/>
    <x v="0"/>
    <n v="0"/>
    <x v="0"/>
  </r>
  <r>
    <s v="M"/>
    <x v="47"/>
    <n v="117.136"/>
    <n v="1.637"/>
    <n v="30.518000000000001"/>
    <n v="43.711230333659358"/>
    <n v="1"/>
    <x v="1"/>
    <n v="105.836"/>
    <s v="168/61"/>
    <n v="168"/>
    <n v="61"/>
    <m/>
    <x v="2"/>
    <n v="83"/>
    <n v="106"/>
    <x v="0"/>
    <x v="0"/>
    <x v="0"/>
    <s v="N"/>
    <x v="0"/>
    <n v="163.70599999999999"/>
    <n v="0.64700000000000002"/>
    <x v="3"/>
    <n v="168"/>
    <n v="61"/>
    <x v="3"/>
    <n v="99"/>
    <n v="1.19"/>
    <x v="0"/>
    <n v="20.744"/>
    <x v="1"/>
    <x v="1"/>
    <x v="1"/>
    <n v="1"/>
    <x v="1"/>
  </r>
  <r>
    <s v="F"/>
    <x v="37"/>
    <n v="116.072"/>
    <n v="1.508"/>
    <n v="19.613"/>
    <n v="51.041659337643971"/>
    <n v="1"/>
    <x v="0"/>
    <n v="94.575999999999993"/>
    <s v="97/101"/>
    <n v="97"/>
    <n v="101"/>
    <n v="143"/>
    <x v="2"/>
    <n v="50"/>
    <n v="120"/>
    <x v="0"/>
    <x v="1"/>
    <x v="0"/>
    <s v="N"/>
    <x v="2"/>
    <n v="150.81"/>
    <n v="0.627"/>
    <x v="3"/>
    <n v="97"/>
    <n v="101"/>
    <x v="3"/>
    <n v="63"/>
    <n v="1.26"/>
    <x v="0"/>
    <n v="11.632999999999999"/>
    <x v="2"/>
    <x v="0"/>
    <x v="0"/>
    <n v="0"/>
    <x v="0"/>
  </r>
  <r>
    <s v="F"/>
    <x v="51"/>
    <n v="99.887"/>
    <n v="1.738"/>
    <n v="29.832999999999998"/>
    <n v="33.068113951859274"/>
    <n v="1"/>
    <x v="2"/>
    <n v="83.744"/>
    <s v="144/105"/>
    <n v="144"/>
    <n v="105"/>
    <n v="283"/>
    <x v="0"/>
    <n v="82"/>
    <n v="122"/>
    <x v="1"/>
    <x v="0"/>
    <x v="0"/>
    <s v="Y"/>
    <x v="4"/>
    <n v="173.839"/>
    <n v="0.48199999999999998"/>
    <x v="0"/>
    <n v="144"/>
    <n v="105"/>
    <x v="3"/>
    <n v="171"/>
    <n v="2.09"/>
    <x v="0"/>
    <n v="20.827000000000002"/>
    <x v="0"/>
    <x v="0"/>
    <x v="0"/>
    <n v="0"/>
    <x v="1"/>
  </r>
  <r>
    <s v="F"/>
    <x v="50"/>
    <n v="68.647999999999996"/>
    <n v="1.665"/>
    <m/>
    <n v="24.762780798816831"/>
    <n v="1"/>
    <x v="3"/>
    <m/>
    <s v="152/108"/>
    <n v="152"/>
    <n v="108"/>
    <n v="111"/>
    <x v="2"/>
    <n v="64"/>
    <n v="198"/>
    <x v="0"/>
    <x v="0"/>
    <x v="0"/>
    <s v="N"/>
    <x v="0"/>
    <n v="166.536"/>
    <n v="0.66800000000000004"/>
    <x v="3"/>
    <m/>
    <n v="108"/>
    <x v="3"/>
    <n v="17"/>
    <n v="0.27"/>
    <x v="0"/>
    <n v="17.794"/>
    <x v="2"/>
    <x v="0"/>
    <x v="0"/>
    <n v="0"/>
    <x v="1"/>
  </r>
  <r>
    <s v="M"/>
    <x v="3"/>
    <n v="106.965"/>
    <n v="1.8680000000000001"/>
    <n v="37.476999999999997"/>
    <n v="30.654056371481364"/>
    <n v="1"/>
    <x v="1"/>
    <n v="113.002"/>
    <s v="156/68"/>
    <n v="156"/>
    <n v="68"/>
    <n v="295"/>
    <x v="0"/>
    <n v="88"/>
    <n v="151"/>
    <x v="1"/>
    <x v="0"/>
    <x v="0"/>
    <s v="N"/>
    <x v="1"/>
    <n v="186.762"/>
    <n v="0.60499999999999998"/>
    <x v="3"/>
    <n v="156"/>
    <n v="68"/>
    <x v="3"/>
    <n v="177"/>
    <n v="2.0099999999999998"/>
    <x v="0"/>
    <n v="23.195"/>
    <x v="1"/>
    <x v="1"/>
    <x v="1"/>
    <n v="1"/>
    <x v="0"/>
  </r>
  <r>
    <s v="F"/>
    <x v="42"/>
    <n v="57.841000000000001"/>
    <n v="1.7889999999999999"/>
    <n v="27.015000000000001"/>
    <n v="18.072370092244359"/>
    <n v="1"/>
    <x v="2"/>
    <n v="70.902000000000001"/>
    <s v="154/71"/>
    <n v="154"/>
    <n v="71"/>
    <n v="280"/>
    <x v="0"/>
    <n v="77"/>
    <n v="187"/>
    <x v="1"/>
    <x v="1"/>
    <x v="0"/>
    <s v="N"/>
    <x v="0"/>
    <n v="178.887"/>
    <m/>
    <x v="4"/>
    <n v="154"/>
    <n v="71"/>
    <x v="3"/>
    <n v="173"/>
    <n v="2.25"/>
    <x v="0"/>
    <n v="18.702999999999999"/>
    <x v="1"/>
    <x v="1"/>
    <x v="1"/>
    <n v="1"/>
    <x v="0"/>
  </r>
  <r>
    <s v="M"/>
    <x v="0"/>
    <n v="51.237000000000002"/>
    <n v="1.544"/>
    <n v="21.132999999999999"/>
    <n v="21.492607184085475"/>
    <n v="1"/>
    <x v="0"/>
    <n v="72.805999999999997"/>
    <s v="146/118"/>
    <n v="146"/>
    <n v="118"/>
    <n v="122"/>
    <x v="2"/>
    <n v="47"/>
    <n v="176"/>
    <x v="0"/>
    <x v="0"/>
    <x v="0"/>
    <s v="N"/>
    <x v="0"/>
    <n v="154.43"/>
    <n v="0.47099999999999997"/>
    <x v="0"/>
    <n v="146"/>
    <n v="118"/>
    <x v="3"/>
    <n v="45"/>
    <n v="0.96"/>
    <x v="0"/>
    <n v="15.967000000000001"/>
    <x v="2"/>
    <x v="0"/>
    <x v="0"/>
    <n v="0"/>
    <x v="0"/>
  </r>
  <r>
    <s v="M"/>
    <x v="38"/>
    <n v="84.51"/>
    <n v="1.6839999999999999"/>
    <n v="19.545999999999999"/>
    <n v="29.800525837701215"/>
    <n v="1"/>
    <x v="0"/>
    <n v="97.86"/>
    <s v="157/65"/>
    <n v="157"/>
    <n v="65"/>
    <n v="115"/>
    <x v="2"/>
    <n v="63"/>
    <n v="120"/>
    <x v="0"/>
    <x v="1"/>
    <x v="2"/>
    <s v="N"/>
    <x v="3"/>
    <n v="168.44399999999999"/>
    <n v="0.58099999999999996"/>
    <x v="1"/>
    <n v="157"/>
    <n v="65"/>
    <x v="3"/>
    <n v="22"/>
    <n v="0.35"/>
    <x v="0"/>
    <n v="14.058999999999999"/>
    <x v="0"/>
    <x v="0"/>
    <x v="0"/>
    <n v="0"/>
    <x v="0"/>
  </r>
  <r>
    <s v="F"/>
    <x v="53"/>
    <m/>
    <n v="1.6719999999999999"/>
    <n v="39.011000000000003"/>
    <n v="0"/>
    <n v="1"/>
    <x v="1"/>
    <n v="114.98099999999999"/>
    <s v="123/114"/>
    <n v="123"/>
    <n v="114"/>
    <n v="175"/>
    <x v="1"/>
    <n v="34"/>
    <n v="178"/>
    <x v="1"/>
    <x v="1"/>
    <x v="1"/>
    <s v="N"/>
    <x v="2"/>
    <n v="167.22300000000001"/>
    <n v="0.68799999999999994"/>
    <x v="3"/>
    <n v="123"/>
    <n v="114"/>
    <x v="3"/>
    <n v="111"/>
    <n v="3.26"/>
    <x v="0"/>
    <m/>
    <x v="2"/>
    <x v="0"/>
    <x v="0"/>
    <n v="0"/>
    <x v="0"/>
  </r>
  <r>
    <s v="F"/>
    <x v="48"/>
    <n v="119.42100000000001"/>
    <n v="1.6140000000000001"/>
    <n v="20.669"/>
    <n v="45.843064634264309"/>
    <n v="1"/>
    <x v="0"/>
    <n v="100.03"/>
    <s v="111/82"/>
    <n v="111"/>
    <n v="82"/>
    <n v="163"/>
    <x v="1"/>
    <n v="42"/>
    <m/>
    <x v="0"/>
    <x v="1"/>
    <x v="0"/>
    <s v="Y"/>
    <x v="0"/>
    <n v="161.39099999999999"/>
    <n v="0.62"/>
    <x v="3"/>
    <n v="111"/>
    <n v="82"/>
    <x v="1"/>
    <n v="91"/>
    <n v="2.17"/>
    <x v="0"/>
    <n v="12.944000000000001"/>
    <x v="2"/>
    <x v="0"/>
    <x v="0"/>
    <n v="0"/>
    <x v="0"/>
  </r>
  <r>
    <s v="M"/>
    <x v="12"/>
    <n v="89.867999999999995"/>
    <n v="1.8640000000000001"/>
    <n v="38.767000000000003"/>
    <n v="25.865046326143414"/>
    <n v="1"/>
    <x v="1"/>
    <n v="97.74"/>
    <s v="178/111"/>
    <n v="178"/>
    <n v="111"/>
    <n v="169"/>
    <x v="1"/>
    <n v="38"/>
    <n v="154"/>
    <x v="0"/>
    <x v="0"/>
    <x v="0"/>
    <s v="N"/>
    <x v="0"/>
    <n v="186.38399999999999"/>
    <n v="0.52400000000000002"/>
    <x v="1"/>
    <n v="178"/>
    <n v="111"/>
    <x v="3"/>
    <n v="101"/>
    <n v="2.66"/>
    <x v="0"/>
    <n v="22.033000000000001"/>
    <x v="2"/>
    <x v="0"/>
    <x v="0"/>
    <n v="0"/>
    <x v="0"/>
  </r>
  <r>
    <s v="F"/>
    <x v="30"/>
    <n v="99.522000000000006"/>
    <n v="1.9690000000000001"/>
    <m/>
    <n v="25.670106044399205"/>
    <n v="1"/>
    <x v="3"/>
    <n v="85.954999999999998"/>
    <s v="127/98"/>
    <n v="127"/>
    <n v="98"/>
    <n v="135"/>
    <x v="2"/>
    <n v="55"/>
    <n v="120"/>
    <x v="0"/>
    <x v="0"/>
    <x v="1"/>
    <s v="N"/>
    <x v="2"/>
    <n v="196.90799999999999"/>
    <n v="0.437"/>
    <x v="2"/>
    <n v="127"/>
    <n v="98"/>
    <x v="3"/>
    <n v="50"/>
    <n v="0.91"/>
    <x v="0"/>
    <n v="15.167999999999999"/>
    <x v="0"/>
    <x v="0"/>
    <x v="0"/>
    <n v="0"/>
    <x v="0"/>
  </r>
  <r>
    <s v="F"/>
    <x v="17"/>
    <n v="72.641000000000005"/>
    <n v="1.9370000000000001"/>
    <n v="22.629000000000001"/>
    <n v="19.360767639604699"/>
    <n v="1"/>
    <x v="0"/>
    <n v="95.209000000000003"/>
    <s v="139/108"/>
    <n v="139"/>
    <n v="108"/>
    <n v="133"/>
    <x v="2"/>
    <n v="34"/>
    <n v="120"/>
    <x v="1"/>
    <x v="1"/>
    <x v="0"/>
    <s v="N"/>
    <x v="0"/>
    <n v="193.65899999999999"/>
    <n v="0.49199999999999999"/>
    <x v="0"/>
    <n v="139"/>
    <n v="108"/>
    <x v="1"/>
    <n v="69"/>
    <n v="2.0299999999999998"/>
    <x v="0"/>
    <n v="14.135999999999999"/>
    <x v="0"/>
    <x v="0"/>
    <x v="0"/>
    <n v="0"/>
    <x v="0"/>
  </r>
  <r>
    <s v="F"/>
    <x v="3"/>
    <n v="84.462999999999994"/>
    <n v="1.84"/>
    <m/>
    <n v="24.947719754253306"/>
    <n v="1"/>
    <x v="3"/>
    <n v="72.656999999999996"/>
    <s v="93/96"/>
    <n v="93"/>
    <n v="96"/>
    <n v="110"/>
    <x v="2"/>
    <n v="53"/>
    <m/>
    <x v="1"/>
    <x v="0"/>
    <x v="1"/>
    <s v="Y"/>
    <x v="1"/>
    <n v="183.994"/>
    <n v="0.39500000000000002"/>
    <x v="2"/>
    <n v="93"/>
    <n v="96"/>
    <x v="3"/>
    <n v="27"/>
    <n v="0.51"/>
    <x v="0"/>
    <n v="16.047000000000001"/>
    <x v="0"/>
    <x v="0"/>
    <x v="0"/>
    <n v="0"/>
    <x v="0"/>
  </r>
  <r>
    <s v="M"/>
    <x v="20"/>
    <n v="94.435000000000002"/>
    <n v="1.528"/>
    <n v="39.621000000000002"/>
    <n v="40.446996381678133"/>
    <n v="1"/>
    <x v="1"/>
    <m/>
    <s v="167/90"/>
    <n v="167"/>
    <n v="90"/>
    <n v="284"/>
    <x v="0"/>
    <n v="86"/>
    <n v="144"/>
    <x v="1"/>
    <x v="1"/>
    <x v="0"/>
    <s v="N"/>
    <x v="0"/>
    <n v="152.84200000000001"/>
    <n v="0.59499999999999997"/>
    <x v="3"/>
    <n v="167"/>
    <n v="90"/>
    <x v="3"/>
    <n v="168"/>
    <n v="1.95"/>
    <x v="0"/>
    <n v="21.954000000000001"/>
    <x v="2"/>
    <x v="0"/>
    <x v="0"/>
    <n v="0"/>
    <x v="0"/>
  </r>
  <r>
    <s v="F"/>
    <x v="18"/>
    <n v="51.725999999999999"/>
    <n v="1.619"/>
    <n v="28.905999999999999"/>
    <n v="19.734003367210178"/>
    <n v="1"/>
    <x v="2"/>
    <n v="98.12"/>
    <s v="173/102"/>
    <n v="173"/>
    <n v="102"/>
    <n v="113"/>
    <x v="2"/>
    <n v="43"/>
    <n v="91"/>
    <x v="1"/>
    <x v="1"/>
    <x v="2"/>
    <s v="N"/>
    <x v="2"/>
    <n v="161.90700000000001"/>
    <n v="0.60599999999999998"/>
    <x v="3"/>
    <n v="173"/>
    <n v="102"/>
    <x v="3"/>
    <n v="40"/>
    <n v="0.93"/>
    <x v="0"/>
    <n v="16.690999999999999"/>
    <x v="1"/>
    <x v="0"/>
    <x v="1"/>
    <n v="1"/>
    <x v="0"/>
  </r>
  <r>
    <s v="M"/>
    <x v="12"/>
    <n v="51.042999999999999"/>
    <n v="1.625"/>
    <n v="19.056000000000001"/>
    <n v="19.32989349112426"/>
    <n v="1"/>
    <x v="0"/>
    <n v="90.965000000000003"/>
    <s v="119/100"/>
    <n v="119"/>
    <n v="100"/>
    <n v="179"/>
    <x v="1"/>
    <m/>
    <n v="131"/>
    <x v="0"/>
    <x v="0"/>
    <x v="2"/>
    <s v="Y"/>
    <x v="0"/>
    <n v="162.54900000000001"/>
    <n v="0.56000000000000005"/>
    <x v="1"/>
    <n v="119"/>
    <n v="100"/>
    <x v="3"/>
    <n v="61"/>
    <s v=""/>
    <x v="0"/>
    <n v="15.340999999999999"/>
    <x v="2"/>
    <x v="0"/>
    <x v="0"/>
    <n v="0"/>
    <x v="0"/>
  </r>
  <r>
    <s v="F"/>
    <x v="7"/>
    <n v="50.625999999999998"/>
    <n v="1.9279999999999999"/>
    <n v="28.959"/>
    <n v="13.61944956181884"/>
    <n v="1"/>
    <x v="2"/>
    <n v="113.04"/>
    <s v="179/94"/>
    <n v="179"/>
    <n v="94"/>
    <n v="117"/>
    <x v="2"/>
    <n v="59"/>
    <m/>
    <x v="0"/>
    <x v="1"/>
    <x v="0"/>
    <s v="N"/>
    <x v="2"/>
    <n v="192.83099999999999"/>
    <n v="0.58599999999999997"/>
    <x v="3"/>
    <n v="179"/>
    <n v="94"/>
    <x v="3"/>
    <n v="28"/>
    <n v="0.47"/>
    <x v="0"/>
    <n v="17.082000000000001"/>
    <x v="0"/>
    <x v="0"/>
    <x v="0"/>
    <n v="0"/>
    <x v="0"/>
  </r>
  <r>
    <s v="F"/>
    <x v="41"/>
    <n v="63.320999999999998"/>
    <n v="1.722"/>
    <n v="28.718"/>
    <n v="21.354109758120973"/>
    <n v="1"/>
    <x v="2"/>
    <n v="90.281999999999996"/>
    <s v="132/76"/>
    <n v="132"/>
    <n v="76"/>
    <n v="158"/>
    <x v="1"/>
    <n v="34"/>
    <n v="175"/>
    <x v="1"/>
    <x v="1"/>
    <x v="2"/>
    <s v="N"/>
    <x v="2"/>
    <n v="172.154"/>
    <n v="0.52400000000000002"/>
    <x v="1"/>
    <n v="132"/>
    <n v="76"/>
    <x v="1"/>
    <n v="94"/>
    <n v="2.76"/>
    <x v="0"/>
    <n v="15.504"/>
    <x v="1"/>
    <x v="0"/>
    <x v="1"/>
    <n v="1"/>
    <x v="0"/>
  </r>
  <r>
    <s v="F"/>
    <x v="11"/>
    <n v="58.029000000000003"/>
    <n v="1.8440000000000001"/>
    <n v="29.207000000000001"/>
    <n v="17.06566645178594"/>
    <n v="1"/>
    <x v="2"/>
    <n v="92.4"/>
    <s v="140/105"/>
    <n v="140"/>
    <n v="105"/>
    <n v="273"/>
    <x v="0"/>
    <n v="42"/>
    <n v="103"/>
    <x v="1"/>
    <x v="1"/>
    <x v="1"/>
    <s v="N"/>
    <x v="2"/>
    <n v="184.41300000000001"/>
    <n v="0.501"/>
    <x v="0"/>
    <n v="140"/>
    <n v="105"/>
    <x v="3"/>
    <n v="201"/>
    <n v="4.79"/>
    <x v="0"/>
    <n v="18.300999999999998"/>
    <x v="2"/>
    <x v="0"/>
    <x v="0"/>
    <n v="0"/>
    <x v="0"/>
  </r>
  <r>
    <s v="M"/>
    <x v="7"/>
    <n v="85.623000000000005"/>
    <n v="1.6719999999999999"/>
    <n v="30.795000000000002"/>
    <n v="30.627947505780547"/>
    <n v="1"/>
    <x v="1"/>
    <n v="94.795000000000002"/>
    <s v="140/87"/>
    <n v="140"/>
    <n v="87"/>
    <n v="148"/>
    <x v="2"/>
    <n v="40"/>
    <n v="178"/>
    <x v="0"/>
    <x v="1"/>
    <x v="2"/>
    <s v="Y"/>
    <x v="2"/>
    <n v="167.23400000000001"/>
    <n v="0.56699999999999995"/>
    <x v="1"/>
    <m/>
    <n v="87"/>
    <x v="1"/>
    <n v="78"/>
    <n v="1.95"/>
    <x v="0"/>
    <n v="16.119"/>
    <x v="0"/>
    <x v="0"/>
    <x v="0"/>
    <n v="0"/>
    <x v="0"/>
  </r>
  <r>
    <s v="M"/>
    <x v="18"/>
    <n v="72.192999999999998"/>
    <n v="1.5960000000000001"/>
    <n v="31.677"/>
    <n v="28.34192310349809"/>
    <n v="1"/>
    <x v="1"/>
    <n v="105.31699999999999"/>
    <s v="116/85"/>
    <n v="116"/>
    <n v="85"/>
    <n v="246"/>
    <x v="0"/>
    <n v="79"/>
    <n v="72"/>
    <x v="1"/>
    <x v="1"/>
    <x v="0"/>
    <s v="Y"/>
    <x v="1"/>
    <n v="159.578"/>
    <n v="0.66"/>
    <x v="3"/>
    <n v="116"/>
    <n v="85"/>
    <x v="1"/>
    <n v="137"/>
    <n v="1.73"/>
    <x v="0"/>
    <n v="17.055"/>
    <x v="1"/>
    <x v="1"/>
    <x v="1"/>
    <n v="1"/>
    <x v="0"/>
  </r>
  <r>
    <s v="M"/>
    <x v="0"/>
    <n v="73.239000000000004"/>
    <n v="1.988"/>
    <n v="30.581"/>
    <n v="18.531460392131461"/>
    <n v="1"/>
    <x v="1"/>
    <n v="118.324"/>
    <s v="142/88"/>
    <n v="142"/>
    <n v="88"/>
    <n v="188"/>
    <x v="0"/>
    <n v="30"/>
    <n v="137"/>
    <x v="0"/>
    <x v="1"/>
    <x v="0"/>
    <s v="Y"/>
    <x v="0"/>
    <n v="198.833"/>
    <n v="0.59499999999999997"/>
    <x v="3"/>
    <n v="142"/>
    <n v="88"/>
    <x v="1"/>
    <n v="128"/>
    <n v="4.2699999999999996"/>
    <x v="0"/>
    <n v="16.975999999999999"/>
    <x v="0"/>
    <x v="0"/>
    <x v="0"/>
    <n v="0"/>
    <x v="0"/>
  </r>
  <r>
    <s v="M"/>
    <x v="44"/>
    <n v="87.713999999999999"/>
    <n v="1.7230000000000001"/>
    <n v="39.732999999999997"/>
    <n v="29.54597741996659"/>
    <n v="1"/>
    <x v="1"/>
    <n v="111.803"/>
    <s v="132/101"/>
    <n v="132"/>
    <n v="101"/>
    <n v="108"/>
    <x v="2"/>
    <n v="41"/>
    <n v="93"/>
    <x v="1"/>
    <x v="1"/>
    <x v="2"/>
    <s v="N"/>
    <x v="2"/>
    <n v="172.34299999999999"/>
    <n v="0.64900000000000002"/>
    <x v="3"/>
    <n v="132"/>
    <n v="101"/>
    <x v="1"/>
    <n v="37"/>
    <n v="0.9"/>
    <x v="0"/>
    <n v="16.707000000000001"/>
    <x v="1"/>
    <x v="0"/>
    <x v="1"/>
    <n v="1"/>
    <x v="0"/>
  </r>
  <r>
    <s v="M"/>
    <x v="19"/>
    <n v="99.921000000000006"/>
    <n v="1.5880000000000001"/>
    <n v="21.277000000000001"/>
    <n v="39.623768312723257"/>
    <n v="1"/>
    <x v="0"/>
    <n v="105.875"/>
    <s v="121/115"/>
    <n v="121"/>
    <n v="115"/>
    <n v="287"/>
    <x v="0"/>
    <n v="75"/>
    <n v="92"/>
    <x v="1"/>
    <x v="1"/>
    <x v="1"/>
    <s v="Y"/>
    <x v="0"/>
    <n v="158.75"/>
    <n v="0.66700000000000004"/>
    <x v="3"/>
    <n v="121"/>
    <n v="115"/>
    <x v="3"/>
    <m/>
    <n v="0"/>
    <x v="0"/>
    <n v="16.045000000000002"/>
    <x v="0"/>
    <x v="0"/>
    <x v="0"/>
    <n v="0"/>
    <x v="0"/>
  </r>
  <r>
    <s v="M"/>
    <x v="43"/>
    <n v="94.281999999999996"/>
    <m/>
    <n v="39.57"/>
    <s v=""/>
    <s v=""/>
    <x v="1"/>
    <n v="88.016999999999996"/>
    <s v="102/60"/>
    <n v="102"/>
    <n v="60"/>
    <n v="245"/>
    <x v="0"/>
    <n v="49"/>
    <n v="145"/>
    <x v="0"/>
    <x v="1"/>
    <x v="2"/>
    <s v="N"/>
    <x v="3"/>
    <n v="150.285"/>
    <n v="0.58599999999999997"/>
    <x v="3"/>
    <n v="102"/>
    <n v="60"/>
    <x v="2"/>
    <m/>
    <n v="0"/>
    <x v="0"/>
    <n v="17.914000000000001"/>
    <x v="1"/>
    <x v="0"/>
    <x v="1"/>
    <n v="1"/>
    <x v="0"/>
  </r>
  <r>
    <s v="M"/>
    <x v="7"/>
    <n v="80.879000000000005"/>
    <n v="1.6419999999999999"/>
    <n v="32.671999999999997"/>
    <n v="29.997804287869737"/>
    <n v="1"/>
    <x v="1"/>
    <n v="87.366"/>
    <s v="106/89"/>
    <n v="106"/>
    <n v="89"/>
    <n v="138"/>
    <x v="2"/>
    <n v="75"/>
    <n v="128"/>
    <x v="0"/>
    <x v="1"/>
    <x v="0"/>
    <s v="N"/>
    <x v="2"/>
    <n v="164.22399999999999"/>
    <n v="0.53200000000000003"/>
    <x v="1"/>
    <n v="106"/>
    <m/>
    <x v="1"/>
    <n v="33"/>
    <n v="0.44"/>
    <x v="0"/>
    <n v="14.593999999999999"/>
    <x v="0"/>
    <x v="0"/>
    <x v="0"/>
    <n v="0"/>
    <x v="0"/>
  </r>
  <r>
    <s v="F"/>
    <x v="24"/>
    <n v="56.215000000000003"/>
    <n v="1.9450000000000001"/>
    <n v="30.687000000000001"/>
    <n v="14.859801349449183"/>
    <n v="1"/>
    <x v="1"/>
    <n v="104.30800000000001"/>
    <s v="159/82"/>
    <n v="159"/>
    <n v="82"/>
    <n v="194"/>
    <x v="0"/>
    <n v="50"/>
    <n v="97"/>
    <x v="0"/>
    <x v="0"/>
    <x v="0"/>
    <s v="Y"/>
    <x v="1"/>
    <m/>
    <n v="0.53600000000000003"/>
    <x v="1"/>
    <n v="159"/>
    <n v="82"/>
    <x v="1"/>
    <n v="114"/>
    <n v="2.2799999999999998"/>
    <x v="0"/>
    <m/>
    <x v="1"/>
    <x v="0"/>
    <x v="1"/>
    <n v="1"/>
    <x v="0"/>
  </r>
  <r>
    <s v="M"/>
    <x v="1"/>
    <n v="77.948999999999998"/>
    <n v="1.7470000000000001"/>
    <n v="20.678999999999998"/>
    <n v="25.540226126462926"/>
    <n v="1"/>
    <x v="0"/>
    <n v="89.384"/>
    <s v="164/90"/>
    <n v="164"/>
    <n v="90"/>
    <n v="254"/>
    <x v="0"/>
    <n v="35"/>
    <n v="180"/>
    <x v="1"/>
    <x v="0"/>
    <x v="0"/>
    <s v="Y"/>
    <x v="4"/>
    <n v="174.68"/>
    <n v="0.51200000000000001"/>
    <x v="0"/>
    <n v="164"/>
    <n v="90"/>
    <x v="3"/>
    <n v="189"/>
    <n v="5.4"/>
    <x v="0"/>
    <n v="19.416"/>
    <x v="2"/>
    <x v="0"/>
    <x v="0"/>
    <n v="0"/>
    <x v="1"/>
  </r>
  <r>
    <s v="F"/>
    <x v="9"/>
    <n v="111.047"/>
    <n v="1.5069999999999999"/>
    <n v="24.111999999999998"/>
    <n v="48.896787343646047"/>
    <n v="1"/>
    <x v="0"/>
    <n v="85.741"/>
    <s v="125/78"/>
    <n v="125"/>
    <n v="78"/>
    <n v="172"/>
    <x v="1"/>
    <n v="45"/>
    <n v="129"/>
    <x v="0"/>
    <x v="0"/>
    <x v="0"/>
    <s v="N"/>
    <x v="0"/>
    <n v="150.709"/>
    <n v="0.56899999999999995"/>
    <x v="1"/>
    <n v="125"/>
    <n v="78"/>
    <x v="0"/>
    <n v="97"/>
    <n v="2.16"/>
    <x v="0"/>
    <n v="16.512"/>
    <x v="0"/>
    <x v="0"/>
    <x v="0"/>
    <n v="0"/>
    <x v="0"/>
  </r>
  <r>
    <s v="F"/>
    <x v="33"/>
    <n v="103.39"/>
    <n v="1.917"/>
    <n v="21.050999999999998"/>
    <n v="28.134183100496365"/>
    <n v="1"/>
    <x v="0"/>
    <n v="88.534000000000006"/>
    <s v="125/85"/>
    <n v="125"/>
    <n v="85"/>
    <n v="134"/>
    <x v="2"/>
    <n v="74"/>
    <n v="152"/>
    <x v="0"/>
    <x v="1"/>
    <x v="1"/>
    <s v="Y"/>
    <x v="2"/>
    <n v="191.71799999999999"/>
    <n v="0.46200000000000002"/>
    <x v="0"/>
    <n v="125"/>
    <n v="85"/>
    <x v="1"/>
    <n v="30"/>
    <n v="0.41"/>
    <x v="0"/>
    <n v="13.14"/>
    <x v="1"/>
    <x v="1"/>
    <x v="1"/>
    <n v="1"/>
    <x v="0"/>
  </r>
  <r>
    <s v="M"/>
    <x v="50"/>
    <n v="117.717"/>
    <n v="1.984"/>
    <n v="27.812999999999999"/>
    <n v="29.905829295655568"/>
    <n v="1"/>
    <x v="2"/>
    <n v="107.255"/>
    <s v="144/95"/>
    <n v="144"/>
    <n v="95"/>
    <n v="244"/>
    <x v="0"/>
    <n v="68"/>
    <n v="85"/>
    <x v="1"/>
    <x v="1"/>
    <x v="2"/>
    <s v="N"/>
    <x v="2"/>
    <n v="198.386"/>
    <n v="0.54100000000000004"/>
    <x v="1"/>
    <n v="144"/>
    <n v="95"/>
    <x v="3"/>
    <n v="146"/>
    <n v="2.15"/>
    <x v="0"/>
    <n v="17.643000000000001"/>
    <x v="0"/>
    <x v="0"/>
    <x v="0"/>
    <n v="0"/>
    <x v="0"/>
  </r>
  <r>
    <s v="M"/>
    <x v="42"/>
    <n v="108.873"/>
    <n v="1.9690000000000001"/>
    <n v="18.678999999999998"/>
    <n v="28.082046737122191"/>
    <n v="1"/>
    <x v="0"/>
    <n v="94.512"/>
    <s v="109/82"/>
    <n v="109"/>
    <n v="82"/>
    <n v="295"/>
    <x v="0"/>
    <n v="83"/>
    <n v="119"/>
    <x v="1"/>
    <x v="1"/>
    <x v="0"/>
    <s v="N"/>
    <x v="0"/>
    <n v="196.85400000000001"/>
    <n v="0.48"/>
    <x v="0"/>
    <n v="109"/>
    <n v="82"/>
    <x v="1"/>
    <n v="182"/>
    <n v="2.19"/>
    <x v="0"/>
    <n v="15.086"/>
    <x v="1"/>
    <x v="1"/>
    <x v="1"/>
    <n v="1"/>
    <x v="0"/>
  </r>
  <r>
    <s v="M"/>
    <x v="2"/>
    <n v="112.068"/>
    <n v="1.9450000000000001"/>
    <n v="32.357999999999997"/>
    <n v="29.623912080940514"/>
    <n v="1"/>
    <x v="1"/>
    <n v="106.46"/>
    <s v="102/88"/>
    <n v="102"/>
    <n v="88"/>
    <n v="280"/>
    <x v="0"/>
    <n v="34"/>
    <n v="158"/>
    <x v="1"/>
    <x v="1"/>
    <x v="2"/>
    <s v="N"/>
    <x v="2"/>
    <n v="194.52199999999999"/>
    <n v="0.54700000000000004"/>
    <x v="1"/>
    <n v="102"/>
    <m/>
    <x v="1"/>
    <n v="216"/>
    <n v="6.35"/>
    <x v="0"/>
    <n v="17.172000000000001"/>
    <x v="2"/>
    <x v="0"/>
    <x v="0"/>
    <n v="0"/>
    <x v="0"/>
  </r>
  <r>
    <s v="F"/>
    <x v="27"/>
    <m/>
    <n v="1.7150000000000001"/>
    <n v="18.687000000000001"/>
    <n v="0"/>
    <n v="1"/>
    <x v="0"/>
    <n v="117.9"/>
    <s v="164/81"/>
    <n v="164"/>
    <n v="81"/>
    <n v="208"/>
    <x v="0"/>
    <n v="43"/>
    <n v="155"/>
    <x v="1"/>
    <x v="0"/>
    <x v="1"/>
    <s v="Y"/>
    <x v="1"/>
    <n v="171.47"/>
    <n v="0.68799999999999994"/>
    <x v="3"/>
    <n v="164"/>
    <n v="81"/>
    <x v="1"/>
    <m/>
    <n v="0"/>
    <x v="0"/>
    <n v="18.097000000000001"/>
    <x v="2"/>
    <x v="0"/>
    <x v="0"/>
    <n v="0"/>
    <x v="0"/>
  </r>
  <r>
    <s v="F"/>
    <x v="3"/>
    <n v="106.675"/>
    <n v="1.7989999999999999"/>
    <n v="20.375"/>
    <n v="32.960995871648784"/>
    <n v="1"/>
    <x v="0"/>
    <n v="83.194000000000003"/>
    <s v="106/105"/>
    <n v="106"/>
    <n v="105"/>
    <n v="131"/>
    <x v="2"/>
    <n v="66"/>
    <n v="166"/>
    <x v="0"/>
    <x v="1"/>
    <x v="1"/>
    <s v="Y"/>
    <x v="2"/>
    <n v="179.90100000000001"/>
    <n v="0.46200000000000002"/>
    <x v="0"/>
    <n v="106"/>
    <n v="105"/>
    <x v="3"/>
    <n v="35"/>
    <n v="0.53"/>
    <x v="0"/>
    <n v="11.994999999999999"/>
    <x v="1"/>
    <x v="1"/>
    <x v="1"/>
    <n v="1"/>
    <x v="0"/>
  </r>
  <r>
    <s v="F"/>
    <x v="28"/>
    <n v="78.588999999999999"/>
    <n v="1.9319999999999999"/>
    <n v="27.216999999999999"/>
    <n v="21.054625378821974"/>
    <n v="1"/>
    <x v="2"/>
    <n v="112.51"/>
    <s v="129/99"/>
    <n v="129"/>
    <n v="99"/>
    <n v="123"/>
    <x v="2"/>
    <m/>
    <n v="103"/>
    <x v="0"/>
    <x v="1"/>
    <x v="1"/>
    <s v="N"/>
    <x v="3"/>
    <n v="193.178"/>
    <n v="0.58199999999999996"/>
    <x v="1"/>
    <n v="129"/>
    <n v="99"/>
    <x v="3"/>
    <n v="60"/>
    <s v=""/>
    <x v="0"/>
    <n v="14.353"/>
    <x v="0"/>
    <x v="0"/>
    <x v="0"/>
    <n v="0"/>
    <x v="0"/>
  </r>
  <r>
    <s v="F"/>
    <x v="2"/>
    <n v="111.474"/>
    <n v="1.542"/>
    <n v="24.814"/>
    <n v="46.88186043694833"/>
    <n v="1"/>
    <x v="0"/>
    <n v="77.655000000000001"/>
    <s v="164/100"/>
    <n v="164"/>
    <n v="100"/>
    <n v="260"/>
    <x v="0"/>
    <n v="46"/>
    <n v="95"/>
    <x v="0"/>
    <x v="1"/>
    <x v="0"/>
    <s v="Y"/>
    <x v="0"/>
    <n v="154.20400000000001"/>
    <n v="0.504"/>
    <x v="0"/>
    <n v="164"/>
    <n v="100"/>
    <x v="3"/>
    <n v="184"/>
    <n v="4"/>
    <x v="0"/>
    <n v="18.363"/>
    <x v="0"/>
    <x v="0"/>
    <x v="0"/>
    <n v="0"/>
    <x v="0"/>
  </r>
  <r>
    <s v="F"/>
    <x v="2"/>
    <n v="89.647000000000006"/>
    <n v="1.8069999999999999"/>
    <n v="24.763000000000002"/>
    <n v="27.454874038702716"/>
    <n v="1"/>
    <x v="0"/>
    <n v="77.941999999999993"/>
    <s v="168/61"/>
    <n v="168"/>
    <n v="61"/>
    <n v="227"/>
    <x v="0"/>
    <n v="40"/>
    <n v="175"/>
    <x v="1"/>
    <x v="1"/>
    <x v="1"/>
    <s v="Y"/>
    <x v="0"/>
    <n v="180.65199999999999"/>
    <n v="0.43099999999999999"/>
    <x v="2"/>
    <n v="168"/>
    <n v="61"/>
    <x v="3"/>
    <n v="157"/>
    <n v="3.93"/>
    <x v="0"/>
    <n v="17.893000000000001"/>
    <x v="2"/>
    <x v="0"/>
    <x v="0"/>
    <n v="0"/>
    <x v="0"/>
  </r>
  <r>
    <s v="F"/>
    <x v="35"/>
    <n v="60.106999999999999"/>
    <n v="1.728"/>
    <n v="22.247"/>
    <n v="20.129712684327849"/>
    <n v="1"/>
    <x v="0"/>
    <n v="89.010999999999996"/>
    <s v="166/116"/>
    <n v="166"/>
    <n v="116"/>
    <n v="108"/>
    <x v="2"/>
    <n v="37"/>
    <n v="179"/>
    <x v="1"/>
    <x v="1"/>
    <x v="0"/>
    <s v="N"/>
    <x v="0"/>
    <n v="172.821"/>
    <m/>
    <x v="4"/>
    <n v="166"/>
    <n v="116"/>
    <x v="3"/>
    <m/>
    <n v="0"/>
    <x v="0"/>
    <n v="14.909000000000001"/>
    <x v="1"/>
    <x v="0"/>
    <x v="1"/>
    <n v="1"/>
    <x v="0"/>
  </r>
  <r>
    <s v="F"/>
    <x v="21"/>
    <n v="52.707999999999998"/>
    <n v="1.587"/>
    <m/>
    <n v="20.927756992164998"/>
    <n v="1"/>
    <x v="3"/>
    <n v="110.821"/>
    <s v="117/113"/>
    <n v="117"/>
    <n v="113"/>
    <n v="137"/>
    <x v="2"/>
    <n v="45"/>
    <n v="120"/>
    <x v="0"/>
    <x v="1"/>
    <x v="2"/>
    <s v="N"/>
    <x v="3"/>
    <n v="158.744"/>
    <n v="0.69799999999999995"/>
    <x v="3"/>
    <n v="117"/>
    <n v="113"/>
    <x v="3"/>
    <n v="62"/>
    <n v="1.38"/>
    <x v="0"/>
    <n v="13.826000000000001"/>
    <x v="1"/>
    <x v="0"/>
    <x v="1"/>
    <n v="1"/>
    <x v="0"/>
  </r>
  <r>
    <s v="F"/>
    <x v="18"/>
    <n v="86.364000000000004"/>
    <n v="1.7050000000000001"/>
    <n v="35.158999999999999"/>
    <n v="29.708722835200934"/>
    <n v="1"/>
    <x v="1"/>
    <n v="72.730999999999995"/>
    <s v="95/87"/>
    <n v="95"/>
    <n v="87"/>
    <n v="198"/>
    <x v="0"/>
    <n v="71"/>
    <n v="130"/>
    <x v="1"/>
    <x v="1"/>
    <x v="1"/>
    <s v="N"/>
    <x v="2"/>
    <n v="170.47300000000001"/>
    <n v="0.42699999999999999"/>
    <x v="2"/>
    <n v="95"/>
    <n v="87"/>
    <x v="1"/>
    <n v="97"/>
    <n v="1.37"/>
    <x v="0"/>
    <m/>
    <x v="0"/>
    <x v="0"/>
    <x v="0"/>
    <n v="0"/>
    <x v="0"/>
  </r>
  <r>
    <s v="M"/>
    <x v="14"/>
    <n v="117.19"/>
    <n v="1.702"/>
    <n v="24.965"/>
    <n v="40.454928949283421"/>
    <n v="1"/>
    <x v="2"/>
    <n v="103.38200000000001"/>
    <s v="102/69"/>
    <n v="102"/>
    <n v="69"/>
    <n v="180"/>
    <x v="1"/>
    <n v="89"/>
    <n v="99"/>
    <x v="1"/>
    <x v="0"/>
    <x v="0"/>
    <s v="N"/>
    <x v="1"/>
    <n v="170.22"/>
    <n v="0.60699999999999998"/>
    <x v="3"/>
    <n v="102"/>
    <m/>
    <x v="2"/>
    <n v="61"/>
    <n v="0.69"/>
    <x v="0"/>
    <n v="15.693"/>
    <x v="1"/>
    <x v="1"/>
    <x v="1"/>
    <n v="1"/>
    <x v="0"/>
  </r>
  <r>
    <s v="M"/>
    <x v="2"/>
    <n v="87.055000000000007"/>
    <n v="1.5269999999999999"/>
    <n v="23.245000000000001"/>
    <n v="37.334956163430661"/>
    <n v="1"/>
    <x v="0"/>
    <n v="96.492999999999995"/>
    <s v="103/72"/>
    <n v="103"/>
    <n v="72"/>
    <n v="132"/>
    <x v="2"/>
    <n v="80"/>
    <n v="188"/>
    <x v="1"/>
    <x v="1"/>
    <x v="0"/>
    <s v="N"/>
    <x v="0"/>
    <n v="152.679"/>
    <n v="0.63200000000000001"/>
    <x v="3"/>
    <n v="103"/>
    <n v="72"/>
    <x v="2"/>
    <n v="22"/>
    <n v="0.28000000000000003"/>
    <x v="0"/>
    <n v="12.439"/>
    <x v="0"/>
    <x v="0"/>
    <x v="0"/>
    <n v="0"/>
    <x v="0"/>
  </r>
  <r>
    <s v="M"/>
    <x v="43"/>
    <n v="102.449"/>
    <n v="1.6890000000000001"/>
    <n v="21.762"/>
    <n v="35.912730337106218"/>
    <n v="1"/>
    <x v="0"/>
    <n v="91.188999999999993"/>
    <s v="112/117"/>
    <n v="112"/>
    <n v="117"/>
    <n v="257"/>
    <x v="0"/>
    <n v="79"/>
    <n v="164"/>
    <x v="0"/>
    <x v="1"/>
    <x v="2"/>
    <s v="N"/>
    <x v="3"/>
    <n v="168.92400000000001"/>
    <m/>
    <x v="4"/>
    <n v="112"/>
    <n v="117"/>
    <x v="3"/>
    <n v="148"/>
    <n v="1.87"/>
    <x v="0"/>
    <n v="15.092000000000001"/>
    <x v="1"/>
    <x v="1"/>
    <x v="1"/>
    <n v="1"/>
    <x v="0"/>
  </r>
  <r>
    <s v="F"/>
    <x v="0"/>
    <n v="57.814"/>
    <n v="1.5960000000000001"/>
    <n v="20.405000000000001"/>
    <n v="22.696936577031551"/>
    <n v="1"/>
    <x v="0"/>
    <n v="98.225999999999999"/>
    <s v="130/70"/>
    <n v="130"/>
    <n v="70"/>
    <n v="285"/>
    <x v="0"/>
    <n v="58"/>
    <n v="107"/>
    <x v="0"/>
    <x v="0"/>
    <x v="2"/>
    <s v="N"/>
    <x v="2"/>
    <n v="159.59200000000001"/>
    <n v="0.61499999999999999"/>
    <x v="3"/>
    <n v="130"/>
    <n v="70"/>
    <x v="1"/>
    <n v="197"/>
    <n v="3.4"/>
    <x v="0"/>
    <n v="18.280999999999999"/>
    <x v="2"/>
    <x v="0"/>
    <x v="0"/>
    <n v="0"/>
    <x v="0"/>
  </r>
  <r>
    <s v="M"/>
    <x v="17"/>
    <n v="86.468000000000004"/>
    <n v="1.5509999999999999"/>
    <n v="24.102"/>
    <n v="35.944447977864996"/>
    <n v="1"/>
    <x v="0"/>
    <n v="90.585999999999999"/>
    <s v="90/66"/>
    <n v="90"/>
    <n v="66"/>
    <n v="149"/>
    <x v="2"/>
    <n v="38"/>
    <m/>
    <x v="0"/>
    <x v="1"/>
    <x v="0"/>
    <s v="N"/>
    <x v="2"/>
    <n v="155.131"/>
    <n v="0.58399999999999996"/>
    <x v="1"/>
    <n v="90"/>
    <n v="66"/>
    <x v="2"/>
    <n v="81"/>
    <n v="2.13"/>
    <x v="0"/>
    <n v="12.3"/>
    <x v="0"/>
    <x v="0"/>
    <x v="0"/>
    <n v="0"/>
    <x v="0"/>
  </r>
  <r>
    <s v="F"/>
    <x v="53"/>
    <n v="97.284999999999997"/>
    <n v="1.863"/>
    <n v="31.457000000000001"/>
    <n v="28.029811260847382"/>
    <n v="1"/>
    <x v="1"/>
    <n v="108.324"/>
    <s v="111/108"/>
    <n v="111"/>
    <n v="108"/>
    <n v="295"/>
    <x v="0"/>
    <n v="72"/>
    <n v="143"/>
    <x v="1"/>
    <x v="0"/>
    <x v="2"/>
    <s v="N"/>
    <x v="0"/>
    <n v="186.31100000000001"/>
    <n v="0.58099999999999996"/>
    <x v="1"/>
    <n v="111"/>
    <n v="108"/>
    <x v="3"/>
    <n v="193"/>
    <n v="2.68"/>
    <x v="0"/>
    <n v="19.741"/>
    <x v="1"/>
    <x v="1"/>
    <x v="1"/>
    <n v="1"/>
    <x v="0"/>
  </r>
  <r>
    <s v="F"/>
    <x v="5"/>
    <n v="88.7"/>
    <n v="1.5860000000000001"/>
    <n v="21.158000000000001"/>
    <n v="35.262837342509883"/>
    <n v="1"/>
    <x v="0"/>
    <n v="75.322000000000003"/>
    <s v="145/110"/>
    <n v="145"/>
    <n v="110"/>
    <n v="233"/>
    <x v="0"/>
    <n v="51"/>
    <n v="135"/>
    <x v="1"/>
    <x v="0"/>
    <x v="0"/>
    <s v="Y"/>
    <x v="4"/>
    <n v="158.61699999999999"/>
    <n v="0.47499999999999998"/>
    <x v="0"/>
    <n v="145"/>
    <n v="110"/>
    <x v="3"/>
    <n v="152"/>
    <n v="2.98"/>
    <x v="0"/>
    <n v="18.141999999999999"/>
    <x v="2"/>
    <x v="0"/>
    <x v="0"/>
    <n v="0"/>
    <x v="0"/>
  </r>
  <r>
    <s v="M"/>
    <x v="7"/>
    <n v="53.383000000000003"/>
    <n v="1.736"/>
    <n v="30.614000000000001"/>
    <n v="17.713465459024402"/>
    <n v="1"/>
    <x v="1"/>
    <n v="78.617999999999995"/>
    <s v="102/97"/>
    <n v="102"/>
    <n v="97"/>
    <n v="162"/>
    <x v="1"/>
    <n v="46"/>
    <n v="105"/>
    <x v="0"/>
    <x v="0"/>
    <x v="2"/>
    <s v="N"/>
    <x v="2"/>
    <n v="173.59399999999999"/>
    <n v="0.45300000000000001"/>
    <x v="2"/>
    <n v="102"/>
    <n v="97"/>
    <x v="3"/>
    <n v="86"/>
    <n v="1.87"/>
    <x v="0"/>
    <m/>
    <x v="0"/>
    <x v="0"/>
    <x v="0"/>
    <n v="0"/>
    <x v="0"/>
  </r>
  <r>
    <s v="F"/>
    <x v="38"/>
    <n v="110.631"/>
    <m/>
    <n v="19.288"/>
    <s v=""/>
    <s v=""/>
    <x v="0"/>
    <n v="102.27200000000001"/>
    <s v="176/89"/>
    <n v="176"/>
    <n v="89"/>
    <n v="261"/>
    <x v="0"/>
    <n v="56"/>
    <n v="75"/>
    <x v="1"/>
    <x v="0"/>
    <x v="1"/>
    <s v="Y"/>
    <x v="1"/>
    <n v="174.12299999999999"/>
    <n v="0.58699999999999997"/>
    <x v="3"/>
    <m/>
    <m/>
    <x v="1"/>
    <n v="175"/>
    <n v="3.13"/>
    <x v="0"/>
    <n v="19.878"/>
    <x v="2"/>
    <x v="0"/>
    <x v="0"/>
    <n v="0"/>
    <x v="1"/>
  </r>
  <r>
    <s v="F"/>
    <x v="25"/>
    <m/>
    <n v="1.585"/>
    <n v="19.716000000000001"/>
    <n v="0"/>
    <n v="1"/>
    <x v="0"/>
    <n v="74.037999999999997"/>
    <s v="126/113"/>
    <n v="126"/>
    <n v="113"/>
    <n v="111"/>
    <x v="2"/>
    <n v="76"/>
    <m/>
    <x v="0"/>
    <x v="1"/>
    <x v="2"/>
    <s v="Y"/>
    <x v="2"/>
    <n v="158.46299999999999"/>
    <m/>
    <x v="4"/>
    <n v="126"/>
    <n v="113"/>
    <x v="3"/>
    <n v="5"/>
    <n v="7.0000000000000007E-2"/>
    <x v="0"/>
    <n v="12.462999999999999"/>
    <x v="1"/>
    <x v="1"/>
    <x v="1"/>
    <n v="1"/>
    <x v="0"/>
  </r>
  <r>
    <s v="F"/>
    <x v="27"/>
    <n v="107.755"/>
    <n v="1.5780000000000001"/>
    <n v="33.746000000000002"/>
    <n v="43.273640567948704"/>
    <n v="1"/>
    <x v="1"/>
    <n v="73.831000000000003"/>
    <s v="160/71"/>
    <n v="160"/>
    <n v="71"/>
    <n v="264"/>
    <x v="0"/>
    <n v="78"/>
    <n v="119"/>
    <x v="1"/>
    <x v="0"/>
    <x v="0"/>
    <s v="Y"/>
    <x v="4"/>
    <n v="157.78399999999999"/>
    <n v="0.46800000000000003"/>
    <x v="0"/>
    <n v="160"/>
    <n v="71"/>
    <x v="3"/>
    <n v="156"/>
    <n v="2"/>
    <x v="0"/>
    <n v="22.029"/>
    <x v="1"/>
    <x v="1"/>
    <x v="1"/>
    <n v="1"/>
    <x v="0"/>
  </r>
  <r>
    <s v="M"/>
    <x v="47"/>
    <n v="98.596000000000004"/>
    <n v="1.9890000000000001"/>
    <n v="30.504000000000001"/>
    <n v="24.922392414185509"/>
    <n v="1"/>
    <x v="1"/>
    <n v="93.863"/>
    <s v="100/75"/>
    <n v="100"/>
    <n v="75"/>
    <n v="221"/>
    <x v="0"/>
    <n v="32"/>
    <n v="120"/>
    <x v="1"/>
    <x v="0"/>
    <x v="0"/>
    <s v="Y"/>
    <x v="4"/>
    <n v="198.886"/>
    <m/>
    <x v="4"/>
    <n v="100"/>
    <n v="75"/>
    <x v="2"/>
    <n v="159"/>
    <n v="4.97"/>
    <x v="1"/>
    <n v="17.521000000000001"/>
    <x v="1"/>
    <x v="0"/>
    <x v="1"/>
    <n v="1"/>
    <x v="0"/>
  </r>
  <r>
    <s v="F"/>
    <x v="46"/>
    <n v="63.100999999999999"/>
    <n v="1.66"/>
    <n v="35.878"/>
    <n v="22.899187109885325"/>
    <n v="1"/>
    <x v="1"/>
    <m/>
    <s v="146/69"/>
    <n v="146"/>
    <n v="69"/>
    <n v="186"/>
    <x v="0"/>
    <n v="47"/>
    <n v="158"/>
    <x v="0"/>
    <x v="0"/>
    <x v="1"/>
    <s v="Y"/>
    <x v="0"/>
    <n v="166"/>
    <n v="0.71699999999999997"/>
    <x v="3"/>
    <n v="146"/>
    <n v="69"/>
    <x v="3"/>
    <n v="109"/>
    <n v="2.3199999999999998"/>
    <x v="0"/>
    <n v="20.196000000000002"/>
    <x v="0"/>
    <x v="0"/>
    <x v="0"/>
    <n v="0"/>
    <x v="1"/>
  </r>
  <r>
    <s v="M"/>
    <x v="23"/>
    <m/>
    <m/>
    <n v="21.454999999999998"/>
    <s v=""/>
    <s v=""/>
    <x v="0"/>
    <n v="93.064999999999998"/>
    <s v="144/115"/>
    <n v="144"/>
    <n v="115"/>
    <n v="296"/>
    <x v="0"/>
    <n v="45"/>
    <n v="75"/>
    <x v="0"/>
    <x v="1"/>
    <x v="1"/>
    <s v="Y"/>
    <x v="2"/>
    <n v="184.98599999999999"/>
    <m/>
    <x v="4"/>
    <n v="144"/>
    <n v="115"/>
    <x v="3"/>
    <n v="221"/>
    <n v="4.91"/>
    <x v="0"/>
    <n v="17.411000000000001"/>
    <x v="0"/>
    <x v="0"/>
    <x v="0"/>
    <n v="0"/>
    <x v="0"/>
  </r>
  <r>
    <s v="F"/>
    <x v="22"/>
    <n v="117.717"/>
    <n v="1.633"/>
    <n v="24.689"/>
    <n v="44.143505298143133"/>
    <n v="1"/>
    <x v="0"/>
    <n v="119.49299999999999"/>
    <s v="93/105"/>
    <n v="93"/>
    <n v="105"/>
    <n v="140"/>
    <x v="2"/>
    <n v="46"/>
    <n v="156"/>
    <x v="0"/>
    <x v="0"/>
    <x v="0"/>
    <s v="Y"/>
    <x v="1"/>
    <n v="163.328"/>
    <n v="0.73199999999999998"/>
    <x v="3"/>
    <n v="93"/>
    <n v="105"/>
    <x v="3"/>
    <n v="64"/>
    <n v="1.39"/>
    <x v="0"/>
    <n v="14.388"/>
    <x v="0"/>
    <x v="0"/>
    <x v="0"/>
    <n v="0"/>
    <x v="0"/>
  </r>
  <r>
    <s v="M"/>
    <x v="22"/>
    <n v="110.214"/>
    <n v="1.784"/>
    <n v="36.942999999999998"/>
    <n v="34.629567254519493"/>
    <n v="1"/>
    <x v="1"/>
    <n v="78.817999999999998"/>
    <s v="178/109"/>
    <n v="178"/>
    <n v="109"/>
    <n v="169"/>
    <x v="1"/>
    <n v="75"/>
    <n v="114"/>
    <x v="0"/>
    <x v="1"/>
    <x v="0"/>
    <s v="N"/>
    <x v="2"/>
    <n v="178.41"/>
    <n v="0.442"/>
    <x v="2"/>
    <n v="178"/>
    <n v="109"/>
    <x v="3"/>
    <n v="64"/>
    <n v="0.85"/>
    <x v="0"/>
    <n v="19.669"/>
    <x v="2"/>
    <x v="0"/>
    <x v="0"/>
    <n v="0"/>
    <x v="0"/>
  </r>
  <r>
    <s v="F"/>
    <x v="40"/>
    <n v="58.35"/>
    <n v="1.542"/>
    <n v="23.760999999999999"/>
    <n v="24.539861819760077"/>
    <n v="1"/>
    <x v="0"/>
    <n v="100.617"/>
    <s v="95/110"/>
    <n v="95"/>
    <n v="110"/>
    <m/>
    <x v="2"/>
    <n v="37"/>
    <n v="119"/>
    <x v="1"/>
    <x v="1"/>
    <x v="2"/>
    <s v="Y"/>
    <x v="0"/>
    <n v="154.185"/>
    <m/>
    <x v="4"/>
    <n v="95"/>
    <n v="110"/>
    <x v="3"/>
    <n v="64"/>
    <n v="1.73"/>
    <x v="0"/>
    <n v="12.122"/>
    <x v="0"/>
    <x v="0"/>
    <x v="0"/>
    <n v="0"/>
    <x v="0"/>
  </r>
  <r>
    <s v="F"/>
    <x v="14"/>
    <n v="64.837000000000003"/>
    <n v="1.958"/>
    <n v="33.180999999999997"/>
    <n v="16.912099962334668"/>
    <n v="1"/>
    <x v="1"/>
    <n v="88.896000000000001"/>
    <s v="160/78"/>
    <n v="160"/>
    <n v="78"/>
    <n v="152"/>
    <x v="1"/>
    <n v="59"/>
    <n v="150"/>
    <x v="0"/>
    <x v="1"/>
    <x v="1"/>
    <s v="Y"/>
    <x v="2"/>
    <n v="195.79400000000001"/>
    <n v="0.45400000000000001"/>
    <x v="2"/>
    <n v="160"/>
    <n v="78"/>
    <x v="3"/>
    <n v="63"/>
    <n v="1.07"/>
    <x v="0"/>
    <n v="17.675999999999998"/>
    <x v="1"/>
    <x v="0"/>
    <x v="1"/>
    <n v="1"/>
    <x v="0"/>
  </r>
  <r>
    <s v="F"/>
    <x v="46"/>
    <n v="102.432"/>
    <n v="1.849"/>
    <n v="34.941000000000003"/>
    <n v="29.961381197677198"/>
    <n v="1"/>
    <x v="1"/>
    <n v="90.284000000000006"/>
    <s v="155/68"/>
    <n v="155"/>
    <n v="68"/>
    <n v="202"/>
    <x v="0"/>
    <n v="52"/>
    <n v="135"/>
    <x v="1"/>
    <x v="1"/>
    <x v="0"/>
    <s v="Y"/>
    <x v="1"/>
    <n v="184.85300000000001"/>
    <n v="0.48799999999999999"/>
    <x v="0"/>
    <n v="155"/>
    <n v="68"/>
    <x v="3"/>
    <n v="120"/>
    <n v="2.31"/>
    <x v="0"/>
    <n v="18.777999999999999"/>
    <x v="1"/>
    <x v="0"/>
    <x v="1"/>
    <n v="1"/>
    <x v="0"/>
  </r>
  <r>
    <s v="M"/>
    <x v="17"/>
    <n v="50.343000000000004"/>
    <m/>
    <n v="35.191000000000003"/>
    <s v=""/>
    <s v=""/>
    <x v="1"/>
    <n v="103.605"/>
    <s v="173/114"/>
    <n v="173"/>
    <n v="114"/>
    <n v="205"/>
    <x v="0"/>
    <n v="42"/>
    <n v="176"/>
    <x v="1"/>
    <x v="1"/>
    <x v="0"/>
    <s v="N"/>
    <x v="0"/>
    <n v="169.09700000000001"/>
    <n v="0.61299999999999999"/>
    <x v="3"/>
    <n v="173"/>
    <n v="114"/>
    <x v="3"/>
    <n v="133"/>
    <n v="3.17"/>
    <x v="0"/>
    <n v="19.788"/>
    <x v="1"/>
    <x v="0"/>
    <x v="1"/>
    <n v="1"/>
    <x v="0"/>
  </r>
  <r>
    <s v="M"/>
    <x v="53"/>
    <n v="80.427999999999997"/>
    <n v="1.865"/>
    <n v="38.709000000000003"/>
    <n v="23.123288458912231"/>
    <n v="1"/>
    <x v="1"/>
    <n v="82.287000000000006"/>
    <s v="151/93"/>
    <n v="151"/>
    <n v="93"/>
    <n v="108"/>
    <x v="2"/>
    <n v="59"/>
    <n v="121"/>
    <x v="1"/>
    <x v="1"/>
    <x v="2"/>
    <s v="Y"/>
    <x v="0"/>
    <n v="186.46"/>
    <n v="0.441"/>
    <x v="2"/>
    <n v="151"/>
    <n v="93"/>
    <x v="3"/>
    <n v="19"/>
    <n v="0.32"/>
    <x v="0"/>
    <n v="17.452000000000002"/>
    <x v="1"/>
    <x v="0"/>
    <x v="1"/>
    <n v="1"/>
    <x v="0"/>
  </r>
  <r>
    <s v="F"/>
    <x v="36"/>
    <n v="112.07599999999999"/>
    <n v="1.883"/>
    <n v="37.783999999999999"/>
    <n v="31.609089234842649"/>
    <n v="1"/>
    <x v="1"/>
    <n v="83.951999999999998"/>
    <s v="141/81"/>
    <n v="141"/>
    <n v="81"/>
    <n v="107"/>
    <x v="2"/>
    <n v="80"/>
    <n v="161"/>
    <x v="1"/>
    <x v="1"/>
    <x v="1"/>
    <s v="Y"/>
    <x v="0"/>
    <n v="188.31100000000001"/>
    <n v="0.44600000000000001"/>
    <x v="2"/>
    <n v="141"/>
    <n v="81"/>
    <x v="1"/>
    <n v="-3"/>
    <n v="-0.04"/>
    <x v="0"/>
    <n v="16.747"/>
    <x v="1"/>
    <x v="1"/>
    <x v="1"/>
    <n v="1"/>
    <x v="0"/>
  </r>
  <r>
    <s v="M"/>
    <x v="42"/>
    <n v="108.642"/>
    <n v="1.7549999999999999"/>
    <n v="39.877000000000002"/>
    <n v="35.273090315825364"/>
    <n v="1"/>
    <x v="1"/>
    <n v="87.74"/>
    <s v="156/66"/>
    <n v="156"/>
    <n v="66"/>
    <n v="179"/>
    <x v="1"/>
    <n v="75"/>
    <n v="160"/>
    <x v="1"/>
    <x v="1"/>
    <x v="1"/>
    <s v="Y"/>
    <x v="0"/>
    <n v="175.47499999999999"/>
    <n v="0.5"/>
    <x v="0"/>
    <n v="156"/>
    <n v="66"/>
    <x v="3"/>
    <n v="74"/>
    <n v="0.99"/>
    <x v="0"/>
    <n v="19.355"/>
    <x v="1"/>
    <x v="1"/>
    <x v="1"/>
    <n v="1"/>
    <x v="0"/>
  </r>
  <r>
    <s v="M"/>
    <x v="12"/>
    <n v="86.426000000000002"/>
    <n v="1.8240000000000001"/>
    <n v="27.754999999999999"/>
    <n v="25.977343990458603"/>
    <n v="1"/>
    <x v="2"/>
    <n v="102.672"/>
    <s v="132/77"/>
    <n v="132"/>
    <n v="77"/>
    <n v="267"/>
    <x v="0"/>
    <m/>
    <m/>
    <x v="1"/>
    <x v="0"/>
    <x v="1"/>
    <s v="Y"/>
    <x v="1"/>
    <m/>
    <n v="0.56299999999999994"/>
    <x v="1"/>
    <n v="132"/>
    <n v="77"/>
    <x v="1"/>
    <n v="172"/>
    <s v=""/>
    <x v="0"/>
    <n v="19.491"/>
    <x v="1"/>
    <x v="0"/>
    <x v="1"/>
    <n v="1"/>
    <x v="0"/>
  </r>
  <r>
    <s v="F"/>
    <x v="9"/>
    <n v="98.17"/>
    <n v="1.964"/>
    <n v="34.151000000000003"/>
    <n v="25.450471003521638"/>
    <n v="1"/>
    <x v="1"/>
    <n v="86.302999999999997"/>
    <s v="172/68"/>
    <n v="172"/>
    <n v="68"/>
    <n v="227"/>
    <x v="0"/>
    <n v="89"/>
    <n v="88"/>
    <x v="1"/>
    <x v="0"/>
    <x v="1"/>
    <s v="N"/>
    <x v="0"/>
    <m/>
    <n v="0.439"/>
    <x v="2"/>
    <n v="172"/>
    <n v="68"/>
    <x v="3"/>
    <n v="108"/>
    <n v="1.21"/>
    <x v="0"/>
    <n v="21.97"/>
    <x v="2"/>
    <x v="0"/>
    <x v="0"/>
    <n v="0"/>
    <x v="0"/>
  </r>
  <r>
    <s v="F"/>
    <x v="55"/>
    <n v="97.701999999999998"/>
    <n v="1.8009999999999999"/>
    <n v="32.79"/>
    <n v="30.121460685207584"/>
    <n v="1"/>
    <x v="1"/>
    <n v="108.242"/>
    <s v="108/117"/>
    <n v="108"/>
    <n v="117"/>
    <m/>
    <x v="2"/>
    <n v="79"/>
    <n v="185"/>
    <x v="0"/>
    <x v="1"/>
    <x v="1"/>
    <s v="Y"/>
    <x v="2"/>
    <n v="180.12200000000001"/>
    <n v="0.60099999999999998"/>
    <x v="3"/>
    <n v="108"/>
    <n v="117"/>
    <x v="3"/>
    <n v="153"/>
    <n v="1.94"/>
    <x v="0"/>
    <n v="17.198"/>
    <x v="1"/>
    <x v="1"/>
    <x v="1"/>
    <n v="1"/>
    <x v="0"/>
  </r>
  <r>
    <s v="F"/>
    <x v="55"/>
    <n v="66.394000000000005"/>
    <n v="1.86"/>
    <n v="27.704000000000001"/>
    <n v="19.191235981038268"/>
    <n v="1"/>
    <x v="2"/>
    <n v="91.594999999999999"/>
    <s v="165/101"/>
    <n v="165"/>
    <n v="101"/>
    <n v="106"/>
    <x v="2"/>
    <n v="78"/>
    <n v="103"/>
    <x v="0"/>
    <x v="0"/>
    <x v="1"/>
    <s v="Y"/>
    <x v="0"/>
    <n v="185.95699999999999"/>
    <n v="0.49299999999999999"/>
    <x v="0"/>
    <n v="165"/>
    <n v="101"/>
    <x v="3"/>
    <n v="-2"/>
    <n v="-0.03"/>
    <x v="0"/>
    <m/>
    <x v="2"/>
    <x v="0"/>
    <x v="0"/>
    <n v="0"/>
    <x v="0"/>
  </r>
  <r>
    <s v="F"/>
    <x v="46"/>
    <m/>
    <n v="1.9950000000000001"/>
    <n v="29.507000000000001"/>
    <n v="0"/>
    <n v="1"/>
    <x v="2"/>
    <n v="103.497"/>
    <s v="128/88"/>
    <n v="128"/>
    <n v="88"/>
    <n v="134"/>
    <x v="2"/>
    <n v="45"/>
    <n v="175"/>
    <x v="1"/>
    <x v="1"/>
    <x v="0"/>
    <s v="N"/>
    <x v="0"/>
    <n v="199.548"/>
    <n v="0.51900000000000002"/>
    <x v="0"/>
    <n v="128"/>
    <n v="88"/>
    <x v="1"/>
    <n v="59"/>
    <n v="1.31"/>
    <x v="0"/>
    <n v="14.981"/>
    <x v="1"/>
    <x v="0"/>
    <x v="1"/>
    <n v="1"/>
    <x v="0"/>
  </r>
  <r>
    <s v="M"/>
    <x v="5"/>
    <n v="104.748"/>
    <n v="1.9830000000000001"/>
    <n v="18.852"/>
    <n v="26.63792005114578"/>
    <n v="1"/>
    <x v="0"/>
    <n v="104.754"/>
    <s v="178/65"/>
    <n v="178"/>
    <n v="65"/>
    <n v="176"/>
    <x v="1"/>
    <n v="81"/>
    <n v="161"/>
    <x v="0"/>
    <x v="1"/>
    <x v="2"/>
    <s v="Y"/>
    <x v="2"/>
    <n v="198.31200000000001"/>
    <n v="0.52800000000000002"/>
    <x v="1"/>
    <n v="178"/>
    <n v="65"/>
    <x v="3"/>
    <n v="65"/>
    <n v="0.8"/>
    <x v="0"/>
    <n v="16.190000000000001"/>
    <x v="1"/>
    <x v="1"/>
    <x v="1"/>
    <n v="1"/>
    <x v="0"/>
  </r>
  <r>
    <s v="F"/>
    <x v="48"/>
    <n v="113.605"/>
    <n v="1.8640000000000001"/>
    <n v="22.713999999999999"/>
    <n v="32.696828547219511"/>
    <n v="1"/>
    <x v="0"/>
    <n v="88.545000000000002"/>
    <s v="159/100"/>
    <n v="159"/>
    <n v="100"/>
    <n v="151"/>
    <x v="1"/>
    <n v="63"/>
    <n v="105"/>
    <x v="0"/>
    <x v="0"/>
    <x v="0"/>
    <s v="Y"/>
    <x v="1"/>
    <n v="186.351"/>
    <n v="0.47499999999999998"/>
    <x v="0"/>
    <n v="159"/>
    <n v="100"/>
    <x v="3"/>
    <n v="58"/>
    <n v="0.92"/>
    <x v="0"/>
    <n v="17.513000000000002"/>
    <x v="2"/>
    <x v="0"/>
    <x v="0"/>
    <n v="0"/>
    <x v="1"/>
  </r>
  <r>
    <s v="M"/>
    <x v="48"/>
    <m/>
    <n v="1.9830000000000001"/>
    <n v="31.626999999999999"/>
    <n v="0"/>
    <n v="1"/>
    <x v="1"/>
    <m/>
    <s v="159/101"/>
    <n v="159"/>
    <n v="101"/>
    <n v="179"/>
    <x v="1"/>
    <n v="46"/>
    <n v="138"/>
    <x v="0"/>
    <x v="1"/>
    <x v="1"/>
    <s v="N"/>
    <x v="3"/>
    <n v="198.315"/>
    <n v="0.56299999999999994"/>
    <x v="1"/>
    <n v="159"/>
    <n v="101"/>
    <x v="3"/>
    <n v="103"/>
    <n v="2.2400000000000002"/>
    <x v="0"/>
    <n v="17.855"/>
    <x v="0"/>
    <x v="0"/>
    <x v="0"/>
    <n v="0"/>
    <x v="0"/>
  </r>
  <r>
    <s v="M"/>
    <x v="52"/>
    <n v="55.338999999999999"/>
    <m/>
    <n v="24.893000000000001"/>
    <s v=""/>
    <s v=""/>
    <x v="0"/>
    <n v="103.179"/>
    <s v="101/77"/>
    <n v="101"/>
    <n v="77"/>
    <n v="252"/>
    <x v="0"/>
    <n v="42"/>
    <n v="147"/>
    <x v="0"/>
    <x v="1"/>
    <x v="0"/>
    <s v="Y"/>
    <x v="0"/>
    <n v="174.20400000000001"/>
    <n v="0.59199999999999997"/>
    <x v="3"/>
    <n v="101"/>
    <n v="77"/>
    <x v="2"/>
    <n v="180"/>
    <n v="4.29"/>
    <x v="0"/>
    <n v="15.069000000000001"/>
    <x v="0"/>
    <x v="0"/>
    <x v="0"/>
    <n v="0"/>
    <x v="0"/>
  </r>
  <r>
    <s v="F"/>
    <x v="7"/>
    <n v="107.316"/>
    <n v="1.9890000000000001"/>
    <n v="20.888000000000002"/>
    <n v="27.126571710015945"/>
    <n v="1"/>
    <x v="0"/>
    <n v="113.22"/>
    <s v="103/71"/>
    <n v="103"/>
    <n v="71"/>
    <n v="218"/>
    <x v="0"/>
    <n v="52"/>
    <n v="72"/>
    <x v="0"/>
    <x v="1"/>
    <x v="0"/>
    <s v="Y"/>
    <x v="0"/>
    <n v="198.94900000000001"/>
    <n v="0.56899999999999995"/>
    <x v="1"/>
    <n v="103"/>
    <n v="71"/>
    <x v="2"/>
    <n v="136"/>
    <n v="2.62"/>
    <x v="1"/>
    <n v="13.688000000000001"/>
    <x v="1"/>
    <x v="0"/>
    <x v="1"/>
    <n v="1"/>
    <x v="0"/>
  </r>
  <r>
    <s v="F"/>
    <x v="32"/>
    <n v="119.517"/>
    <n v="1.895"/>
    <n v="22.664999999999999"/>
    <n v="33.282140892920545"/>
    <n v="1"/>
    <x v="0"/>
    <n v="104.21"/>
    <s v="157/67"/>
    <n v="157"/>
    <n v="67"/>
    <n v="230"/>
    <x v="0"/>
    <n v="41"/>
    <n v="198"/>
    <x v="0"/>
    <x v="0"/>
    <x v="1"/>
    <s v="Y"/>
    <x v="0"/>
    <n v="189.47900000000001"/>
    <n v="0.55000000000000004"/>
    <x v="1"/>
    <n v="157"/>
    <n v="67"/>
    <x v="3"/>
    <n v="159"/>
    <n v="3.88"/>
    <x v="0"/>
    <n v="18.983000000000001"/>
    <x v="1"/>
    <x v="0"/>
    <x v="1"/>
    <n v="1"/>
    <x v="1"/>
  </r>
  <r>
    <s v="F"/>
    <x v="12"/>
    <n v="86.203999999999994"/>
    <n v="1.909"/>
    <m/>
    <n v="23.654597436366732"/>
    <n v="1"/>
    <x v="3"/>
    <n v="112.36"/>
    <s v="141/118"/>
    <n v="141"/>
    <n v="118"/>
    <n v="127"/>
    <x v="2"/>
    <n v="38"/>
    <n v="85"/>
    <x v="0"/>
    <x v="1"/>
    <x v="0"/>
    <s v="Y"/>
    <x v="0"/>
    <n v="190.85300000000001"/>
    <n v="0.58899999999999997"/>
    <x v="3"/>
    <n v="141"/>
    <n v="118"/>
    <x v="3"/>
    <n v="59"/>
    <n v="1.55"/>
    <x v="0"/>
    <n v="16.785"/>
    <x v="1"/>
    <x v="0"/>
    <x v="1"/>
    <n v="1"/>
    <x v="0"/>
  </r>
  <r>
    <s v="F"/>
    <x v="21"/>
    <n v="101.874"/>
    <m/>
    <n v="18.507999999999999"/>
    <s v=""/>
    <s v=""/>
    <x v="0"/>
    <n v="93.102999999999994"/>
    <s v="94/67"/>
    <n v="94"/>
    <n v="67"/>
    <n v="138"/>
    <x v="2"/>
    <n v="51"/>
    <n v="180"/>
    <x v="1"/>
    <x v="0"/>
    <x v="1"/>
    <s v="Y"/>
    <x v="1"/>
    <m/>
    <n v="0.496"/>
    <x v="0"/>
    <m/>
    <n v="67"/>
    <x v="2"/>
    <n v="57"/>
    <n v="1.1200000000000001"/>
    <x v="0"/>
    <n v="13.162000000000001"/>
    <x v="0"/>
    <x v="0"/>
    <x v="0"/>
    <n v="0"/>
    <x v="0"/>
  </r>
  <r>
    <s v="F"/>
    <x v="55"/>
    <n v="85.659000000000006"/>
    <n v="1.8029999999999999"/>
    <n v="32.454000000000001"/>
    <n v="26.350056247537154"/>
    <n v="1"/>
    <x v="1"/>
    <n v="107.746"/>
    <s v="156/118"/>
    <n v="156"/>
    <n v="118"/>
    <n v="213"/>
    <x v="0"/>
    <n v="66"/>
    <n v="133"/>
    <x v="0"/>
    <x v="0"/>
    <x v="0"/>
    <s v="Y"/>
    <x v="1"/>
    <n v="180.31200000000001"/>
    <n v="0.59799999999999998"/>
    <x v="3"/>
    <n v="156"/>
    <n v="118"/>
    <x v="3"/>
    <n v="117"/>
    <n v="1.77"/>
    <x v="0"/>
    <n v="20.550999999999998"/>
    <x v="0"/>
    <x v="0"/>
    <x v="0"/>
    <n v="0"/>
    <x v="0"/>
  </r>
  <r>
    <s v="M"/>
    <x v="55"/>
    <n v="114.55500000000001"/>
    <n v="1.8759999999999999"/>
    <n v="35.426000000000002"/>
    <n v="32.549804283486623"/>
    <n v="1"/>
    <x v="1"/>
    <n v="97.783000000000001"/>
    <s v="101/60"/>
    <n v="101"/>
    <n v="60"/>
    <n v="224"/>
    <x v="0"/>
    <n v="54"/>
    <n v="125"/>
    <x v="0"/>
    <x v="0"/>
    <x v="2"/>
    <s v="N"/>
    <x v="2"/>
    <n v="187.64599999999999"/>
    <n v="0.52100000000000002"/>
    <x v="0"/>
    <n v="101"/>
    <n v="60"/>
    <x v="2"/>
    <m/>
    <n v="0"/>
    <x v="0"/>
    <n v="18.614999999999998"/>
    <x v="0"/>
    <x v="0"/>
    <x v="0"/>
    <n v="0"/>
    <x v="0"/>
  </r>
  <r>
    <s v="F"/>
    <x v="10"/>
    <n v="94.534000000000006"/>
    <n v="1.5129999999999999"/>
    <n v="25.206"/>
    <n v="41.296208362073756"/>
    <n v="1"/>
    <x v="2"/>
    <n v="93.727000000000004"/>
    <s v="138/65"/>
    <n v="138"/>
    <n v="65"/>
    <n v="127"/>
    <x v="2"/>
    <n v="88"/>
    <n v="112"/>
    <x v="0"/>
    <x v="1"/>
    <x v="2"/>
    <s v="Y"/>
    <x v="2"/>
    <n v="151.303"/>
    <n v="0.61899999999999999"/>
    <x v="3"/>
    <n v="138"/>
    <n v="65"/>
    <x v="1"/>
    <n v="9"/>
    <n v="0.1"/>
    <x v="0"/>
    <n v="14.481"/>
    <x v="0"/>
    <x v="0"/>
    <x v="0"/>
    <n v="0"/>
    <x v="0"/>
  </r>
  <r>
    <s v="F"/>
    <x v="28"/>
    <n v="88.475999999999999"/>
    <n v="1.9430000000000001"/>
    <n v="30.212"/>
    <n v="23.435805161460873"/>
    <n v="1"/>
    <x v="1"/>
    <n v="81.132000000000005"/>
    <s v="99/99"/>
    <n v="99"/>
    <n v="99"/>
    <n v="257"/>
    <x v="0"/>
    <n v="58"/>
    <n v="103"/>
    <x v="0"/>
    <x v="0"/>
    <x v="2"/>
    <s v="Y"/>
    <x v="0"/>
    <n v="194.26400000000001"/>
    <n v="0.41799999999999998"/>
    <x v="2"/>
    <n v="99"/>
    <n v="99"/>
    <x v="3"/>
    <n v="169"/>
    <n v="2.91"/>
    <x v="0"/>
    <n v="18.132000000000001"/>
    <x v="2"/>
    <x v="0"/>
    <x v="0"/>
    <n v="0"/>
    <x v="1"/>
  </r>
  <r>
    <s v="M"/>
    <x v="36"/>
    <n v="73.667000000000002"/>
    <n v="1.946"/>
    <n v="29.553999999999998"/>
    <n v="19.453032493987195"/>
    <n v="1"/>
    <x v="2"/>
    <n v="100.702"/>
    <s v="136/74"/>
    <n v="136"/>
    <n v="74"/>
    <n v="132"/>
    <x v="2"/>
    <n v="38"/>
    <n v="148"/>
    <x v="1"/>
    <x v="0"/>
    <x v="1"/>
    <s v="Y"/>
    <x v="1"/>
    <n v="194.55600000000001"/>
    <n v="0.51800000000000002"/>
    <x v="0"/>
    <n v="136"/>
    <n v="74"/>
    <x v="1"/>
    <n v="64"/>
    <n v="1.68"/>
    <x v="0"/>
    <n v="17.350999999999999"/>
    <x v="0"/>
    <x v="0"/>
    <x v="0"/>
    <n v="0"/>
    <x v="1"/>
  </r>
  <r>
    <s v="M"/>
    <x v="4"/>
    <n v="68.584000000000003"/>
    <n v="1.7849999999999999"/>
    <n v="23.355"/>
    <n v="21.525159083241142"/>
    <n v="1"/>
    <x v="0"/>
    <n v="88.625"/>
    <s v="143/65"/>
    <n v="143"/>
    <n v="65"/>
    <n v="127"/>
    <x v="2"/>
    <n v="57"/>
    <n v="113"/>
    <x v="1"/>
    <x v="0"/>
    <x v="0"/>
    <s v="N"/>
    <x v="1"/>
    <n v="178.49100000000001"/>
    <n v="0.497"/>
    <x v="0"/>
    <n v="143"/>
    <n v="65"/>
    <x v="3"/>
    <n v="40"/>
    <n v="0.7"/>
    <x v="0"/>
    <n v="16.361000000000001"/>
    <x v="0"/>
    <x v="0"/>
    <x v="0"/>
    <n v="0"/>
    <x v="1"/>
  </r>
  <r>
    <s v="M"/>
    <x v="2"/>
    <n v="112.30200000000001"/>
    <n v="1.8220000000000001"/>
    <n v="26.527999999999999"/>
    <n v="33.829123494886865"/>
    <n v="1"/>
    <x v="2"/>
    <n v="79.536000000000001"/>
    <s v="150/100"/>
    <n v="150"/>
    <n v="100"/>
    <m/>
    <x v="2"/>
    <n v="75"/>
    <n v="76"/>
    <x v="0"/>
    <x v="1"/>
    <x v="2"/>
    <s v="Y"/>
    <x v="2"/>
    <n v="182.22200000000001"/>
    <n v="0.436"/>
    <x v="2"/>
    <n v="150"/>
    <n v="100"/>
    <x v="3"/>
    <n v="187"/>
    <n v="2.4900000000000002"/>
    <x v="0"/>
    <n v="18.646000000000001"/>
    <x v="2"/>
    <x v="0"/>
    <x v="0"/>
    <n v="0"/>
    <x v="0"/>
  </r>
  <r>
    <s v="F"/>
    <x v="2"/>
    <n v="54.496000000000002"/>
    <n v="1.8360000000000001"/>
    <n v="30.847000000000001"/>
    <n v="16.166621574797919"/>
    <n v="1"/>
    <x v="1"/>
    <n v="118.374"/>
    <s v="92/100"/>
    <n v="92"/>
    <n v="100"/>
    <n v="185"/>
    <x v="0"/>
    <n v="79"/>
    <m/>
    <x v="0"/>
    <x v="1"/>
    <x v="2"/>
    <s v="N"/>
    <x v="3"/>
    <n v="183.59700000000001"/>
    <n v="0.64500000000000002"/>
    <x v="3"/>
    <n v="92"/>
    <n v="100"/>
    <x v="3"/>
    <n v="76"/>
    <n v="0.96"/>
    <x v="0"/>
    <n v="14.468999999999999"/>
    <x v="0"/>
    <x v="0"/>
    <x v="0"/>
    <n v="0"/>
    <x v="0"/>
  </r>
  <r>
    <s v="M"/>
    <x v="11"/>
    <n v="63.656999999999996"/>
    <n v="1.9790000000000001"/>
    <n v="38.796999999999997"/>
    <n v="16.253787558653379"/>
    <n v="1"/>
    <x v="1"/>
    <n v="105.43300000000001"/>
    <s v="147/90"/>
    <n v="147"/>
    <n v="90"/>
    <n v="213"/>
    <x v="0"/>
    <n v="34"/>
    <n v="138"/>
    <x v="0"/>
    <x v="0"/>
    <x v="2"/>
    <s v="N"/>
    <x v="2"/>
    <n v="197.91499999999999"/>
    <n v="0.53300000000000003"/>
    <x v="1"/>
    <n v="147"/>
    <n v="90"/>
    <x v="3"/>
    <n v="149"/>
    <n v="4.38"/>
    <x v="0"/>
    <m/>
    <x v="2"/>
    <x v="0"/>
    <x v="0"/>
    <n v="0"/>
    <x v="0"/>
  </r>
  <r>
    <s v="F"/>
    <x v="18"/>
    <n v="55.924999999999997"/>
    <n v="1.506"/>
    <n v="20.962"/>
    <n v="24.657897846418663"/>
    <n v="1"/>
    <x v="0"/>
    <n v="109.86199999999999"/>
    <s v="128/101"/>
    <n v="128"/>
    <n v="101"/>
    <n v="117"/>
    <x v="2"/>
    <n v="44"/>
    <n v="77"/>
    <x v="1"/>
    <x v="0"/>
    <x v="1"/>
    <s v="Y"/>
    <x v="1"/>
    <n v="150.608"/>
    <n v="0.72899999999999998"/>
    <x v="3"/>
    <m/>
    <n v="101"/>
    <x v="3"/>
    <n v="43"/>
    <n v="0.98"/>
    <x v="0"/>
    <n v="14.932"/>
    <x v="0"/>
    <x v="0"/>
    <x v="0"/>
    <n v="0"/>
    <x v="0"/>
  </r>
  <r>
    <s v="F"/>
    <x v="43"/>
    <n v="65.882999999999996"/>
    <n v="1.7410000000000001"/>
    <n v="37.06"/>
    <n v="21.735809765558884"/>
    <n v="1"/>
    <x v="1"/>
    <n v="107.392"/>
    <s v="163/61"/>
    <n v="163"/>
    <n v="61"/>
    <n v="229"/>
    <x v="0"/>
    <n v="34"/>
    <n v="89"/>
    <x v="1"/>
    <x v="0"/>
    <x v="1"/>
    <s v="N"/>
    <x v="0"/>
    <n v="174.05199999999999"/>
    <n v="0.61699999999999999"/>
    <x v="3"/>
    <n v="163"/>
    <n v="61"/>
    <x v="3"/>
    <n v="165"/>
    <n v="4.8499999999999996"/>
    <x v="0"/>
    <n v="22.141999999999999"/>
    <x v="1"/>
    <x v="0"/>
    <x v="1"/>
    <n v="1"/>
    <x v="0"/>
  </r>
  <r>
    <s v="M"/>
    <x v="2"/>
    <n v="70.34"/>
    <n v="1.6990000000000001"/>
    <n v="35.125999999999998"/>
    <n v="24.367759867054712"/>
    <n v="1"/>
    <x v="1"/>
    <n v="78.756"/>
    <s v="150/108"/>
    <n v="150"/>
    <n v="108"/>
    <n v="264"/>
    <x v="0"/>
    <n v="87"/>
    <n v="159"/>
    <x v="0"/>
    <x v="0"/>
    <x v="0"/>
    <s v="Y"/>
    <x v="1"/>
    <n v="169.876"/>
    <n v="0.46400000000000002"/>
    <x v="0"/>
    <n v="150"/>
    <n v="108"/>
    <x v="3"/>
    <n v="147"/>
    <n v="1.69"/>
    <x v="0"/>
    <n v="21.805"/>
    <x v="0"/>
    <x v="0"/>
    <x v="0"/>
    <n v="0"/>
    <x v="0"/>
  </r>
  <r>
    <s v="F"/>
    <x v="43"/>
    <n v="94.236999999999995"/>
    <n v="1.837"/>
    <n v="19.024000000000001"/>
    <n v="27.925640281766356"/>
    <n v="1"/>
    <x v="0"/>
    <n v="118.386"/>
    <s v="175/105"/>
    <n v="175"/>
    <n v="105"/>
    <n v="290"/>
    <x v="0"/>
    <n v="66"/>
    <n v="155"/>
    <x v="0"/>
    <x v="1"/>
    <x v="2"/>
    <s v="Y"/>
    <x v="2"/>
    <n v="183.68299999999999"/>
    <n v="0.64500000000000002"/>
    <x v="3"/>
    <n v="175"/>
    <n v="105"/>
    <x v="3"/>
    <n v="194"/>
    <n v="2.94"/>
    <x v="0"/>
    <n v="18.355"/>
    <x v="0"/>
    <x v="0"/>
    <x v="0"/>
    <n v="0"/>
    <x v="0"/>
  </r>
  <r>
    <s v="F"/>
    <x v="46"/>
    <n v="73.73"/>
    <n v="1.6910000000000001"/>
    <n v="22.972000000000001"/>
    <n v="25.784399336802728"/>
    <n v="1"/>
    <x v="0"/>
    <n v="116.24299999999999"/>
    <s v="114/63"/>
    <n v="114"/>
    <n v="63"/>
    <n v="285"/>
    <x v="0"/>
    <n v="76"/>
    <n v="131"/>
    <x v="0"/>
    <x v="1"/>
    <x v="0"/>
    <s v="Y"/>
    <x v="0"/>
    <n v="169.065"/>
    <n v="0.68799999999999994"/>
    <x v="3"/>
    <n v="114"/>
    <n v="63"/>
    <x v="2"/>
    <n v="179"/>
    <n v="2.36"/>
    <x v="0"/>
    <n v="15.994"/>
    <x v="0"/>
    <x v="0"/>
    <x v="0"/>
    <n v="0"/>
    <x v="0"/>
  </r>
  <r>
    <s v="M"/>
    <x v="1"/>
    <m/>
    <m/>
    <n v="27.923999999999999"/>
    <s v=""/>
    <s v=""/>
    <x v="2"/>
    <n v="88.421000000000006"/>
    <s v="164/118"/>
    <n v="164"/>
    <n v="118"/>
    <m/>
    <x v="2"/>
    <n v="63"/>
    <n v="172"/>
    <x v="0"/>
    <x v="0"/>
    <x v="1"/>
    <s v="Y"/>
    <x v="0"/>
    <n v="178.46100000000001"/>
    <n v="0.495"/>
    <x v="0"/>
    <n v="164"/>
    <m/>
    <x v="3"/>
    <n v="157"/>
    <n v="2.4900000000000002"/>
    <x v="0"/>
    <n v="20.785"/>
    <x v="1"/>
    <x v="1"/>
    <x v="1"/>
    <n v="1"/>
    <x v="1"/>
  </r>
  <r>
    <s v="M"/>
    <x v="32"/>
    <n v="58.82"/>
    <n v="1.92"/>
    <n v="21.324000000000002"/>
    <n v="15.955946180555555"/>
    <n v="1"/>
    <x v="0"/>
    <n v="86.471000000000004"/>
    <s v="94/77"/>
    <n v="94"/>
    <n v="77"/>
    <n v="193"/>
    <x v="0"/>
    <n v="83"/>
    <n v="172"/>
    <x v="0"/>
    <x v="0"/>
    <x v="0"/>
    <s v="N"/>
    <x v="0"/>
    <n v="192.04400000000001"/>
    <n v="0.45"/>
    <x v="2"/>
    <n v="94"/>
    <n v="77"/>
    <x v="2"/>
    <n v="80"/>
    <n v="0.96"/>
    <x v="0"/>
    <n v="14.824999999999999"/>
    <x v="0"/>
    <x v="0"/>
    <x v="0"/>
    <n v="0"/>
    <x v="0"/>
  </r>
  <r>
    <s v="F"/>
    <x v="37"/>
    <n v="88.953999999999994"/>
    <n v="1.877"/>
    <n v="32.024999999999999"/>
    <n v="25.248578749174381"/>
    <n v="1"/>
    <x v="1"/>
    <n v="74.763999999999996"/>
    <s v="139/98"/>
    <n v="139"/>
    <n v="98"/>
    <n v="268"/>
    <x v="0"/>
    <n v="54"/>
    <n v="96"/>
    <x v="0"/>
    <x v="1"/>
    <x v="1"/>
    <s v="Y"/>
    <x v="2"/>
    <n v="187.74799999999999"/>
    <m/>
    <x v="4"/>
    <n v="139"/>
    <m/>
    <x v="1"/>
    <n v="184"/>
    <n v="3.41"/>
    <x v="0"/>
    <n v="18.715"/>
    <x v="1"/>
    <x v="0"/>
    <x v="1"/>
    <n v="1"/>
    <x v="0"/>
  </r>
  <r>
    <s v="F"/>
    <x v="45"/>
    <n v="87.152000000000001"/>
    <m/>
    <n v="26.512"/>
    <s v=""/>
    <s v=""/>
    <x v="2"/>
    <n v="80.593000000000004"/>
    <s v="99/77"/>
    <n v="99"/>
    <n v="77"/>
    <n v="247"/>
    <x v="0"/>
    <n v="62"/>
    <n v="96"/>
    <x v="1"/>
    <x v="0"/>
    <x v="1"/>
    <s v="N"/>
    <x v="0"/>
    <n v="178.14"/>
    <n v="0.45200000000000001"/>
    <x v="2"/>
    <n v="99"/>
    <n v="77"/>
    <x v="2"/>
    <n v="155"/>
    <n v="2.5"/>
    <x v="0"/>
    <n v="17.192"/>
    <x v="0"/>
    <x v="0"/>
    <x v="0"/>
    <n v="0"/>
    <x v="0"/>
  </r>
  <r>
    <s v="M"/>
    <x v="19"/>
    <m/>
    <n v="1.5629999999999999"/>
    <n v="19.096"/>
    <n v="0"/>
    <n v="1"/>
    <x v="0"/>
    <m/>
    <s v="126/84"/>
    <n v="126"/>
    <n v="84"/>
    <n v="265"/>
    <x v="0"/>
    <n v="39"/>
    <n v="171"/>
    <x v="1"/>
    <x v="0"/>
    <x v="1"/>
    <s v="Y"/>
    <x v="1"/>
    <n v="156.30099999999999"/>
    <n v="0.60299999999999998"/>
    <x v="3"/>
    <n v="126"/>
    <n v="84"/>
    <x v="1"/>
    <n v="196"/>
    <n v="5.03"/>
    <x v="0"/>
    <n v="17.419"/>
    <x v="2"/>
    <x v="0"/>
    <x v="0"/>
    <n v="0"/>
    <x v="0"/>
  </r>
  <r>
    <s v="M"/>
    <x v="35"/>
    <n v="71.846999999999994"/>
    <n v="1.9359999999999999"/>
    <n v="19.053000000000001"/>
    <n v="19.168932706099309"/>
    <n v="1"/>
    <x v="0"/>
    <n v="117.693"/>
    <s v="178/63"/>
    <n v="178"/>
    <n v="63"/>
    <n v="201"/>
    <x v="0"/>
    <n v="65"/>
    <n v="142"/>
    <x v="1"/>
    <x v="1"/>
    <x v="0"/>
    <s v="Y"/>
    <x v="1"/>
    <n v="193.631"/>
    <m/>
    <x v="4"/>
    <n v="178"/>
    <n v="63"/>
    <x v="3"/>
    <n v="106"/>
    <n v="1.63"/>
    <x v="0"/>
    <n v="16.731000000000002"/>
    <x v="2"/>
    <x v="0"/>
    <x v="0"/>
    <n v="0"/>
    <x v="0"/>
  </r>
  <r>
    <s v="F"/>
    <x v="31"/>
    <n v="98.480999999999995"/>
    <n v="1.798"/>
    <n v="25.846"/>
    <n v="30.463028380316278"/>
    <n v="1"/>
    <x v="2"/>
    <n v="77.537000000000006"/>
    <s v="125/88"/>
    <n v="125"/>
    <n v="88"/>
    <n v="126"/>
    <x v="2"/>
    <n v="81"/>
    <n v="86"/>
    <x v="1"/>
    <x v="0"/>
    <x v="0"/>
    <s v="Y"/>
    <x v="4"/>
    <n v="179.846"/>
    <n v="0.43099999999999999"/>
    <x v="2"/>
    <n v="125"/>
    <n v="88"/>
    <x v="1"/>
    <n v="15"/>
    <n v="0.19"/>
    <x v="0"/>
    <n v="15.939"/>
    <x v="2"/>
    <x v="0"/>
    <x v="0"/>
    <n v="0"/>
    <x v="1"/>
  </r>
  <r>
    <s v="F"/>
    <x v="15"/>
    <n v="106.83199999999999"/>
    <n v="1.583"/>
    <n v="31.925999999999998"/>
    <n v="42.632375177032984"/>
    <n v="1"/>
    <x v="1"/>
    <n v="111.33199999999999"/>
    <s v="170/116"/>
    <n v="170"/>
    <n v="116"/>
    <n v="247"/>
    <x v="0"/>
    <n v="53"/>
    <n v="129"/>
    <x v="1"/>
    <x v="1"/>
    <x v="0"/>
    <s v="Y"/>
    <x v="1"/>
    <n v="158.30799999999999"/>
    <n v="0.70299999999999996"/>
    <x v="3"/>
    <n v="170"/>
    <n v="116"/>
    <x v="3"/>
    <n v="164"/>
    <n v="3.09"/>
    <x v="0"/>
    <m/>
    <x v="0"/>
    <x v="0"/>
    <x v="0"/>
    <n v="0"/>
    <x v="0"/>
  </r>
  <r>
    <s v="F"/>
    <x v="39"/>
    <n v="115.14400000000001"/>
    <n v="1.5269999999999999"/>
    <n v="24.876999999999999"/>
    <n v="49.381381798656712"/>
    <n v="1"/>
    <x v="0"/>
    <n v="119.495"/>
    <s v="147/90"/>
    <n v="147"/>
    <n v="90"/>
    <n v="249"/>
    <x v="0"/>
    <n v="82"/>
    <n v="177"/>
    <x v="0"/>
    <x v="0"/>
    <x v="0"/>
    <s v="N"/>
    <x v="0"/>
    <n v="152.71299999999999"/>
    <n v="0.78200000000000003"/>
    <x v="3"/>
    <n v="147"/>
    <n v="90"/>
    <x v="3"/>
    <n v="137"/>
    <n v="1.67"/>
    <x v="0"/>
    <n v="19.305"/>
    <x v="0"/>
    <x v="0"/>
    <x v="0"/>
    <n v="0"/>
    <x v="0"/>
  </r>
  <r>
    <s v="F"/>
    <x v="38"/>
    <n v="89.738"/>
    <n v="1.8720000000000001"/>
    <n v="25.768999999999998"/>
    <n v="25.607353532033017"/>
    <n v="1"/>
    <x v="2"/>
    <n v="110.836"/>
    <s v="147/108"/>
    <n v="147"/>
    <n v="108"/>
    <n v="216"/>
    <x v="0"/>
    <n v="63"/>
    <n v="108"/>
    <x v="0"/>
    <x v="1"/>
    <x v="2"/>
    <s v="Y"/>
    <x v="2"/>
    <n v="187.16399999999999"/>
    <n v="0.59199999999999997"/>
    <x v="3"/>
    <n v="147"/>
    <n v="108"/>
    <x v="3"/>
    <n v="123"/>
    <n v="1.95"/>
    <x v="0"/>
    <n v="16.824000000000002"/>
    <x v="2"/>
    <x v="0"/>
    <x v="0"/>
    <n v="0"/>
    <x v="0"/>
  </r>
  <r>
    <s v="F"/>
    <x v="53"/>
    <n v="53.847000000000001"/>
    <n v="1.8"/>
    <n v="30.696000000000002"/>
    <n v="16.619444444444444"/>
    <n v="1"/>
    <x v="1"/>
    <n v="103.182"/>
    <s v="141/108"/>
    <n v="141"/>
    <n v="108"/>
    <n v="252"/>
    <x v="0"/>
    <m/>
    <n v="98"/>
    <x v="1"/>
    <x v="0"/>
    <x v="2"/>
    <s v="N"/>
    <x v="0"/>
    <n v="180.03299999999999"/>
    <n v="0.57299999999999995"/>
    <x v="1"/>
    <n v="141"/>
    <n v="108"/>
    <x v="3"/>
    <n v="167"/>
    <s v=""/>
    <x v="0"/>
    <n v="20.228999999999999"/>
    <x v="1"/>
    <x v="0"/>
    <x v="1"/>
    <n v="1"/>
    <x v="0"/>
  </r>
  <r>
    <s v="F"/>
    <x v="49"/>
    <n v="81.444999999999993"/>
    <n v="1.958"/>
    <n v="25.209"/>
    <n v="21.244135006745328"/>
    <n v="1"/>
    <x v="2"/>
    <n v="87.242000000000004"/>
    <s v="149/78"/>
    <n v="149"/>
    <n v="78"/>
    <n v="295"/>
    <x v="0"/>
    <n v="34"/>
    <m/>
    <x v="0"/>
    <x v="1"/>
    <x v="2"/>
    <s v="N"/>
    <x v="3"/>
    <n v="195.81899999999999"/>
    <n v="0.44600000000000001"/>
    <x v="2"/>
    <n v="149"/>
    <n v="78"/>
    <x v="3"/>
    <m/>
    <n v="0"/>
    <x v="0"/>
    <n v="18.391999999999999"/>
    <x v="2"/>
    <x v="0"/>
    <x v="0"/>
    <n v="0"/>
    <x v="0"/>
  </r>
  <r>
    <s v="M"/>
    <x v="2"/>
    <n v="83.971000000000004"/>
    <n v="1.925"/>
    <n v="27.524999999999999"/>
    <n v="22.660414909765557"/>
    <n v="1"/>
    <x v="2"/>
    <n v="91.305000000000007"/>
    <s v="91/98"/>
    <n v="91"/>
    <n v="98"/>
    <n v="150"/>
    <x v="1"/>
    <n v="62"/>
    <n v="173"/>
    <x v="0"/>
    <x v="0"/>
    <x v="1"/>
    <s v="Y"/>
    <x v="0"/>
    <n v="192.535"/>
    <n v="0.47399999999999998"/>
    <x v="0"/>
    <n v="91"/>
    <n v="98"/>
    <x v="3"/>
    <n v="58"/>
    <n v="0.94"/>
    <x v="0"/>
    <n v="15.055"/>
    <x v="1"/>
    <x v="1"/>
    <x v="1"/>
    <n v="1"/>
    <x v="0"/>
  </r>
  <r>
    <s v="F"/>
    <x v="18"/>
    <n v="115.794"/>
    <n v="1.641"/>
    <n v="20.564"/>
    <n v="43.000043447890938"/>
    <n v="1"/>
    <x v="0"/>
    <m/>
    <s v="99/73"/>
    <n v="99"/>
    <n v="73"/>
    <n v="219"/>
    <x v="0"/>
    <m/>
    <n v="115"/>
    <x v="1"/>
    <x v="1"/>
    <x v="0"/>
    <s v="N"/>
    <x v="0"/>
    <n v="164.126"/>
    <n v="0.63800000000000001"/>
    <x v="3"/>
    <n v="99"/>
    <n v="73"/>
    <x v="2"/>
    <n v="152"/>
    <s v=""/>
    <x v="0"/>
    <n v="13.443"/>
    <x v="0"/>
    <x v="0"/>
    <x v="0"/>
    <n v="0"/>
    <x v="0"/>
  </r>
  <r>
    <s v="M"/>
    <x v="9"/>
    <n v="116.024"/>
    <n v="1.5389999999999999"/>
    <n v="23.917000000000002"/>
    <n v="48.985843908498175"/>
    <n v="1"/>
    <x v="0"/>
    <n v="72.846999999999994"/>
    <s v="161/92"/>
    <n v="161"/>
    <n v="92"/>
    <n v="208"/>
    <x v="0"/>
    <n v="69"/>
    <n v="84"/>
    <x v="0"/>
    <x v="0"/>
    <x v="2"/>
    <s v="Y"/>
    <x v="0"/>
    <n v="153.916"/>
    <n v="0.47299999999999998"/>
    <x v="0"/>
    <n v="161"/>
    <n v="92"/>
    <x v="3"/>
    <n v="109"/>
    <n v="1.58"/>
    <x v="0"/>
    <n v="18.992999999999999"/>
    <x v="0"/>
    <x v="0"/>
    <x v="0"/>
    <n v="0"/>
    <x v="0"/>
  </r>
  <r>
    <s v="M"/>
    <x v="34"/>
    <m/>
    <n v="1.722"/>
    <n v="27.672000000000001"/>
    <n v="0"/>
    <n v="1"/>
    <x v="2"/>
    <n v="85.176000000000002"/>
    <s v="162/79"/>
    <n v="162"/>
    <n v="79"/>
    <n v="232"/>
    <x v="0"/>
    <n v="34"/>
    <n v="192"/>
    <x v="0"/>
    <x v="1"/>
    <x v="2"/>
    <s v="N"/>
    <x v="3"/>
    <n v="172.17500000000001"/>
    <n v="0.495"/>
    <x v="0"/>
    <n v="162"/>
    <n v="79"/>
    <x v="3"/>
    <n v="168"/>
    <n v="4.9400000000000004"/>
    <x v="0"/>
    <n v="18.274000000000001"/>
    <x v="1"/>
    <x v="0"/>
    <x v="1"/>
    <n v="1"/>
    <x v="0"/>
  </r>
  <r>
    <s v="F"/>
    <x v="29"/>
    <n v="107.84099999999999"/>
    <n v="1.7030000000000001"/>
    <n v="37.747"/>
    <n v="37.183871920954658"/>
    <n v="1"/>
    <x v="1"/>
    <n v="88.787000000000006"/>
    <s v="132/63"/>
    <n v="132"/>
    <n v="63"/>
    <n v="214"/>
    <x v="0"/>
    <n v="73"/>
    <n v="118"/>
    <x v="1"/>
    <x v="1"/>
    <x v="2"/>
    <s v="Y"/>
    <x v="0"/>
    <n v="170.3"/>
    <n v="0.52100000000000002"/>
    <x v="0"/>
    <n v="132"/>
    <m/>
    <x v="1"/>
    <n v="111"/>
    <n v="1.52"/>
    <x v="0"/>
    <m/>
    <x v="2"/>
    <x v="0"/>
    <x v="0"/>
    <n v="0"/>
    <x v="0"/>
  </r>
  <r>
    <s v="M"/>
    <x v="52"/>
    <n v="96.870999999999995"/>
    <n v="1.673"/>
    <n v="31.201000000000001"/>
    <n v="34.610024048484256"/>
    <n v="1"/>
    <x v="1"/>
    <n v="103.46299999999999"/>
    <s v="107/65"/>
    <n v="107"/>
    <n v="65"/>
    <n v="289"/>
    <x v="0"/>
    <n v="62"/>
    <m/>
    <x v="0"/>
    <x v="1"/>
    <x v="0"/>
    <s v="N"/>
    <x v="2"/>
    <n v="167.34700000000001"/>
    <n v="0.61799999999999999"/>
    <x v="3"/>
    <n v="107"/>
    <n v="65"/>
    <x v="2"/>
    <n v="197"/>
    <n v="3.18"/>
    <x v="0"/>
    <n v="17.37"/>
    <x v="0"/>
    <x v="0"/>
    <x v="0"/>
    <n v="0"/>
    <x v="0"/>
  </r>
  <r>
    <s v="M"/>
    <x v="45"/>
    <n v="109.962"/>
    <n v="1.865"/>
    <n v="31.501999999999999"/>
    <n v="31.614401023510556"/>
    <n v="1"/>
    <x v="1"/>
    <n v="83.17"/>
    <s v="163/78"/>
    <n v="163"/>
    <n v="78"/>
    <n v="160"/>
    <x v="1"/>
    <n v="75"/>
    <n v="134"/>
    <x v="1"/>
    <x v="1"/>
    <x v="2"/>
    <s v="Y"/>
    <x v="0"/>
    <n v="186.494"/>
    <n v="0.44600000000000001"/>
    <x v="2"/>
    <n v="163"/>
    <n v="78"/>
    <x v="3"/>
    <n v="55"/>
    <n v="0.73"/>
    <x v="0"/>
    <n v="17.649999999999999"/>
    <x v="1"/>
    <x v="1"/>
    <x v="1"/>
    <n v="1"/>
    <x v="0"/>
  </r>
  <r>
    <s v="F"/>
    <x v="2"/>
    <n v="112.52"/>
    <n v="1.52"/>
    <n v="21.988"/>
    <n v="48.701523545706372"/>
    <n v="1"/>
    <x v="0"/>
    <n v="106.12"/>
    <s v="117/96"/>
    <n v="117"/>
    <n v="96"/>
    <n v="228"/>
    <x v="0"/>
    <n v="40"/>
    <n v="91"/>
    <x v="0"/>
    <x v="0"/>
    <x v="0"/>
    <s v="Y"/>
    <x v="1"/>
    <n v="152.02000000000001"/>
    <n v="0.69799999999999995"/>
    <x v="3"/>
    <n v="117"/>
    <n v="96"/>
    <x v="3"/>
    <n v="158"/>
    <n v="3.95"/>
    <x v="0"/>
    <n v="16.808"/>
    <x v="2"/>
    <x v="0"/>
    <x v="0"/>
    <n v="0"/>
    <x v="0"/>
  </r>
  <r>
    <s v="M"/>
    <x v="30"/>
    <n v="66.072999999999993"/>
    <n v="1.94"/>
    <n v="32.301000000000002"/>
    <n v="17.555797640556914"/>
    <n v="1"/>
    <x v="1"/>
    <n v="90.433000000000007"/>
    <s v="122/97"/>
    <n v="122"/>
    <n v="97"/>
    <n v="240"/>
    <x v="0"/>
    <n v="37"/>
    <n v="157"/>
    <x v="0"/>
    <x v="0"/>
    <x v="2"/>
    <s v="Y"/>
    <x v="0"/>
    <n v="193.988"/>
    <n v="0.46600000000000003"/>
    <x v="0"/>
    <n v="122"/>
    <n v="97"/>
    <x v="3"/>
    <n v="173"/>
    <n v="4.68"/>
    <x v="0"/>
    <n v="19.36"/>
    <x v="1"/>
    <x v="0"/>
    <x v="1"/>
    <n v="1"/>
    <x v="0"/>
  </r>
  <r>
    <s v="F"/>
    <x v="51"/>
    <n v="56.363"/>
    <n v="1.6659999999999999"/>
    <n v="27.126999999999999"/>
    <n v="20.306922288723413"/>
    <n v="1"/>
    <x v="2"/>
    <n v="75.180999999999997"/>
    <s v="101/91"/>
    <n v="101"/>
    <n v="91"/>
    <n v="179"/>
    <x v="1"/>
    <n v="34"/>
    <n v="148"/>
    <x v="0"/>
    <x v="1"/>
    <x v="0"/>
    <s v="Y"/>
    <x v="0"/>
    <n v="166.58600000000001"/>
    <n v="0.45100000000000001"/>
    <x v="2"/>
    <n v="101"/>
    <n v="91"/>
    <x v="3"/>
    <n v="115"/>
    <n v="3.38"/>
    <x v="0"/>
    <n v="14.055"/>
    <x v="0"/>
    <x v="0"/>
    <x v="0"/>
    <n v="0"/>
    <x v="0"/>
  </r>
  <r>
    <s v="F"/>
    <x v="19"/>
    <n v="61.393000000000001"/>
    <n v="1.63"/>
    <n v="22.696000000000002"/>
    <n v="23.107004403628292"/>
    <n v="1"/>
    <x v="0"/>
    <n v="111.024"/>
    <s v="154/112"/>
    <n v="154"/>
    <n v="112"/>
    <n v="164"/>
    <x v="1"/>
    <n v="85"/>
    <n v="195"/>
    <x v="1"/>
    <x v="1"/>
    <x v="2"/>
    <s v="N"/>
    <x v="2"/>
    <n v="163.023"/>
    <n v="0.68100000000000005"/>
    <x v="3"/>
    <n v="154"/>
    <n v="112"/>
    <x v="3"/>
    <n v="49"/>
    <n v="0.57999999999999996"/>
    <x v="0"/>
    <n v="15.519"/>
    <x v="1"/>
    <x v="1"/>
    <x v="1"/>
    <n v="1"/>
    <x v="0"/>
  </r>
  <r>
    <s v="F"/>
    <x v="45"/>
    <n v="62.584000000000003"/>
    <n v="1.627"/>
    <n v="38.851999999999997"/>
    <n v="23.642217662985068"/>
    <n v="1"/>
    <x v="1"/>
    <n v="92.159000000000006"/>
    <s v="143/84"/>
    <n v="143"/>
    <n v="84"/>
    <n v="241"/>
    <x v="0"/>
    <n v="58"/>
    <n v="166"/>
    <x v="1"/>
    <x v="0"/>
    <x v="1"/>
    <s v="Y"/>
    <x v="1"/>
    <n v="162.655"/>
    <n v="0.56699999999999995"/>
    <x v="1"/>
    <n v="143"/>
    <n v="84"/>
    <x v="1"/>
    <n v="153"/>
    <n v="2.64"/>
    <x v="0"/>
    <n v="21.74"/>
    <x v="1"/>
    <x v="0"/>
    <x v="1"/>
    <n v="1"/>
    <x v="1"/>
  </r>
  <r>
    <s v="M"/>
    <x v="20"/>
    <n v="119.054"/>
    <n v="1.5309999999999999"/>
    <n v="25.117000000000001"/>
    <n v="50.791800716820809"/>
    <n v="1"/>
    <x v="2"/>
    <n v="98.700999999999993"/>
    <s v="134/91"/>
    <n v="134"/>
    <n v="91"/>
    <n v="225"/>
    <x v="0"/>
    <n v="53"/>
    <n v="126"/>
    <x v="1"/>
    <x v="0"/>
    <x v="2"/>
    <s v="N"/>
    <x v="0"/>
    <n v="153.05699999999999"/>
    <n v="0.64500000000000002"/>
    <x v="3"/>
    <m/>
    <n v="91"/>
    <x v="1"/>
    <n v="142"/>
    <n v="2.68"/>
    <x v="0"/>
    <n v="18.222999999999999"/>
    <x v="2"/>
    <x v="0"/>
    <x v="0"/>
    <n v="0"/>
    <x v="0"/>
  </r>
  <r>
    <s v="M"/>
    <x v="42"/>
    <n v="108.191"/>
    <n v="1.8129999999999999"/>
    <n v="37.866"/>
    <n v="32.915126367179006"/>
    <n v="1"/>
    <x v="1"/>
    <n v="112.492"/>
    <s v="173/68"/>
    <n v="173"/>
    <n v="68"/>
    <n v="182"/>
    <x v="0"/>
    <n v="71"/>
    <n v="72"/>
    <x v="1"/>
    <x v="1"/>
    <x v="2"/>
    <s v="N"/>
    <x v="2"/>
    <n v="181.28700000000001"/>
    <n v="0.621"/>
    <x v="3"/>
    <n v="173"/>
    <n v="68"/>
    <x v="3"/>
    <n v="81"/>
    <n v="1.1399999999999999"/>
    <x v="0"/>
    <n v="19.863"/>
    <x v="1"/>
    <x v="1"/>
    <x v="1"/>
    <n v="1"/>
    <x v="0"/>
  </r>
  <r>
    <s v="F"/>
    <x v="26"/>
    <n v="101.614"/>
    <n v="1.5760000000000001"/>
    <n v="34.651000000000003"/>
    <n v="40.91109665283826"/>
    <n v="1"/>
    <x v="1"/>
    <n v="95.959000000000003"/>
    <s v="178/108"/>
    <n v="178"/>
    <n v="108"/>
    <n v="164"/>
    <x v="1"/>
    <n v="54"/>
    <n v="165"/>
    <x v="0"/>
    <x v="0"/>
    <x v="1"/>
    <s v="N"/>
    <x v="2"/>
    <n v="157.64500000000001"/>
    <n v="0.60899999999999999"/>
    <x v="3"/>
    <n v="178"/>
    <n v="108"/>
    <x v="3"/>
    <n v="80"/>
    <n v="1.48"/>
    <x v="0"/>
    <n v="21.11"/>
    <x v="2"/>
    <x v="0"/>
    <x v="0"/>
    <n v="0"/>
    <x v="1"/>
  </r>
  <r>
    <s v="F"/>
    <x v="26"/>
    <n v="94.435000000000002"/>
    <m/>
    <m/>
    <s v=""/>
    <s v=""/>
    <x v="3"/>
    <n v="98.32"/>
    <s v="99/64"/>
    <n v="99"/>
    <n v="64"/>
    <n v="292"/>
    <x v="0"/>
    <n v="37"/>
    <m/>
    <x v="0"/>
    <x v="1"/>
    <x v="1"/>
    <s v="N"/>
    <x v="3"/>
    <n v="166.85400000000001"/>
    <n v="0.58899999999999997"/>
    <x v="3"/>
    <m/>
    <n v="64"/>
    <x v="2"/>
    <n v="225"/>
    <n v="6.08"/>
    <x v="1"/>
    <n v="16.779"/>
    <x v="1"/>
    <x v="0"/>
    <x v="1"/>
    <n v="1"/>
    <x v="0"/>
  </r>
  <r>
    <s v="F"/>
    <x v="47"/>
    <n v="56.05"/>
    <n v="1.704"/>
    <n v="35.158999999999999"/>
    <n v="19.303516718464149"/>
    <n v="1"/>
    <x v="1"/>
    <n v="97.144999999999996"/>
    <s v="134/76"/>
    <n v="134"/>
    <n v="76"/>
    <n v="206"/>
    <x v="0"/>
    <n v="31"/>
    <n v="80"/>
    <x v="1"/>
    <x v="1"/>
    <x v="0"/>
    <s v="N"/>
    <x v="0"/>
    <n v="170.41499999999999"/>
    <n v="0.56999999999999995"/>
    <x v="1"/>
    <n v="134"/>
    <n v="76"/>
    <x v="1"/>
    <n v="145"/>
    <n v="4.68"/>
    <x v="0"/>
    <n v="17.852"/>
    <x v="0"/>
    <x v="0"/>
    <x v="0"/>
    <n v="0"/>
    <x v="0"/>
  </r>
  <r>
    <s v="F"/>
    <x v="2"/>
    <n v="72.75"/>
    <n v="1.861"/>
    <n v="18.565000000000001"/>
    <n v="21.005849587722302"/>
    <n v="1"/>
    <x v="0"/>
    <n v="75.935000000000002"/>
    <s v="130/78"/>
    <n v="130"/>
    <n v="78"/>
    <n v="106"/>
    <x v="2"/>
    <n v="74"/>
    <n v="121"/>
    <x v="1"/>
    <x v="1"/>
    <x v="0"/>
    <s v="Y"/>
    <x v="1"/>
    <n v="186.12700000000001"/>
    <n v="0.40799999999999997"/>
    <x v="2"/>
    <n v="130"/>
    <n v="78"/>
    <x v="1"/>
    <n v="2"/>
    <n v="0.03"/>
    <x v="0"/>
    <n v="12.333"/>
    <x v="2"/>
    <x v="0"/>
    <x v="0"/>
    <n v="0"/>
    <x v="0"/>
  </r>
  <r>
    <s v="M"/>
    <x v="25"/>
    <n v="87.994"/>
    <n v="1.583"/>
    <n v="18.669"/>
    <n v="35.114883380708406"/>
    <n v="1"/>
    <x v="0"/>
    <n v="116.67100000000001"/>
    <s v="159/60"/>
    <n v="159"/>
    <n v="60"/>
    <n v="280"/>
    <x v="0"/>
    <n v="46"/>
    <m/>
    <x v="1"/>
    <x v="0"/>
    <x v="2"/>
    <s v="N"/>
    <x v="0"/>
    <n v="158.34200000000001"/>
    <n v="0.73699999999999999"/>
    <x v="3"/>
    <n v="159"/>
    <n v="60"/>
    <x v="3"/>
    <n v="204"/>
    <n v="4.43"/>
    <x v="0"/>
    <n v="19.283999999999999"/>
    <x v="2"/>
    <x v="0"/>
    <x v="0"/>
    <n v="0"/>
    <x v="1"/>
  </r>
  <r>
    <s v="F"/>
    <x v="14"/>
    <n v="92.004999999999995"/>
    <n v="1.726"/>
    <m/>
    <n v="30.883737105062103"/>
    <n v="1"/>
    <x v="3"/>
    <n v="98.691999999999993"/>
    <s v="95/111"/>
    <n v="95"/>
    <n v="111"/>
    <n v="156"/>
    <x v="1"/>
    <n v="80"/>
    <n v="80"/>
    <x v="0"/>
    <x v="0"/>
    <x v="1"/>
    <s v="N"/>
    <x v="2"/>
    <n v="172.602"/>
    <n v="0.57199999999999995"/>
    <x v="1"/>
    <n v="95"/>
    <n v="111"/>
    <x v="3"/>
    <n v="46"/>
    <n v="0.57999999999999996"/>
    <x v="0"/>
    <n v="14.316000000000001"/>
    <x v="2"/>
    <x v="0"/>
    <x v="0"/>
    <n v="0"/>
    <x v="0"/>
  </r>
  <r>
    <s v="F"/>
    <x v="14"/>
    <n v="66.656999999999996"/>
    <n v="1.9359999999999999"/>
    <n v="31.658000000000001"/>
    <n v="17.78422964619903"/>
    <n v="1"/>
    <x v="1"/>
    <n v="77.477000000000004"/>
    <s v="148/93"/>
    <n v="148"/>
    <n v="93"/>
    <n v="251"/>
    <x v="0"/>
    <n v="48"/>
    <n v="144"/>
    <x v="0"/>
    <x v="1"/>
    <x v="2"/>
    <s v="N"/>
    <x v="3"/>
    <n v="193.578"/>
    <n v="0.4"/>
    <x v="2"/>
    <n v="148"/>
    <n v="93"/>
    <x v="3"/>
    <n v="173"/>
    <n v="3.6"/>
    <x v="0"/>
    <n v="18.751999999999999"/>
    <x v="1"/>
    <x v="0"/>
    <x v="1"/>
    <n v="1"/>
    <x v="0"/>
  </r>
  <r>
    <s v="F"/>
    <x v="41"/>
    <n v="113.375"/>
    <n v="1.8420000000000001"/>
    <n v="28.870999999999999"/>
    <n v="33.414737085333059"/>
    <n v="1"/>
    <x v="2"/>
    <n v="81.93"/>
    <s v="177/67"/>
    <n v="177"/>
    <n v="67"/>
    <n v="255"/>
    <x v="0"/>
    <n v="76"/>
    <n v="94"/>
    <x v="1"/>
    <x v="1"/>
    <x v="0"/>
    <s v="N"/>
    <x v="0"/>
    <m/>
    <n v="0.44500000000000001"/>
    <x v="2"/>
    <n v="177"/>
    <n v="67"/>
    <x v="3"/>
    <n v="149"/>
    <n v="1.96"/>
    <x v="0"/>
    <n v="19.724"/>
    <x v="1"/>
    <x v="1"/>
    <x v="1"/>
    <n v="1"/>
    <x v="0"/>
  </r>
  <r>
    <s v="F"/>
    <x v="41"/>
    <n v="114.687"/>
    <n v="1.611"/>
    <n v="39.601999999999997"/>
    <n v="44.189909456286912"/>
    <n v="1"/>
    <x v="1"/>
    <n v="73.828999999999994"/>
    <s v="143/62"/>
    <n v="143"/>
    <n v="62"/>
    <n v="137"/>
    <x v="2"/>
    <n v="48"/>
    <n v="123"/>
    <x v="1"/>
    <x v="1"/>
    <x v="0"/>
    <s v="N"/>
    <x v="0"/>
    <n v="161.12299999999999"/>
    <n v="0.45800000000000002"/>
    <x v="2"/>
    <n v="143"/>
    <n v="62"/>
    <x v="3"/>
    <n v="59"/>
    <n v="1.23"/>
    <x v="0"/>
    <n v="17.809999999999999"/>
    <x v="1"/>
    <x v="0"/>
    <x v="1"/>
    <n v="1"/>
    <x v="0"/>
  </r>
  <r>
    <s v="M"/>
    <x v="43"/>
    <n v="59.59"/>
    <n v="1.5780000000000001"/>
    <n v="25.876999999999999"/>
    <n v="23.93091959949945"/>
    <n v="1"/>
    <x v="2"/>
    <n v="90.146000000000001"/>
    <s v="93/79"/>
    <n v="93"/>
    <n v="79"/>
    <n v="239"/>
    <x v="0"/>
    <n v="78"/>
    <n v="70"/>
    <x v="0"/>
    <x v="1"/>
    <x v="2"/>
    <s v="Y"/>
    <x v="2"/>
    <n v="157.827"/>
    <n v="0.57099999999999995"/>
    <x v="1"/>
    <n v="93"/>
    <n v="79"/>
    <x v="2"/>
    <n v="131"/>
    <n v="1.68"/>
    <x v="0"/>
    <n v="14.605"/>
    <x v="2"/>
    <x v="0"/>
    <x v="0"/>
    <n v="0"/>
    <x v="0"/>
  </r>
  <r>
    <s v="F"/>
    <x v="38"/>
    <n v="118.551"/>
    <n v="1.8740000000000001"/>
    <n v="34.009"/>
    <n v="33.757171380766287"/>
    <n v="1"/>
    <x v="1"/>
    <n v="95.67"/>
    <s v="133/110"/>
    <n v="133"/>
    <n v="110"/>
    <n v="116"/>
    <x v="2"/>
    <m/>
    <n v="138"/>
    <x v="1"/>
    <x v="0"/>
    <x v="0"/>
    <s v="Y"/>
    <x v="4"/>
    <n v="187.40700000000001"/>
    <n v="0.51"/>
    <x v="0"/>
    <n v="133"/>
    <m/>
    <x v="1"/>
    <n v="37"/>
    <s v=""/>
    <x v="0"/>
    <n v="17.771999999999998"/>
    <x v="2"/>
    <x v="0"/>
    <x v="0"/>
    <n v="0"/>
    <x v="1"/>
  </r>
  <r>
    <s v="F"/>
    <x v="26"/>
    <n v="113.852"/>
    <n v="1.8979999999999999"/>
    <n v="27.341999999999999"/>
    <n v="31.604450805628691"/>
    <n v="1"/>
    <x v="2"/>
    <n v="98.588999999999999"/>
    <s v="139/72"/>
    <n v="139"/>
    <n v="72"/>
    <n v="228"/>
    <x v="0"/>
    <n v="83"/>
    <n v="189"/>
    <x v="1"/>
    <x v="0"/>
    <x v="1"/>
    <s v="N"/>
    <x v="0"/>
    <m/>
    <n v="0.51900000000000002"/>
    <x v="0"/>
    <n v="139"/>
    <n v="72"/>
    <x v="1"/>
    <n v="115"/>
    <n v="1.39"/>
    <x v="0"/>
    <n v="18.978000000000002"/>
    <x v="2"/>
    <x v="0"/>
    <x v="0"/>
    <n v="0"/>
    <x v="1"/>
  </r>
  <r>
    <s v="F"/>
    <x v="12"/>
    <n v="80.778000000000006"/>
    <n v="1.514"/>
    <n v="39.4"/>
    <n v="35.240441916834335"/>
    <n v="1"/>
    <x v="1"/>
    <n v="83.332999999999998"/>
    <s v="147/107"/>
    <n v="147"/>
    <n v="107"/>
    <n v="202"/>
    <x v="0"/>
    <n v="48"/>
    <n v="119"/>
    <x v="1"/>
    <x v="0"/>
    <x v="0"/>
    <s v="Y"/>
    <x v="4"/>
    <n v="151.35400000000001"/>
    <n v="0.55100000000000005"/>
    <x v="1"/>
    <n v="147"/>
    <n v="107"/>
    <x v="3"/>
    <n v="124"/>
    <n v="2.58"/>
    <x v="0"/>
    <n v="21.27"/>
    <x v="1"/>
    <x v="0"/>
    <x v="1"/>
    <n v="1"/>
    <x v="0"/>
  </r>
  <r>
    <s v="F"/>
    <x v="40"/>
    <n v="80.209999999999994"/>
    <n v="1.5169999999999999"/>
    <n v="39.329000000000001"/>
    <n v="34.854379436915572"/>
    <n v="1"/>
    <x v="1"/>
    <n v="84.858999999999995"/>
    <s v="90/109"/>
    <n v="90"/>
    <n v="109"/>
    <n v="132"/>
    <x v="2"/>
    <m/>
    <n v="194"/>
    <x v="0"/>
    <x v="0"/>
    <x v="1"/>
    <s v="N"/>
    <x v="2"/>
    <n v="151.70699999999999"/>
    <n v="0.55900000000000005"/>
    <x v="1"/>
    <n v="90"/>
    <n v="109"/>
    <x v="3"/>
    <n v="62"/>
    <s v=""/>
    <x v="0"/>
    <n v="17.006"/>
    <x v="1"/>
    <x v="0"/>
    <x v="1"/>
    <n v="1"/>
    <x v="1"/>
  </r>
  <r>
    <s v="F"/>
    <x v="53"/>
    <n v="99.355000000000004"/>
    <m/>
    <n v="38.600999999999999"/>
    <s v=""/>
    <s v=""/>
    <x v="1"/>
    <n v="106.727"/>
    <s v="169/119"/>
    <n v="169"/>
    <n v="119"/>
    <n v="261"/>
    <x v="0"/>
    <n v="43"/>
    <n v="169"/>
    <x v="1"/>
    <x v="1"/>
    <x v="2"/>
    <s v="Y"/>
    <x v="0"/>
    <n v="181.11199999999999"/>
    <n v="0.58899999999999997"/>
    <x v="3"/>
    <n v="169"/>
    <n v="119"/>
    <x v="3"/>
    <n v="188"/>
    <n v="4.37"/>
    <x v="0"/>
    <n v="21.39"/>
    <x v="1"/>
    <x v="0"/>
    <x v="1"/>
    <n v="1"/>
    <x v="0"/>
  </r>
  <r>
    <s v="F"/>
    <x v="12"/>
    <n v="64.724000000000004"/>
    <n v="1.8440000000000001"/>
    <n v="25.879000000000001"/>
    <n v="19.034589522917734"/>
    <n v="1"/>
    <x v="2"/>
    <n v="87.762"/>
    <s v="149/82"/>
    <n v="149"/>
    <n v="82"/>
    <n v="108"/>
    <x v="2"/>
    <n v="50"/>
    <n v="92"/>
    <x v="1"/>
    <x v="1"/>
    <x v="2"/>
    <s v="N"/>
    <x v="2"/>
    <n v="184.44900000000001"/>
    <n v="0.47599999999999998"/>
    <x v="0"/>
    <n v="149"/>
    <n v="82"/>
    <x v="1"/>
    <n v="28"/>
    <n v="0.56000000000000005"/>
    <x v="0"/>
    <n v="14.786"/>
    <x v="1"/>
    <x v="0"/>
    <x v="1"/>
    <n v="1"/>
    <x v="0"/>
  </r>
  <r>
    <s v="M"/>
    <x v="55"/>
    <n v="61.716999999999999"/>
    <n v="1.7010000000000001"/>
    <n v="26.474"/>
    <n v="21.330261515773305"/>
    <n v="1"/>
    <x v="2"/>
    <n v="102.253"/>
    <s v="93/79"/>
    <n v="93"/>
    <n v="79"/>
    <n v="284"/>
    <x v="0"/>
    <n v="82"/>
    <n v="95"/>
    <x v="0"/>
    <x v="0"/>
    <x v="2"/>
    <s v="N"/>
    <x v="2"/>
    <n v="170.12"/>
    <n v="0.60099999999999998"/>
    <x v="3"/>
    <n v="93"/>
    <n v="79"/>
    <x v="2"/>
    <m/>
    <n v="0"/>
    <x v="0"/>
    <n v="17.625"/>
    <x v="2"/>
    <x v="0"/>
    <x v="0"/>
    <n v="0"/>
    <x v="0"/>
  </r>
  <r>
    <s v="F"/>
    <x v="9"/>
    <n v="110.67100000000001"/>
    <n v="1.853"/>
    <n v="33.140999999999998"/>
    <n v="32.231683922077323"/>
    <n v="1"/>
    <x v="1"/>
    <n v="113.437"/>
    <s v="102/71"/>
    <n v="102"/>
    <n v="71"/>
    <n v="136"/>
    <x v="2"/>
    <n v="62"/>
    <n v="181"/>
    <x v="0"/>
    <x v="1"/>
    <x v="0"/>
    <s v="N"/>
    <x v="2"/>
    <n v="185.345"/>
    <n v="0.61199999999999999"/>
    <x v="3"/>
    <n v="102"/>
    <n v="71"/>
    <x v="2"/>
    <n v="44"/>
    <n v="0.71"/>
    <x v="0"/>
    <n v="14.448"/>
    <x v="0"/>
    <x v="0"/>
    <x v="0"/>
    <n v="0"/>
    <x v="0"/>
  </r>
  <r>
    <s v="F"/>
    <x v="52"/>
    <n v="102.85899999999999"/>
    <n v="1.593"/>
    <n v="38.125"/>
    <n v="40.533186425703477"/>
    <n v="1"/>
    <x v="1"/>
    <n v="73.057000000000002"/>
    <s v="125/94"/>
    <n v="125"/>
    <n v="94"/>
    <n v="126"/>
    <x v="2"/>
    <n v="33"/>
    <n v="102"/>
    <x v="1"/>
    <x v="1"/>
    <x v="1"/>
    <s v="N"/>
    <x v="2"/>
    <n v="159.33099999999999"/>
    <n v="0.45900000000000002"/>
    <x v="2"/>
    <n v="125"/>
    <n v="94"/>
    <x v="3"/>
    <n v="63"/>
    <n v="1.91"/>
    <x v="0"/>
    <n v="16.395"/>
    <x v="1"/>
    <x v="0"/>
    <x v="1"/>
    <n v="1"/>
    <x v="0"/>
  </r>
  <r>
    <s v="M"/>
    <x v="2"/>
    <n v="61.262"/>
    <n v="1.712"/>
    <n v="23.332999999999998"/>
    <n v="20.901798191981833"/>
    <n v="1"/>
    <x v="0"/>
    <n v="98.600999999999999"/>
    <s v="129/85"/>
    <n v="129"/>
    <n v="85"/>
    <n v="103"/>
    <x v="2"/>
    <n v="83"/>
    <n v="127"/>
    <x v="0"/>
    <x v="0"/>
    <x v="2"/>
    <s v="Y"/>
    <x v="0"/>
    <n v="171.21799999999999"/>
    <n v="0.57599999999999996"/>
    <x v="1"/>
    <n v="129"/>
    <n v="85"/>
    <x v="1"/>
    <n v="-10"/>
    <n v="-0.12"/>
    <x v="0"/>
    <n v="15.177"/>
    <x v="1"/>
    <x v="1"/>
    <x v="1"/>
    <n v="1"/>
    <x v="0"/>
  </r>
  <r>
    <s v="M"/>
    <x v="51"/>
    <n v="97.128"/>
    <n v="1.6619999999999999"/>
    <n v="20.533000000000001"/>
    <n v="35.162715531285436"/>
    <n v="1"/>
    <x v="0"/>
    <n v="99.930999999999997"/>
    <s v="143/91"/>
    <n v="143"/>
    <n v="91"/>
    <n v="260"/>
    <x v="0"/>
    <n v="60"/>
    <n v="105"/>
    <x v="0"/>
    <x v="1"/>
    <x v="0"/>
    <s v="N"/>
    <x v="2"/>
    <n v="166.203"/>
    <n v="0.60099999999999998"/>
    <x v="3"/>
    <n v="143"/>
    <n v="91"/>
    <x v="3"/>
    <n v="170"/>
    <n v="2.83"/>
    <x v="0"/>
    <n v="16.457000000000001"/>
    <x v="2"/>
    <x v="0"/>
    <x v="0"/>
    <n v="0"/>
    <x v="0"/>
  </r>
  <r>
    <s v="F"/>
    <x v="55"/>
    <n v="75.631"/>
    <n v="1.7749999999999999"/>
    <n v="31.672000000000001"/>
    <n v="24.005078357468758"/>
    <n v="1"/>
    <x v="1"/>
    <n v="113.36199999999999"/>
    <s v="104/113"/>
    <n v="104"/>
    <n v="113"/>
    <n v="278"/>
    <x v="0"/>
    <n v="89"/>
    <n v="191"/>
    <x v="1"/>
    <x v="0"/>
    <x v="1"/>
    <s v="N"/>
    <x v="0"/>
    <n v="177.47"/>
    <n v="0.63900000000000001"/>
    <x v="3"/>
    <n v="104"/>
    <n v="113"/>
    <x v="3"/>
    <n v="159"/>
    <n v="1.79"/>
    <x v="0"/>
    <n v="19.094000000000001"/>
    <x v="2"/>
    <x v="0"/>
    <x v="0"/>
    <n v="0"/>
    <x v="0"/>
  </r>
  <r>
    <s v="F"/>
    <x v="4"/>
    <n v="76.506"/>
    <n v="1.5129999999999999"/>
    <n v="24.196999999999999"/>
    <n v="33.420861456712025"/>
    <n v="1"/>
    <x v="0"/>
    <n v="118.583"/>
    <s v="115/105"/>
    <n v="115"/>
    <n v="105"/>
    <m/>
    <x v="2"/>
    <n v="63"/>
    <n v="120"/>
    <x v="1"/>
    <x v="1"/>
    <x v="2"/>
    <s v="N"/>
    <x v="2"/>
    <n v="151.29599999999999"/>
    <n v="0.78400000000000003"/>
    <x v="3"/>
    <n v="115"/>
    <m/>
    <x v="3"/>
    <n v="41"/>
    <n v="0.65"/>
    <x v="0"/>
    <n v="13.269"/>
    <x v="0"/>
    <x v="0"/>
    <x v="0"/>
    <n v="0"/>
    <x v="0"/>
  </r>
  <r>
    <s v="F"/>
    <x v="10"/>
    <n v="92.923000000000002"/>
    <n v="1.8420000000000001"/>
    <n v="33.116"/>
    <n v="27.386969033564753"/>
    <n v="1"/>
    <x v="1"/>
    <n v="106.315"/>
    <s v="101/91"/>
    <n v="101"/>
    <n v="91"/>
    <n v="158"/>
    <x v="1"/>
    <n v="71"/>
    <n v="76"/>
    <x v="0"/>
    <x v="0"/>
    <x v="1"/>
    <s v="Y"/>
    <x v="0"/>
    <n v="184.172"/>
    <n v="0.57699999999999996"/>
    <x v="1"/>
    <n v="101"/>
    <n v="91"/>
    <x v="3"/>
    <n v="57"/>
    <n v="0.8"/>
    <x v="0"/>
    <n v="16.832999999999998"/>
    <x v="0"/>
    <x v="0"/>
    <x v="0"/>
    <n v="0"/>
    <x v="1"/>
  </r>
  <r>
    <s v="F"/>
    <x v="41"/>
    <n v="97.58"/>
    <n v="1.5049999999999999"/>
    <n v="24.2"/>
    <n v="43.081202194236276"/>
    <n v="1"/>
    <x v="0"/>
    <n v="95.757999999999996"/>
    <s v="162/106"/>
    <n v="162"/>
    <n v="106"/>
    <n v="245"/>
    <x v="0"/>
    <n v="58"/>
    <n v="194"/>
    <x v="1"/>
    <x v="1"/>
    <x v="1"/>
    <s v="Y"/>
    <x v="0"/>
    <m/>
    <n v="0.63600000000000001"/>
    <x v="3"/>
    <n v="162"/>
    <m/>
    <x v="3"/>
    <n v="157"/>
    <n v="2.71"/>
    <x v="0"/>
    <n v="17.84"/>
    <x v="0"/>
    <x v="0"/>
    <x v="0"/>
    <n v="0"/>
    <x v="0"/>
  </r>
  <r>
    <s v="M"/>
    <x v="49"/>
    <n v="73.605999999999995"/>
    <n v="1.72"/>
    <n v="31.202999999999999"/>
    <n v="24.880340724716064"/>
    <n v="1"/>
    <x v="1"/>
    <n v="91.233999999999995"/>
    <s v="105/107"/>
    <n v="105"/>
    <n v="107"/>
    <n v="235"/>
    <x v="0"/>
    <n v="32"/>
    <n v="174"/>
    <x v="0"/>
    <x v="0"/>
    <x v="2"/>
    <s v="Y"/>
    <x v="0"/>
    <m/>
    <n v="0.53"/>
    <x v="1"/>
    <n v="105"/>
    <n v="107"/>
    <x v="3"/>
    <n v="173"/>
    <n v="5.41"/>
    <x v="0"/>
    <n v="18.190999999999999"/>
    <x v="1"/>
    <x v="0"/>
    <x v="1"/>
    <n v="1"/>
    <x v="1"/>
  </r>
  <r>
    <s v="M"/>
    <x v="46"/>
    <m/>
    <n v="1.851"/>
    <n v="20.474"/>
    <n v="0"/>
    <n v="1"/>
    <x v="0"/>
    <n v="97.393000000000001"/>
    <s v="160/99"/>
    <n v="160"/>
    <n v="99"/>
    <n v="279"/>
    <x v="0"/>
    <n v="47"/>
    <n v="88"/>
    <x v="1"/>
    <x v="1"/>
    <x v="1"/>
    <s v="Y"/>
    <x v="0"/>
    <n v="185.11699999999999"/>
    <n v="0.52600000000000002"/>
    <x v="1"/>
    <n v="160"/>
    <n v="99"/>
    <x v="3"/>
    <m/>
    <n v="0"/>
    <x v="0"/>
    <n v="17.675000000000001"/>
    <x v="0"/>
    <x v="0"/>
    <x v="0"/>
    <n v="0"/>
    <x v="0"/>
  </r>
  <r>
    <s v="M"/>
    <x v="2"/>
    <n v="69.944999999999993"/>
    <n v="1.6479999999999999"/>
    <n v="38.807000000000002"/>
    <n v="25.753855806390803"/>
    <n v="1"/>
    <x v="1"/>
    <n v="79.69"/>
    <s v="139/79"/>
    <n v="139"/>
    <n v="79"/>
    <n v="123"/>
    <x v="2"/>
    <n v="42"/>
    <n v="92"/>
    <x v="1"/>
    <x v="0"/>
    <x v="0"/>
    <s v="N"/>
    <x v="1"/>
    <n v="164.77"/>
    <n v="0.48399999999999999"/>
    <x v="0"/>
    <n v="139"/>
    <n v="79"/>
    <x v="1"/>
    <n v="51"/>
    <n v="1.21"/>
    <x v="0"/>
    <n v="19.170999999999999"/>
    <x v="1"/>
    <x v="0"/>
    <x v="1"/>
    <n v="1"/>
    <x v="0"/>
  </r>
  <r>
    <s v="F"/>
    <x v="29"/>
    <n v="55.317999999999998"/>
    <n v="1.99"/>
    <n v="27.309000000000001"/>
    <n v="13.96883917072801"/>
    <n v="1"/>
    <x v="2"/>
    <n v="75.926000000000002"/>
    <s v="170/100"/>
    <n v="170"/>
    <n v="100"/>
    <n v="243"/>
    <x v="0"/>
    <n v="63"/>
    <n v="143"/>
    <x v="0"/>
    <x v="0"/>
    <x v="0"/>
    <s v="Y"/>
    <x v="1"/>
    <n v="198.96600000000001"/>
    <n v="0.38200000000000001"/>
    <x v="2"/>
    <n v="170"/>
    <n v="100"/>
    <x v="3"/>
    <n v="150"/>
    <n v="2.38"/>
    <x v="0"/>
    <n v="20.821999999999999"/>
    <x v="1"/>
    <x v="1"/>
    <x v="1"/>
    <n v="1"/>
    <x v="1"/>
  </r>
  <r>
    <s v="F"/>
    <x v="55"/>
    <n v="100.47499999999999"/>
    <n v="1.881"/>
    <n v="23.193999999999999"/>
    <n v="28.397520632893752"/>
    <n v="1"/>
    <x v="0"/>
    <n v="113.065"/>
    <s v="112/92"/>
    <n v="112"/>
    <n v="92"/>
    <m/>
    <x v="2"/>
    <n v="68"/>
    <n v="92"/>
    <x v="0"/>
    <x v="0"/>
    <x v="1"/>
    <s v="N"/>
    <x v="2"/>
    <n v="188.11799999999999"/>
    <n v="0.60099999999999998"/>
    <x v="3"/>
    <m/>
    <n v="92"/>
    <x v="3"/>
    <n v="141"/>
    <n v="2.0699999999999998"/>
    <x v="0"/>
    <n v="17.018999999999998"/>
    <x v="2"/>
    <x v="0"/>
    <x v="0"/>
    <n v="0"/>
    <x v="0"/>
  </r>
  <r>
    <s v="M"/>
    <x v="21"/>
    <n v="87.025000000000006"/>
    <n v="1.9550000000000001"/>
    <n v="27.308"/>
    <n v="22.769343476298559"/>
    <n v="1"/>
    <x v="2"/>
    <n v="86.331000000000003"/>
    <s v="104/95"/>
    <n v="104"/>
    <n v="95"/>
    <n v="251"/>
    <x v="0"/>
    <n v="61"/>
    <n v="177"/>
    <x v="0"/>
    <x v="1"/>
    <x v="1"/>
    <s v="N"/>
    <x v="3"/>
    <n v="195.54900000000001"/>
    <n v="0.441"/>
    <x v="2"/>
    <n v="104"/>
    <n v="95"/>
    <x v="3"/>
    <n v="160"/>
    <n v="2.62"/>
    <x v="0"/>
    <n v="15.682"/>
    <x v="0"/>
    <x v="0"/>
    <x v="0"/>
    <n v="0"/>
    <x v="0"/>
  </r>
  <r>
    <s v="M"/>
    <x v="18"/>
    <n v="89.924000000000007"/>
    <n v="1.5029999999999999"/>
    <n v="35.781999999999996"/>
    <n v="39.806835652270536"/>
    <n v="1"/>
    <x v="1"/>
    <n v="77.900000000000006"/>
    <s v="92/66"/>
    <n v="92"/>
    <n v="66"/>
    <n v="193"/>
    <x v="0"/>
    <n v="64"/>
    <n v="129"/>
    <x v="1"/>
    <x v="1"/>
    <x v="1"/>
    <s v="N"/>
    <x v="2"/>
    <n v="150.28299999999999"/>
    <n v="0.51800000000000002"/>
    <x v="0"/>
    <n v="92"/>
    <n v="66"/>
    <x v="2"/>
    <n v="99"/>
    <n v="1.55"/>
    <x v="0"/>
    <n v="15.616"/>
    <x v="2"/>
    <x v="0"/>
    <x v="0"/>
    <n v="0"/>
    <x v="0"/>
  </r>
  <r>
    <s v="M"/>
    <x v="31"/>
    <n v="55.92"/>
    <n v="1.7330000000000001"/>
    <n v="19.805"/>
    <n v="18.619586726418934"/>
    <n v="1"/>
    <x v="0"/>
    <n v="106.169"/>
    <s v="159/75"/>
    <n v="159"/>
    <n v="75"/>
    <n v="170"/>
    <x v="1"/>
    <n v="44"/>
    <n v="190"/>
    <x v="0"/>
    <x v="1"/>
    <x v="2"/>
    <s v="N"/>
    <x v="3"/>
    <n v="173.267"/>
    <n v="0.61299999999999999"/>
    <x v="3"/>
    <n v="159"/>
    <n v="75"/>
    <x v="3"/>
    <n v="96"/>
    <n v="2.1800000000000002"/>
    <x v="0"/>
    <n v="15.311"/>
    <x v="1"/>
    <x v="0"/>
    <x v="1"/>
    <n v="1"/>
    <x v="0"/>
  </r>
  <r>
    <s v="M"/>
    <x v="52"/>
    <n v="56.610999999999997"/>
    <m/>
    <n v="19.66"/>
    <s v=""/>
    <s v=""/>
    <x v="0"/>
    <n v="113.152"/>
    <s v="115/70"/>
    <n v="115"/>
    <n v="70"/>
    <n v="202"/>
    <x v="0"/>
    <n v="46"/>
    <n v="175"/>
    <x v="0"/>
    <x v="1"/>
    <x v="1"/>
    <s v="N"/>
    <x v="3"/>
    <n v="161.63200000000001"/>
    <n v="0.7"/>
    <x v="3"/>
    <n v="115"/>
    <n v="70"/>
    <x v="2"/>
    <n v="126"/>
    <n v="2.74"/>
    <x v="0"/>
    <n v="13.722"/>
    <x v="2"/>
    <x v="0"/>
    <x v="0"/>
    <n v="0"/>
    <x v="0"/>
  </r>
  <r>
    <s v="M"/>
    <x v="29"/>
    <n v="81.135999999999996"/>
    <n v="1.67"/>
    <n v="34.347000000000001"/>
    <n v="29.0924737351644"/>
    <n v="1"/>
    <x v="1"/>
    <n v="104.875"/>
    <s v="166/80"/>
    <n v="166"/>
    <n v="80"/>
    <n v="246"/>
    <x v="0"/>
    <n v="49"/>
    <n v="144"/>
    <x v="1"/>
    <x v="0"/>
    <x v="0"/>
    <s v="N"/>
    <x v="1"/>
    <n v="166.98400000000001"/>
    <n v="0.628"/>
    <x v="3"/>
    <n v="166"/>
    <n v="80"/>
    <x v="1"/>
    <n v="167"/>
    <n v="3.41"/>
    <x v="0"/>
    <n v="22.088999999999999"/>
    <x v="1"/>
    <x v="0"/>
    <x v="1"/>
    <n v="1"/>
    <x v="1"/>
  </r>
  <r>
    <s v="F"/>
    <x v="22"/>
    <n v="63.779000000000003"/>
    <n v="1.502"/>
    <n v="34.183999999999997"/>
    <n v="28.270783207831194"/>
    <n v="1"/>
    <x v="1"/>
    <n v="113.836"/>
    <s v="173/73"/>
    <n v="173"/>
    <n v="73"/>
    <n v="241"/>
    <x v="0"/>
    <n v="33"/>
    <n v="71"/>
    <x v="1"/>
    <x v="0"/>
    <x v="2"/>
    <s v="N"/>
    <x v="0"/>
    <n v="150.15799999999999"/>
    <n v="0.75800000000000001"/>
    <x v="3"/>
    <n v="173"/>
    <n v="73"/>
    <x v="3"/>
    <m/>
    <n v="0"/>
    <x v="0"/>
    <n v="22.306999999999999"/>
    <x v="1"/>
    <x v="0"/>
    <x v="1"/>
    <n v="1"/>
    <x v="0"/>
  </r>
  <r>
    <s v="M"/>
    <x v="5"/>
    <n v="78.203999999999994"/>
    <n v="1.5940000000000001"/>
    <n v="37.316000000000003"/>
    <n v="30.778846017609947"/>
    <n v="1"/>
    <x v="1"/>
    <n v="85.284000000000006"/>
    <s v="101/83"/>
    <n v="101"/>
    <n v="83"/>
    <n v="273"/>
    <x v="0"/>
    <n v="35"/>
    <n v="114"/>
    <x v="1"/>
    <x v="1"/>
    <x v="2"/>
    <s v="Y"/>
    <x v="0"/>
    <n v="159.42699999999999"/>
    <n v="0.53500000000000003"/>
    <x v="1"/>
    <n v="101"/>
    <n v="83"/>
    <x v="1"/>
    <n v="208"/>
    <n v="5.94"/>
    <x v="0"/>
    <n v="17.972999999999999"/>
    <x v="2"/>
    <x v="0"/>
    <x v="0"/>
    <n v="0"/>
    <x v="0"/>
  </r>
  <r>
    <s v="F"/>
    <x v="12"/>
    <n v="83.658000000000001"/>
    <m/>
    <n v="37.006999999999998"/>
    <s v=""/>
    <s v=""/>
    <x v="1"/>
    <n v="75.284999999999997"/>
    <s v="147/110"/>
    <n v="147"/>
    <n v="110"/>
    <n v="110"/>
    <x v="2"/>
    <n v="83"/>
    <n v="117"/>
    <x v="0"/>
    <x v="1"/>
    <x v="1"/>
    <s v="N"/>
    <x v="3"/>
    <n v="158.68299999999999"/>
    <n v="0.47399999999999998"/>
    <x v="0"/>
    <n v="147"/>
    <n v="110"/>
    <x v="3"/>
    <n v="-3"/>
    <n v="-0.04"/>
    <x v="0"/>
    <n v="16.951000000000001"/>
    <x v="0"/>
    <x v="0"/>
    <x v="0"/>
    <n v="0"/>
    <x v="0"/>
  </r>
  <r>
    <s v="M"/>
    <x v="2"/>
    <n v="107.13500000000001"/>
    <n v="1.7210000000000001"/>
    <n v="25.052"/>
    <n v="36.171759388839575"/>
    <n v="1"/>
    <x v="2"/>
    <n v="95.3"/>
    <s v="114/97"/>
    <n v="114"/>
    <n v="97"/>
    <n v="235"/>
    <x v="0"/>
    <n v="74"/>
    <n v="77"/>
    <x v="0"/>
    <x v="0"/>
    <x v="2"/>
    <s v="N"/>
    <x v="2"/>
    <n v="172.05500000000001"/>
    <n v="0.55400000000000005"/>
    <x v="1"/>
    <m/>
    <n v="97"/>
    <x v="3"/>
    <n v="131"/>
    <n v="1.77"/>
    <x v="0"/>
    <n v="17.41"/>
    <x v="0"/>
    <x v="0"/>
    <x v="0"/>
    <n v="0"/>
    <x v="0"/>
  </r>
  <r>
    <s v="F"/>
    <x v="22"/>
    <n v="118.98"/>
    <n v="1.82"/>
    <n v="34.694000000000003"/>
    <n v="35.91957493056394"/>
    <n v="1"/>
    <x v="1"/>
    <n v="104.985"/>
    <s v="156/99"/>
    <n v="156"/>
    <n v="99"/>
    <n v="100"/>
    <x v="2"/>
    <n v="34"/>
    <n v="80"/>
    <x v="1"/>
    <x v="1"/>
    <x v="0"/>
    <s v="Y"/>
    <x v="1"/>
    <n v="181.95500000000001"/>
    <n v="0.57699999999999996"/>
    <x v="1"/>
    <n v="156"/>
    <n v="99"/>
    <x v="3"/>
    <n v="36"/>
    <n v="1.06"/>
    <x v="0"/>
    <n v="16.739000000000001"/>
    <x v="2"/>
    <x v="0"/>
    <x v="0"/>
    <n v="0"/>
    <x v="0"/>
  </r>
  <r>
    <s v="F"/>
    <x v="31"/>
    <m/>
    <n v="1.58"/>
    <n v="21.617999999999999"/>
    <n v="0"/>
    <n v="1"/>
    <x v="0"/>
    <n v="104.07599999999999"/>
    <s v="122/115"/>
    <n v="122"/>
    <n v="115"/>
    <n v="117"/>
    <x v="2"/>
    <n v="51"/>
    <n v="97"/>
    <x v="1"/>
    <x v="1"/>
    <x v="2"/>
    <s v="Y"/>
    <x v="0"/>
    <n v="157.95500000000001"/>
    <n v="0.65900000000000003"/>
    <x v="3"/>
    <n v="122"/>
    <n v="115"/>
    <x v="3"/>
    <n v="36"/>
    <n v="0.71"/>
    <x v="0"/>
    <n v="12.763999999999999"/>
    <x v="0"/>
    <x v="0"/>
    <x v="0"/>
    <n v="0"/>
    <x v="0"/>
  </r>
  <r>
    <s v="M"/>
    <x v="39"/>
    <n v="84.010999999999996"/>
    <n v="1.74"/>
    <n v="26.893999999999998"/>
    <n v="27.74838155634826"/>
    <n v="1"/>
    <x v="2"/>
    <n v="78.637"/>
    <s v="97/113"/>
    <n v="97"/>
    <n v="113"/>
    <n v="152"/>
    <x v="1"/>
    <n v="37"/>
    <n v="133"/>
    <x v="0"/>
    <x v="0"/>
    <x v="2"/>
    <s v="N"/>
    <x v="2"/>
    <n v="173.99299999999999"/>
    <n v="0.45200000000000001"/>
    <x v="2"/>
    <n v="97"/>
    <n v="113"/>
    <x v="3"/>
    <n v="85"/>
    <n v="2.2999999999999998"/>
    <x v="0"/>
    <n v="15.269"/>
    <x v="0"/>
    <x v="0"/>
    <x v="0"/>
    <n v="0"/>
    <x v="0"/>
  </r>
  <r>
    <s v="M"/>
    <x v="19"/>
    <m/>
    <n v="1.7769999999999999"/>
    <n v="38.959000000000003"/>
    <n v="0"/>
    <n v="1"/>
    <x v="1"/>
    <n v="98.105000000000004"/>
    <s v="91/107"/>
    <n v="91"/>
    <n v="107"/>
    <n v="134"/>
    <x v="2"/>
    <m/>
    <n v="177"/>
    <x v="0"/>
    <x v="1"/>
    <x v="1"/>
    <s v="N"/>
    <x v="3"/>
    <n v="177.654"/>
    <n v="0.55200000000000005"/>
    <x v="1"/>
    <n v="91"/>
    <n v="107"/>
    <x v="3"/>
    <n v="23"/>
    <s v=""/>
    <x v="0"/>
    <n v="15.022"/>
    <x v="0"/>
    <x v="0"/>
    <x v="0"/>
    <n v="0"/>
    <x v="0"/>
  </r>
  <r>
    <s v="F"/>
    <x v="22"/>
    <n v="61.011000000000003"/>
    <n v="1.613"/>
    <n v="21.335999999999999"/>
    <n v="23.449814337860126"/>
    <n v="1"/>
    <x v="0"/>
    <n v="83.373000000000005"/>
    <s v="176/100"/>
    <n v="176"/>
    <n v="100"/>
    <n v="147"/>
    <x v="2"/>
    <n v="46"/>
    <n v="127"/>
    <x v="0"/>
    <x v="0"/>
    <x v="1"/>
    <s v="N"/>
    <x v="2"/>
    <n v="161.321"/>
    <n v="0.51700000000000002"/>
    <x v="0"/>
    <n v="176"/>
    <n v="100"/>
    <x v="3"/>
    <n v="71"/>
    <n v="1.54"/>
    <x v="0"/>
    <n v="18.007000000000001"/>
    <x v="0"/>
    <x v="0"/>
    <x v="0"/>
    <n v="0"/>
    <x v="0"/>
  </r>
  <r>
    <s v="F"/>
    <x v="40"/>
    <m/>
    <n v="1.8939999999999999"/>
    <n v="27.587"/>
    <n v="0"/>
    <n v="1"/>
    <x v="2"/>
    <n v="93.554000000000002"/>
    <s v="127/66"/>
    <n v="127"/>
    <n v="66"/>
    <n v="179"/>
    <x v="1"/>
    <n v="40"/>
    <n v="70"/>
    <x v="0"/>
    <x v="1"/>
    <x v="1"/>
    <s v="N"/>
    <x v="3"/>
    <n v="189.405"/>
    <n v="0.49399999999999999"/>
    <x v="0"/>
    <n v="127"/>
    <n v="66"/>
    <x v="0"/>
    <n v="109"/>
    <n v="2.73"/>
    <x v="0"/>
    <n v="15.446999999999999"/>
    <x v="2"/>
    <x v="0"/>
    <x v="0"/>
    <n v="0"/>
    <x v="0"/>
  </r>
  <r>
    <s v="F"/>
    <x v="44"/>
    <n v="108.428"/>
    <n v="1.579"/>
    <n v="30.689"/>
    <n v="43.488776255484332"/>
    <n v="1"/>
    <x v="1"/>
    <n v="75.798000000000002"/>
    <s v="122/112"/>
    <n v="122"/>
    <n v="112"/>
    <n v="159"/>
    <x v="1"/>
    <n v="89"/>
    <n v="137"/>
    <x v="0"/>
    <x v="0"/>
    <x v="2"/>
    <s v="N"/>
    <x v="2"/>
    <n v="157.94"/>
    <n v="0.48"/>
    <x v="0"/>
    <n v="122"/>
    <n v="112"/>
    <x v="3"/>
    <n v="40"/>
    <n v="0.45"/>
    <x v="0"/>
    <n v="17.417999999999999"/>
    <x v="1"/>
    <x v="1"/>
    <x v="1"/>
    <n v="1"/>
    <x v="1"/>
  </r>
  <r>
    <s v="F"/>
    <x v="31"/>
    <n v="119.571"/>
    <n v="1.764"/>
    <n v="29.949000000000002"/>
    <n v="38.426311567710982"/>
    <n v="1"/>
    <x v="2"/>
    <n v="97.328999999999994"/>
    <s v="161/85"/>
    <n v="161"/>
    <n v="85"/>
    <n v="244"/>
    <x v="0"/>
    <n v="46"/>
    <n v="155"/>
    <x v="1"/>
    <x v="0"/>
    <x v="2"/>
    <s v="Y"/>
    <x v="1"/>
    <n v="176.411"/>
    <n v="0.55200000000000005"/>
    <x v="1"/>
    <n v="161"/>
    <n v="85"/>
    <x v="1"/>
    <n v="168"/>
    <n v="3.65"/>
    <x v="0"/>
    <n v="20.92"/>
    <x v="0"/>
    <x v="0"/>
    <x v="0"/>
    <n v="0"/>
    <x v="1"/>
  </r>
  <r>
    <s v="M"/>
    <x v="28"/>
    <n v="101.49299999999999"/>
    <n v="1.8340000000000001"/>
    <n v="30.829000000000001"/>
    <n v="30.17431551607881"/>
    <n v="1"/>
    <x v="1"/>
    <n v="119.43600000000001"/>
    <s v="101/63"/>
    <n v="101"/>
    <n v="63"/>
    <n v="261"/>
    <x v="0"/>
    <n v="84"/>
    <n v="151"/>
    <x v="1"/>
    <x v="0"/>
    <x v="2"/>
    <s v="Y"/>
    <x v="1"/>
    <n v="183.42599999999999"/>
    <n v="0.65100000000000002"/>
    <x v="3"/>
    <n v="101"/>
    <n v="63"/>
    <x v="2"/>
    <n v="147"/>
    <n v="1.75"/>
    <x v="1"/>
    <n v="18.436"/>
    <x v="1"/>
    <x v="1"/>
    <x v="1"/>
    <n v="1"/>
    <x v="0"/>
  </r>
  <r>
    <s v="F"/>
    <x v="25"/>
    <n v="85.436000000000007"/>
    <n v="1.8089999999999999"/>
    <n v="29.928000000000001"/>
    <n v="26.107409026973727"/>
    <n v="1"/>
    <x v="2"/>
    <n v="72.209999999999994"/>
    <s v="124/60"/>
    <n v="124"/>
    <n v="60"/>
    <n v="105"/>
    <x v="2"/>
    <n v="49"/>
    <n v="93"/>
    <x v="1"/>
    <x v="0"/>
    <x v="2"/>
    <s v="N"/>
    <x v="0"/>
    <n v="180.94900000000001"/>
    <n v="0.39900000000000002"/>
    <x v="2"/>
    <n v="124"/>
    <n v="60"/>
    <x v="0"/>
    <n v="26"/>
    <n v="0.53"/>
    <x v="0"/>
    <n v="16.286000000000001"/>
    <x v="2"/>
    <x v="0"/>
    <x v="0"/>
    <n v="0"/>
    <x v="0"/>
  </r>
  <r>
    <s v="M"/>
    <x v="48"/>
    <n v="71.018000000000001"/>
    <n v="1.8660000000000001"/>
    <n v="29.228999999999999"/>
    <n v="20.396007301643099"/>
    <n v="1"/>
    <x v="2"/>
    <n v="81.180999999999997"/>
    <s v="119/86"/>
    <n v="119"/>
    <n v="86"/>
    <n v="281"/>
    <x v="0"/>
    <n v="58"/>
    <n v="111"/>
    <x v="0"/>
    <x v="1"/>
    <x v="0"/>
    <s v="Y"/>
    <x v="0"/>
    <n v="186.58"/>
    <n v="0.435"/>
    <x v="2"/>
    <n v="119"/>
    <n v="86"/>
    <x v="1"/>
    <n v="193"/>
    <n v="3.33"/>
    <x v="0"/>
    <n v="17.416"/>
    <x v="1"/>
    <x v="0"/>
    <x v="1"/>
    <n v="1"/>
    <x v="0"/>
  </r>
  <r>
    <s v="M"/>
    <x v="32"/>
    <n v="88.176000000000002"/>
    <n v="1.73"/>
    <n v="32.064"/>
    <n v="29.461726085067994"/>
    <n v="1"/>
    <x v="1"/>
    <n v="108.771"/>
    <s v="157/65"/>
    <n v="157"/>
    <n v="65"/>
    <n v="253"/>
    <x v="0"/>
    <n v="79"/>
    <n v="168"/>
    <x v="1"/>
    <x v="0"/>
    <x v="0"/>
    <s v="N"/>
    <x v="1"/>
    <n v="173.04400000000001"/>
    <n v="0.629"/>
    <x v="3"/>
    <n v="157"/>
    <n v="65"/>
    <x v="3"/>
    <n v="144"/>
    <n v="1.82"/>
    <x v="0"/>
    <n v="21.323"/>
    <x v="0"/>
    <x v="0"/>
    <x v="0"/>
    <n v="0"/>
    <x v="1"/>
  </r>
  <r>
    <s v="F"/>
    <x v="43"/>
    <n v="89.625"/>
    <n v="1.6180000000000001"/>
    <n v="39.646000000000001"/>
    <n v="34.235142043848477"/>
    <n v="1"/>
    <x v="1"/>
    <n v="112.02500000000001"/>
    <s v="166/96"/>
    <n v="166"/>
    <n v="96"/>
    <n v="137"/>
    <x v="2"/>
    <n v="52"/>
    <n v="77"/>
    <x v="1"/>
    <x v="0"/>
    <x v="1"/>
    <s v="N"/>
    <x v="0"/>
    <n v="161.81"/>
    <n v="0.69199999999999995"/>
    <x v="3"/>
    <n v="166"/>
    <n v="96"/>
    <x v="3"/>
    <n v="55"/>
    <n v="1.06"/>
    <x v="0"/>
    <n v="20.969000000000001"/>
    <x v="2"/>
    <x v="0"/>
    <x v="0"/>
    <n v="0"/>
    <x v="0"/>
  </r>
  <r>
    <s v="F"/>
    <x v="30"/>
    <n v="72.513999999999996"/>
    <n v="1.8089999999999999"/>
    <n v="25.928000000000001"/>
    <n v="22.158722999461265"/>
    <n v="1"/>
    <x v="2"/>
    <n v="90.137"/>
    <s v="176/92"/>
    <n v="176"/>
    <n v="92"/>
    <n v="251"/>
    <x v="0"/>
    <n v="88"/>
    <n v="125"/>
    <x v="1"/>
    <x v="0"/>
    <x v="1"/>
    <s v="N"/>
    <x v="0"/>
    <n v="180.946"/>
    <n v="0.498"/>
    <x v="0"/>
    <n v="176"/>
    <n v="92"/>
    <x v="3"/>
    <n v="133"/>
    <n v="1.51"/>
    <x v="0"/>
    <n v="21.006"/>
    <x v="0"/>
    <x v="0"/>
    <x v="0"/>
    <n v="0"/>
    <x v="0"/>
  </r>
  <r>
    <s v="M"/>
    <x v="52"/>
    <n v="59.067999999999998"/>
    <n v="1.556"/>
    <n v="29.125"/>
    <n v="24.396812074992894"/>
    <n v="1"/>
    <x v="2"/>
    <n v="71.025999999999996"/>
    <s v="162/80"/>
    <n v="162"/>
    <n v="80"/>
    <n v="238"/>
    <x v="0"/>
    <m/>
    <n v="119"/>
    <x v="1"/>
    <x v="1"/>
    <x v="1"/>
    <s v="N"/>
    <x v="2"/>
    <n v="155.596"/>
    <n v="0.45600000000000002"/>
    <x v="2"/>
    <n v="162"/>
    <n v="80"/>
    <x v="1"/>
    <m/>
    <s v=""/>
    <x v="0"/>
    <n v="18.684999999999999"/>
    <x v="2"/>
    <x v="0"/>
    <x v="0"/>
    <n v="0"/>
    <x v="0"/>
  </r>
  <r>
    <s v="F"/>
    <x v="55"/>
    <n v="83.855999999999995"/>
    <n v="1.95"/>
    <n v="36.851999999999997"/>
    <n v="22.052859960552269"/>
    <n v="1"/>
    <x v="1"/>
    <n v="77.156999999999996"/>
    <s v="96/68"/>
    <n v="96"/>
    <n v="68"/>
    <n v="140"/>
    <x v="2"/>
    <n v="32"/>
    <n v="174"/>
    <x v="1"/>
    <x v="0"/>
    <x v="0"/>
    <s v="Y"/>
    <x v="4"/>
    <n v="194.953"/>
    <n v="0.39600000000000002"/>
    <x v="2"/>
    <n v="96"/>
    <n v="68"/>
    <x v="2"/>
    <n v="78"/>
    <n v="2.44"/>
    <x v="0"/>
    <n v="16.97"/>
    <x v="1"/>
    <x v="0"/>
    <x v="1"/>
    <n v="1"/>
    <x v="0"/>
  </r>
  <r>
    <s v="M"/>
    <x v="37"/>
    <n v="88.733999999999995"/>
    <n v="1.863"/>
    <n v="22.917999999999999"/>
    <n v="25.56609212540506"/>
    <n v="1"/>
    <x v="0"/>
    <n v="75.188000000000002"/>
    <s v="148/84"/>
    <n v="148"/>
    <n v="84"/>
    <n v="120"/>
    <x v="2"/>
    <n v="62"/>
    <n v="141"/>
    <x v="1"/>
    <x v="0"/>
    <x v="1"/>
    <s v="Y"/>
    <x v="1"/>
    <n v="186.33"/>
    <n v="0.40400000000000003"/>
    <x v="2"/>
    <n v="148"/>
    <n v="84"/>
    <x v="1"/>
    <n v="28"/>
    <n v="0.45"/>
    <x v="0"/>
    <n v="16.384"/>
    <x v="2"/>
    <x v="0"/>
    <x v="0"/>
    <n v="0"/>
    <x v="0"/>
  </r>
  <r>
    <s v="F"/>
    <x v="28"/>
    <n v="99.356999999999999"/>
    <n v="1.8979999999999999"/>
    <n v="31.597000000000001"/>
    <n v="27.580748855486508"/>
    <n v="1"/>
    <x v="1"/>
    <n v="92.525999999999996"/>
    <s v="142/95"/>
    <n v="142"/>
    <n v="95"/>
    <n v="240"/>
    <x v="0"/>
    <n v="49"/>
    <n v="164"/>
    <x v="1"/>
    <x v="1"/>
    <x v="1"/>
    <s v="Y"/>
    <x v="0"/>
    <n v="189.75399999999999"/>
    <n v="0.48799999999999999"/>
    <x v="0"/>
    <n v="142"/>
    <n v="95"/>
    <x v="3"/>
    <n v="161"/>
    <n v="3.29"/>
    <x v="0"/>
    <n v="18.219000000000001"/>
    <x v="2"/>
    <x v="0"/>
    <x v="0"/>
    <n v="0"/>
    <x v="0"/>
  </r>
  <r>
    <s v="M"/>
    <x v="45"/>
    <n v="100.94"/>
    <n v="1.7509999999999999"/>
    <n v="22.696999999999999"/>
    <n v="32.922363691336045"/>
    <n v="1"/>
    <x v="0"/>
    <n v="71.652000000000001"/>
    <s v="115/113"/>
    <n v="115"/>
    <n v="113"/>
    <n v="128"/>
    <x v="2"/>
    <n v="81"/>
    <n v="103"/>
    <x v="1"/>
    <x v="0"/>
    <x v="1"/>
    <s v="N"/>
    <x v="0"/>
    <n v="175.10300000000001"/>
    <m/>
    <x v="4"/>
    <n v="115"/>
    <n v="113"/>
    <x v="3"/>
    <n v="17"/>
    <n v="0.21"/>
    <x v="0"/>
    <n v="14.849"/>
    <x v="0"/>
    <x v="0"/>
    <x v="0"/>
    <n v="0"/>
    <x v="1"/>
  </r>
  <r>
    <s v="M"/>
    <x v="19"/>
    <n v="61.213000000000001"/>
    <n v="1.829"/>
    <n v="19.643999999999998"/>
    <n v="18.29853215358774"/>
    <n v="1"/>
    <x v="0"/>
    <n v="84.102000000000004"/>
    <s v="108/61"/>
    <n v="108"/>
    <n v="61"/>
    <n v="145"/>
    <x v="2"/>
    <n v="70"/>
    <n v="168"/>
    <x v="0"/>
    <x v="1"/>
    <x v="1"/>
    <s v="N"/>
    <x v="3"/>
    <n v="182.90199999999999"/>
    <n v="0.46"/>
    <x v="2"/>
    <n v="108"/>
    <n v="61"/>
    <x v="2"/>
    <n v="45"/>
    <n v="0.64"/>
    <x v="0"/>
    <n v="12.228999999999999"/>
    <x v="0"/>
    <x v="0"/>
    <x v="0"/>
    <n v="0"/>
    <x v="0"/>
  </r>
  <r>
    <s v="M"/>
    <x v="33"/>
    <n v="76.988"/>
    <n v="1.792"/>
    <n v="21.911999999999999"/>
    <n v="23.974360251913264"/>
    <n v="1"/>
    <x v="0"/>
    <n v="116.937"/>
    <s v="103/93"/>
    <n v="103"/>
    <n v="93"/>
    <n v="218"/>
    <x v="0"/>
    <n v="71"/>
    <n v="88"/>
    <x v="0"/>
    <x v="1"/>
    <x v="0"/>
    <s v="N"/>
    <x v="2"/>
    <n v="179.18600000000001"/>
    <n v="0.65300000000000002"/>
    <x v="3"/>
    <n v="103"/>
    <n v="93"/>
    <x v="3"/>
    <n v="117"/>
    <n v="1.65"/>
    <x v="0"/>
    <n v="13.891999999999999"/>
    <x v="2"/>
    <x v="0"/>
    <x v="0"/>
    <n v="0"/>
    <x v="0"/>
  </r>
  <r>
    <s v="F"/>
    <x v="45"/>
    <n v="57.871000000000002"/>
    <n v="1.752"/>
    <n v="18.510000000000002"/>
    <n v="18.853534642730555"/>
    <n v="1"/>
    <x v="0"/>
    <n v="108.94199999999999"/>
    <s v="175/69"/>
    <n v="175"/>
    <n v="69"/>
    <n v="213"/>
    <x v="0"/>
    <n v="58"/>
    <n v="84"/>
    <x v="1"/>
    <x v="0"/>
    <x v="2"/>
    <s v="Y"/>
    <x v="1"/>
    <n v="175.155"/>
    <n v="0.622"/>
    <x v="3"/>
    <n v="175"/>
    <n v="69"/>
    <x v="3"/>
    <n v="125"/>
    <n v="2.16"/>
    <x v="0"/>
    <m/>
    <x v="2"/>
    <x v="0"/>
    <x v="0"/>
    <n v="0"/>
    <x v="1"/>
  </r>
  <r>
    <s v="M"/>
    <x v="39"/>
    <n v="116.52500000000001"/>
    <n v="1.9379999999999999"/>
    <n v="33.296999999999997"/>
    <n v="31.024983998270432"/>
    <n v="1"/>
    <x v="1"/>
    <n v="117.983"/>
    <s v="107/92"/>
    <n v="107"/>
    <n v="92"/>
    <n v="133"/>
    <x v="2"/>
    <m/>
    <m/>
    <x v="1"/>
    <x v="1"/>
    <x v="2"/>
    <s v="N"/>
    <x v="2"/>
    <n v="193.809"/>
    <n v="0.60899999999999999"/>
    <x v="3"/>
    <n v="107"/>
    <m/>
    <x v="3"/>
    <n v="17"/>
    <s v=""/>
    <x v="0"/>
    <n v="14.669"/>
    <x v="0"/>
    <x v="0"/>
    <x v="0"/>
    <n v="0"/>
    <x v="0"/>
  </r>
  <r>
    <s v="F"/>
    <x v="30"/>
    <n v="117.84699999999999"/>
    <n v="1.68"/>
    <n v="36.276000000000003"/>
    <n v="41.754180839002274"/>
    <n v="1"/>
    <x v="1"/>
    <n v="81.599000000000004"/>
    <s v="118/119"/>
    <n v="118"/>
    <n v="119"/>
    <n v="254"/>
    <x v="0"/>
    <n v="66"/>
    <n v="131"/>
    <x v="1"/>
    <x v="0"/>
    <x v="2"/>
    <s v="Y"/>
    <x v="1"/>
    <n v="168.03700000000001"/>
    <n v="0.48599999999999999"/>
    <x v="0"/>
    <n v="118"/>
    <n v="119"/>
    <x v="3"/>
    <n v="158"/>
    <n v="2.39"/>
    <x v="0"/>
    <n v="20.234999999999999"/>
    <x v="2"/>
    <x v="0"/>
    <x v="0"/>
    <n v="0"/>
    <x v="0"/>
  </r>
  <r>
    <s v="M"/>
    <x v="25"/>
    <n v="80.566999999999993"/>
    <n v="1.597"/>
    <n v="22.382999999999999"/>
    <n v="31.58983519898181"/>
    <n v="1"/>
    <x v="0"/>
    <n v="86.290999999999997"/>
    <s v="108/101"/>
    <n v="108"/>
    <n v="101"/>
    <n v="249"/>
    <x v="0"/>
    <n v="63"/>
    <n v="186"/>
    <x v="1"/>
    <x v="1"/>
    <x v="0"/>
    <s v="Y"/>
    <x v="1"/>
    <n v="159.72300000000001"/>
    <n v="0.54"/>
    <x v="1"/>
    <n v="108"/>
    <n v="101"/>
    <x v="3"/>
    <n v="156"/>
    <n v="2.48"/>
    <x v="0"/>
    <n v="14.856999999999999"/>
    <x v="0"/>
    <x v="0"/>
    <x v="0"/>
    <n v="0"/>
    <x v="0"/>
  </r>
  <r>
    <s v="M"/>
    <x v="29"/>
    <n v="67.97"/>
    <n v="1.841"/>
    <n v="34.814999999999998"/>
    <n v="20.054400918660921"/>
    <n v="1"/>
    <x v="1"/>
    <n v="112.65900000000001"/>
    <s v="153/103"/>
    <n v="153"/>
    <n v="103"/>
    <n v="262"/>
    <x v="0"/>
    <n v="80"/>
    <n v="198"/>
    <x v="0"/>
    <x v="0"/>
    <x v="0"/>
    <s v="Y"/>
    <x v="1"/>
    <n v="184.12299999999999"/>
    <n v="0.61199999999999999"/>
    <x v="3"/>
    <m/>
    <n v="103"/>
    <x v="3"/>
    <n v="152"/>
    <n v="1.9"/>
    <x v="0"/>
    <n v="21.853000000000002"/>
    <x v="1"/>
    <x v="1"/>
    <x v="1"/>
    <n v="1"/>
    <x v="1"/>
  </r>
  <r>
    <s v="F"/>
    <x v="43"/>
    <n v="65.816000000000003"/>
    <n v="1.8939999999999999"/>
    <n v="24.122"/>
    <n v="18.347273499708415"/>
    <n v="1"/>
    <x v="0"/>
    <n v="112.145"/>
    <s v="144/73"/>
    <n v="144"/>
    <n v="73"/>
    <n v="245"/>
    <x v="0"/>
    <n v="55"/>
    <n v="88"/>
    <x v="1"/>
    <x v="1"/>
    <x v="0"/>
    <s v="N"/>
    <x v="0"/>
    <n v="189.404"/>
    <m/>
    <x v="4"/>
    <n v="144"/>
    <n v="73"/>
    <x v="3"/>
    <n v="160"/>
    <n v="2.91"/>
    <x v="0"/>
    <n v="16.923999999999999"/>
    <x v="2"/>
    <x v="0"/>
    <x v="0"/>
    <n v="0"/>
    <x v="0"/>
  </r>
  <r>
    <s v="F"/>
    <x v="15"/>
    <m/>
    <n v="1.7969999999999999"/>
    <n v="26.577999999999999"/>
    <n v="0"/>
    <n v="1"/>
    <x v="2"/>
    <n v="104.59"/>
    <s v="116/68"/>
    <n v="116"/>
    <n v="68"/>
    <n v="145"/>
    <x v="2"/>
    <n v="51"/>
    <n v="89"/>
    <x v="1"/>
    <x v="1"/>
    <x v="2"/>
    <s v="Y"/>
    <x v="0"/>
    <n v="179.745"/>
    <n v="0.58199999999999996"/>
    <x v="1"/>
    <n v="116"/>
    <n v="68"/>
    <x v="2"/>
    <n v="64"/>
    <n v="1.25"/>
    <x v="0"/>
    <n v="14.016"/>
    <x v="2"/>
    <x v="0"/>
    <x v="0"/>
    <n v="0"/>
    <x v="0"/>
  </r>
  <r>
    <s v="F"/>
    <x v="55"/>
    <n v="57.25"/>
    <n v="1.859"/>
    <n v="29.971"/>
    <n v="16.565963932207158"/>
    <n v="1"/>
    <x v="2"/>
    <n v="81.215000000000003"/>
    <s v="111/76"/>
    <n v="111"/>
    <n v="76"/>
    <n v="147"/>
    <x v="2"/>
    <m/>
    <m/>
    <x v="1"/>
    <x v="0"/>
    <x v="1"/>
    <s v="N"/>
    <x v="0"/>
    <n v="185.864"/>
    <n v="0.437"/>
    <x v="2"/>
    <n v="111"/>
    <n v="76"/>
    <x v="2"/>
    <n v="60"/>
    <s v=""/>
    <x v="0"/>
    <n v="16.484000000000002"/>
    <x v="1"/>
    <x v="0"/>
    <x v="1"/>
    <n v="1"/>
    <x v="0"/>
  </r>
  <r>
    <s v="M"/>
    <x v="54"/>
    <n v="118.83"/>
    <n v="1.827"/>
    <n v="34.781999999999996"/>
    <n v="35.599918392512244"/>
    <n v="1"/>
    <x v="1"/>
    <n v="113.748"/>
    <s v="160/82"/>
    <n v="160"/>
    <n v="82"/>
    <n v="217"/>
    <x v="0"/>
    <n v="65"/>
    <m/>
    <x v="0"/>
    <x v="1"/>
    <x v="2"/>
    <s v="Y"/>
    <x v="2"/>
    <n v="182.65"/>
    <n v="0.623"/>
    <x v="3"/>
    <n v="160"/>
    <n v="82"/>
    <x v="1"/>
    <n v="122"/>
    <n v="1.88"/>
    <x v="0"/>
    <n v="19.295999999999999"/>
    <x v="0"/>
    <x v="0"/>
    <x v="0"/>
    <n v="0"/>
    <x v="0"/>
  </r>
  <r>
    <s v="F"/>
    <x v="9"/>
    <n v="108.949"/>
    <n v="1.5169999999999999"/>
    <n v="30.24"/>
    <n v="47.342597996166504"/>
    <n v="1"/>
    <x v="1"/>
    <n v="101.419"/>
    <s v="129/63"/>
    <n v="129"/>
    <n v="63"/>
    <n v="220"/>
    <x v="0"/>
    <n v="38"/>
    <n v="120"/>
    <x v="1"/>
    <x v="1"/>
    <x v="1"/>
    <s v="Y"/>
    <x v="0"/>
    <n v="151.66399999999999"/>
    <n v="0.66900000000000004"/>
    <x v="3"/>
    <n v="129"/>
    <n v="63"/>
    <x v="0"/>
    <m/>
    <n v="0"/>
    <x v="0"/>
    <n v="16.898"/>
    <x v="0"/>
    <x v="0"/>
    <x v="0"/>
    <n v="0"/>
    <x v="0"/>
  </r>
  <r>
    <s v="M"/>
    <x v="29"/>
    <n v="102.474"/>
    <n v="1.94"/>
    <n v="26.036000000000001"/>
    <n v="27.227654373472209"/>
    <n v="1"/>
    <x v="2"/>
    <n v="76.486999999999995"/>
    <s v="162/110"/>
    <n v="162"/>
    <n v="110"/>
    <n v="148"/>
    <x v="2"/>
    <n v="48"/>
    <m/>
    <x v="1"/>
    <x v="1"/>
    <x v="2"/>
    <s v="N"/>
    <x v="2"/>
    <n v="193.98400000000001"/>
    <n v="0.39400000000000002"/>
    <x v="2"/>
    <n v="162"/>
    <n v="110"/>
    <x v="3"/>
    <n v="70"/>
    <n v="1.46"/>
    <x v="0"/>
    <n v="16.266999999999999"/>
    <x v="0"/>
    <x v="0"/>
    <x v="0"/>
    <n v="0"/>
    <x v="0"/>
  </r>
  <r>
    <s v="M"/>
    <x v="28"/>
    <n v="102.224"/>
    <n v="1.81"/>
    <n v="27.765999999999998"/>
    <n v="31.202954732761516"/>
    <n v="1"/>
    <x v="2"/>
    <n v="83.057000000000002"/>
    <s v="97/92"/>
    <n v="97"/>
    <n v="92"/>
    <n v="286"/>
    <x v="0"/>
    <n v="72"/>
    <n v="150"/>
    <x v="0"/>
    <x v="0"/>
    <x v="0"/>
    <s v="Y"/>
    <x v="1"/>
    <n v="181.005"/>
    <n v="0.45900000000000002"/>
    <x v="2"/>
    <n v="97"/>
    <n v="92"/>
    <x v="3"/>
    <n v="184"/>
    <n v="2.56"/>
    <x v="0"/>
    <n v="18.123000000000001"/>
    <x v="2"/>
    <x v="0"/>
    <x v="0"/>
    <n v="0"/>
    <x v="1"/>
  </r>
  <r>
    <s v="M"/>
    <x v="7"/>
    <n v="116.742"/>
    <n v="1.6970000000000001"/>
    <n v="34.604999999999997"/>
    <n v="40.538105131277803"/>
    <n v="1"/>
    <x v="1"/>
    <n v="118.754"/>
    <s v="177/76"/>
    <n v="177"/>
    <n v="76"/>
    <n v="279"/>
    <x v="0"/>
    <n v="56"/>
    <m/>
    <x v="1"/>
    <x v="0"/>
    <x v="2"/>
    <s v="N"/>
    <x v="0"/>
    <n v="169.67599999999999"/>
    <m/>
    <x v="4"/>
    <n v="177"/>
    <n v="76"/>
    <x v="3"/>
    <n v="193"/>
    <n v="3.45"/>
    <x v="0"/>
    <n v="23.350999999999999"/>
    <x v="1"/>
    <x v="0"/>
    <x v="1"/>
    <n v="1"/>
    <x v="0"/>
  </r>
  <r>
    <s v="F"/>
    <x v="39"/>
    <n v="69.138999999999996"/>
    <n v="1.734"/>
    <n v="21.824999999999999"/>
    <n v="22.994549607616982"/>
    <n v="1"/>
    <x v="0"/>
    <n v="95.866"/>
    <s v="139/113"/>
    <n v="139"/>
    <n v="113"/>
    <n v="176"/>
    <x v="1"/>
    <n v="84"/>
    <n v="87"/>
    <x v="0"/>
    <x v="0"/>
    <x v="2"/>
    <s v="N"/>
    <x v="2"/>
    <n v="173.37"/>
    <n v="0.55300000000000005"/>
    <x v="1"/>
    <n v="139"/>
    <n v="113"/>
    <x v="1"/>
    <n v="62"/>
    <n v="0.74"/>
    <x v="0"/>
    <n v="16.835000000000001"/>
    <x v="1"/>
    <x v="1"/>
    <x v="1"/>
    <n v="1"/>
    <x v="0"/>
  </r>
  <r>
    <s v="F"/>
    <x v="11"/>
    <n v="99.555000000000007"/>
    <n v="1.5740000000000001"/>
    <n v="39.323"/>
    <n v="40.18404214611968"/>
    <n v="1"/>
    <x v="1"/>
    <n v="88.724999999999994"/>
    <s v="115/114"/>
    <n v="115"/>
    <n v="114"/>
    <n v="268"/>
    <x v="0"/>
    <n v="48"/>
    <n v="115"/>
    <x v="0"/>
    <x v="0"/>
    <x v="0"/>
    <s v="Y"/>
    <x v="1"/>
    <n v="157.37799999999999"/>
    <n v="0.56399999999999995"/>
    <x v="1"/>
    <n v="115"/>
    <n v="114"/>
    <x v="3"/>
    <n v="190"/>
    <n v="3.96"/>
    <x v="0"/>
    <n v="20.975000000000001"/>
    <x v="2"/>
    <x v="0"/>
    <x v="0"/>
    <n v="0"/>
    <x v="0"/>
  </r>
  <r>
    <s v="M"/>
    <x v="2"/>
    <n v="75.358000000000004"/>
    <n v="1.9039999999999999"/>
    <n v="32.084000000000003"/>
    <n v="20.787175164183324"/>
    <n v="1"/>
    <x v="1"/>
    <n v="91.513000000000005"/>
    <s v="145/68"/>
    <n v="145"/>
    <n v="68"/>
    <n v="234"/>
    <x v="0"/>
    <n v="84"/>
    <n v="141"/>
    <x v="1"/>
    <x v="1"/>
    <x v="2"/>
    <s v="Y"/>
    <x v="0"/>
    <n v="190.44"/>
    <n v="0.48099999999999998"/>
    <x v="0"/>
    <n v="145"/>
    <n v="68"/>
    <x v="3"/>
    <n v="120"/>
    <n v="1.43"/>
    <x v="0"/>
    <n v="18.347000000000001"/>
    <x v="0"/>
    <x v="0"/>
    <x v="0"/>
    <n v="0"/>
    <x v="0"/>
  </r>
  <r>
    <s v="M"/>
    <x v="46"/>
    <n v="107.491"/>
    <n v="1.976"/>
    <n v="29.614000000000001"/>
    <n v="27.52949359930502"/>
    <n v="1"/>
    <x v="2"/>
    <n v="93.15"/>
    <s v="136/115"/>
    <n v="136"/>
    <n v="115"/>
    <n v="206"/>
    <x v="0"/>
    <n v="86"/>
    <n v="165"/>
    <x v="1"/>
    <x v="1"/>
    <x v="0"/>
    <s v="Y"/>
    <x v="1"/>
    <n v="197.63300000000001"/>
    <n v="0.47099999999999997"/>
    <x v="0"/>
    <n v="136"/>
    <n v="115"/>
    <x v="1"/>
    <n v="90"/>
    <n v="1.05"/>
    <x v="0"/>
    <n v="16.843"/>
    <x v="2"/>
    <x v="0"/>
    <x v="0"/>
    <n v="0"/>
    <x v="0"/>
  </r>
  <r>
    <s v="F"/>
    <x v="18"/>
    <n v="71.926000000000002"/>
    <n v="1.831"/>
    <n v="38.911999999999999"/>
    <n v="21.454046622865327"/>
    <n v="1"/>
    <x v="1"/>
    <n v="88.626999999999995"/>
    <s v="134/98"/>
    <n v="134"/>
    <n v="98"/>
    <n v="218"/>
    <x v="0"/>
    <n v="64"/>
    <n v="83"/>
    <x v="1"/>
    <x v="0"/>
    <x v="1"/>
    <s v="N"/>
    <x v="0"/>
    <n v="183.13900000000001"/>
    <n v="0.48399999999999999"/>
    <x v="0"/>
    <n v="134"/>
    <n v="98"/>
    <x v="1"/>
    <n v="124"/>
    <n v="1.94"/>
    <x v="0"/>
    <n v="20.841999999999999"/>
    <x v="0"/>
    <x v="0"/>
    <x v="0"/>
    <n v="0"/>
    <x v="0"/>
  </r>
  <r>
    <s v="F"/>
    <x v="26"/>
    <n v="59.642000000000003"/>
    <n v="1.6539999999999999"/>
    <m/>
    <n v="21.801239602356389"/>
    <n v="1"/>
    <x v="3"/>
    <n v="89.134"/>
    <s v="110/116"/>
    <n v="110"/>
    <n v="116"/>
    <n v="191"/>
    <x v="0"/>
    <n v="35"/>
    <n v="112"/>
    <x v="0"/>
    <x v="0"/>
    <x v="0"/>
    <s v="Y"/>
    <x v="1"/>
    <n v="165.38300000000001"/>
    <n v="0.53900000000000003"/>
    <x v="1"/>
    <n v="110"/>
    <n v="116"/>
    <x v="3"/>
    <n v="126"/>
    <n v="3.6"/>
    <x v="0"/>
    <n v="17.045999999999999"/>
    <x v="1"/>
    <x v="0"/>
    <x v="1"/>
    <n v="1"/>
    <x v="1"/>
  </r>
  <r>
    <s v="M"/>
    <x v="11"/>
    <n v="71.555999999999997"/>
    <n v="1.7050000000000001"/>
    <n v="38.381"/>
    <n v="24.614855393400465"/>
    <n v="1"/>
    <x v="1"/>
    <n v="73.153999999999996"/>
    <s v="125/112"/>
    <n v="125"/>
    <n v="112"/>
    <n v="246"/>
    <x v="0"/>
    <n v="56"/>
    <n v="88"/>
    <x v="0"/>
    <x v="1"/>
    <x v="0"/>
    <s v="N"/>
    <x v="2"/>
    <n v="170.506"/>
    <n v="0.42899999999999999"/>
    <x v="2"/>
    <n v="125"/>
    <n v="112"/>
    <x v="3"/>
    <n v="160"/>
    <n v="2.86"/>
    <x v="0"/>
    <n v="18.846"/>
    <x v="0"/>
    <x v="0"/>
    <x v="0"/>
    <n v="0"/>
    <x v="0"/>
  </r>
  <r>
    <s v="M"/>
    <x v="1"/>
    <n v="88.834000000000003"/>
    <n v="1.665"/>
    <n v="27.856000000000002"/>
    <n v="32.04429654880105"/>
    <n v="1"/>
    <x v="2"/>
    <n v="91.37"/>
    <s v="120/75"/>
    <n v="120"/>
    <n v="75"/>
    <n v="106"/>
    <x v="2"/>
    <m/>
    <n v="87"/>
    <x v="1"/>
    <x v="1"/>
    <x v="0"/>
    <s v="N"/>
    <x v="0"/>
    <m/>
    <m/>
    <x v="4"/>
    <n v="120"/>
    <n v="75"/>
    <x v="0"/>
    <n v="39"/>
    <s v=""/>
    <x v="0"/>
    <n v="13.691000000000001"/>
    <x v="0"/>
    <x v="0"/>
    <x v="0"/>
    <n v="0"/>
    <x v="0"/>
  </r>
  <r>
    <s v="M"/>
    <x v="2"/>
    <n v="74.671000000000006"/>
    <n v="1.982"/>
    <n v="26.564"/>
    <n v="19.00836081748858"/>
    <n v="1"/>
    <x v="2"/>
    <n v="102.538"/>
    <s v="135/87"/>
    <n v="135"/>
    <n v="87"/>
    <n v="160"/>
    <x v="1"/>
    <n v="88"/>
    <n v="126"/>
    <x v="0"/>
    <x v="1"/>
    <x v="1"/>
    <s v="N"/>
    <x v="3"/>
    <n v="198.23599999999999"/>
    <n v="0.51700000000000002"/>
    <x v="0"/>
    <n v="135"/>
    <n v="87"/>
    <x v="1"/>
    <n v="42"/>
    <n v="0.48"/>
    <x v="0"/>
    <n v="15.263"/>
    <x v="2"/>
    <x v="0"/>
    <x v="0"/>
    <n v="0"/>
    <x v="0"/>
  </r>
  <r>
    <s v="F"/>
    <x v="34"/>
    <n v="99.519000000000005"/>
    <n v="1.609"/>
    <n v="22.722000000000001"/>
    <n v="38.440932588249524"/>
    <n v="1"/>
    <x v="0"/>
    <n v="111.179"/>
    <s v="178/100"/>
    <n v="178"/>
    <n v="100"/>
    <n v="235"/>
    <x v="0"/>
    <n v="54"/>
    <n v="85"/>
    <x v="1"/>
    <x v="1"/>
    <x v="0"/>
    <s v="N"/>
    <x v="0"/>
    <n v="160.893"/>
    <n v="0.69099999999999995"/>
    <x v="3"/>
    <n v="178"/>
    <n v="100"/>
    <x v="3"/>
    <n v="151"/>
    <n v="2.8"/>
    <x v="0"/>
    <n v="18.143999999999998"/>
    <x v="2"/>
    <x v="0"/>
    <x v="0"/>
    <n v="0"/>
    <x v="0"/>
  </r>
  <r>
    <s v="F"/>
    <x v="34"/>
    <n v="70.894999999999996"/>
    <n v="1.6759999999999999"/>
    <n v="28.332000000000001"/>
    <n v="25.238734684810407"/>
    <n v="1"/>
    <x v="2"/>
    <n v="114.88500000000001"/>
    <s v="176/103"/>
    <n v="176"/>
    <n v="103"/>
    <n v="165"/>
    <x v="1"/>
    <n v="88"/>
    <n v="198"/>
    <x v="0"/>
    <x v="1"/>
    <x v="2"/>
    <s v="N"/>
    <x v="3"/>
    <n v="167.62200000000001"/>
    <n v="0.68500000000000005"/>
    <x v="3"/>
    <n v="176"/>
    <n v="103"/>
    <x v="3"/>
    <n v="47"/>
    <n v="0.53"/>
    <x v="0"/>
    <n v="17.765999999999998"/>
    <x v="1"/>
    <x v="1"/>
    <x v="1"/>
    <n v="1"/>
    <x v="0"/>
  </r>
  <r>
    <s v="F"/>
    <x v="2"/>
    <n v="92.667000000000002"/>
    <n v="1.7210000000000001"/>
    <n v="24.405000000000001"/>
    <n v="31.286959698376787"/>
    <n v="1"/>
    <x v="0"/>
    <n v="95.191999999999993"/>
    <s v="137/84"/>
    <n v="137"/>
    <n v="84"/>
    <n v="133"/>
    <x v="2"/>
    <n v="84"/>
    <n v="111"/>
    <x v="1"/>
    <x v="1"/>
    <x v="0"/>
    <s v="N"/>
    <x v="0"/>
    <n v="172.09800000000001"/>
    <n v="0.55300000000000005"/>
    <x v="1"/>
    <n v="137"/>
    <n v="84"/>
    <x v="1"/>
    <n v="19"/>
    <n v="0.23"/>
    <x v="0"/>
    <m/>
    <x v="1"/>
    <x v="1"/>
    <x v="1"/>
    <n v="1"/>
    <x v="0"/>
  </r>
  <r>
    <s v="M"/>
    <x v="48"/>
    <n v="107.53400000000001"/>
    <n v="1.65"/>
    <n v="31.065999999999999"/>
    <n v="39.498255280073465"/>
    <n v="1"/>
    <x v="1"/>
    <n v="89.564999999999998"/>
    <s v="155/68"/>
    <n v="155"/>
    <n v="68"/>
    <n v="118"/>
    <x v="2"/>
    <n v="50"/>
    <n v="131"/>
    <x v="1"/>
    <x v="1"/>
    <x v="2"/>
    <s v="Y"/>
    <x v="0"/>
    <n v="164.96199999999999"/>
    <n v="0.54300000000000004"/>
    <x v="1"/>
    <n v="155"/>
    <n v="68"/>
    <x v="3"/>
    <n v="38"/>
    <n v="0.76"/>
    <x v="0"/>
    <n v="16.323"/>
    <x v="0"/>
    <x v="0"/>
    <x v="0"/>
    <n v="0"/>
    <x v="0"/>
  </r>
  <r>
    <s v="F"/>
    <x v="3"/>
    <n v="112.97799999999999"/>
    <n v="1.5069999999999999"/>
    <n v="36.380000000000003"/>
    <n v="49.747055215453301"/>
    <n v="1"/>
    <x v="1"/>
    <n v="118.586"/>
    <s v="142/101"/>
    <n v="142"/>
    <n v="101"/>
    <n v="168"/>
    <x v="1"/>
    <n v="61"/>
    <n v="170"/>
    <x v="0"/>
    <x v="1"/>
    <x v="2"/>
    <s v="N"/>
    <x v="3"/>
    <n v="150.721"/>
    <n v="0.78700000000000003"/>
    <x v="3"/>
    <n v="142"/>
    <n v="101"/>
    <x v="3"/>
    <n v="77"/>
    <n v="1.26"/>
    <x v="0"/>
    <n v="17.736000000000001"/>
    <x v="1"/>
    <x v="1"/>
    <x v="1"/>
    <n v="1"/>
    <x v="0"/>
  </r>
  <r>
    <s v="F"/>
    <x v="33"/>
    <n v="112.81399999999999"/>
    <n v="1.7270000000000001"/>
    <n v="35.835000000000001"/>
    <n v="37.824946547041108"/>
    <n v="1"/>
    <x v="1"/>
    <n v="70.332999999999998"/>
    <s v="178/73"/>
    <n v="178"/>
    <n v="73"/>
    <n v="225"/>
    <x v="0"/>
    <n v="87"/>
    <m/>
    <x v="0"/>
    <x v="1"/>
    <x v="0"/>
    <s v="N"/>
    <x v="2"/>
    <n v="172.69"/>
    <n v="0.40699999999999997"/>
    <x v="2"/>
    <n v="178"/>
    <n v="73"/>
    <x v="3"/>
    <n v="108"/>
    <n v="1.24"/>
    <x v="0"/>
    <n v="20.567"/>
    <x v="1"/>
    <x v="1"/>
    <x v="1"/>
    <n v="1"/>
    <x v="0"/>
  </r>
  <r>
    <s v="F"/>
    <x v="20"/>
    <m/>
    <n v="1.6160000000000001"/>
    <n v="39.633000000000003"/>
    <n v="0"/>
    <n v="1"/>
    <x v="1"/>
    <n v="109.352"/>
    <s v="175/98"/>
    <n v="175"/>
    <n v="98"/>
    <n v="256"/>
    <x v="0"/>
    <n v="75"/>
    <n v="160"/>
    <x v="0"/>
    <x v="0"/>
    <x v="1"/>
    <s v="Y"/>
    <x v="0"/>
    <n v="161.584"/>
    <n v="0.67700000000000005"/>
    <x v="3"/>
    <n v="175"/>
    <n v="98"/>
    <x v="3"/>
    <n v="151"/>
    <n v="2.0099999999999998"/>
    <x v="0"/>
    <n v="23.797000000000001"/>
    <x v="2"/>
    <x v="0"/>
    <x v="0"/>
    <n v="0"/>
    <x v="0"/>
  </r>
  <r>
    <s v="M"/>
    <x v="27"/>
    <n v="71.126999999999995"/>
    <n v="1.754"/>
    <n v="31.042000000000002"/>
    <n v="23.1193336878469"/>
    <n v="1"/>
    <x v="1"/>
    <n v="112.11199999999999"/>
    <s v="154/99"/>
    <n v="154"/>
    <n v="99"/>
    <n v="170"/>
    <x v="1"/>
    <n v="89"/>
    <n v="175"/>
    <x v="1"/>
    <x v="1"/>
    <x v="0"/>
    <s v="Y"/>
    <x v="1"/>
    <n v="175.351"/>
    <n v="0.63900000000000001"/>
    <x v="3"/>
    <n v="154"/>
    <n v="99"/>
    <x v="3"/>
    <n v="51"/>
    <n v="0.56999999999999995"/>
    <x v="0"/>
    <n v="17.308"/>
    <x v="2"/>
    <x v="0"/>
    <x v="0"/>
    <n v="0"/>
    <x v="0"/>
  </r>
  <r>
    <s v="M"/>
    <x v="24"/>
    <n v="107.21899999999999"/>
    <n v="1.5760000000000001"/>
    <n v="22.565000000000001"/>
    <n v="43.16774137442345"/>
    <n v="1"/>
    <x v="0"/>
    <n v="107.586"/>
    <s v="112/71"/>
    <n v="112"/>
    <n v="71"/>
    <n v="210"/>
    <x v="0"/>
    <n v="70"/>
    <n v="81"/>
    <x v="1"/>
    <x v="1"/>
    <x v="1"/>
    <s v="Y"/>
    <x v="0"/>
    <n v="157.60900000000001"/>
    <n v="0.68300000000000005"/>
    <x v="3"/>
    <n v="112"/>
    <n v="71"/>
    <x v="2"/>
    <n v="110"/>
    <n v="1.57"/>
    <x v="0"/>
    <n v="14.313000000000001"/>
    <x v="2"/>
    <x v="0"/>
    <x v="0"/>
    <n v="0"/>
    <x v="0"/>
  </r>
  <r>
    <s v="M"/>
    <x v="17"/>
    <n v="62.204000000000001"/>
    <n v="1.887"/>
    <n v="38.322000000000003"/>
    <n v="17.469260151388646"/>
    <n v="1"/>
    <x v="1"/>
    <n v="108.822"/>
    <s v="113/79"/>
    <n v="113"/>
    <n v="79"/>
    <n v="164"/>
    <x v="1"/>
    <n v="76"/>
    <n v="148"/>
    <x v="0"/>
    <x v="1"/>
    <x v="0"/>
    <s v="Y"/>
    <x v="0"/>
    <n v="188.68899999999999"/>
    <n v="0.57699999999999996"/>
    <x v="1"/>
    <n v="113"/>
    <n v="79"/>
    <x v="2"/>
    <n v="58"/>
    <n v="0.76"/>
    <x v="0"/>
    <n v="16.594000000000001"/>
    <x v="0"/>
    <x v="0"/>
    <x v="0"/>
    <n v="0"/>
    <x v="0"/>
  </r>
  <r>
    <s v="M"/>
    <x v="10"/>
    <n v="116.77200000000001"/>
    <n v="1.569"/>
    <n v="34.125999999999998"/>
    <n v="47.434336639503194"/>
    <n v="1"/>
    <x v="1"/>
    <n v="90.736999999999995"/>
    <s v="117/116"/>
    <n v="117"/>
    <n v="116"/>
    <n v="254"/>
    <x v="0"/>
    <n v="60"/>
    <n v="177"/>
    <x v="0"/>
    <x v="1"/>
    <x v="0"/>
    <s v="Y"/>
    <x v="0"/>
    <n v="156.85400000000001"/>
    <n v="0.57799999999999996"/>
    <x v="1"/>
    <n v="117"/>
    <n v="116"/>
    <x v="3"/>
    <n v="164"/>
    <n v="2.73"/>
    <x v="0"/>
    <n v="17.754999999999999"/>
    <x v="1"/>
    <x v="1"/>
    <x v="1"/>
    <n v="1"/>
    <x v="0"/>
  </r>
  <r>
    <s v="F"/>
    <x v="2"/>
    <n v="80.421000000000006"/>
    <n v="1.53"/>
    <n v="26.79"/>
    <n v="34.354735358195569"/>
    <n v="1"/>
    <x v="2"/>
    <n v="73.218000000000004"/>
    <s v="113/77"/>
    <n v="113"/>
    <n v="77"/>
    <n v="239"/>
    <x v="0"/>
    <n v="73"/>
    <n v="96"/>
    <x v="1"/>
    <x v="0"/>
    <x v="1"/>
    <s v="Y"/>
    <x v="1"/>
    <n v="152.94999999999999"/>
    <n v="0.47899999999999998"/>
    <x v="0"/>
    <n v="113"/>
    <n v="77"/>
    <x v="2"/>
    <n v="136"/>
    <n v="1.86"/>
    <x v="0"/>
    <n v="17.788"/>
    <x v="2"/>
    <x v="0"/>
    <x v="0"/>
    <n v="0"/>
    <x v="0"/>
  </r>
  <r>
    <s v="F"/>
    <x v="18"/>
    <n v="60.472000000000001"/>
    <n v="1.601"/>
    <n v="31.989000000000001"/>
    <n v="23.592375315084539"/>
    <n v="1"/>
    <x v="1"/>
    <n v="93.816999999999993"/>
    <s v="151/101"/>
    <n v="151"/>
    <n v="101"/>
    <n v="293"/>
    <x v="0"/>
    <n v="88"/>
    <n v="104"/>
    <x v="1"/>
    <x v="0"/>
    <x v="1"/>
    <s v="Y"/>
    <x v="1"/>
    <m/>
    <n v="0.58599999999999997"/>
    <x v="3"/>
    <n v="151"/>
    <n v="101"/>
    <x v="3"/>
    <n v="175"/>
    <n v="1.99"/>
    <x v="0"/>
    <n v="21.808"/>
    <x v="1"/>
    <x v="1"/>
    <x v="1"/>
    <n v="1"/>
    <x v="0"/>
  </r>
  <r>
    <s v="M"/>
    <x v="38"/>
    <n v="118.544"/>
    <n v="1.591"/>
    <n v="27.881"/>
    <n v="46.831623988012396"/>
    <n v="1"/>
    <x v="2"/>
    <n v="91.388000000000005"/>
    <s v="179/74"/>
    <n v="179"/>
    <n v="74"/>
    <n v="215"/>
    <x v="0"/>
    <n v="36"/>
    <n v="115"/>
    <x v="1"/>
    <x v="0"/>
    <x v="2"/>
    <s v="Y"/>
    <x v="1"/>
    <n v="159.11799999999999"/>
    <n v="0.57399999999999995"/>
    <x v="1"/>
    <n v="179"/>
    <n v="74"/>
    <x v="3"/>
    <n v="149"/>
    <n v="4.1399999999999997"/>
    <x v="0"/>
    <n v="20.826000000000001"/>
    <x v="2"/>
    <x v="0"/>
    <x v="0"/>
    <n v="0"/>
    <x v="1"/>
  </r>
  <r>
    <s v="M"/>
    <x v="1"/>
    <n v="60.109000000000002"/>
    <n v="1.9330000000000001"/>
    <n v="26.309000000000001"/>
    <n v="16.087027153030558"/>
    <n v="1"/>
    <x v="2"/>
    <n v="72.233999999999995"/>
    <s v="177/107"/>
    <n v="177"/>
    <n v="107"/>
    <n v="110"/>
    <x v="2"/>
    <n v="72"/>
    <n v="150"/>
    <x v="1"/>
    <x v="1"/>
    <x v="2"/>
    <s v="Y"/>
    <x v="0"/>
    <n v="193.29900000000001"/>
    <m/>
    <x v="4"/>
    <n v="177"/>
    <n v="107"/>
    <x v="3"/>
    <n v="8"/>
    <n v="0.11"/>
    <x v="0"/>
    <n v="16.312000000000001"/>
    <x v="0"/>
    <x v="0"/>
    <x v="0"/>
    <n v="0"/>
    <x v="0"/>
  </r>
  <r>
    <s v="M"/>
    <x v="37"/>
    <n v="60.411000000000001"/>
    <n v="1.762"/>
    <n v="19.332999999999998"/>
    <n v="19.458269611588317"/>
    <n v="1"/>
    <x v="0"/>
    <n v="77.022000000000006"/>
    <s v="128/110"/>
    <n v="128"/>
    <n v="110"/>
    <n v="132"/>
    <x v="2"/>
    <n v="55"/>
    <n v="168"/>
    <x v="1"/>
    <x v="1"/>
    <x v="0"/>
    <s v="N"/>
    <x v="0"/>
    <n v="176.23599999999999"/>
    <n v="0.437"/>
    <x v="2"/>
    <n v="128"/>
    <n v="110"/>
    <x v="3"/>
    <n v="47"/>
    <n v="0.85"/>
    <x v="0"/>
    <n v="12.907"/>
    <x v="1"/>
    <x v="0"/>
    <x v="1"/>
    <n v="1"/>
    <x v="0"/>
  </r>
  <r>
    <s v="F"/>
    <x v="48"/>
    <n v="73.453000000000003"/>
    <n v="1.8959999999999999"/>
    <n v="23.978999999999999"/>
    <n v="20.433034681051829"/>
    <n v="1"/>
    <x v="0"/>
    <n v="93.376999999999995"/>
    <s v="166/111"/>
    <n v="166"/>
    <n v="111"/>
    <n v="275"/>
    <x v="0"/>
    <m/>
    <n v="74"/>
    <x v="0"/>
    <x v="1"/>
    <x v="2"/>
    <s v="N"/>
    <x v="3"/>
    <n v="189.56200000000001"/>
    <n v="0.49299999999999999"/>
    <x v="0"/>
    <n v="166"/>
    <n v="111"/>
    <x v="3"/>
    <n v="208"/>
    <s v=""/>
    <x v="0"/>
    <n v="18.596"/>
    <x v="1"/>
    <x v="0"/>
    <x v="1"/>
    <n v="1"/>
    <x v="0"/>
  </r>
  <r>
    <s v="F"/>
    <x v="55"/>
    <n v="50.716999999999999"/>
    <n v="1.8360000000000001"/>
    <n v="35.741999999999997"/>
    <n v="15.045554653718179"/>
    <n v="1"/>
    <x v="1"/>
    <m/>
    <s v="159/81"/>
    <n v="159"/>
    <n v="81"/>
    <n v="260"/>
    <x v="0"/>
    <n v="82"/>
    <n v="124"/>
    <x v="1"/>
    <x v="1"/>
    <x v="1"/>
    <s v="N"/>
    <x v="2"/>
    <n v="183.554"/>
    <n v="0.64600000000000002"/>
    <x v="3"/>
    <n v="159"/>
    <n v="81"/>
    <x v="1"/>
    <n v="148"/>
    <n v="1.8"/>
    <x v="0"/>
    <n v="20.297999999999998"/>
    <x v="1"/>
    <x v="1"/>
    <x v="1"/>
    <n v="1"/>
    <x v="0"/>
  </r>
  <r>
    <s v="F"/>
    <x v="17"/>
    <n v="115.197"/>
    <m/>
    <n v="18.724"/>
    <s v=""/>
    <s v=""/>
    <x v="0"/>
    <n v="116.8"/>
    <s v="102/84"/>
    <n v="102"/>
    <n v="84"/>
    <n v="203"/>
    <x v="0"/>
    <n v="45"/>
    <n v="123"/>
    <x v="0"/>
    <x v="0"/>
    <x v="2"/>
    <s v="Y"/>
    <x v="0"/>
    <n v="183.971"/>
    <n v="0.63500000000000001"/>
    <x v="3"/>
    <n v="102"/>
    <m/>
    <x v="1"/>
    <n v="128"/>
    <n v="2.84"/>
    <x v="0"/>
    <n v="14.904999999999999"/>
    <x v="2"/>
    <x v="0"/>
    <x v="0"/>
    <n v="0"/>
    <x v="0"/>
  </r>
  <r>
    <s v="F"/>
    <x v="33"/>
    <n v="103.37"/>
    <n v="1.571"/>
    <n v="37.728000000000002"/>
    <n v="41.8834208994097"/>
    <n v="1"/>
    <x v="1"/>
    <n v="94.123999999999995"/>
    <s v="134/110"/>
    <n v="134"/>
    <n v="110"/>
    <n v="273"/>
    <x v="0"/>
    <n v="38"/>
    <n v="177"/>
    <x v="1"/>
    <x v="0"/>
    <x v="2"/>
    <s v="Y"/>
    <x v="1"/>
    <n v="157.149"/>
    <n v="0.59899999999999998"/>
    <x v="3"/>
    <n v="134"/>
    <n v="110"/>
    <x v="1"/>
    <n v="205"/>
    <n v="5.39"/>
    <x v="0"/>
    <n v="21.706"/>
    <x v="2"/>
    <x v="0"/>
    <x v="0"/>
    <n v="0"/>
    <x v="1"/>
  </r>
  <r>
    <s v="M"/>
    <x v="45"/>
    <m/>
    <n v="1.899"/>
    <n v="20.602"/>
    <n v="0"/>
    <n v="1"/>
    <x v="0"/>
    <n v="80.350999999999999"/>
    <s v="144/77"/>
    <n v="144"/>
    <n v="77"/>
    <n v="296"/>
    <x v="0"/>
    <n v="83"/>
    <n v="139"/>
    <x v="1"/>
    <x v="1"/>
    <x v="2"/>
    <s v="N"/>
    <x v="2"/>
    <n v="189.89599999999999"/>
    <n v="0.42299999999999999"/>
    <x v="2"/>
    <n v="144"/>
    <n v="77"/>
    <x v="3"/>
    <n v="183"/>
    <n v="2.2000000000000002"/>
    <x v="0"/>
    <n v="17.239999999999998"/>
    <x v="0"/>
    <x v="0"/>
    <x v="0"/>
    <n v="0"/>
    <x v="0"/>
  </r>
  <r>
    <s v="M"/>
    <x v="27"/>
    <n v="50.427999999999997"/>
    <n v="1.7629999999999999"/>
    <n v="36.606999999999999"/>
    <n v="16.224343013523395"/>
    <n v="1"/>
    <x v="1"/>
    <n v="74.566999999999993"/>
    <s v="172/111"/>
    <n v="172"/>
    <n v="111"/>
    <n v="255"/>
    <x v="0"/>
    <n v="35"/>
    <n v="107"/>
    <x v="0"/>
    <x v="1"/>
    <x v="2"/>
    <s v="N"/>
    <x v="3"/>
    <n v="176.33600000000001"/>
    <n v="0.42299999999999999"/>
    <x v="2"/>
    <n v="172"/>
    <n v="111"/>
    <x v="3"/>
    <n v="190"/>
    <n v="5.43"/>
    <x v="0"/>
    <n v="21.021000000000001"/>
    <x v="2"/>
    <x v="0"/>
    <x v="0"/>
    <n v="0"/>
    <x v="0"/>
  </r>
  <r>
    <s v="M"/>
    <x v="34"/>
    <n v="70.423000000000002"/>
    <n v="1.7829999999999999"/>
    <n v="19.995000000000001"/>
    <n v="22.151943528476242"/>
    <n v="1"/>
    <x v="0"/>
    <n v="95.591999999999999"/>
    <s v="175/107"/>
    <n v="175"/>
    <n v="107"/>
    <n v="226"/>
    <x v="0"/>
    <n v="72"/>
    <n v="136"/>
    <x v="1"/>
    <x v="0"/>
    <x v="2"/>
    <s v="N"/>
    <x v="0"/>
    <n v="178.34800000000001"/>
    <n v="0.53600000000000003"/>
    <x v="1"/>
    <n v="175"/>
    <n v="107"/>
    <x v="3"/>
    <n v="124"/>
    <n v="1.72"/>
    <x v="0"/>
    <n v="19.268999999999998"/>
    <x v="2"/>
    <x v="0"/>
    <x v="0"/>
    <n v="0"/>
    <x v="1"/>
  </r>
  <r>
    <s v="M"/>
    <x v="10"/>
    <n v="51.844999999999999"/>
    <n v="1.7549999999999999"/>
    <n v="23.094000000000001"/>
    <n v="16.832655579094329"/>
    <n v="1"/>
    <x v="0"/>
    <n v="112.218"/>
    <s v="164/78"/>
    <n v="164"/>
    <n v="78"/>
    <n v="211"/>
    <x v="0"/>
    <n v="30"/>
    <n v="79"/>
    <x v="1"/>
    <x v="0"/>
    <x v="1"/>
    <s v="Y"/>
    <x v="1"/>
    <n v="175.51"/>
    <n v="0.63900000000000001"/>
    <x v="3"/>
    <n v="164"/>
    <n v="78"/>
    <x v="3"/>
    <n v="151"/>
    <n v="5.03"/>
    <x v="0"/>
    <n v="19.039000000000001"/>
    <x v="0"/>
    <x v="0"/>
    <x v="0"/>
    <n v="0"/>
    <x v="1"/>
  </r>
  <r>
    <s v="M"/>
    <x v="35"/>
    <n v="79.807000000000002"/>
    <n v="1.5449999999999999"/>
    <n v="38.128"/>
    <n v="33.433667431216683"/>
    <n v="1"/>
    <x v="1"/>
    <m/>
    <s v="128/91"/>
    <n v="128"/>
    <n v="91"/>
    <n v="201"/>
    <x v="0"/>
    <n v="44"/>
    <n v="147"/>
    <x v="0"/>
    <x v="0"/>
    <x v="1"/>
    <s v="N"/>
    <x v="2"/>
    <n v="154.51300000000001"/>
    <n v="0.47199999999999998"/>
    <x v="0"/>
    <n v="128"/>
    <n v="91"/>
    <x v="3"/>
    <n v="127"/>
    <n v="2.89"/>
    <x v="0"/>
    <m/>
    <x v="2"/>
    <x v="0"/>
    <x v="0"/>
    <n v="0"/>
    <x v="1"/>
  </r>
  <r>
    <s v="M"/>
    <x v="44"/>
    <n v="59.683999999999997"/>
    <n v="1.94"/>
    <n v="23.914000000000001"/>
    <n v="15.858220852375386"/>
    <n v="1"/>
    <x v="0"/>
    <n v="117.986"/>
    <s v="106/115"/>
    <n v="106"/>
    <n v="115"/>
    <n v="206"/>
    <x v="0"/>
    <n v="42"/>
    <n v="140"/>
    <x v="1"/>
    <x v="0"/>
    <x v="1"/>
    <s v="Y"/>
    <x v="1"/>
    <n v="193.98099999999999"/>
    <n v="0.60799999999999998"/>
    <x v="3"/>
    <n v="106"/>
    <n v="115"/>
    <x v="3"/>
    <n v="134"/>
    <n v="3.19"/>
    <x v="0"/>
    <n v="16.202999999999999"/>
    <x v="1"/>
    <x v="0"/>
    <x v="1"/>
    <n v="1"/>
    <x v="1"/>
  </r>
  <r>
    <s v="M"/>
    <x v="2"/>
    <n v="69.769000000000005"/>
    <n v="1.696"/>
    <n v="22.06"/>
    <n v="24.255531884122465"/>
    <n v="1"/>
    <x v="0"/>
    <n v="74.183999999999997"/>
    <s v="120/76"/>
    <n v="120"/>
    <n v="76"/>
    <n v="197"/>
    <x v="0"/>
    <n v="65"/>
    <n v="151"/>
    <x v="1"/>
    <x v="1"/>
    <x v="0"/>
    <s v="N"/>
    <x v="0"/>
    <n v="169.56"/>
    <n v="0.438"/>
    <x v="2"/>
    <n v="120"/>
    <n v="76"/>
    <x v="0"/>
    <m/>
    <n v="0"/>
    <x v="0"/>
    <n v="14.352"/>
    <x v="0"/>
    <x v="0"/>
    <x v="0"/>
    <n v="0"/>
    <x v="0"/>
  </r>
  <r>
    <s v="M"/>
    <x v="23"/>
    <m/>
    <n v="1.917"/>
    <n v="26.257000000000001"/>
    <n v="0"/>
    <n v="1"/>
    <x v="2"/>
    <n v="99.63"/>
    <s v="173/70"/>
    <n v="173"/>
    <n v="70"/>
    <n v="157"/>
    <x v="1"/>
    <n v="62"/>
    <n v="168"/>
    <x v="0"/>
    <x v="0"/>
    <x v="0"/>
    <s v="N"/>
    <x v="0"/>
    <n v="191.68799999999999"/>
    <n v="0.52"/>
    <x v="0"/>
    <n v="173"/>
    <n v="70"/>
    <x v="3"/>
    <n v="65"/>
    <n v="1.05"/>
    <x v="0"/>
    <n v="19.041"/>
    <x v="0"/>
    <x v="0"/>
    <x v="0"/>
    <n v="0"/>
    <x v="1"/>
  </r>
  <r>
    <s v="F"/>
    <x v="19"/>
    <n v="95.747"/>
    <n v="1.758"/>
    <n v="26.721"/>
    <n v="30.980429462065821"/>
    <n v="1"/>
    <x v="2"/>
    <n v="74.381"/>
    <s v="121/96"/>
    <n v="121"/>
    <n v="96"/>
    <n v="161"/>
    <x v="1"/>
    <n v="74"/>
    <n v="187"/>
    <x v="1"/>
    <x v="0"/>
    <x v="1"/>
    <s v="N"/>
    <x v="0"/>
    <n v="175.804"/>
    <n v="0.42299999999999999"/>
    <x v="2"/>
    <n v="121"/>
    <n v="96"/>
    <x v="3"/>
    <n v="57"/>
    <n v="0.77"/>
    <x v="0"/>
    <n v="16.614000000000001"/>
    <x v="0"/>
    <x v="0"/>
    <x v="0"/>
    <n v="0"/>
    <x v="0"/>
  </r>
  <r>
    <s v="M"/>
    <x v="33"/>
    <n v="89.04"/>
    <n v="1.57"/>
    <n v="37.698999999999998"/>
    <n v="36.123169296928886"/>
    <n v="1"/>
    <x v="1"/>
    <n v="72.102000000000004"/>
    <s v="124/102"/>
    <n v="124"/>
    <n v="102"/>
    <n v="214"/>
    <x v="0"/>
    <n v="81"/>
    <n v="73"/>
    <x v="1"/>
    <x v="0"/>
    <x v="1"/>
    <s v="N"/>
    <x v="0"/>
    <n v="156.96799999999999"/>
    <n v="0.45900000000000002"/>
    <x v="2"/>
    <n v="124"/>
    <n v="102"/>
    <x v="3"/>
    <m/>
    <n v="0"/>
    <x v="0"/>
    <n v="20.02"/>
    <x v="1"/>
    <x v="1"/>
    <x v="1"/>
    <n v="1"/>
    <x v="1"/>
  </r>
  <r>
    <s v="M"/>
    <x v="33"/>
    <n v="71.14"/>
    <n v="1.9650000000000001"/>
    <n v="36.601999999999997"/>
    <n v="18.424204753672733"/>
    <n v="1"/>
    <x v="1"/>
    <n v="107.11"/>
    <s v="178/81"/>
    <n v="178"/>
    <n v="81"/>
    <n v="209"/>
    <x v="0"/>
    <n v="39"/>
    <n v="113"/>
    <x v="0"/>
    <x v="1"/>
    <x v="1"/>
    <s v="Y"/>
    <x v="2"/>
    <m/>
    <n v="0.54500000000000004"/>
    <x v="1"/>
    <n v="178"/>
    <n v="81"/>
    <x v="1"/>
    <n v="140"/>
    <n v="3.59"/>
    <x v="0"/>
    <n v="20.399999999999999"/>
    <x v="0"/>
    <x v="0"/>
    <x v="0"/>
    <n v="0"/>
    <x v="0"/>
  </r>
  <r>
    <s v="M"/>
    <x v="1"/>
    <n v="73.143000000000001"/>
    <n v="1.9259999999999999"/>
    <n v="23.826000000000001"/>
    <n v="19.717879290767755"/>
    <n v="1"/>
    <x v="0"/>
    <n v="105.997"/>
    <s v="138/99"/>
    <n v="138"/>
    <n v="99"/>
    <n v="298"/>
    <x v="0"/>
    <n v="65"/>
    <n v="133"/>
    <x v="0"/>
    <x v="0"/>
    <x v="1"/>
    <s v="N"/>
    <x v="2"/>
    <n v="192.58600000000001"/>
    <n v="0.55000000000000004"/>
    <x v="1"/>
    <n v="138"/>
    <m/>
    <x v="1"/>
    <n v="203"/>
    <n v="3.12"/>
    <x v="0"/>
    <n v="19.625"/>
    <x v="2"/>
    <x v="0"/>
    <x v="0"/>
    <n v="0"/>
    <x v="1"/>
  </r>
  <r>
    <s v="M"/>
    <x v="17"/>
    <n v="110.756"/>
    <n v="1.7230000000000001"/>
    <n v="34.107999999999997"/>
    <n v="37.307548112340328"/>
    <n v="1"/>
    <x v="1"/>
    <n v="97.134"/>
    <s v="154/112"/>
    <n v="154"/>
    <n v="112"/>
    <n v="192"/>
    <x v="0"/>
    <n v="87"/>
    <n v="133"/>
    <x v="0"/>
    <x v="0"/>
    <x v="1"/>
    <s v="Y"/>
    <x v="0"/>
    <n v="172.339"/>
    <n v="0.56399999999999995"/>
    <x v="1"/>
    <n v="154"/>
    <n v="112"/>
    <x v="3"/>
    <n v="75"/>
    <n v="0.86"/>
    <x v="0"/>
    <n v="20.361999999999998"/>
    <x v="2"/>
    <x v="0"/>
    <x v="0"/>
    <n v="0"/>
    <x v="0"/>
  </r>
  <r>
    <s v="M"/>
    <x v="55"/>
    <n v="66.629000000000005"/>
    <n v="1.8420000000000001"/>
    <n v="37.856999999999999"/>
    <n v="19.63740257780513"/>
    <n v="1"/>
    <x v="1"/>
    <n v="112.39100000000001"/>
    <s v="108/88"/>
    <n v="108"/>
    <n v="88"/>
    <n v="154"/>
    <x v="1"/>
    <n v="35"/>
    <n v="113"/>
    <x v="0"/>
    <x v="0"/>
    <x v="0"/>
    <s v="N"/>
    <x v="0"/>
    <n v="184.21"/>
    <m/>
    <x v="4"/>
    <n v="108"/>
    <n v="88"/>
    <x v="1"/>
    <n v="89"/>
    <n v="2.54"/>
    <x v="0"/>
    <n v="18.050999999999998"/>
    <x v="1"/>
    <x v="0"/>
    <x v="1"/>
    <n v="1"/>
    <x v="0"/>
  </r>
  <r>
    <s v="M"/>
    <x v="22"/>
    <n v="107.048"/>
    <n v="1.595"/>
    <n v="22.024999999999999"/>
    <n v="42.078202847849376"/>
    <n v="1"/>
    <x v="0"/>
    <n v="81.302999999999997"/>
    <s v="178/77"/>
    <n v="178"/>
    <n v="77"/>
    <n v="173"/>
    <x v="1"/>
    <m/>
    <n v="181"/>
    <x v="0"/>
    <x v="0"/>
    <x v="1"/>
    <s v="N"/>
    <x v="2"/>
    <n v="159.505"/>
    <n v="0.51"/>
    <x v="0"/>
    <n v="178"/>
    <n v="77"/>
    <x v="3"/>
    <n v="109"/>
    <s v=""/>
    <x v="0"/>
    <n v="18.765000000000001"/>
    <x v="2"/>
    <x v="0"/>
    <x v="0"/>
    <n v="0"/>
    <x v="0"/>
  </r>
  <r>
    <s v="F"/>
    <x v="34"/>
    <n v="69.983999999999995"/>
    <n v="1.6719999999999999"/>
    <n v="25.939"/>
    <n v="25.033767541951878"/>
    <n v="1"/>
    <x v="2"/>
    <n v="91.655000000000001"/>
    <s v="129/113"/>
    <n v="129"/>
    <n v="113"/>
    <n v="136"/>
    <x v="2"/>
    <n v="71"/>
    <n v="127"/>
    <x v="1"/>
    <x v="0"/>
    <x v="0"/>
    <s v="Y"/>
    <x v="4"/>
    <n v="167.15199999999999"/>
    <n v="0.54800000000000004"/>
    <x v="1"/>
    <n v="129"/>
    <n v="113"/>
    <x v="3"/>
    <n v="35"/>
    <n v="0.49"/>
    <x v="0"/>
    <n v="16.358000000000001"/>
    <x v="1"/>
    <x v="1"/>
    <x v="1"/>
    <n v="1"/>
    <x v="1"/>
  </r>
  <r>
    <s v="M"/>
    <x v="30"/>
    <n v="62.814"/>
    <n v="1.8360000000000001"/>
    <n v="23.748999999999999"/>
    <n v="18.634214760704573"/>
    <n v="1"/>
    <x v="0"/>
    <n v="98.415000000000006"/>
    <s v="150/81"/>
    <n v="150"/>
    <n v="81"/>
    <n v="254"/>
    <x v="0"/>
    <n v="44"/>
    <n v="143"/>
    <x v="1"/>
    <x v="0"/>
    <x v="0"/>
    <s v="Y"/>
    <x v="4"/>
    <n v="183.64"/>
    <n v="0.53600000000000003"/>
    <x v="1"/>
    <n v="150"/>
    <n v="81"/>
    <x v="1"/>
    <n v="180"/>
    <n v="4.09"/>
    <x v="0"/>
    <n v="19.329999999999998"/>
    <x v="1"/>
    <x v="0"/>
    <x v="1"/>
    <n v="1"/>
    <x v="0"/>
  </r>
  <r>
    <s v="F"/>
    <x v="34"/>
    <n v="75.801000000000002"/>
    <n v="1.988"/>
    <n v="26.556000000000001"/>
    <n v="19.179716123703994"/>
    <n v="1"/>
    <x v="2"/>
    <n v="102.511"/>
    <s v="147/116"/>
    <n v="147"/>
    <n v="116"/>
    <n v="108"/>
    <x v="2"/>
    <n v="72"/>
    <n v="184"/>
    <x v="0"/>
    <x v="1"/>
    <x v="1"/>
    <s v="Y"/>
    <x v="2"/>
    <n v="198.804"/>
    <n v="0.51600000000000001"/>
    <x v="0"/>
    <n v="147"/>
    <n v="116"/>
    <x v="3"/>
    <n v="6"/>
    <n v="0.08"/>
    <x v="0"/>
    <n v="14.821"/>
    <x v="0"/>
    <x v="0"/>
    <x v="0"/>
    <n v="0"/>
    <x v="0"/>
  </r>
  <r>
    <s v="M"/>
    <x v="30"/>
    <n v="93.019000000000005"/>
    <n v="1.6459999999999999"/>
    <n v="31.42"/>
    <n v="34.333019847075796"/>
    <n v="1"/>
    <x v="1"/>
    <n v="91.486999999999995"/>
    <s v="105/104"/>
    <n v="105"/>
    <n v="104"/>
    <n v="238"/>
    <x v="0"/>
    <n v="59"/>
    <n v="126"/>
    <x v="1"/>
    <x v="1"/>
    <x v="2"/>
    <s v="N"/>
    <x v="2"/>
    <n v="164.59299999999999"/>
    <n v="0.55600000000000005"/>
    <x v="1"/>
    <n v="105"/>
    <n v="104"/>
    <x v="3"/>
    <n v="149"/>
    <n v="2.5299999999999998"/>
    <x v="0"/>
    <n v="16.294"/>
    <x v="1"/>
    <x v="0"/>
    <x v="1"/>
    <n v="1"/>
    <x v="0"/>
  </r>
  <r>
    <s v="F"/>
    <x v="48"/>
    <n v="55.365000000000002"/>
    <n v="1.5369999999999999"/>
    <n v="36.322000000000003"/>
    <n v="23.436220167128848"/>
    <n v="1"/>
    <x v="1"/>
    <n v="116.04900000000001"/>
    <s v="139/90"/>
    <n v="139"/>
    <n v="90"/>
    <n v="286"/>
    <x v="0"/>
    <n v="78"/>
    <n v="125"/>
    <x v="0"/>
    <x v="1"/>
    <x v="1"/>
    <s v="Y"/>
    <x v="2"/>
    <n v="153.68100000000001"/>
    <n v="0.755"/>
    <x v="3"/>
    <n v="139"/>
    <n v="90"/>
    <x v="1"/>
    <n v="178"/>
    <n v="2.2799999999999998"/>
    <x v="0"/>
    <n v="19.934000000000001"/>
    <x v="1"/>
    <x v="1"/>
    <x v="1"/>
    <n v="1"/>
    <x v="0"/>
  </r>
  <r>
    <s v="F"/>
    <x v="4"/>
    <n v="94.09"/>
    <n v="1.6679999999999999"/>
    <n v="35.261000000000003"/>
    <n v="33.818269125706635"/>
    <n v="1"/>
    <x v="1"/>
    <n v="119.874"/>
    <s v="172/63"/>
    <n v="172"/>
    <n v="63"/>
    <n v="294"/>
    <x v="0"/>
    <n v="39"/>
    <n v="94"/>
    <x v="0"/>
    <x v="0"/>
    <x v="0"/>
    <s v="N"/>
    <x v="0"/>
    <n v="166.84200000000001"/>
    <n v="0.71799999999999997"/>
    <x v="3"/>
    <n v="172"/>
    <n v="63"/>
    <x v="3"/>
    <n v="225"/>
    <n v="5.77"/>
    <x v="0"/>
    <n v="23.532"/>
    <x v="1"/>
    <x v="0"/>
    <x v="1"/>
    <n v="1"/>
    <x v="1"/>
  </r>
  <r>
    <s v="F"/>
    <x v="6"/>
    <n v="76.597999999999999"/>
    <n v="1.891"/>
    <n v="27.643000000000001"/>
    <n v="21.420735197843552"/>
    <n v="1"/>
    <x v="2"/>
    <n v="103.955"/>
    <s v="91/108"/>
    <n v="91"/>
    <n v="108"/>
    <n v="231"/>
    <x v="0"/>
    <n v="53"/>
    <n v="138"/>
    <x v="0"/>
    <x v="1"/>
    <x v="0"/>
    <s v="N"/>
    <x v="2"/>
    <n v="189.06700000000001"/>
    <n v="0.55000000000000004"/>
    <x v="1"/>
    <n v="91"/>
    <n v="108"/>
    <x v="3"/>
    <n v="148"/>
    <n v="2.79"/>
    <x v="0"/>
    <n v="14.699"/>
    <x v="1"/>
    <x v="0"/>
    <x v="1"/>
    <n v="1"/>
    <x v="0"/>
  </r>
  <r>
    <s v="M"/>
    <x v="49"/>
    <m/>
    <n v="1.911"/>
    <n v="21.324999999999999"/>
    <n v="0"/>
    <n v="1"/>
    <x v="0"/>
    <n v="114.265"/>
    <s v="140/67"/>
    <n v="140"/>
    <n v="67"/>
    <n v="160"/>
    <x v="1"/>
    <n v="76"/>
    <m/>
    <x v="1"/>
    <x v="0"/>
    <x v="1"/>
    <s v="N"/>
    <x v="0"/>
    <n v="191.12799999999999"/>
    <n v="0.59799999999999998"/>
    <x v="3"/>
    <n v="140"/>
    <n v="67"/>
    <x v="3"/>
    <n v="54"/>
    <n v="0.71"/>
    <x v="0"/>
    <n v="16.465"/>
    <x v="0"/>
    <x v="0"/>
    <x v="0"/>
    <n v="0"/>
    <x v="1"/>
  </r>
  <r>
    <s v="M"/>
    <x v="9"/>
    <n v="112.22"/>
    <n v="1.968"/>
    <n v="27.899000000000001"/>
    <n v="28.974775266045341"/>
    <n v="1"/>
    <x v="2"/>
    <n v="108.46899999999999"/>
    <s v="126/64"/>
    <n v="126"/>
    <n v="64"/>
    <n v="203"/>
    <x v="0"/>
    <n v="80"/>
    <n v="165"/>
    <x v="1"/>
    <x v="1"/>
    <x v="2"/>
    <s v="N"/>
    <x v="2"/>
    <n v="196.75899999999999"/>
    <n v="0.55100000000000005"/>
    <x v="1"/>
    <n v="126"/>
    <n v="64"/>
    <x v="0"/>
    <n v="93"/>
    <n v="1.1599999999999999"/>
    <x v="0"/>
    <m/>
    <x v="1"/>
    <x v="1"/>
    <x v="1"/>
    <n v="1"/>
    <x v="0"/>
  </r>
  <r>
    <s v="F"/>
    <x v="34"/>
    <n v="96.234999999999999"/>
    <n v="1.661"/>
    <n v="28.343"/>
    <n v="34.88139022465667"/>
    <n v="1"/>
    <x v="2"/>
    <n v="118.402"/>
    <s v="92/107"/>
    <n v="92"/>
    <n v="107"/>
    <n v="179"/>
    <x v="1"/>
    <n v="46"/>
    <n v="112"/>
    <x v="1"/>
    <x v="1"/>
    <x v="2"/>
    <s v="N"/>
    <x v="2"/>
    <n v="166.09100000000001"/>
    <n v="0.71299999999999997"/>
    <x v="3"/>
    <n v="92"/>
    <n v="107"/>
    <x v="3"/>
    <n v="103"/>
    <n v="2.2400000000000002"/>
    <x v="0"/>
    <n v="13.849"/>
    <x v="1"/>
    <x v="0"/>
    <x v="1"/>
    <n v="1"/>
    <x v="0"/>
  </r>
  <r>
    <s v="F"/>
    <x v="3"/>
    <n v="56.978000000000002"/>
    <n v="1.629"/>
    <n v="29.390999999999998"/>
    <n v="21.471630864913529"/>
    <n v="1"/>
    <x v="2"/>
    <n v="96.63"/>
    <s v="148/71"/>
    <n v="148"/>
    <n v="71"/>
    <n v="178"/>
    <x v="1"/>
    <m/>
    <n v="167"/>
    <x v="0"/>
    <x v="0"/>
    <x v="1"/>
    <s v="Y"/>
    <x v="0"/>
    <n v="162.92099999999999"/>
    <n v="0.59299999999999997"/>
    <x v="3"/>
    <n v="148"/>
    <n v="71"/>
    <x v="3"/>
    <n v="103"/>
    <s v=""/>
    <x v="0"/>
    <n v="18.838000000000001"/>
    <x v="1"/>
    <x v="0"/>
    <x v="1"/>
    <n v="1"/>
    <x v="0"/>
  </r>
  <r>
    <s v="F"/>
    <x v="47"/>
    <n v="66.073999999999998"/>
    <m/>
    <n v="27.460999999999999"/>
    <s v=""/>
    <s v=""/>
    <x v="2"/>
    <n v="76.599000000000004"/>
    <s v="112/106"/>
    <n v="112"/>
    <n v="106"/>
    <n v="197"/>
    <x v="0"/>
    <n v="55"/>
    <n v="131"/>
    <x v="0"/>
    <x v="1"/>
    <x v="0"/>
    <s v="Y"/>
    <x v="0"/>
    <n v="195.82"/>
    <n v="0.39100000000000001"/>
    <x v="2"/>
    <n v="112"/>
    <n v="106"/>
    <x v="3"/>
    <n v="112"/>
    <n v="2.04"/>
    <x v="0"/>
    <m/>
    <x v="0"/>
    <x v="0"/>
    <x v="0"/>
    <n v="0"/>
    <x v="0"/>
  </r>
  <r>
    <s v="M"/>
    <x v="12"/>
    <n v="52.640999999999998"/>
    <n v="1.8979999999999999"/>
    <n v="33.1"/>
    <n v="14.612741935662964"/>
    <n v="1"/>
    <x v="1"/>
    <n v="73.69"/>
    <s v="120/78"/>
    <n v="120"/>
    <n v="78"/>
    <n v="228"/>
    <x v="0"/>
    <n v="38"/>
    <n v="112"/>
    <x v="1"/>
    <x v="0"/>
    <x v="2"/>
    <s v="Y"/>
    <x v="1"/>
    <n v="189.81700000000001"/>
    <n v="0.38800000000000001"/>
    <x v="2"/>
    <n v="120"/>
    <m/>
    <x v="0"/>
    <n v="160"/>
    <n v="4.21"/>
    <x v="0"/>
    <n v="19.18"/>
    <x v="0"/>
    <x v="0"/>
    <x v="0"/>
    <n v="0"/>
    <x v="0"/>
  </r>
  <r>
    <s v="M"/>
    <x v="53"/>
    <n v="88.179000000000002"/>
    <n v="1.802"/>
    <n v="28.2"/>
    <n v="27.155361966787428"/>
    <n v="1"/>
    <x v="2"/>
    <n v="96.090999999999994"/>
    <s v="165/72"/>
    <n v="165"/>
    <n v="72"/>
    <n v="171"/>
    <x v="1"/>
    <n v="56"/>
    <n v="144"/>
    <x v="1"/>
    <x v="1"/>
    <x v="0"/>
    <s v="Y"/>
    <x v="1"/>
    <n v="180.15799999999999"/>
    <n v="0.53300000000000003"/>
    <x v="1"/>
    <n v="165"/>
    <n v="72"/>
    <x v="3"/>
    <n v="85"/>
    <n v="1.52"/>
    <x v="0"/>
    <n v="17.309999999999999"/>
    <x v="0"/>
    <x v="0"/>
    <x v="0"/>
    <n v="0"/>
    <x v="0"/>
  </r>
  <r>
    <s v="M"/>
    <x v="1"/>
    <n v="74.451999999999998"/>
    <n v="1.643"/>
    <n v="37.512"/>
    <n v="27.580443268237332"/>
    <n v="1"/>
    <x v="1"/>
    <n v="79.587999999999994"/>
    <s v="102/90"/>
    <n v="102"/>
    <n v="90"/>
    <n v="160"/>
    <x v="1"/>
    <n v="48"/>
    <n v="161"/>
    <x v="1"/>
    <x v="1"/>
    <x v="2"/>
    <s v="N"/>
    <x v="2"/>
    <n v="164.30600000000001"/>
    <n v="0.48399999999999999"/>
    <x v="0"/>
    <n v="102"/>
    <n v="90"/>
    <x v="3"/>
    <n v="82"/>
    <n v="1.71"/>
    <x v="0"/>
    <m/>
    <x v="2"/>
    <x v="0"/>
    <x v="0"/>
    <n v="0"/>
    <x v="0"/>
  </r>
  <r>
    <s v="M"/>
    <x v="22"/>
    <n v="61.985999999999997"/>
    <n v="1.841"/>
    <m/>
    <n v="18.288834711550916"/>
    <n v="1"/>
    <x v="3"/>
    <n v="118.99"/>
    <s v="169/87"/>
    <n v="169"/>
    <n v="87"/>
    <m/>
    <x v="2"/>
    <n v="61"/>
    <n v="155"/>
    <x v="1"/>
    <x v="1"/>
    <x v="0"/>
    <s v="Y"/>
    <x v="1"/>
    <n v="184.053"/>
    <n v="0.64600000000000002"/>
    <x v="3"/>
    <n v="169"/>
    <n v="87"/>
    <x v="1"/>
    <n v="31"/>
    <n v="0.51"/>
    <x v="0"/>
    <n v="16.75"/>
    <x v="1"/>
    <x v="1"/>
    <x v="1"/>
    <n v="1"/>
    <x v="0"/>
  </r>
  <r>
    <s v="F"/>
    <x v="22"/>
    <n v="98.034999999999997"/>
    <n v="1.86"/>
    <n v="24.27"/>
    <n v="28.337090993178396"/>
    <n v="1"/>
    <x v="0"/>
    <n v="89.5"/>
    <s v="117/77"/>
    <n v="117"/>
    <n v="77"/>
    <n v="150"/>
    <x v="1"/>
    <m/>
    <n v="174"/>
    <x v="0"/>
    <x v="1"/>
    <x v="1"/>
    <s v="N"/>
    <x v="3"/>
    <n v="185.96100000000001"/>
    <n v="0.48099999999999998"/>
    <x v="0"/>
    <n v="117"/>
    <n v="77"/>
    <x v="2"/>
    <n v="77"/>
    <s v=""/>
    <x v="0"/>
    <n v="13.704000000000001"/>
    <x v="1"/>
    <x v="0"/>
    <x v="1"/>
    <n v="1"/>
    <x v="0"/>
  </r>
  <r>
    <s v="F"/>
    <x v="32"/>
    <n v="114.22799999999999"/>
    <n v="1.6180000000000001"/>
    <m/>
    <n v="43.633046643065263"/>
    <n v="1"/>
    <x v="3"/>
    <n v="77.89"/>
    <s v="163/82"/>
    <n v="163"/>
    <n v="82"/>
    <n v="137"/>
    <x v="2"/>
    <n v="70"/>
    <n v="90"/>
    <x v="0"/>
    <x v="0"/>
    <x v="2"/>
    <s v="N"/>
    <x v="2"/>
    <n v="161.76499999999999"/>
    <n v="0.48199999999999998"/>
    <x v="0"/>
    <n v="163"/>
    <n v="82"/>
    <x v="1"/>
    <n v="37"/>
    <n v="0.53"/>
    <x v="0"/>
    <n v="19.716000000000001"/>
    <x v="1"/>
    <x v="1"/>
    <x v="1"/>
    <n v="1"/>
    <x v="1"/>
  </r>
  <r>
    <s v="F"/>
    <x v="48"/>
    <n v="103.54300000000001"/>
    <n v="1.8520000000000001"/>
    <n v="29.792999999999999"/>
    <n v="30.188308477438433"/>
    <n v="1"/>
    <x v="2"/>
    <n v="110.663"/>
    <s v="96/89"/>
    <n v="96"/>
    <n v="89"/>
    <n v="249"/>
    <x v="0"/>
    <n v="49"/>
    <n v="191"/>
    <x v="1"/>
    <x v="0"/>
    <x v="1"/>
    <s v="Y"/>
    <x v="1"/>
    <n v="185.239"/>
    <n v="0.59699999999999998"/>
    <x v="3"/>
    <n v="96"/>
    <n v="89"/>
    <x v="1"/>
    <n v="170"/>
    <n v="3.47"/>
    <x v="0"/>
    <n v="17.739000000000001"/>
    <x v="2"/>
    <x v="0"/>
    <x v="0"/>
    <n v="0"/>
    <x v="1"/>
  </r>
  <r>
    <s v="F"/>
    <x v="9"/>
    <n v="114.34699999999999"/>
    <n v="1.8720000000000001"/>
    <n v="27.49"/>
    <n v="32.629700398129877"/>
    <n v="1"/>
    <x v="2"/>
    <n v="103.441"/>
    <s v="107/91"/>
    <n v="107"/>
    <n v="91"/>
    <n v="299"/>
    <x v="0"/>
    <n v="42"/>
    <n v="134"/>
    <x v="0"/>
    <x v="0"/>
    <x v="1"/>
    <s v="N"/>
    <x v="2"/>
    <n v="187.24199999999999"/>
    <n v="0.55200000000000005"/>
    <x v="1"/>
    <n v="107"/>
    <n v="91"/>
    <x v="3"/>
    <n v="227"/>
    <n v="5.4"/>
    <x v="0"/>
    <n v="18.827999999999999"/>
    <x v="0"/>
    <x v="0"/>
    <x v="0"/>
    <n v="0"/>
    <x v="0"/>
  </r>
  <r>
    <s v="M"/>
    <x v="44"/>
    <n v="85.474000000000004"/>
    <n v="1.879"/>
    <n v="36.134999999999998"/>
    <n v="24.209201671877715"/>
    <n v="1"/>
    <x v="1"/>
    <n v="101.905"/>
    <s v="131/98"/>
    <n v="131"/>
    <n v="98"/>
    <n v="205"/>
    <x v="0"/>
    <n v="89"/>
    <n v="171"/>
    <x v="1"/>
    <x v="0"/>
    <x v="0"/>
    <s v="Y"/>
    <x v="4"/>
    <n v="187.92400000000001"/>
    <n v="0.54200000000000004"/>
    <x v="1"/>
    <n v="131"/>
    <n v="98"/>
    <x v="1"/>
    <n v="86"/>
    <n v="0.97"/>
    <x v="0"/>
    <n v="19.876999999999999"/>
    <x v="2"/>
    <x v="0"/>
    <x v="0"/>
    <n v="0"/>
    <x v="1"/>
  </r>
  <r>
    <s v="F"/>
    <x v="33"/>
    <n v="66.498000000000005"/>
    <n v="1.6439999999999999"/>
    <n v="33.527999999999999"/>
    <n v="24.60395687925125"/>
    <n v="1"/>
    <x v="1"/>
    <n v="116.551"/>
    <s v="179/91"/>
    <n v="179"/>
    <n v="91"/>
    <m/>
    <x v="2"/>
    <n v="53"/>
    <n v="193"/>
    <x v="1"/>
    <x v="1"/>
    <x v="2"/>
    <s v="N"/>
    <x v="2"/>
    <n v="164.40299999999999"/>
    <n v="0.70899999999999996"/>
    <x v="3"/>
    <n v="179"/>
    <n v="91"/>
    <x v="3"/>
    <n v="134"/>
    <n v="2.5299999999999998"/>
    <x v="0"/>
    <n v="19.995999999999999"/>
    <x v="2"/>
    <x v="0"/>
    <x v="0"/>
    <n v="0"/>
    <x v="0"/>
  </r>
  <r>
    <s v="M"/>
    <x v="2"/>
    <n v="104.80200000000001"/>
    <n v="1.927"/>
    <n v="36.368000000000002"/>
    <n v="28.223192720063317"/>
    <n v="1"/>
    <x v="1"/>
    <n v="70.411000000000001"/>
    <s v="90/111"/>
    <n v="90"/>
    <n v="111"/>
    <n v="104"/>
    <x v="2"/>
    <n v="31"/>
    <n v="78"/>
    <x v="0"/>
    <x v="0"/>
    <x v="0"/>
    <s v="Y"/>
    <x v="1"/>
    <n v="192.739"/>
    <n v="0.36499999999999999"/>
    <x v="2"/>
    <n v="90"/>
    <n v="111"/>
    <x v="3"/>
    <n v="43"/>
    <n v="1.39"/>
    <x v="0"/>
    <n v="15.853999999999999"/>
    <x v="1"/>
    <x v="0"/>
    <x v="1"/>
    <n v="1"/>
    <x v="0"/>
  </r>
  <r>
    <s v="M"/>
    <x v="14"/>
    <n v="117.825"/>
    <n v="1.5509999999999999"/>
    <n v="21.128"/>
    <n v="48.979444222046801"/>
    <n v="1"/>
    <x v="0"/>
    <n v="74.558999999999997"/>
    <s v="110/112"/>
    <n v="110"/>
    <n v="112"/>
    <n v="288"/>
    <x v="0"/>
    <n v="49"/>
    <m/>
    <x v="1"/>
    <x v="0"/>
    <x v="0"/>
    <s v="Y"/>
    <x v="4"/>
    <n v="155.06800000000001"/>
    <n v="0.48099999999999998"/>
    <x v="0"/>
    <n v="110"/>
    <n v="112"/>
    <x v="3"/>
    <n v="209"/>
    <n v="4.2699999999999996"/>
    <x v="0"/>
    <n v="17.486000000000001"/>
    <x v="0"/>
    <x v="0"/>
    <x v="0"/>
    <n v="0"/>
    <x v="0"/>
  </r>
  <r>
    <s v="F"/>
    <x v="40"/>
    <n v="56.381"/>
    <n v="1.9"/>
    <n v="33.984000000000002"/>
    <n v="15.618005540166205"/>
    <n v="1"/>
    <x v="1"/>
    <n v="78.763999999999996"/>
    <s v="176/95"/>
    <n v="176"/>
    <n v="95"/>
    <n v="215"/>
    <x v="0"/>
    <n v="52"/>
    <n v="166"/>
    <x v="0"/>
    <x v="0"/>
    <x v="1"/>
    <s v="Y"/>
    <x v="0"/>
    <n v="190.04"/>
    <n v="0.41399999999999998"/>
    <x v="2"/>
    <n v="176"/>
    <n v="95"/>
    <x v="3"/>
    <n v="133"/>
    <n v="2.56"/>
    <x v="0"/>
    <n v="21.896999999999998"/>
    <x v="0"/>
    <x v="0"/>
    <x v="0"/>
    <n v="0"/>
    <x v="1"/>
  </r>
  <r>
    <s v="F"/>
    <x v="5"/>
    <n v="65.016999999999996"/>
    <n v="1.5780000000000001"/>
    <n v="21.577000000000002"/>
    <n v="26.110364148358041"/>
    <n v="1"/>
    <x v="0"/>
    <n v="110.809"/>
    <s v="102/73"/>
    <n v="102"/>
    <n v="73"/>
    <n v="121"/>
    <x v="2"/>
    <n v="48"/>
    <n v="148"/>
    <x v="0"/>
    <x v="1"/>
    <x v="0"/>
    <s v="Y"/>
    <x v="0"/>
    <n v="157.827"/>
    <n v="0.70199999999999996"/>
    <x v="3"/>
    <n v="102"/>
    <n v="73"/>
    <x v="2"/>
    <n v="43"/>
    <n v="0.9"/>
    <x v="0"/>
    <n v="11.835000000000001"/>
    <x v="0"/>
    <x v="0"/>
    <x v="0"/>
    <n v="0"/>
    <x v="0"/>
  </r>
  <r>
    <s v="M"/>
    <x v="9"/>
    <n v="111.548"/>
    <n v="1.9119999999999999"/>
    <m/>
    <n v="30.513077502144572"/>
    <n v="1"/>
    <x v="3"/>
    <n v="88.150999999999996"/>
    <s v="130/71"/>
    <n v="130"/>
    <n v="71"/>
    <n v="102"/>
    <x v="2"/>
    <n v="46"/>
    <n v="90"/>
    <x v="1"/>
    <x v="0"/>
    <x v="0"/>
    <s v="N"/>
    <x v="1"/>
    <n v="191.18700000000001"/>
    <n v="0.46100000000000002"/>
    <x v="0"/>
    <n v="130"/>
    <n v="71"/>
    <x v="1"/>
    <n v="26"/>
    <n v="0.56999999999999995"/>
    <x v="0"/>
    <n v="16.672999999999998"/>
    <x v="0"/>
    <x v="0"/>
    <x v="0"/>
    <n v="0"/>
    <x v="0"/>
  </r>
  <r>
    <s v="F"/>
    <x v="37"/>
    <n v="92.683000000000007"/>
    <n v="1.839"/>
    <n v="31.26"/>
    <n v="27.405430227376694"/>
    <n v="1"/>
    <x v="1"/>
    <n v="76.347999999999999"/>
    <s v="169/95"/>
    <n v="169"/>
    <n v="95"/>
    <n v="297"/>
    <x v="0"/>
    <n v="81"/>
    <n v="147"/>
    <x v="0"/>
    <x v="0"/>
    <x v="1"/>
    <s v="N"/>
    <x v="2"/>
    <n v="183.85300000000001"/>
    <n v="0.41499999999999998"/>
    <x v="2"/>
    <n v="169"/>
    <n v="95"/>
    <x v="3"/>
    <n v="186"/>
    <n v="2.2999999999999998"/>
    <x v="0"/>
    <n v="22.641999999999999"/>
    <x v="2"/>
    <x v="0"/>
    <x v="0"/>
    <n v="0"/>
    <x v="0"/>
  </r>
  <r>
    <s v="F"/>
    <x v="48"/>
    <n v="109.986"/>
    <n v="1.5740000000000001"/>
    <n v="35.325000000000003"/>
    <n v="44.394375566100337"/>
    <n v="1"/>
    <x v="1"/>
    <n v="109.006"/>
    <s v="119/88"/>
    <n v="119"/>
    <n v="88"/>
    <n v="295"/>
    <x v="0"/>
    <n v="77"/>
    <n v="134"/>
    <x v="0"/>
    <x v="1"/>
    <x v="2"/>
    <s v="N"/>
    <x v="3"/>
    <n v="157.44200000000001"/>
    <n v="0.69199999999999995"/>
    <x v="3"/>
    <n v="119"/>
    <n v="88"/>
    <x v="1"/>
    <n v="188"/>
    <n v="2.44"/>
    <x v="0"/>
    <n v="18.914999999999999"/>
    <x v="1"/>
    <x v="1"/>
    <x v="1"/>
    <n v="1"/>
    <x v="0"/>
  </r>
  <r>
    <s v="M"/>
    <x v="23"/>
    <n v="62.890999999999998"/>
    <n v="1.639"/>
    <n v="39.597000000000001"/>
    <n v="23.411572928179471"/>
    <n v="1"/>
    <x v="1"/>
    <n v="91.942999999999998"/>
    <s v="100/90"/>
    <n v="100"/>
    <n v="90"/>
    <n v="157"/>
    <x v="1"/>
    <n v="55"/>
    <n v="128"/>
    <x v="0"/>
    <x v="1"/>
    <x v="0"/>
    <s v="Y"/>
    <x v="0"/>
    <n v="163.91300000000001"/>
    <n v="0.56100000000000005"/>
    <x v="1"/>
    <n v="100"/>
    <n v="90"/>
    <x v="3"/>
    <n v="72"/>
    <n v="1.31"/>
    <x v="0"/>
    <n v="16.059000000000001"/>
    <x v="0"/>
    <x v="0"/>
    <x v="0"/>
    <n v="0"/>
    <x v="0"/>
  </r>
  <r>
    <s v="M"/>
    <x v="45"/>
    <n v="58.137999999999998"/>
    <n v="1.8640000000000001"/>
    <n v="31.123000000000001"/>
    <n v="16.732786568181396"/>
    <n v="1"/>
    <x v="1"/>
    <n v="85.182000000000002"/>
    <s v="149/71"/>
    <n v="149"/>
    <n v="71"/>
    <n v="259"/>
    <x v="0"/>
    <n v="78"/>
    <n v="147"/>
    <x v="1"/>
    <x v="0"/>
    <x v="0"/>
    <s v="Y"/>
    <x v="4"/>
    <n v="186.435"/>
    <n v="0.45700000000000002"/>
    <x v="2"/>
    <n v="149"/>
    <n v="71"/>
    <x v="3"/>
    <n v="151"/>
    <n v="1.94"/>
    <x v="0"/>
    <n v="20.855"/>
    <x v="1"/>
    <x v="1"/>
    <x v="1"/>
    <n v="1"/>
    <x v="1"/>
  </r>
  <r>
    <s v="M"/>
    <x v="51"/>
    <n v="105.196"/>
    <m/>
    <n v="26.420999999999999"/>
    <s v=""/>
    <s v=""/>
    <x v="2"/>
    <n v="92.346999999999994"/>
    <s v="91/97"/>
    <n v="91"/>
    <n v="97"/>
    <n v="275"/>
    <x v="0"/>
    <n v="87"/>
    <n v="93"/>
    <x v="0"/>
    <x v="0"/>
    <x v="1"/>
    <s v="N"/>
    <x v="2"/>
    <n v="168.959"/>
    <n v="0.54700000000000004"/>
    <x v="1"/>
    <n v="91"/>
    <n v="97"/>
    <x v="3"/>
    <n v="158"/>
    <n v="1.82"/>
    <x v="0"/>
    <n v="17.334"/>
    <x v="0"/>
    <x v="0"/>
    <x v="0"/>
    <n v="0"/>
    <x v="1"/>
  </r>
  <r>
    <s v="F"/>
    <x v="45"/>
    <m/>
    <n v="1.7490000000000001"/>
    <n v="35.573999999999998"/>
    <n v="0"/>
    <n v="1"/>
    <x v="1"/>
    <n v="75.444999999999993"/>
    <s v="147/105"/>
    <n v="147"/>
    <n v="105"/>
    <n v="169"/>
    <x v="1"/>
    <n v="79"/>
    <n v="192"/>
    <x v="1"/>
    <x v="0"/>
    <x v="2"/>
    <s v="Y"/>
    <x v="1"/>
    <n v="174.90299999999999"/>
    <n v="0.43099999999999999"/>
    <x v="2"/>
    <n v="147"/>
    <n v="105"/>
    <x v="3"/>
    <n v="60"/>
    <n v="0.76"/>
    <x v="0"/>
    <n v="19.844999999999999"/>
    <x v="1"/>
    <x v="1"/>
    <x v="1"/>
    <n v="1"/>
    <x v="1"/>
  </r>
  <r>
    <s v="M"/>
    <x v="10"/>
    <n v="111.959"/>
    <n v="1.772"/>
    <n v="32.305999999999997"/>
    <n v="35.655914170263287"/>
    <n v="1"/>
    <x v="1"/>
    <n v="102.645"/>
    <s v="171/75"/>
    <n v="171"/>
    <n v="75"/>
    <n v="155"/>
    <x v="1"/>
    <n v="36"/>
    <n v="130"/>
    <x v="1"/>
    <x v="0"/>
    <x v="2"/>
    <s v="Y"/>
    <x v="1"/>
    <n v="177.23400000000001"/>
    <n v="0.57899999999999996"/>
    <x v="1"/>
    <n v="171"/>
    <m/>
    <x v="3"/>
    <n v="89"/>
    <n v="2.4700000000000002"/>
    <x v="0"/>
    <n v="20.111000000000001"/>
    <x v="1"/>
    <x v="0"/>
    <x v="1"/>
    <n v="1"/>
    <x v="1"/>
  </r>
  <r>
    <s v="F"/>
    <x v="31"/>
    <n v="74.241"/>
    <n v="1.5549999999999999"/>
    <n v="24.553999999999998"/>
    <n v="30.703156501690433"/>
    <n v="1"/>
    <x v="0"/>
    <n v="116.941"/>
    <s v="104/107"/>
    <n v="104"/>
    <n v="107"/>
    <n v="105"/>
    <x v="2"/>
    <n v="85"/>
    <n v="122"/>
    <x v="0"/>
    <x v="1"/>
    <x v="2"/>
    <s v="N"/>
    <x v="3"/>
    <n v="155.54499999999999"/>
    <n v="0.752"/>
    <x v="3"/>
    <n v="104"/>
    <n v="107"/>
    <x v="3"/>
    <n v="-10"/>
    <n v="-0.12"/>
    <x v="0"/>
    <n v="12.211"/>
    <x v="1"/>
    <x v="1"/>
    <x v="1"/>
    <n v="1"/>
    <x v="0"/>
  </r>
  <r>
    <s v="F"/>
    <x v="2"/>
    <n v="62.551000000000002"/>
    <n v="1.8460000000000001"/>
    <n v="36.387"/>
    <n v="18.355696308025667"/>
    <n v="1"/>
    <x v="1"/>
    <n v="105.20699999999999"/>
    <s v="177/62"/>
    <n v="177"/>
    <n v="62"/>
    <n v="251"/>
    <x v="0"/>
    <n v="77"/>
    <n v="191"/>
    <x v="1"/>
    <x v="1"/>
    <x v="2"/>
    <s v="N"/>
    <x v="2"/>
    <n v="184.64699999999999"/>
    <n v="0.56999999999999995"/>
    <x v="1"/>
    <n v="177"/>
    <n v="62"/>
    <x v="3"/>
    <n v="144"/>
    <n v="1.87"/>
    <x v="0"/>
    <n v="21.146999999999998"/>
    <x v="0"/>
    <x v="0"/>
    <x v="0"/>
    <n v="0"/>
    <x v="0"/>
  </r>
  <r>
    <s v="F"/>
    <x v="53"/>
    <n v="113.154"/>
    <n v="1.6579999999999999"/>
    <n v="23.254000000000001"/>
    <n v="41.16241609566368"/>
    <n v="1"/>
    <x v="0"/>
    <n v="100.246"/>
    <s v="148/81"/>
    <n v="148"/>
    <n v="81"/>
    <n v="250"/>
    <x v="0"/>
    <n v="34"/>
    <n v="150"/>
    <x v="0"/>
    <x v="0"/>
    <x v="1"/>
    <s v="Y"/>
    <x v="0"/>
    <n v="165.81399999999999"/>
    <n v="0.60499999999999998"/>
    <x v="3"/>
    <n v="148"/>
    <n v="81"/>
    <x v="1"/>
    <n v="186"/>
    <n v="5.47"/>
    <x v="0"/>
    <n v="19.050999999999998"/>
    <x v="0"/>
    <x v="0"/>
    <x v="0"/>
    <n v="0"/>
    <x v="0"/>
  </r>
  <r>
    <s v="M"/>
    <x v="28"/>
    <n v="80.463999999999999"/>
    <m/>
    <n v="34.707999999999998"/>
    <s v=""/>
    <s v=""/>
    <x v="1"/>
    <n v="115.123"/>
    <s v="142/107"/>
    <n v="142"/>
    <n v="107"/>
    <n v="281"/>
    <x v="0"/>
    <n v="61"/>
    <n v="93"/>
    <x v="0"/>
    <x v="0"/>
    <x v="2"/>
    <s v="N"/>
    <x v="2"/>
    <n v="184.43799999999999"/>
    <n v="0.624"/>
    <x v="3"/>
    <n v="142"/>
    <n v="107"/>
    <x v="3"/>
    <n v="190"/>
    <n v="3.11"/>
    <x v="0"/>
    <n v="21.661999999999999"/>
    <x v="2"/>
    <x v="0"/>
    <x v="0"/>
    <n v="0"/>
    <x v="1"/>
  </r>
  <r>
    <s v="F"/>
    <x v="41"/>
    <n v="63.569000000000003"/>
    <n v="1.6160000000000001"/>
    <n v="21.219000000000001"/>
    <n v="24.3423592049799"/>
    <n v="1"/>
    <x v="0"/>
    <n v="80.661000000000001"/>
    <s v="148/98"/>
    <n v="148"/>
    <n v="98"/>
    <n v="166"/>
    <x v="1"/>
    <n v="79"/>
    <n v="181"/>
    <x v="0"/>
    <x v="0"/>
    <x v="0"/>
    <s v="Y"/>
    <x v="1"/>
    <n v="161.607"/>
    <n v="0.499"/>
    <x v="0"/>
    <n v="148"/>
    <m/>
    <x v="3"/>
    <n v="57"/>
    <n v="0.72"/>
    <x v="0"/>
    <n v="16.963999999999999"/>
    <x v="1"/>
    <x v="1"/>
    <x v="1"/>
    <n v="1"/>
    <x v="1"/>
  </r>
  <r>
    <s v="M"/>
    <x v="36"/>
    <n v="63.04"/>
    <n v="1.524"/>
    <n v="18.866"/>
    <n v="27.142276506775232"/>
    <n v="1"/>
    <x v="0"/>
    <n v="72.418999999999997"/>
    <s v="111/83"/>
    <n v="111"/>
    <n v="83"/>
    <n v="187"/>
    <x v="0"/>
    <n v="77"/>
    <n v="146"/>
    <x v="0"/>
    <x v="1"/>
    <x v="1"/>
    <s v="Y"/>
    <x v="2"/>
    <n v="152.416"/>
    <m/>
    <x v="4"/>
    <n v="111"/>
    <n v="83"/>
    <x v="1"/>
    <n v="80"/>
    <n v="1.04"/>
    <x v="0"/>
    <n v="13.063000000000001"/>
    <x v="1"/>
    <x v="1"/>
    <x v="1"/>
    <n v="1"/>
    <x v="0"/>
  </r>
  <r>
    <s v="F"/>
    <x v="43"/>
    <n v="55.975000000000001"/>
    <n v="1.8320000000000001"/>
    <n v="24.033999999999999"/>
    <n v="16.677969050933431"/>
    <n v="1"/>
    <x v="0"/>
    <n v="115.905"/>
    <s v="128/99"/>
    <n v="128"/>
    <n v="99"/>
    <n v="270"/>
    <x v="0"/>
    <n v="57"/>
    <n v="146"/>
    <x v="1"/>
    <x v="0"/>
    <x v="2"/>
    <s v="N"/>
    <x v="0"/>
    <n v="183.17599999999999"/>
    <n v="0.63300000000000001"/>
    <x v="3"/>
    <n v="128"/>
    <n v="99"/>
    <x v="3"/>
    <m/>
    <n v="0"/>
    <x v="0"/>
    <n v="18.606999999999999"/>
    <x v="1"/>
    <x v="0"/>
    <x v="1"/>
    <n v="1"/>
    <x v="0"/>
  </r>
  <r>
    <s v="M"/>
    <x v="2"/>
    <n v="56.551000000000002"/>
    <n v="1.9159999999999999"/>
    <n v="23.640999999999998"/>
    <n v="15.404559342053078"/>
    <n v="1"/>
    <x v="0"/>
    <n v="88.822000000000003"/>
    <s v="106/79"/>
    <n v="106"/>
    <n v="79"/>
    <m/>
    <x v="2"/>
    <n v="73"/>
    <n v="169"/>
    <x v="1"/>
    <x v="0"/>
    <x v="0"/>
    <s v="N"/>
    <x v="1"/>
    <n v="191.62200000000001"/>
    <m/>
    <x v="4"/>
    <n v="106"/>
    <n v="79"/>
    <x v="2"/>
    <n v="179"/>
    <n v="2.4500000000000002"/>
    <x v="0"/>
    <n v="17.667999999999999"/>
    <x v="2"/>
    <x v="0"/>
    <x v="0"/>
    <n v="0"/>
    <x v="0"/>
  </r>
  <r>
    <s v="M"/>
    <x v="49"/>
    <n v="86.263999999999996"/>
    <n v="1.694"/>
    <n v="29.422999999999998"/>
    <n v="30.060955466128807"/>
    <n v="1"/>
    <x v="2"/>
    <n v="119.233"/>
    <s v="170/62"/>
    <n v="170"/>
    <n v="62"/>
    <n v="204"/>
    <x v="0"/>
    <n v="65"/>
    <n v="82"/>
    <x v="0"/>
    <x v="1"/>
    <x v="1"/>
    <s v="Y"/>
    <x v="2"/>
    <m/>
    <n v="0.70399999999999996"/>
    <x v="3"/>
    <n v="170"/>
    <m/>
    <x v="3"/>
    <n v="109"/>
    <n v="1.68"/>
    <x v="0"/>
    <n v="18.465"/>
    <x v="0"/>
    <x v="0"/>
    <x v="0"/>
    <n v="0"/>
    <x v="0"/>
  </r>
  <r>
    <s v="M"/>
    <x v="27"/>
    <n v="72.364000000000004"/>
    <n v="1.9279999999999999"/>
    <n v="35.698999999999998"/>
    <n v="19.467424803291959"/>
    <n v="1"/>
    <x v="1"/>
    <n v="108.85299999999999"/>
    <s v="115/115"/>
    <n v="115"/>
    <n v="115"/>
    <n v="199"/>
    <x v="0"/>
    <n v="38"/>
    <n v="168"/>
    <x v="1"/>
    <x v="0"/>
    <x v="2"/>
    <s v="Y"/>
    <x v="1"/>
    <n v="192.79900000000001"/>
    <n v="0.56499999999999995"/>
    <x v="1"/>
    <n v="115"/>
    <n v="115"/>
    <x v="3"/>
    <n v="131"/>
    <n v="3.45"/>
    <x v="0"/>
    <n v="18.87"/>
    <x v="2"/>
    <x v="0"/>
    <x v="0"/>
    <n v="0"/>
    <x v="0"/>
  </r>
  <r>
    <s v="M"/>
    <x v="27"/>
    <n v="62.459000000000003"/>
    <n v="1.579"/>
    <n v="20.474"/>
    <n v="25.051328772469251"/>
    <n v="1"/>
    <x v="0"/>
    <m/>
    <s v="177/81"/>
    <n v="177"/>
    <n v="81"/>
    <n v="181"/>
    <x v="0"/>
    <n v="36"/>
    <n v="74"/>
    <x v="1"/>
    <x v="1"/>
    <x v="1"/>
    <s v="Y"/>
    <x v="0"/>
    <m/>
    <n v="0.64800000000000002"/>
    <x v="3"/>
    <n v="177"/>
    <n v="81"/>
    <x v="1"/>
    <n v="115"/>
    <n v="3.19"/>
    <x v="0"/>
    <n v="16.565000000000001"/>
    <x v="1"/>
    <x v="0"/>
    <x v="1"/>
    <n v="1"/>
    <x v="0"/>
  </r>
  <r>
    <s v="F"/>
    <x v="10"/>
    <n v="89.650999999999996"/>
    <n v="1.603"/>
    <n v="27.783000000000001"/>
    <n v="34.888965597489737"/>
    <n v="1"/>
    <x v="2"/>
    <n v="70.403000000000006"/>
    <s v="129/108"/>
    <n v="129"/>
    <n v="108"/>
    <m/>
    <x v="2"/>
    <n v="52"/>
    <n v="151"/>
    <x v="1"/>
    <x v="1"/>
    <x v="2"/>
    <s v="Y"/>
    <x v="0"/>
    <n v="160.32599999999999"/>
    <n v="0.439"/>
    <x v="2"/>
    <n v="129"/>
    <n v="108"/>
    <x v="3"/>
    <n v="112"/>
    <n v="2.15"/>
    <x v="0"/>
    <m/>
    <x v="0"/>
    <x v="0"/>
    <x v="0"/>
    <n v="0"/>
    <x v="0"/>
  </r>
  <r>
    <s v="F"/>
    <x v="19"/>
    <n v="62.347000000000001"/>
    <n v="1.5349999999999999"/>
    <n v="32.843000000000004"/>
    <n v="26.460546000488073"/>
    <n v="1"/>
    <x v="1"/>
    <n v="89.638000000000005"/>
    <s v="125/86"/>
    <n v="125"/>
    <n v="86"/>
    <n v="177"/>
    <x v="1"/>
    <m/>
    <n v="87"/>
    <x v="1"/>
    <x v="0"/>
    <x v="0"/>
    <s v="Y"/>
    <x v="4"/>
    <n v="153.51300000000001"/>
    <n v="0.58399999999999996"/>
    <x v="1"/>
    <n v="125"/>
    <n v="86"/>
    <x v="1"/>
    <n v="90"/>
    <s v=""/>
    <x v="0"/>
    <n v="18.359000000000002"/>
    <x v="1"/>
    <x v="0"/>
    <x v="1"/>
    <n v="1"/>
    <x v="0"/>
  </r>
  <r>
    <s v="F"/>
    <x v="50"/>
    <n v="64.405000000000001"/>
    <n v="1.601"/>
    <n v="35.043999999999997"/>
    <n v="25.126784828813662"/>
    <n v="1"/>
    <x v="1"/>
    <n v="109.708"/>
    <s v="122/85"/>
    <n v="122"/>
    <n v="85"/>
    <n v="171"/>
    <x v="1"/>
    <n v="79"/>
    <n v="136"/>
    <x v="0"/>
    <x v="0"/>
    <x v="2"/>
    <s v="N"/>
    <x v="2"/>
    <n v="160.13"/>
    <n v="0.68500000000000005"/>
    <x v="3"/>
    <n v="122"/>
    <n v="85"/>
    <x v="1"/>
    <n v="62"/>
    <n v="0.78"/>
    <x v="0"/>
    <n v="18.529"/>
    <x v="2"/>
    <x v="0"/>
    <x v="0"/>
    <n v="0"/>
    <x v="1"/>
  </r>
  <r>
    <s v="F"/>
    <x v="0"/>
    <m/>
    <n v="1.8979999999999999"/>
    <n v="36.837000000000003"/>
    <n v="0"/>
    <n v="1"/>
    <x v="1"/>
    <n v="72.41"/>
    <s v="125/111"/>
    <n v="125"/>
    <n v="111"/>
    <n v="233"/>
    <x v="0"/>
    <n v="52"/>
    <n v="84"/>
    <x v="0"/>
    <x v="1"/>
    <x v="1"/>
    <s v="Y"/>
    <x v="2"/>
    <n v="189.815"/>
    <n v="0.38100000000000001"/>
    <x v="2"/>
    <n v="125"/>
    <m/>
    <x v="3"/>
    <n v="151"/>
    <n v="2.9"/>
    <x v="0"/>
    <n v="18.277000000000001"/>
    <x v="0"/>
    <x v="0"/>
    <x v="0"/>
    <n v="0"/>
    <x v="0"/>
  </r>
  <r>
    <s v="M"/>
    <x v="11"/>
    <n v="114.426"/>
    <n v="1.823"/>
    <n v="38.582000000000001"/>
    <n v="34.431138175004648"/>
    <n v="1"/>
    <x v="1"/>
    <n v="105.06699999999999"/>
    <s v="171/86"/>
    <n v="171"/>
    <n v="86"/>
    <n v="140"/>
    <x v="2"/>
    <n v="54"/>
    <n v="116"/>
    <x v="1"/>
    <x v="0"/>
    <x v="1"/>
    <s v="N"/>
    <x v="0"/>
    <n v="182.28700000000001"/>
    <n v="0.57599999999999996"/>
    <x v="1"/>
    <n v="171"/>
    <n v="86"/>
    <x v="1"/>
    <n v="56"/>
    <n v="1.04"/>
    <x v="0"/>
    <n v="21.065999999999999"/>
    <x v="1"/>
    <x v="0"/>
    <x v="1"/>
    <n v="1"/>
    <x v="0"/>
  </r>
  <r>
    <s v="M"/>
    <x v="34"/>
    <n v="87.046000000000006"/>
    <n v="1.5249999999999999"/>
    <n v="23.282"/>
    <n v="37.429078204783671"/>
    <n v="1"/>
    <x v="0"/>
    <n v="112.155"/>
    <s v="128/84"/>
    <n v="128"/>
    <n v="84"/>
    <n v="209"/>
    <x v="0"/>
    <n v="41"/>
    <n v="137"/>
    <x v="0"/>
    <x v="1"/>
    <x v="1"/>
    <s v="N"/>
    <x v="3"/>
    <n v="152.53800000000001"/>
    <n v="0.73499999999999999"/>
    <x v="3"/>
    <n v="128"/>
    <n v="84"/>
    <x v="1"/>
    <n v="138"/>
    <n v="3.37"/>
    <x v="0"/>
    <n v="15.236000000000001"/>
    <x v="1"/>
    <x v="0"/>
    <x v="1"/>
    <n v="1"/>
    <x v="0"/>
  </r>
  <r>
    <s v="F"/>
    <x v="18"/>
    <n v="89.635999999999996"/>
    <n v="1.752"/>
    <n v="23.7"/>
    <n v="29.202112132774548"/>
    <n v="1"/>
    <x v="0"/>
    <n v="78.406000000000006"/>
    <s v="148/63"/>
    <n v="148"/>
    <n v="63"/>
    <n v="292"/>
    <x v="0"/>
    <m/>
    <n v="154"/>
    <x v="0"/>
    <x v="1"/>
    <x v="0"/>
    <s v="N"/>
    <x v="2"/>
    <n v="175.22300000000001"/>
    <n v="0.44700000000000001"/>
    <x v="2"/>
    <n v="148"/>
    <n v="63"/>
    <x v="3"/>
    <n v="223"/>
    <s v=""/>
    <x v="0"/>
    <n v="17.98"/>
    <x v="1"/>
    <x v="0"/>
    <x v="1"/>
    <n v="1"/>
    <x v="0"/>
  </r>
  <r>
    <s v="M"/>
    <x v="38"/>
    <n v="71.016000000000005"/>
    <n v="1.7689999999999999"/>
    <n v="29.196999999999999"/>
    <n v="22.693450835490061"/>
    <n v="1"/>
    <x v="2"/>
    <n v="85.153999999999996"/>
    <s v="127/84"/>
    <n v="127"/>
    <n v="84"/>
    <n v="173"/>
    <x v="1"/>
    <n v="81"/>
    <n v="139"/>
    <x v="0"/>
    <x v="1"/>
    <x v="0"/>
    <s v="N"/>
    <x v="2"/>
    <n v="176.90100000000001"/>
    <n v="0.48099999999999998"/>
    <x v="0"/>
    <n v="127"/>
    <n v="84"/>
    <x v="1"/>
    <n v="62"/>
    <n v="0.77"/>
    <x v="0"/>
    <m/>
    <x v="2"/>
    <x v="0"/>
    <x v="0"/>
    <n v="0"/>
    <x v="0"/>
  </r>
  <r>
    <s v="F"/>
    <x v="33"/>
    <n v="114.762"/>
    <n v="1.9079999999999999"/>
    <n v="29.827000000000002"/>
    <n v="31.524003533615499"/>
    <n v="1"/>
    <x v="2"/>
    <n v="75.754000000000005"/>
    <s v="105/102"/>
    <n v="105"/>
    <n v="102"/>
    <n v="270"/>
    <x v="0"/>
    <n v="53"/>
    <n v="189"/>
    <x v="1"/>
    <x v="1"/>
    <x v="0"/>
    <s v="N"/>
    <x v="0"/>
    <n v="190.84100000000001"/>
    <n v="0.39700000000000002"/>
    <x v="2"/>
    <n v="105"/>
    <n v="102"/>
    <x v="3"/>
    <n v="187"/>
    <n v="3.53"/>
    <x v="0"/>
    <n v="16.614999999999998"/>
    <x v="0"/>
    <x v="0"/>
    <x v="0"/>
    <n v="0"/>
    <x v="0"/>
  </r>
  <r>
    <s v="M"/>
    <x v="17"/>
    <n v="85.018000000000001"/>
    <n v="1.913"/>
    <m/>
    <n v="23.231697503175919"/>
    <n v="1"/>
    <x v="3"/>
    <n v="115.545"/>
    <s v="171/75"/>
    <n v="171"/>
    <n v="75"/>
    <n v="243"/>
    <x v="0"/>
    <n v="82"/>
    <n v="157"/>
    <x v="1"/>
    <x v="1"/>
    <x v="2"/>
    <s v="Y"/>
    <x v="0"/>
    <n v="191.29900000000001"/>
    <n v="0.60399999999999998"/>
    <x v="3"/>
    <n v="171"/>
    <n v="75"/>
    <x v="3"/>
    <m/>
    <n v="0"/>
    <x v="0"/>
    <n v="17.579000000000001"/>
    <x v="0"/>
    <x v="0"/>
    <x v="0"/>
    <n v="0"/>
    <x v="0"/>
  </r>
  <r>
    <s v="F"/>
    <x v="5"/>
    <n v="117.861"/>
    <n v="1.708"/>
    <n v="29.817"/>
    <n v="40.401211546161065"/>
    <n v="1"/>
    <x v="2"/>
    <n v="79.664000000000001"/>
    <s v="105/118"/>
    <n v="105"/>
    <n v="118"/>
    <n v="154"/>
    <x v="1"/>
    <n v="66"/>
    <n v="96"/>
    <x v="0"/>
    <x v="1"/>
    <x v="2"/>
    <s v="Y"/>
    <x v="2"/>
    <n v="170.84700000000001"/>
    <n v="0.46600000000000003"/>
    <x v="0"/>
    <n v="105"/>
    <n v="118"/>
    <x v="3"/>
    <n v="58"/>
    <n v="0.88"/>
    <x v="0"/>
    <n v="14.292999999999999"/>
    <x v="0"/>
    <x v="0"/>
    <x v="0"/>
    <n v="0"/>
    <x v="0"/>
  </r>
  <r>
    <s v="F"/>
    <x v="39"/>
    <n v="107.306"/>
    <n v="1.516"/>
    <n v="33.795999999999999"/>
    <n v="46.690185949694033"/>
    <n v="1"/>
    <x v="1"/>
    <n v="97.468999999999994"/>
    <s v="144/86"/>
    <n v="144"/>
    <n v="86"/>
    <n v="234"/>
    <x v="0"/>
    <n v="55"/>
    <n v="160"/>
    <x v="1"/>
    <x v="0"/>
    <x v="2"/>
    <s v="Y"/>
    <x v="1"/>
    <n v="151.61600000000001"/>
    <n v="0.64300000000000002"/>
    <x v="3"/>
    <n v="144"/>
    <n v="86"/>
    <x v="1"/>
    <n v="149"/>
    <n v="2.71"/>
    <x v="0"/>
    <m/>
    <x v="2"/>
    <x v="0"/>
    <x v="0"/>
    <n v="0"/>
    <x v="0"/>
  </r>
  <r>
    <s v="F"/>
    <x v="26"/>
    <n v="91.667000000000002"/>
    <n v="1.5109999999999999"/>
    <n v="21.881"/>
    <n v="40.149865031244524"/>
    <n v="1"/>
    <x v="0"/>
    <n v="80.91"/>
    <s v="144/64"/>
    <n v="144"/>
    <n v="64"/>
    <n v="231"/>
    <x v="0"/>
    <n v="76"/>
    <n v="183"/>
    <x v="0"/>
    <x v="1"/>
    <x v="0"/>
    <s v="N"/>
    <x v="2"/>
    <n v="151.09700000000001"/>
    <n v="0.53500000000000003"/>
    <x v="1"/>
    <n v="144"/>
    <n v="64"/>
    <x v="3"/>
    <n v="125"/>
    <n v="1.64"/>
    <x v="0"/>
    <n v="16.196000000000002"/>
    <x v="1"/>
    <x v="1"/>
    <x v="1"/>
    <n v="1"/>
    <x v="0"/>
  </r>
  <r>
    <s v="M"/>
    <x v="43"/>
    <n v="65.382999999999996"/>
    <n v="1.504"/>
    <n v="28.513000000000002"/>
    <n v="28.904746916025349"/>
    <n v="1"/>
    <x v="2"/>
    <n v="73.721999999999994"/>
    <s v="98/85"/>
    <n v="98"/>
    <n v="85"/>
    <n v="123"/>
    <x v="2"/>
    <n v="48"/>
    <n v="137"/>
    <x v="1"/>
    <x v="0"/>
    <x v="1"/>
    <s v="Y"/>
    <x v="1"/>
    <n v="150.39099999999999"/>
    <n v="0.49"/>
    <x v="0"/>
    <n v="98"/>
    <n v="85"/>
    <x v="1"/>
    <n v="45"/>
    <n v="0.94"/>
    <x v="0"/>
    <n v="15.063000000000001"/>
    <x v="1"/>
    <x v="0"/>
    <x v="1"/>
    <n v="1"/>
    <x v="0"/>
  </r>
  <r>
    <s v="M"/>
    <x v="46"/>
    <n v="113.78700000000001"/>
    <n v="1.9730000000000001"/>
    <n v="38.463999999999999"/>
    <n v="29.230650271313515"/>
    <n v="1"/>
    <x v="1"/>
    <n v="71.033000000000001"/>
    <s v="166/96"/>
    <n v="166"/>
    <n v="96"/>
    <n v="236"/>
    <x v="0"/>
    <n v="77"/>
    <n v="71"/>
    <x v="1"/>
    <x v="1"/>
    <x v="2"/>
    <s v="N"/>
    <x v="2"/>
    <n v="197.28899999999999"/>
    <n v="0.36"/>
    <x v="2"/>
    <n v="166"/>
    <n v="96"/>
    <x v="3"/>
    <n v="129"/>
    <n v="1.68"/>
    <x v="0"/>
    <n v="20.713000000000001"/>
    <x v="2"/>
    <x v="0"/>
    <x v="0"/>
    <n v="0"/>
    <x v="0"/>
  </r>
  <r>
    <s v="F"/>
    <x v="28"/>
    <n v="80.429000000000002"/>
    <n v="1.7430000000000001"/>
    <n v="28.158999999999999"/>
    <n v="26.473898215598233"/>
    <n v="1"/>
    <x v="2"/>
    <n v="82.548000000000002"/>
    <s v="146/75"/>
    <n v="146"/>
    <n v="75"/>
    <n v="191"/>
    <x v="0"/>
    <n v="44"/>
    <n v="165"/>
    <x v="0"/>
    <x v="0"/>
    <x v="0"/>
    <s v="Y"/>
    <x v="1"/>
    <n v="174.26300000000001"/>
    <n v="0.47399999999999998"/>
    <x v="0"/>
    <n v="146"/>
    <m/>
    <x v="3"/>
    <n v="117"/>
    <n v="2.66"/>
    <x v="0"/>
    <n v="18.751999999999999"/>
    <x v="1"/>
    <x v="0"/>
    <x v="1"/>
    <n v="1"/>
    <x v="1"/>
  </r>
  <r>
    <s v="M"/>
    <x v="52"/>
    <n v="110.797"/>
    <n v="1.768"/>
    <n v="32.759"/>
    <n v="35.445693679490589"/>
    <n v="1"/>
    <x v="1"/>
    <n v="84.932000000000002"/>
    <s v="149/80"/>
    <n v="149"/>
    <n v="80"/>
    <n v="192"/>
    <x v="0"/>
    <n v="69"/>
    <n v="146"/>
    <x v="1"/>
    <x v="0"/>
    <x v="0"/>
    <s v="Y"/>
    <x v="4"/>
    <n v="176.768"/>
    <n v="0.48"/>
    <x v="0"/>
    <n v="149"/>
    <n v="80"/>
    <x v="1"/>
    <n v="93"/>
    <n v="1.35"/>
    <x v="0"/>
    <n v="19.841999999999999"/>
    <x v="0"/>
    <x v="0"/>
    <x v="0"/>
    <n v="0"/>
    <x v="1"/>
  </r>
  <r>
    <s v="F"/>
    <x v="36"/>
    <n v="85.447999999999993"/>
    <n v="1.548"/>
    <n v="29.422999999999998"/>
    <n v="35.658247033765328"/>
    <n v="1"/>
    <x v="2"/>
    <n v="105.4"/>
    <s v="165/86"/>
    <n v="165"/>
    <n v="86"/>
    <n v="289"/>
    <x v="0"/>
    <n v="76"/>
    <n v="158"/>
    <x v="1"/>
    <x v="1"/>
    <x v="2"/>
    <s v="Y"/>
    <x v="0"/>
    <n v="154.81200000000001"/>
    <n v="0.68100000000000005"/>
    <x v="3"/>
    <n v="165"/>
    <n v="86"/>
    <x v="1"/>
    <n v="183"/>
    <n v="2.41"/>
    <x v="0"/>
    <n v="19.914999999999999"/>
    <x v="0"/>
    <x v="0"/>
    <x v="0"/>
    <n v="0"/>
    <x v="0"/>
  </r>
  <r>
    <s v="F"/>
    <x v="33"/>
    <n v="67.028999999999996"/>
    <n v="1.6240000000000001"/>
    <n v="21.408000000000001"/>
    <n v="25.415033730495761"/>
    <n v="1"/>
    <x v="0"/>
    <n v="114.26900000000001"/>
    <s v="124/86"/>
    <n v="124"/>
    <n v="86"/>
    <n v="290"/>
    <x v="0"/>
    <n v="49"/>
    <n v="187"/>
    <x v="0"/>
    <x v="0"/>
    <x v="0"/>
    <s v="N"/>
    <x v="0"/>
    <n v="162.35900000000001"/>
    <n v="0.70399999999999996"/>
    <x v="3"/>
    <n v="124"/>
    <n v="86"/>
    <x v="1"/>
    <n v="211"/>
    <n v="4.3099999999999996"/>
    <x v="0"/>
    <m/>
    <x v="2"/>
    <x v="0"/>
    <x v="0"/>
    <n v="0"/>
    <x v="1"/>
  </r>
  <r>
    <s v="F"/>
    <x v="18"/>
    <n v="61.326000000000001"/>
    <n v="1.651"/>
    <n v="33.648000000000003"/>
    <n v="22.498340854669873"/>
    <n v="1"/>
    <x v="1"/>
    <n v="90.445999999999998"/>
    <s v="142/114"/>
    <n v="142"/>
    <n v="114"/>
    <n v="116"/>
    <x v="2"/>
    <n v="89"/>
    <n v="139"/>
    <x v="1"/>
    <x v="0"/>
    <x v="2"/>
    <s v="Y"/>
    <x v="1"/>
    <n v="165.10499999999999"/>
    <n v="0.54800000000000004"/>
    <x v="1"/>
    <n v="142"/>
    <n v="114"/>
    <x v="3"/>
    <n v="-3"/>
    <n v="-0.03"/>
    <x v="0"/>
    <n v="18.149999999999999"/>
    <x v="0"/>
    <x v="0"/>
    <x v="0"/>
    <n v="0"/>
    <x v="0"/>
  </r>
  <r>
    <s v="F"/>
    <x v="3"/>
    <n v="52.875999999999998"/>
    <n v="1.728"/>
    <n v="27.186"/>
    <n v="17.708065414951989"/>
    <n v="1"/>
    <x v="2"/>
    <n v="77.87"/>
    <s v="95/65"/>
    <n v="95"/>
    <n v="65"/>
    <n v="242"/>
    <x v="0"/>
    <n v="77"/>
    <n v="164"/>
    <x v="1"/>
    <x v="1"/>
    <x v="2"/>
    <s v="Y"/>
    <x v="0"/>
    <n v="172.846"/>
    <n v="0.45100000000000001"/>
    <x v="2"/>
    <n v="95"/>
    <n v="65"/>
    <x v="2"/>
    <n v="135"/>
    <n v="1.75"/>
    <x v="0"/>
    <m/>
    <x v="2"/>
    <x v="0"/>
    <x v="0"/>
    <n v="0"/>
    <x v="0"/>
  </r>
  <r>
    <s v="F"/>
    <x v="24"/>
    <n v="68.89"/>
    <n v="1.6870000000000001"/>
    <n v="37.372"/>
    <n v="24.206166686987803"/>
    <n v="1"/>
    <x v="1"/>
    <n v="98.302000000000007"/>
    <s v="164/101"/>
    <n v="164"/>
    <n v="101"/>
    <n v="276"/>
    <x v="0"/>
    <n v="63"/>
    <n v="115"/>
    <x v="1"/>
    <x v="0"/>
    <x v="2"/>
    <s v="N"/>
    <x v="0"/>
    <n v="168.66300000000001"/>
    <n v="0.58299999999999996"/>
    <x v="1"/>
    <n v="164"/>
    <n v="101"/>
    <x v="3"/>
    <n v="183"/>
    <n v="2.9"/>
    <x v="0"/>
    <n v="23.193999999999999"/>
    <x v="0"/>
    <x v="0"/>
    <x v="0"/>
    <n v="0"/>
    <x v="0"/>
  </r>
  <r>
    <s v="F"/>
    <x v="8"/>
    <n v="117.474"/>
    <n v="1.587"/>
    <n v="25.332999999999998"/>
    <n v="46.643153314441655"/>
    <n v="1"/>
    <x v="2"/>
    <n v="99.730999999999995"/>
    <s v="129/101"/>
    <n v="129"/>
    <n v="101"/>
    <n v="176"/>
    <x v="1"/>
    <n v="51"/>
    <n v="139"/>
    <x v="0"/>
    <x v="1"/>
    <x v="2"/>
    <s v="N"/>
    <x v="3"/>
    <n v="158.74199999999999"/>
    <n v="0.628"/>
    <x v="3"/>
    <m/>
    <n v="101"/>
    <x v="3"/>
    <n v="95"/>
    <n v="1.86"/>
    <x v="0"/>
    <n v="15.037000000000001"/>
    <x v="0"/>
    <x v="0"/>
    <x v="0"/>
    <n v="0"/>
    <x v="0"/>
  </r>
  <r>
    <s v="M"/>
    <x v="22"/>
    <n v="90.748000000000005"/>
    <n v="1.7050000000000001"/>
    <n v="30.866"/>
    <n v="31.216793801222895"/>
    <n v="1"/>
    <x v="1"/>
    <n v="108.768"/>
    <s v="105/113"/>
    <n v="105"/>
    <n v="113"/>
    <n v="198"/>
    <x v="0"/>
    <n v="51"/>
    <n v="157"/>
    <x v="0"/>
    <x v="1"/>
    <x v="2"/>
    <s v="N"/>
    <x v="3"/>
    <n v="170.518"/>
    <n v="0.63800000000000001"/>
    <x v="3"/>
    <n v="105"/>
    <n v="113"/>
    <x v="3"/>
    <n v="117"/>
    <n v="2.29"/>
    <x v="0"/>
    <n v="15.382999999999999"/>
    <x v="0"/>
    <x v="0"/>
    <x v="0"/>
    <n v="0"/>
    <x v="0"/>
  </r>
  <r>
    <s v="M"/>
    <x v="17"/>
    <n v="89.86"/>
    <n v="1.65"/>
    <m/>
    <n v="33.006427915518827"/>
    <n v="1"/>
    <x v="3"/>
    <n v="98.950999999999993"/>
    <s v="142/118"/>
    <n v="142"/>
    <n v="118"/>
    <m/>
    <x v="2"/>
    <n v="33"/>
    <n v="186"/>
    <x v="0"/>
    <x v="0"/>
    <x v="0"/>
    <s v="N"/>
    <x v="0"/>
    <n v="165.01400000000001"/>
    <n v="0.6"/>
    <x v="3"/>
    <n v="142"/>
    <n v="118"/>
    <x v="3"/>
    <n v="209"/>
    <n v="6.33"/>
    <x v="0"/>
    <n v="18.942"/>
    <x v="1"/>
    <x v="0"/>
    <x v="1"/>
    <n v="1"/>
    <x v="0"/>
  </r>
  <r>
    <s v="M"/>
    <x v="0"/>
    <n v="59.01"/>
    <n v="1.51"/>
    <n v="32.725000000000001"/>
    <n v="25.880443840182448"/>
    <n v="1"/>
    <x v="1"/>
    <n v="111.55500000000001"/>
    <s v="169/65"/>
    <n v="169"/>
    <n v="65"/>
    <n v="298"/>
    <x v="0"/>
    <n v="49"/>
    <n v="96"/>
    <x v="0"/>
    <x v="0"/>
    <x v="1"/>
    <s v="N"/>
    <x v="2"/>
    <n v="151.01"/>
    <n v="0.73899999999999999"/>
    <x v="3"/>
    <n v="169"/>
    <n v="65"/>
    <x v="3"/>
    <n v="219"/>
    <n v="4.47"/>
    <x v="0"/>
    <n v="22.954999999999998"/>
    <x v="0"/>
    <x v="0"/>
    <x v="0"/>
    <n v="0"/>
    <x v="0"/>
  </r>
  <r>
    <s v="F"/>
    <x v="8"/>
    <n v="99.706999999999994"/>
    <n v="1.968"/>
    <n v="30.760999999999999"/>
    <n v="25.743966471676909"/>
    <n v="1"/>
    <x v="1"/>
    <m/>
    <s v="154/87"/>
    <n v="154"/>
    <n v="87"/>
    <n v="224"/>
    <x v="0"/>
    <n v="46"/>
    <n v="177"/>
    <x v="0"/>
    <x v="1"/>
    <x v="2"/>
    <s v="N"/>
    <x v="3"/>
    <n v="196.75700000000001"/>
    <n v="0.44600000000000001"/>
    <x v="2"/>
    <n v="154"/>
    <n v="87"/>
    <x v="1"/>
    <n v="148"/>
    <n v="3.22"/>
    <x v="0"/>
    <n v="18.332000000000001"/>
    <x v="0"/>
    <x v="0"/>
    <x v="0"/>
    <n v="0"/>
    <x v="0"/>
  </r>
  <r>
    <s v="F"/>
    <x v="30"/>
    <n v="100.23399999999999"/>
    <n v="1.52"/>
    <n v="30.731999999999999"/>
    <n v="43.383829639889193"/>
    <n v="1"/>
    <x v="1"/>
    <n v="115.40900000000001"/>
    <s v="97/96"/>
    <n v="97"/>
    <n v="96"/>
    <n v="127"/>
    <x v="2"/>
    <n v="61"/>
    <n v="164"/>
    <x v="0"/>
    <x v="1"/>
    <x v="2"/>
    <s v="Y"/>
    <x v="2"/>
    <n v="151.965"/>
    <n v="0.75900000000000001"/>
    <x v="3"/>
    <n v="97"/>
    <n v="96"/>
    <x v="3"/>
    <n v="36"/>
    <n v="0.59"/>
    <x v="0"/>
    <n v="13.536"/>
    <x v="1"/>
    <x v="1"/>
    <x v="1"/>
    <n v="1"/>
    <x v="0"/>
  </r>
  <r>
    <s v="M"/>
    <x v="18"/>
    <n v="88.03"/>
    <n v="1.9870000000000001"/>
    <n v="22.225000000000001"/>
    <n v="22.296411323831375"/>
    <n v="0"/>
    <x v="0"/>
    <n v="107.69"/>
    <s v="174/82"/>
    <n v="174"/>
    <n v="82"/>
    <n v="204"/>
    <x v="0"/>
    <n v="50"/>
    <n v="119"/>
    <x v="1"/>
    <x v="0"/>
    <x v="2"/>
    <s v="Y"/>
    <x v="1"/>
    <n v="198.666"/>
    <m/>
    <x v="4"/>
    <n v="174"/>
    <m/>
    <x v="1"/>
    <n v="124"/>
    <n v="2.48"/>
    <x v="0"/>
    <n v="19.225000000000001"/>
    <x v="1"/>
    <x v="0"/>
    <x v="1"/>
    <n v="1"/>
    <x v="0"/>
  </r>
  <r>
    <s v="F"/>
    <x v="27"/>
    <n v="95.67"/>
    <n v="1.631"/>
    <n v="37.857999999999997"/>
    <n v="35.963988645800008"/>
    <n v="1"/>
    <x v="1"/>
    <n v="70.183999999999997"/>
    <s v="116/72"/>
    <n v="116"/>
    <n v="72"/>
    <n v="166"/>
    <x v="1"/>
    <n v="44"/>
    <n v="77"/>
    <x v="0"/>
    <x v="1"/>
    <x v="1"/>
    <s v="N"/>
    <x v="3"/>
    <n v="163.102"/>
    <n v="0.43"/>
    <x v="2"/>
    <n v="116"/>
    <n v="72"/>
    <x v="2"/>
    <n v="92"/>
    <n v="2.09"/>
    <x v="0"/>
    <n v="16.692"/>
    <x v="2"/>
    <x v="0"/>
    <x v="0"/>
    <n v="0"/>
    <x v="0"/>
  </r>
  <r>
    <s v="F"/>
    <x v="44"/>
    <n v="104.387"/>
    <m/>
    <n v="23.105"/>
    <s v=""/>
    <s v=""/>
    <x v="0"/>
    <n v="114.05"/>
    <s v="91/69"/>
    <n v="91"/>
    <n v="69"/>
    <n v="167"/>
    <x v="1"/>
    <n v="47"/>
    <n v="188"/>
    <x v="0"/>
    <x v="1"/>
    <x v="0"/>
    <s v="Y"/>
    <x v="0"/>
    <n v="172.429"/>
    <n v="0.66100000000000003"/>
    <x v="3"/>
    <n v="91"/>
    <n v="69"/>
    <x v="2"/>
    <n v="90"/>
    <n v="1.91"/>
    <x v="0"/>
    <n v="12.510999999999999"/>
    <x v="1"/>
    <x v="0"/>
    <x v="1"/>
    <n v="1"/>
    <x v="0"/>
  </r>
  <r>
    <s v="M"/>
    <x v="31"/>
    <n v="105.97499999999999"/>
    <m/>
    <n v="22.39"/>
    <s v=""/>
    <s v=""/>
    <x v="0"/>
    <n v="87.486999999999995"/>
    <s v="175/80"/>
    <n v="175"/>
    <n v="80"/>
    <n v="254"/>
    <x v="0"/>
    <n v="75"/>
    <n v="78"/>
    <x v="0"/>
    <x v="1"/>
    <x v="2"/>
    <s v="N"/>
    <x v="3"/>
    <n v="197.45500000000001"/>
    <n v="0.443"/>
    <x v="2"/>
    <n v="175"/>
    <n v="80"/>
    <x v="1"/>
    <n v="149"/>
    <n v="1.99"/>
    <x v="0"/>
    <n v="18.308"/>
    <x v="1"/>
    <x v="1"/>
    <x v="1"/>
    <n v="1"/>
    <x v="0"/>
  </r>
  <r>
    <s v="F"/>
    <x v="16"/>
    <n v="101.53"/>
    <n v="1.7270000000000001"/>
    <n v="35.423000000000002"/>
    <n v="34.041580148927295"/>
    <n v="1"/>
    <x v="1"/>
    <n v="110.121"/>
    <s v="143/67"/>
    <n v="143"/>
    <n v="67"/>
    <n v="174"/>
    <x v="1"/>
    <n v="38"/>
    <n v="161"/>
    <x v="1"/>
    <x v="0"/>
    <x v="1"/>
    <s v="Y"/>
    <x v="1"/>
    <n v="172.65700000000001"/>
    <n v="0.63800000000000001"/>
    <x v="3"/>
    <n v="143"/>
    <n v="67"/>
    <x v="3"/>
    <n v="106"/>
    <n v="2.79"/>
    <x v="0"/>
    <n v="19.715"/>
    <x v="1"/>
    <x v="0"/>
    <x v="1"/>
    <n v="1"/>
    <x v="1"/>
  </r>
  <r>
    <s v="M"/>
    <x v="53"/>
    <n v="89.388000000000005"/>
    <n v="1.716"/>
    <n v="26.207999999999998"/>
    <n v="30.356007628734908"/>
    <n v="1"/>
    <x v="2"/>
    <n v="78.400000000000006"/>
    <s v="165/72"/>
    <n v="165"/>
    <n v="72"/>
    <n v="223"/>
    <x v="0"/>
    <n v="49"/>
    <n v="94"/>
    <x v="0"/>
    <x v="0"/>
    <x v="0"/>
    <s v="N"/>
    <x v="0"/>
    <n v="171.63499999999999"/>
    <n v="0.45700000000000002"/>
    <x v="2"/>
    <n v="165"/>
    <n v="72"/>
    <x v="3"/>
    <n v="144"/>
    <n v="2.94"/>
    <x v="0"/>
    <n v="19.952000000000002"/>
    <x v="2"/>
    <x v="0"/>
    <x v="0"/>
    <n v="0"/>
    <x v="0"/>
  </r>
  <r>
    <s v="F"/>
    <x v="8"/>
    <n v="116.29900000000001"/>
    <n v="1.665"/>
    <n v="23.504000000000001"/>
    <n v="41.95150105060015"/>
    <n v="1"/>
    <x v="0"/>
    <n v="107.21899999999999"/>
    <s v="97/74"/>
    <n v="97"/>
    <n v="74"/>
    <n v="216"/>
    <x v="0"/>
    <n v="82"/>
    <n v="168"/>
    <x v="1"/>
    <x v="0"/>
    <x v="2"/>
    <s v="N"/>
    <x v="0"/>
    <n v="166.47399999999999"/>
    <n v="0.64400000000000002"/>
    <x v="3"/>
    <n v="97"/>
    <n v="74"/>
    <x v="2"/>
    <n v="104"/>
    <n v="1.27"/>
    <x v="0"/>
    <n v="15.871"/>
    <x v="2"/>
    <x v="0"/>
    <x v="0"/>
    <n v="0"/>
    <x v="0"/>
  </r>
  <r>
    <s v="F"/>
    <x v="9"/>
    <n v="117.36499999999999"/>
    <n v="1.748"/>
    <n v="38.31"/>
    <n v="38.411011734888909"/>
    <n v="1"/>
    <x v="1"/>
    <n v="118.246"/>
    <s v="105/87"/>
    <n v="105"/>
    <n v="87"/>
    <n v="200"/>
    <x v="0"/>
    <n v="35"/>
    <n v="87"/>
    <x v="1"/>
    <x v="0"/>
    <x v="1"/>
    <s v="N"/>
    <x v="0"/>
    <n v="174.81399999999999"/>
    <n v="0.67600000000000005"/>
    <x v="3"/>
    <n v="105"/>
    <n v="87"/>
    <x v="1"/>
    <n v="135"/>
    <n v="3.86"/>
    <x v="0"/>
    <n v="18.911999999999999"/>
    <x v="0"/>
    <x v="0"/>
    <x v="0"/>
    <n v="0"/>
    <x v="0"/>
  </r>
  <r>
    <s v="M"/>
    <x v="52"/>
    <n v="91.625"/>
    <n v="1.702"/>
    <n v="35.277999999999999"/>
    <n v="31.629685681185197"/>
    <n v="1"/>
    <x v="1"/>
    <m/>
    <s v="162/60"/>
    <n v="162"/>
    <n v="60"/>
    <n v="189"/>
    <x v="0"/>
    <n v="76"/>
    <n v="153"/>
    <x v="0"/>
    <x v="0"/>
    <x v="2"/>
    <s v="N"/>
    <x v="2"/>
    <m/>
    <n v="0.60099999999999998"/>
    <x v="3"/>
    <n v="162"/>
    <n v="60"/>
    <x v="3"/>
    <n v="83"/>
    <n v="1.0900000000000001"/>
    <x v="0"/>
    <n v="20.936"/>
    <x v="0"/>
    <x v="0"/>
    <x v="0"/>
    <n v="0"/>
    <x v="1"/>
  </r>
  <r>
    <s v="F"/>
    <x v="11"/>
    <n v="72.069999999999993"/>
    <n v="1.889"/>
    <m/>
    <n v="20.197173965010432"/>
    <n v="1"/>
    <x v="3"/>
    <n v="95.325999999999993"/>
    <s v="119/66"/>
    <n v="119"/>
    <n v="66"/>
    <n v="157"/>
    <x v="1"/>
    <n v="60"/>
    <n v="93"/>
    <x v="0"/>
    <x v="1"/>
    <x v="2"/>
    <s v="Y"/>
    <x v="2"/>
    <n v="188.89400000000001"/>
    <n v="0.505"/>
    <x v="0"/>
    <n v="119"/>
    <n v="66"/>
    <x v="2"/>
    <n v="67"/>
    <n v="1.1200000000000001"/>
    <x v="0"/>
    <n v="14.3"/>
    <x v="2"/>
    <x v="0"/>
    <x v="0"/>
    <n v="0"/>
    <x v="0"/>
  </r>
  <r>
    <s v="F"/>
    <x v="54"/>
    <n v="85.876999999999995"/>
    <n v="1.825"/>
    <n v="24.425999999999998"/>
    <n v="25.784049540251452"/>
    <n v="1"/>
    <x v="0"/>
    <n v="112.34"/>
    <s v="102/115"/>
    <n v="102"/>
    <n v="115"/>
    <n v="241"/>
    <x v="0"/>
    <n v="84"/>
    <m/>
    <x v="1"/>
    <x v="1"/>
    <x v="0"/>
    <s v="N"/>
    <x v="0"/>
    <n v="182.48500000000001"/>
    <n v="0.61599999999999999"/>
    <x v="3"/>
    <n v="102"/>
    <n v="115"/>
    <x v="3"/>
    <n v="127"/>
    <n v="1.51"/>
    <x v="0"/>
    <n v="14.805"/>
    <x v="0"/>
    <x v="0"/>
    <x v="0"/>
    <n v="0"/>
    <x v="0"/>
  </r>
  <r>
    <s v="M"/>
    <x v="12"/>
    <n v="98.626000000000005"/>
    <n v="1.5209999999999999"/>
    <n v="20.055"/>
    <n v="42.631733422205286"/>
    <n v="1"/>
    <x v="0"/>
    <n v="77.192999999999998"/>
    <s v="150/90"/>
    <n v="150"/>
    <n v="90"/>
    <n v="237"/>
    <x v="0"/>
    <n v="82"/>
    <n v="147"/>
    <x v="0"/>
    <x v="0"/>
    <x v="1"/>
    <s v="N"/>
    <x v="2"/>
    <n v="152.119"/>
    <n v="0.50700000000000001"/>
    <x v="0"/>
    <n v="150"/>
    <n v="90"/>
    <x v="3"/>
    <n v="125"/>
    <n v="1.52"/>
    <x v="0"/>
    <n v="18.251000000000001"/>
    <x v="0"/>
    <x v="0"/>
    <x v="0"/>
    <n v="0"/>
    <x v="0"/>
  </r>
  <r>
    <s v="M"/>
    <x v="49"/>
    <n v="116.163"/>
    <n v="1.841"/>
    <n v="29.279"/>
    <n v="34.27364092856272"/>
    <n v="1"/>
    <x v="2"/>
    <n v="114.197"/>
    <s v="112/63"/>
    <n v="112"/>
    <n v="63"/>
    <n v="193"/>
    <x v="0"/>
    <n v="84"/>
    <n v="123"/>
    <x v="0"/>
    <x v="1"/>
    <x v="1"/>
    <s v="Y"/>
    <x v="2"/>
    <n v="184.059"/>
    <n v="0.62"/>
    <x v="3"/>
    <n v="112"/>
    <n v="63"/>
    <x v="2"/>
    <n v="79"/>
    <n v="0.94"/>
    <x v="0"/>
    <n v="15.316000000000001"/>
    <x v="0"/>
    <x v="0"/>
    <x v="0"/>
    <n v="0"/>
    <x v="0"/>
  </r>
  <r>
    <s v="F"/>
    <x v="54"/>
    <n v="111.627"/>
    <n v="1.867"/>
    <n v="22.016999999999999"/>
    <n v="32.024371652204202"/>
    <n v="1"/>
    <x v="0"/>
    <n v="97.691999999999993"/>
    <s v="134/67"/>
    <n v="134"/>
    <n v="67"/>
    <n v="218"/>
    <x v="0"/>
    <n v="68"/>
    <n v="166"/>
    <x v="0"/>
    <x v="1"/>
    <x v="1"/>
    <s v="N"/>
    <x v="3"/>
    <n v="186.73500000000001"/>
    <n v="0.52300000000000002"/>
    <x v="1"/>
    <n v="134"/>
    <n v="67"/>
    <x v="1"/>
    <n v="120"/>
    <n v="1.76"/>
    <x v="0"/>
    <n v="15.462999999999999"/>
    <x v="1"/>
    <x v="1"/>
    <x v="1"/>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93ABB3-570E-4CDE-BC54-10CBEB3C87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ge Band">
  <location ref="A9:I18" firstHeaderRow="1" firstDataRow="3" firstDataCol="1"/>
  <pivotFields count="22">
    <pivotField showAll="0"/>
    <pivotField axis="axisRow" showAll="0">
      <items count="9">
        <item h="1"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dataField="1" multipleItemSelectionAllowed="1" showAll="0">
      <items count="4">
        <item x="1"/>
        <item x="0"/>
        <item x="2"/>
        <item t="default"/>
      </items>
    </pivotField>
  </pivotFields>
  <rowFields count="1">
    <field x="1"/>
  </rowFields>
  <rowItems count="7">
    <i>
      <x v="1"/>
    </i>
    <i>
      <x v="2"/>
    </i>
    <i>
      <x v="3"/>
    </i>
    <i>
      <x v="4"/>
    </i>
    <i>
      <x v="5"/>
    </i>
    <i>
      <x v="6"/>
    </i>
    <i t="grand">
      <x/>
    </i>
  </rowItems>
  <colFields count="2">
    <field x="-2"/>
    <field x="21"/>
  </colFields>
  <colItems count="8">
    <i>
      <x/>
      <x/>
    </i>
    <i r="1">
      <x v="1"/>
    </i>
    <i r="1">
      <x v="2"/>
    </i>
    <i i="1">
      <x v="1"/>
      <x/>
    </i>
    <i r="1" i="1">
      <x v="1"/>
    </i>
    <i r="1" i="1">
      <x v="2"/>
    </i>
    <i t="grand">
      <x/>
    </i>
    <i t="grand" i="1">
      <x/>
    </i>
  </colItems>
  <dataFields count="2">
    <dataField name="Average of CVD Risk Score" fld="20" subtotal="average" baseField="1" baseItem="2" numFmtId="2"/>
    <dataField name="Count of CVD Risk Level" fld="21" subtotal="count" baseField="1" baseItem="2"/>
  </dataFields>
  <formats count="13">
    <format dxfId="535">
      <pivotArea type="all" dataOnly="0" outline="0" fieldPosition="0"/>
    </format>
    <format dxfId="534">
      <pivotArea outline="0" collapsedLevelsAreSubtotals="1" fieldPosition="0"/>
    </format>
    <format dxfId="533">
      <pivotArea field="1" type="button" dataOnly="0" labelOnly="1" outline="0" axis="axisRow" fieldPosition="0"/>
    </format>
    <format dxfId="532">
      <pivotArea dataOnly="0" labelOnly="1" fieldPosition="0">
        <references count="1">
          <reference field="1" count="6">
            <x v="1"/>
            <x v="2"/>
            <x v="3"/>
            <x v="4"/>
            <x v="5"/>
            <x v="6"/>
          </reference>
        </references>
      </pivotArea>
    </format>
    <format dxfId="531">
      <pivotArea dataOnly="0" labelOnly="1" grandRow="1" outline="0" fieldPosition="0"/>
    </format>
    <format dxfId="530">
      <pivotArea dataOnly="0" labelOnly="1" outline="0" fieldPosition="0">
        <references count="1">
          <reference field="4294967294" count="2">
            <x v="0"/>
            <x v="1"/>
          </reference>
        </references>
      </pivotArea>
    </format>
    <format dxfId="529">
      <pivotArea type="all" dataOnly="0" outline="0" fieldPosition="0"/>
    </format>
    <format dxfId="528">
      <pivotArea outline="0" collapsedLevelsAreSubtotals="1" fieldPosition="0"/>
    </format>
    <format dxfId="527">
      <pivotArea field="1" type="button" dataOnly="0" labelOnly="1" outline="0" axis="axisRow" fieldPosition="0"/>
    </format>
    <format dxfId="526">
      <pivotArea dataOnly="0" labelOnly="1" fieldPosition="0">
        <references count="1">
          <reference field="1" count="6">
            <x v="1"/>
            <x v="2"/>
            <x v="3"/>
            <x v="4"/>
            <x v="5"/>
            <x v="6"/>
          </reference>
        </references>
      </pivotArea>
    </format>
    <format dxfId="525">
      <pivotArea dataOnly="0" labelOnly="1" grandRow="1" outline="0" fieldPosition="0"/>
    </format>
    <format dxfId="524">
      <pivotArea dataOnly="0" labelOnly="1" outline="0" fieldPosition="0">
        <references count="1">
          <reference field="4294967294" count="2">
            <x v="0"/>
            <x v="1"/>
          </reference>
        </references>
      </pivotArea>
    </format>
    <format dxfId="52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015BA6-C02A-4B75-85B2-502BC47F1AC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12:G17" firstHeaderRow="1" firstDataRow="3" firstDataCol="1"/>
  <pivotFields count="23">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dataField="1" showAll="0">
      <items count="3">
        <item x="1"/>
        <item x="0"/>
        <item t="default"/>
      </items>
    </pivotField>
  </pivotFields>
  <rowFields count="1">
    <field x="0"/>
  </rowFields>
  <rowItems count="3">
    <i>
      <x/>
    </i>
    <i>
      <x v="1"/>
    </i>
    <i t="grand">
      <x/>
    </i>
  </rowItems>
  <colFields count="2">
    <field x="-2"/>
    <field x="22"/>
  </colFields>
  <colItems count="6">
    <i>
      <x/>
      <x/>
    </i>
    <i r="1">
      <x v="1"/>
    </i>
    <i i="1">
      <x v="1"/>
      <x/>
    </i>
    <i r="1" i="1">
      <x v="1"/>
    </i>
    <i t="grand">
      <x/>
    </i>
    <i t="grand" i="1">
      <x/>
    </i>
  </colItems>
  <dataFields count="2">
    <dataField name="Average of CVD Risk Score" fld="20" subtotal="average" baseField="0" baseItem="1" numFmtId="2"/>
    <dataField name="Count of High Risk Patients" fld="22" subtotal="count" baseField="0" baseItem="0"/>
  </dataFields>
  <formats count="16">
    <format dxfId="522">
      <pivotArea field="22" dataOnly="0" labelOnly="1" grandCol="1" outline="0" axis="axisCol" fieldPosition="1">
        <references count="1">
          <reference field="4294967294" count="1" selected="0">
            <x v="0"/>
          </reference>
        </references>
      </pivotArea>
    </format>
    <format dxfId="521">
      <pivotArea field="22" dataOnly="0" labelOnly="1" grandCol="1" outline="0" axis="axisCol" fieldPosition="1">
        <references count="1">
          <reference field="4294967294" count="1" selected="0">
            <x v="1"/>
          </reference>
        </references>
      </pivotArea>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 type="button" dataOnly="0" labelOnly="1" outline="0" axis="axisCol" fieldPosition="0"/>
    </format>
    <format dxfId="516">
      <pivotArea field="22" type="button" dataOnly="0" labelOnly="1" outline="0" axis="axisCol" fieldPosition="1"/>
    </format>
    <format dxfId="515">
      <pivotArea type="topRight" dataOnly="0" labelOnly="1" outline="0" fieldPosition="0"/>
    </format>
    <format dxfId="514">
      <pivotArea field="0" type="button" dataOnly="0" labelOnly="1" outline="0" axis="axisRow" fieldPosition="0"/>
    </format>
    <format dxfId="513">
      <pivotArea dataOnly="0" labelOnly="1" fieldPosition="0">
        <references count="1">
          <reference field="0" count="0"/>
        </references>
      </pivotArea>
    </format>
    <format dxfId="512">
      <pivotArea dataOnly="0" labelOnly="1" grandRow="1" outline="0" fieldPosition="0"/>
    </format>
    <format dxfId="511">
      <pivotArea dataOnly="0" labelOnly="1" outline="0" fieldPosition="0">
        <references count="1">
          <reference field="4294967294" count="2">
            <x v="0"/>
            <x v="1"/>
          </reference>
        </references>
      </pivotArea>
    </format>
    <format dxfId="510">
      <pivotArea field="22" dataOnly="0" labelOnly="1" grandCol="1" outline="0" axis="axisCol" fieldPosition="1">
        <references count="1">
          <reference field="4294967294" count="1" selected="0">
            <x v="0"/>
          </reference>
        </references>
      </pivotArea>
    </format>
    <format dxfId="509">
      <pivotArea field="22" dataOnly="0" labelOnly="1" grandCol="1" outline="0" axis="axisCol" fieldPosition="1">
        <references count="1">
          <reference field="4294967294" count="1" selected="0">
            <x v="1"/>
          </reference>
        </references>
      </pivotArea>
    </format>
    <format dxfId="508">
      <pivotArea dataOnly="0" labelOnly="1" fieldPosition="0">
        <references count="2">
          <reference field="4294967294" count="1" selected="0">
            <x v="0"/>
          </reference>
          <reference field="22" count="0"/>
        </references>
      </pivotArea>
    </format>
    <format dxfId="507">
      <pivotArea dataOnly="0" labelOnly="1" fieldPosition="0">
        <references count="2">
          <reference field="4294967294" count="1" selected="0">
            <x v="1"/>
          </reference>
          <reference field="2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6CE647-EDE2-45BA-B687-6C598C6FA3C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colHeaderCaption="Risk Level">
  <location ref="A11:E19" firstHeaderRow="1" firstDataRow="2" firstDataCol="1"/>
  <pivotFields count="23">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Col" multipleItemSelectionAllowed="1" showAll="0">
      <items count="4">
        <item x="1"/>
        <item x="0"/>
        <item x="2"/>
        <item t="default"/>
      </items>
    </pivotField>
    <pivotField showAll="0"/>
  </pivotFields>
  <rowFields count="2">
    <field x="0"/>
    <field x="10"/>
  </rowFields>
  <rowItems count="7">
    <i>
      <x/>
    </i>
    <i r="1">
      <x/>
    </i>
    <i r="1">
      <x v="1"/>
    </i>
    <i>
      <x v="1"/>
    </i>
    <i r="1">
      <x/>
    </i>
    <i r="1">
      <x v="1"/>
    </i>
    <i t="grand">
      <x/>
    </i>
  </rowItems>
  <colFields count="1">
    <field x="21"/>
  </colFields>
  <colItems count="4">
    <i>
      <x/>
    </i>
    <i>
      <x v="1"/>
    </i>
    <i>
      <x v="2"/>
    </i>
    <i t="grand">
      <x/>
    </i>
  </colItems>
  <dataFields count="1">
    <dataField name="Total Patients" fld="2" subtotal="count" showDataAs="percentOfRow" baseField="10" baseItem="0" numFmtId="10"/>
  </dataFields>
  <formats count="14">
    <format dxfId="506">
      <pivotArea type="all" dataOnly="0" outline="0" fieldPosition="0"/>
    </format>
    <format dxfId="505">
      <pivotArea outline="0" collapsedLevelsAreSubtotals="1" fieldPosition="0"/>
    </format>
    <format dxfId="504">
      <pivotArea type="origin" dataOnly="0" labelOnly="1" outline="0" fieldPosition="0"/>
    </format>
    <format dxfId="503">
      <pivotArea field="10" type="button" dataOnly="0" labelOnly="1" outline="0" axis="axisRow" fieldPosition="1"/>
    </format>
    <format dxfId="502">
      <pivotArea type="topRight" dataOnly="0" labelOnly="1" outline="0" fieldPosition="0"/>
    </format>
    <format dxfId="501">
      <pivotArea field="0" type="button" dataOnly="0" labelOnly="1" outline="0" axis="axisRow" fieldPosition="0"/>
    </format>
    <format dxfId="500">
      <pivotArea dataOnly="0" labelOnly="1" fieldPosition="0">
        <references count="1">
          <reference field="0" count="0"/>
        </references>
      </pivotArea>
    </format>
    <format dxfId="499">
      <pivotArea dataOnly="0" labelOnly="1" grandRow="1" outline="0" fieldPosition="0"/>
    </format>
    <format dxfId="498">
      <pivotArea dataOnly="0" labelOnly="1" fieldPosition="0">
        <references count="2">
          <reference field="0" count="1" selected="0">
            <x v="0"/>
          </reference>
          <reference field="21" count="0"/>
        </references>
      </pivotArea>
    </format>
    <format dxfId="497">
      <pivotArea dataOnly="0" labelOnly="1" fieldPosition="0">
        <references count="2">
          <reference field="0" count="1" selected="0">
            <x v="1"/>
          </reference>
          <reference field="21" count="0"/>
        </references>
      </pivotArea>
    </format>
    <format dxfId="496">
      <pivotArea dataOnly="0" labelOnly="1" fieldPosition="0">
        <references count="1">
          <reference field="10" count="0"/>
        </references>
      </pivotArea>
    </format>
    <format dxfId="495">
      <pivotArea dataOnly="0" labelOnly="1" grandCol="1" outline="0" fieldPosition="0"/>
    </format>
    <format dxfId="494">
      <pivotArea type="all" dataOnly="0" outline="0" fieldPosition="0"/>
    </format>
    <format dxfId="49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7A4A5D-716B-41E5-A753-75EE53F36B48}"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14" firstHeaderRow="0" firstDataRow="1" firstDataCol="1"/>
  <pivotFields count="3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s>
  <rowFields count="1">
    <field x="35"/>
  </rowFields>
  <rowItems count="3">
    <i>
      <x/>
    </i>
    <i>
      <x v="1"/>
    </i>
    <i t="grand">
      <x/>
    </i>
  </rowItems>
  <colFields count="1">
    <field x="-2"/>
  </colFields>
  <colItems count="2">
    <i>
      <x/>
    </i>
    <i i="1">
      <x v="1"/>
    </i>
  </colItems>
  <dataFields count="2">
    <dataField name="Sum of High Risk Patients (1 or 0)" fld="34" baseField="0" baseItem="0"/>
    <dataField name="Count of Sex" fld="0" subtotal="count" baseField="24" baseItem="0"/>
  </dataFields>
  <formats count="12">
    <format dxfId="492">
      <pivotArea type="all" dataOnly="0" outline="0" fieldPosition="0"/>
    </format>
    <format dxfId="491">
      <pivotArea outline="0" collapsedLevelsAreSubtotals="1" fieldPosition="0"/>
    </format>
    <format dxfId="490">
      <pivotArea field="35" type="button" dataOnly="0" labelOnly="1" outline="0" axis="axisRow" fieldPosition="0"/>
    </format>
    <format dxfId="489">
      <pivotArea dataOnly="0" labelOnly="1" fieldPosition="0">
        <references count="1">
          <reference field="35" count="0"/>
        </references>
      </pivotArea>
    </format>
    <format dxfId="488">
      <pivotArea dataOnly="0" labelOnly="1" grandRow="1" outline="0" fieldPosition="0"/>
    </format>
    <format dxfId="487">
      <pivotArea dataOnly="0" labelOnly="1" outline="0" fieldPosition="0">
        <references count="1">
          <reference field="4294967294" count="2">
            <x v="0"/>
            <x v="1"/>
          </reference>
        </references>
      </pivotArea>
    </format>
    <format dxfId="486">
      <pivotArea type="all" dataOnly="0" outline="0" fieldPosition="0"/>
    </format>
    <format dxfId="485">
      <pivotArea outline="0" collapsedLevelsAreSubtotals="1" fieldPosition="0"/>
    </format>
    <format dxfId="484">
      <pivotArea field="35" type="button" dataOnly="0" labelOnly="1" outline="0" axis="axisRow" fieldPosition="0"/>
    </format>
    <format dxfId="483">
      <pivotArea dataOnly="0" labelOnly="1" fieldPosition="0">
        <references count="1">
          <reference field="35" count="0"/>
        </references>
      </pivotArea>
    </format>
    <format dxfId="482">
      <pivotArea dataOnly="0" labelOnly="1" grandRow="1" outline="0" fieldPosition="0"/>
    </format>
    <format dxfId="48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668EB7-5314-45AA-B648-6BF187435E34}" name="PivotTable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I17" firstHeaderRow="1" firstDataRow="3" firstDataCol="1"/>
  <pivotFields count="36">
    <pivotField dataField="1" showAll="0"/>
    <pivotField showAll="0"/>
    <pivotField showAll="0"/>
    <pivotField showAll="0"/>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4">
        <item x="1"/>
        <item x="0"/>
        <item x="2"/>
        <item t="default"/>
      </items>
    </pivotField>
    <pivotField showAll="0"/>
    <pivotField showAll="0"/>
    <pivotField showAll="0"/>
    <pivotField showAll="0"/>
  </pivotFields>
  <rowFields count="1">
    <field x="7"/>
  </rowFields>
  <rowItems count="5">
    <i>
      <x v="1"/>
    </i>
    <i>
      <x v="2"/>
    </i>
    <i>
      <x/>
    </i>
    <i>
      <x v="3"/>
    </i>
    <i t="grand">
      <x/>
    </i>
  </rowItems>
  <colFields count="2">
    <field x="31"/>
    <field x="-2"/>
  </colFields>
  <colItems count="8">
    <i>
      <x/>
      <x/>
    </i>
    <i r="1" i="1">
      <x v="1"/>
    </i>
    <i>
      <x v="1"/>
      <x/>
    </i>
    <i r="1" i="1">
      <x v="1"/>
    </i>
    <i>
      <x v="2"/>
      <x/>
    </i>
    <i r="1" i="1">
      <x v="1"/>
    </i>
    <i t="grand">
      <x/>
    </i>
    <i t="grand" i="1">
      <x/>
    </i>
  </colItems>
  <dataFields count="2">
    <dataField name="Average of CVD Risk Score" fld="30" subtotal="average" baseField="5" baseItem="1" numFmtId="2"/>
    <dataField name="Count of Sex" fld="0" subtotal="count" baseField="0" baseItem="0"/>
  </dataFields>
  <formats count="15">
    <format dxfId="480">
      <pivotArea type="all" dataOnly="0" outline="0" fieldPosition="0"/>
    </format>
    <format dxfId="479">
      <pivotArea outline="0" collapsedLevelsAreSubtotals="1" fieldPosition="0"/>
    </format>
    <format dxfId="478">
      <pivotArea type="origin" dataOnly="0" labelOnly="1" outline="0" fieldPosition="0"/>
    </format>
    <format dxfId="477">
      <pivotArea field="31" type="button" dataOnly="0" labelOnly="1" outline="0" axis="axisCol" fieldPosition="0"/>
    </format>
    <format dxfId="476">
      <pivotArea field="-2" type="button" dataOnly="0" labelOnly="1" outline="0" axis="axisCol" fieldPosition="1"/>
    </format>
    <format dxfId="475">
      <pivotArea type="topRight" dataOnly="0" labelOnly="1" outline="0" fieldPosition="0"/>
    </format>
    <format dxfId="474">
      <pivotArea field="7" type="button" dataOnly="0" labelOnly="1" outline="0" axis="axisRow" fieldPosition="0"/>
    </format>
    <format dxfId="473">
      <pivotArea dataOnly="0" labelOnly="1" fieldPosition="0">
        <references count="1">
          <reference field="7" count="0"/>
        </references>
      </pivotArea>
    </format>
    <format dxfId="472">
      <pivotArea dataOnly="0" labelOnly="1" grandRow="1" outline="0" fieldPosition="0"/>
    </format>
    <format dxfId="471">
      <pivotArea dataOnly="0" labelOnly="1" fieldPosition="0">
        <references count="1">
          <reference field="31" count="0"/>
        </references>
      </pivotArea>
    </format>
    <format dxfId="470">
      <pivotArea field="31" dataOnly="0" labelOnly="1" grandCol="1" outline="0" axis="axisCol" fieldPosition="0">
        <references count="1">
          <reference field="4294967294" count="1" selected="0">
            <x v="0"/>
          </reference>
        </references>
      </pivotArea>
    </format>
    <format dxfId="469">
      <pivotArea field="31" dataOnly="0" labelOnly="1" grandCol="1" outline="0" axis="axisCol" fieldPosition="0">
        <references count="1">
          <reference field="4294967294" count="1" selected="0">
            <x v="1"/>
          </reference>
        </references>
      </pivotArea>
    </format>
    <format dxfId="468">
      <pivotArea dataOnly="0" labelOnly="1" outline="0" fieldPosition="0">
        <references count="2">
          <reference field="4294967294" count="2">
            <x v="0"/>
            <x v="1"/>
          </reference>
          <reference field="31" count="1" selected="0">
            <x v="0"/>
          </reference>
        </references>
      </pivotArea>
    </format>
    <format dxfId="467">
      <pivotArea dataOnly="0" labelOnly="1" outline="0" fieldPosition="0">
        <references count="2">
          <reference field="4294967294" count="2">
            <x v="0"/>
            <x v="1"/>
          </reference>
          <reference field="31" count="1" selected="0">
            <x v="1"/>
          </reference>
        </references>
      </pivotArea>
    </format>
    <format dxfId="466">
      <pivotArea dataOnly="0" labelOnly="1" outline="0" fieldPosition="0">
        <references count="2">
          <reference field="4294967294" count="2">
            <x v="0"/>
            <x v="1"/>
          </reference>
          <reference field="31"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1AADF6-84FA-4203-B6EA-37CC4F1D5983}" name="PivotTable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16" firstHeaderRow="0"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x="2"/>
        <item x="0"/>
        <item x="1"/>
        <item x="3"/>
        <item t="default"/>
      </items>
    </pivotField>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1">
    <field x="23"/>
  </rowFields>
  <rowItems count="5">
    <i>
      <x v="1"/>
    </i>
    <i>
      <x v="2"/>
    </i>
    <i>
      <x v="3"/>
    </i>
    <i>
      <x v="4"/>
    </i>
    <i t="grand">
      <x/>
    </i>
  </rowItems>
  <colFields count="1">
    <field x="-2"/>
  </colFields>
  <colItems count="2">
    <i>
      <x/>
    </i>
    <i i="1">
      <x v="1"/>
    </i>
  </colItems>
  <dataFields count="2">
    <dataField name="Average of Estimated LDL (mg/dL)" fld="27" subtotal="average" baseField="17" baseItem="3" numFmtId="2"/>
    <dataField name="Average of CVD Risk Score" fld="30" subtotal="average" baseField="17" baseItem="3" numFmtId="2"/>
  </dataFields>
  <conditionalFormats count="2">
    <conditionalFormat type="all" priority="2">
      <pivotAreas count="1">
        <pivotArea type="data" collapsedLevelsAreSubtotals="1" fieldPosition="0">
          <references count="2">
            <reference field="4294967294" count="1" selected="0">
              <x v="0"/>
            </reference>
            <reference field="23" count="4">
              <x v="1"/>
              <x v="2"/>
              <x v="3"/>
              <x v="4"/>
            </reference>
          </references>
        </pivotArea>
      </pivotAreas>
    </conditionalFormat>
    <conditionalFormat type="all" priority="1">
      <pivotAreas count="1">
        <pivotArea type="data" collapsedLevelsAreSubtotals="1" fieldPosition="0">
          <references count="2">
            <reference field="4294967294" count="1" selected="0">
              <x v="1"/>
            </reference>
            <reference field="23" count="4">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719DB7-6D1E-4268-9EE8-7A944B6643DF}" name="PivotTable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F16" firstHeaderRow="0" firstDataRow="1" firstDataCol="1" rowPageCount="1" colPageCount="1"/>
  <pivotFields count="36">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axis="axisPage" multipleItemSelectionAllowed="1" showAll="0">
      <items count="4">
        <item x="1"/>
        <item h="1" x="0"/>
        <item h="1" x="2"/>
        <item t="default"/>
      </items>
    </pivotField>
    <pivotField showAll="0"/>
    <pivotField showAll="0"/>
    <pivotField dataField="1" showAll="0"/>
    <pivotField showAll="0"/>
  </pivotFields>
  <rowFields count="1">
    <field x="7"/>
  </rowFields>
  <rowItems count="5">
    <i>
      <x/>
    </i>
    <i>
      <x v="1"/>
    </i>
    <i>
      <x v="2"/>
    </i>
    <i>
      <x v="3"/>
    </i>
    <i t="grand">
      <x/>
    </i>
  </rowItems>
  <colFields count="1">
    <field x="-2"/>
  </colFields>
  <colItems count="5">
    <i>
      <x/>
    </i>
    <i i="1">
      <x v="1"/>
    </i>
    <i i="2">
      <x v="2"/>
    </i>
    <i i="3">
      <x v="3"/>
    </i>
    <i i="4">
      <x v="4"/>
    </i>
  </colItems>
  <pageFields count="1">
    <pageField fld="31" hier="-1"/>
  </pageFields>
  <dataFields count="5">
    <dataField name="Average of Total Cholesterol (mg/dL)" fld="12" subtotal="average" baseField="5" baseItem="1" numFmtId="2"/>
    <dataField name="Total Patients" fld="26" subtotal="count" baseField="0" baseItem="0"/>
    <dataField name="Total High Risk Patient" fld="34" baseField="0" baseItem="0"/>
    <dataField name="Average of CVD Risk Score" fld="30" subtotal="average" baseField="5" baseItem="1" numFmtId="2"/>
    <dataField name="Average of Fasting Blood Sugar (mg/dL)" fld="15" subtotal="average" baseField="5" baseItem="0" numFmtId="2"/>
  </dataFields>
  <formats count="15">
    <format dxfId="465">
      <pivotArea type="all" dataOnly="0" outline="0" fieldPosition="0"/>
    </format>
    <format dxfId="464">
      <pivotArea outline="0" collapsedLevelsAreSubtotals="1" fieldPosition="0"/>
    </format>
    <format dxfId="463">
      <pivotArea dataOnly="0" labelOnly="1" fieldPosition="0">
        <references count="1">
          <reference field="7" count="0"/>
        </references>
      </pivotArea>
    </format>
    <format dxfId="462">
      <pivotArea dataOnly="0" labelOnly="1" grandRow="1" outline="0" fieldPosition="0"/>
    </format>
    <format dxfId="461">
      <pivotArea dataOnly="0" labelOnly="1" outline="0" fieldPosition="0">
        <references count="1">
          <reference field="4294967294" count="4">
            <x v="0"/>
            <x v="1"/>
            <x v="2"/>
            <x v="3"/>
          </reference>
        </references>
      </pivotArea>
    </format>
    <format dxfId="460">
      <pivotArea field="7" type="button" dataOnly="0" labelOnly="1" outline="0" axis="axisRow" fieldPosition="0"/>
    </format>
    <format dxfId="459">
      <pivotArea dataOnly="0" labelOnly="1" outline="0" fieldPosition="0">
        <references count="1">
          <reference field="4294967294" count="1">
            <x v="0"/>
          </reference>
        </references>
      </pivotArea>
    </format>
    <format dxfId="458">
      <pivotArea dataOnly="0" labelOnly="1" outline="0" fieldPosition="0">
        <references count="1">
          <reference field="4294967294" count="1">
            <x v="1"/>
          </reference>
        </references>
      </pivotArea>
    </format>
    <format dxfId="457">
      <pivotArea outline="0" fieldPosition="0">
        <references count="1">
          <reference field="4294967294" count="1">
            <x v="4"/>
          </reference>
        </references>
      </pivotArea>
    </format>
    <format dxfId="456">
      <pivotArea type="all" dataOnly="0" outline="0" fieldPosition="0"/>
    </format>
    <format dxfId="455">
      <pivotArea outline="0" collapsedLevelsAreSubtotals="1" fieldPosition="0"/>
    </format>
    <format dxfId="454">
      <pivotArea field="7" type="button" dataOnly="0" labelOnly="1" outline="0" axis="axisRow" fieldPosition="0"/>
    </format>
    <format dxfId="453">
      <pivotArea dataOnly="0" labelOnly="1" fieldPosition="0">
        <references count="1">
          <reference field="7" count="0"/>
        </references>
      </pivotArea>
    </format>
    <format dxfId="452">
      <pivotArea dataOnly="0" labelOnly="1" grandRow="1" outline="0" fieldPosition="0"/>
    </format>
    <format dxfId="45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6B46B5-684B-40D3-A93D-1A93F6BE198C}" name="PivotTable3"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lood Pressure Category">
  <location ref="A12:D18" firstHeaderRow="1" firstDataRow="2" firstDataCol="1"/>
  <pivotFields count="3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axis="axisCol" showAll="0">
      <items count="3">
        <item x="1"/>
        <item x="0"/>
        <item t="default"/>
      </items>
    </pivotField>
    <pivotField showAll="0"/>
    <pivotField showAll="0"/>
  </pivotFields>
  <rowFields count="1">
    <field x="26"/>
  </rowFields>
  <rowItems count="5">
    <i>
      <x/>
    </i>
    <i>
      <x v="1"/>
    </i>
    <i>
      <x v="2"/>
    </i>
    <i>
      <x v="3"/>
    </i>
    <i t="grand">
      <x/>
    </i>
  </rowItems>
  <colFields count="1">
    <field x="33"/>
  </colFields>
  <colItems count="3">
    <i>
      <x/>
    </i>
    <i>
      <x v="1"/>
    </i>
    <i t="grand">
      <x/>
    </i>
  </colItems>
  <dataFields count="1">
    <dataField name="Count of Sex" fld="0" subtotal="count" showDataAs="percentOfRow" baseField="2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3FD9BA-E278-4075-8714-2096BFE8B9CF}"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26"/>
  </rowFields>
  <rowItems count="5">
    <i>
      <x/>
    </i>
    <i>
      <x v="1"/>
    </i>
    <i>
      <x v="2"/>
    </i>
    <i>
      <x v="3"/>
    </i>
    <i t="grand">
      <x/>
    </i>
  </rowItems>
  <colItems count="1">
    <i/>
  </colItems>
  <dataFields count="1">
    <dataField name="Average of CVD Risk Score" fld="30" subtotal="average" baseField="22" baseItem="2" numFmtId="2"/>
  </dataFields>
  <conditionalFormats count="1">
    <conditionalFormat priority="1">
      <pivotAreas count="1">
        <pivotArea type="data" collapsedLevelsAreSubtotals="1" fieldPosition="0">
          <references count="2">
            <reference field="4294967294" count="1" selected="0">
              <x v="0"/>
            </reference>
            <reference field="26"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539932-8DA6-43A2-9198-6F4F7DB9E310}" name="PivotTable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dataField="1" showAll="0"/>
    <pivotField showAll="0"/>
  </pivotFields>
  <rowFields count="1">
    <field x="29"/>
  </rowFields>
  <rowItems count="3">
    <i>
      <x/>
    </i>
    <i>
      <x v="1"/>
    </i>
    <i t="grand">
      <x/>
    </i>
  </rowItems>
  <colItems count="1">
    <i/>
  </colItems>
  <dataFields count="1">
    <dataField name="Sum of High Risk Patients (1 or 0)" fld="34" showDataAs="percentOfTotal" baseField="2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92F509-618D-48FE-93E9-FA0411641321}" name="PivotTable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holestrol Category">
  <location ref="A11:B15"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3"/>
  </rowFields>
  <rowItems count="4">
    <i>
      <x v="1"/>
    </i>
    <i>
      <x v="2"/>
    </i>
    <i>
      <x/>
    </i>
    <i t="grand">
      <x/>
    </i>
  </rowItems>
  <colItems count="1">
    <i/>
  </colItems>
  <dataFields count="1">
    <dataField name="Average of CVD Risk Score" fld="30" subtotal="average" baseField="11" baseItem="1" numFmtId="2"/>
  </dataFields>
  <formats count="6">
    <format dxfId="450">
      <pivotArea type="all" dataOnly="0" outline="0" fieldPosition="0"/>
    </format>
    <format dxfId="449">
      <pivotArea outline="0" collapsedLevelsAreSubtotals="1" fieldPosition="0"/>
    </format>
    <format dxfId="448">
      <pivotArea field="13" type="button" dataOnly="0" labelOnly="1" outline="0" axis="axisRow" fieldPosition="0"/>
    </format>
    <format dxfId="447">
      <pivotArea dataOnly="0" labelOnly="1" fieldPosition="0">
        <references count="1">
          <reference field="13" count="0"/>
        </references>
      </pivotArea>
    </format>
    <format dxfId="446">
      <pivotArea dataOnly="0" labelOnly="1" grandRow="1" outline="0" fieldPosition="0"/>
    </format>
    <format dxfId="445">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8A7EFF-FE5D-4933-9E3F-8E7D163829DA}" name="PivotTable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iabetes">
  <location ref="A12:C15" firstHeaderRow="0"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n="Non-Diabetic" x="1"/>
        <item n="Diabetic"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7"/>
  </rowFields>
  <rowItems count="3">
    <i>
      <x/>
    </i>
    <i>
      <x v="1"/>
    </i>
    <i t="grand">
      <x/>
    </i>
  </rowItems>
  <colFields count="1">
    <field x="-2"/>
  </colFields>
  <colItems count="2">
    <i>
      <x/>
    </i>
    <i i="1">
      <x v="1"/>
    </i>
  </colItems>
  <dataFields count="2">
    <dataField name="Average of Fasting Blood Sugar (mg/dL)" fld="15" subtotal="average" baseField="15" baseItem="1" numFmtId="2"/>
    <dataField name="Average of CVD Risk Score" fld="30" subtotal="average" baseField="15" baseItem="1" numFmtId="2"/>
  </dataFields>
  <formats count="9">
    <format dxfId="444">
      <pivotArea field="17" type="button" dataOnly="0" labelOnly="1" outline="0" axis="axisRow" fieldPosition="0"/>
    </format>
    <format dxfId="443">
      <pivotArea dataOnly="0" labelOnly="1" fieldPosition="0">
        <references count="1">
          <reference field="17" count="0"/>
        </references>
      </pivotArea>
    </format>
    <format dxfId="442">
      <pivotArea dataOnly="0" labelOnly="1" grandRow="1" outline="0" fieldPosition="0"/>
    </format>
    <format dxfId="441">
      <pivotArea type="all" dataOnly="0" outline="0" fieldPosition="0"/>
    </format>
    <format dxfId="440">
      <pivotArea outline="0" collapsedLevelsAreSubtotals="1" fieldPosition="0"/>
    </format>
    <format dxfId="439">
      <pivotArea field="17" type="button" dataOnly="0" labelOnly="1" outline="0" axis="axisRow" fieldPosition="0"/>
    </format>
    <format dxfId="438">
      <pivotArea dataOnly="0" labelOnly="1" fieldPosition="0">
        <references count="1">
          <reference field="17" count="0"/>
        </references>
      </pivotArea>
    </format>
    <format dxfId="437">
      <pivotArea dataOnly="0" labelOnly="1" grandRow="1" outline="0" fieldPosition="0"/>
    </format>
    <format dxfId="436">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66774A-1F2D-4A10-A925-E9251C27435A}"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F22" firstHeaderRow="0" firstDataRow="1" firstDataCol="0"/>
  <pivotFields count="36">
    <pivotField showAll="0"/>
    <pivotField dataField="1" showAll="0"/>
    <pivotField showAll="0"/>
    <pivotField showAll="0"/>
    <pivotField dataField="1" showAll="0"/>
    <pivotField showAll="0"/>
    <pivotField showAll="0"/>
    <pivotField showAll="0"/>
    <pivotField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Average of Age" fld="1" subtotal="average" baseField="0" baseItem="0" numFmtId="164"/>
    <dataField name="Average of BMI" fld="4" subtotal="average" baseField="0" baseItem="1" numFmtId="2"/>
    <dataField name="Average of Systolic BP (Upper  limit)" fld="10" subtotal="average" baseField="0" baseItem="1" numFmtId="2"/>
    <dataField name="Average of Diastolic  BP (lower limit)" fld="11" subtotal="average" baseField="0" baseItem="1" numFmtId="2"/>
    <dataField name="Average of Estimated LDL (mg/dL)" fld="27" subtotal="average" baseField="0" baseItem="1" numFmtId="2"/>
    <dataField name="Average of Fasting Blood Sugar (mg/dL)" fld="15" subtotal="average" baseField="0" baseItem="1" numFmtId="2"/>
  </dataFields>
  <formats count="9">
    <format dxfId="426">
      <pivotArea type="all" dataOnly="0" outline="0" fieldPosition="0"/>
    </format>
    <format dxfId="425">
      <pivotArea outline="0" collapsedLevelsAreSubtotals="1" fieldPosition="0"/>
    </format>
    <format dxfId="424">
      <pivotArea dataOnly="0" labelOnly="1" outline="0" fieldPosition="0">
        <references count="1">
          <reference field="4294967294" count="6">
            <x v="0"/>
            <x v="1"/>
            <x v="2"/>
            <x v="3"/>
            <x v="4"/>
            <x v="5"/>
          </reference>
        </references>
      </pivotArea>
    </format>
    <format dxfId="423">
      <pivotArea type="all" dataOnly="0" outline="0" fieldPosition="0"/>
    </format>
    <format dxfId="422">
      <pivotArea outline="0" collapsedLevelsAreSubtotals="1" fieldPosition="0"/>
    </format>
    <format dxfId="421">
      <pivotArea dataOnly="0" labelOnly="1" outline="0" fieldPosition="0">
        <references count="1">
          <reference field="4294967294" count="6">
            <x v="0"/>
            <x v="1"/>
            <x v="2"/>
            <x v="3"/>
            <x v="4"/>
            <x v="5"/>
          </reference>
        </references>
      </pivotArea>
    </format>
    <format dxfId="420">
      <pivotArea type="all" dataOnly="0" outline="0" fieldPosition="0"/>
    </format>
    <format dxfId="419">
      <pivotArea outline="0" collapsedLevelsAreSubtotals="1" fieldPosition="0"/>
    </format>
    <format dxfId="418">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A72B17-BF61-444D-85F6-D2BE40CACFE5}" name="PivotTable3"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F17" firstHeaderRow="0" firstDataRow="1" firstDataCol="0" rowPageCount="1" colPageCount="1"/>
  <pivotFields count="36">
    <pivotField showAll="0"/>
    <pivotField dataField="1" showAll="0"/>
    <pivotField showAll="0"/>
    <pivotField showAll="0"/>
    <pivotField dataField="1" showAll="0"/>
    <pivotField showAll="0"/>
    <pivotField showAll="0"/>
    <pivotField showAll="0"/>
    <pivotField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s>
  <rowItems count="1">
    <i/>
  </rowItems>
  <colFields count="1">
    <field x="-2"/>
  </colFields>
  <colItems count="6">
    <i>
      <x/>
    </i>
    <i i="1">
      <x v="1"/>
    </i>
    <i i="2">
      <x v="2"/>
    </i>
    <i i="3">
      <x v="3"/>
    </i>
    <i i="4">
      <x v="4"/>
    </i>
    <i i="5">
      <x v="5"/>
    </i>
  </colItems>
  <pageFields count="1">
    <pageField fld="32" hier="-1"/>
  </pageFields>
  <dataFields count="6">
    <dataField name="Average of Age" fld="1" subtotal="average" baseField="0" baseItem="0" numFmtId="164"/>
    <dataField name="Average of BMI" fld="4" subtotal="average" baseField="0" baseItem="1" numFmtId="2"/>
    <dataField name="Average of Systolic BP (Upper  limit)" fld="10" subtotal="average" baseField="0" baseItem="1" numFmtId="2"/>
    <dataField name="Average of Diastolic  BP (lower limit)" fld="11" subtotal="average" baseField="0" baseItem="1" numFmtId="2"/>
    <dataField name="Average of Estimated LDL (mg/dL)" fld="27" subtotal="average" baseField="0" baseItem="1" numFmtId="2"/>
    <dataField name="Average of Fasting Blood Sugar (mg/dL)" fld="15" subtotal="average" baseField="0" baseItem="1" numFmtId="2"/>
  </dataFields>
  <formats count="9">
    <format dxfId="435">
      <pivotArea type="all" dataOnly="0" outline="0" fieldPosition="0"/>
    </format>
    <format dxfId="434">
      <pivotArea outline="0" collapsedLevelsAreSubtotals="1" fieldPosition="0"/>
    </format>
    <format dxfId="433">
      <pivotArea dataOnly="0" labelOnly="1" outline="0" fieldPosition="0">
        <references count="1">
          <reference field="4294967294" count="6">
            <x v="0"/>
            <x v="1"/>
            <x v="2"/>
            <x v="3"/>
            <x v="4"/>
            <x v="5"/>
          </reference>
        </references>
      </pivotArea>
    </format>
    <format dxfId="432">
      <pivotArea type="all" dataOnly="0" outline="0" fieldPosition="0"/>
    </format>
    <format dxfId="431">
      <pivotArea outline="0" collapsedLevelsAreSubtotals="1" fieldPosition="0"/>
    </format>
    <format dxfId="430">
      <pivotArea dataOnly="0" labelOnly="1" outline="0" fieldPosition="0">
        <references count="1">
          <reference field="4294967294" count="6">
            <x v="0"/>
            <x v="1"/>
            <x v="2"/>
            <x v="3"/>
            <x v="4"/>
            <x v="5"/>
          </reference>
        </references>
      </pivotArea>
    </format>
    <format dxfId="429">
      <pivotArea type="all" dataOnly="0" outline="0" fieldPosition="0"/>
    </format>
    <format dxfId="428">
      <pivotArea outline="0" collapsedLevelsAreSubtotals="1" fieldPosition="0"/>
    </format>
    <format dxfId="427">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39EE36-57F0-4B9F-A30A-8407DEE92EE4}" name="PivotTable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Lifestyle Risk Index">
  <location ref="A10:B16"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0"/>
  </rowFields>
  <rowItems count="6">
    <i>
      <x/>
    </i>
    <i>
      <x v="1"/>
    </i>
    <i>
      <x v="2"/>
    </i>
    <i>
      <x v="3"/>
    </i>
    <i>
      <x v="4"/>
    </i>
    <i t="grand">
      <x/>
    </i>
  </rowItems>
  <colItems count="1">
    <i/>
  </colItems>
  <dataFields count="1">
    <dataField name="Average of CVD Risk Score" fld="30" subtotal="average" baseField="18" baseItem="0" numFmtId="2"/>
  </dataFields>
  <formats count="12">
    <format dxfId="417">
      <pivotArea type="all" dataOnly="0" outline="0" fieldPosition="0"/>
    </format>
    <format dxfId="416">
      <pivotArea outline="0" collapsedLevelsAreSubtotals="1" fieldPosition="0"/>
    </format>
    <format dxfId="415">
      <pivotArea field="20" type="button" dataOnly="0" labelOnly="1" outline="0" axis="axisRow" fieldPosition="0"/>
    </format>
    <format dxfId="414">
      <pivotArea dataOnly="0" labelOnly="1" fieldPosition="0">
        <references count="1">
          <reference field="20" count="0"/>
        </references>
      </pivotArea>
    </format>
    <format dxfId="413">
      <pivotArea dataOnly="0" labelOnly="1" grandRow="1" outline="0" fieldPosition="0"/>
    </format>
    <format dxfId="412">
      <pivotArea dataOnly="0" labelOnly="1" outline="0" axis="axisValues" fieldPosition="0"/>
    </format>
    <format dxfId="411">
      <pivotArea type="all" dataOnly="0" outline="0" fieldPosition="0"/>
    </format>
    <format dxfId="410">
      <pivotArea outline="0" collapsedLevelsAreSubtotals="1" fieldPosition="0"/>
    </format>
    <format dxfId="409">
      <pivotArea field="20" type="button" dataOnly="0" labelOnly="1" outline="0" axis="axisRow" fieldPosition="0"/>
    </format>
    <format dxfId="408">
      <pivotArea dataOnly="0" labelOnly="1" fieldPosition="0">
        <references count="1">
          <reference field="20" count="0"/>
        </references>
      </pivotArea>
    </format>
    <format dxfId="407">
      <pivotArea dataOnly="0" labelOnly="1" grandRow="1" outline="0" fieldPosition="0"/>
    </format>
    <format dxfId="406">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FDF9EC9-7A7F-4271-AACA-4227B5BA4D72}" name="PivotTable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hysical Activity">
  <location ref="A11:B15"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8"/>
  </rowFields>
  <rowItems count="4">
    <i>
      <x v="2"/>
    </i>
    <i>
      <x v="1"/>
    </i>
    <i>
      <x/>
    </i>
    <i t="grand">
      <x/>
    </i>
  </rowItems>
  <colItems count="1">
    <i/>
  </colItems>
  <dataFields count="1">
    <dataField name="Average of CVD Risk Score" fld="30" subtotal="average" baseField="16" baseItem="0" numFmtId="2"/>
  </dataFields>
  <formats count="12">
    <format dxfId="405">
      <pivotArea type="all" dataOnly="0" outline="0" fieldPosition="0"/>
    </format>
    <format dxfId="404">
      <pivotArea outline="0" collapsedLevelsAreSubtotals="1" fieldPosition="0"/>
    </format>
    <format dxfId="403">
      <pivotArea field="18" type="button" dataOnly="0" labelOnly="1" outline="0" axis="axisRow" fieldPosition="0"/>
    </format>
    <format dxfId="402">
      <pivotArea dataOnly="0" labelOnly="1" fieldPosition="0">
        <references count="1">
          <reference field="18" count="0"/>
        </references>
      </pivotArea>
    </format>
    <format dxfId="401">
      <pivotArea dataOnly="0" labelOnly="1" grandRow="1" outline="0" fieldPosition="0"/>
    </format>
    <format dxfId="400">
      <pivotArea dataOnly="0" labelOnly="1" outline="0" axis="axisValues" fieldPosition="0"/>
    </format>
    <format dxfId="399">
      <pivotArea type="all" dataOnly="0" outline="0" fieldPosition="0"/>
    </format>
    <format dxfId="398">
      <pivotArea outline="0" collapsedLevelsAreSubtotals="1" fieldPosition="0"/>
    </format>
    <format dxfId="397">
      <pivotArea field="18" type="button" dataOnly="0" labelOnly="1" outline="0" axis="axisRow" fieldPosition="0"/>
    </format>
    <format dxfId="396">
      <pivotArea dataOnly="0" labelOnly="1" fieldPosition="0">
        <references count="1">
          <reference field="18" count="0"/>
        </references>
      </pivotArea>
    </format>
    <format dxfId="395">
      <pivotArea dataOnly="0" labelOnly="1" grandRow="1" outline="0" fieldPosition="0"/>
    </format>
    <format dxfId="39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FC0B60C-79EB-45BB-A866-AE7C4D73C3F6}" name="PivotTable3"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colHeaderCaption="Smoking_Status">
  <location ref="A11:E19" firstHeaderRow="1" firstDataRow="2" firstDataCol="1" rowPageCount="1" colPageCount="1"/>
  <pivotFields count="36">
    <pivotField dataField="1" showAll="0"/>
    <pivotField axis="axisRow" showAll="0">
      <items count="9">
        <item h="1"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s>
  <rowFields count="1">
    <field x="1"/>
  </rowFields>
  <rowItems count="7">
    <i>
      <x v="1"/>
    </i>
    <i>
      <x v="2"/>
    </i>
    <i>
      <x v="3"/>
    </i>
    <i>
      <x v="4"/>
    </i>
    <i>
      <x v="5"/>
    </i>
    <i>
      <x v="6"/>
    </i>
    <i t="grand">
      <x/>
    </i>
  </rowItems>
  <colFields count="1">
    <field x="31"/>
  </colFields>
  <colItems count="4">
    <i>
      <x/>
    </i>
    <i>
      <x v="1"/>
    </i>
    <i>
      <x v="2"/>
    </i>
    <i t="grand">
      <x/>
    </i>
  </colItems>
  <pageFields count="1">
    <pageField fld="16" hier="-1"/>
  </pageFields>
  <dataFields count="1">
    <dataField name="Count of Sex" fld="0" subtotal="count" showDataAs="percentOfRow" baseField="1" baseItem="1" numFmtId="10"/>
  </dataFields>
  <formats count="17">
    <format dxfId="378">
      <pivotArea type="all" dataOnly="0" outline="0" fieldPosition="0"/>
    </format>
    <format dxfId="379">
      <pivotArea outline="0" collapsedLevelsAreSubtotals="1" fieldPosition="0"/>
    </format>
    <format dxfId="380">
      <pivotArea type="origin" dataOnly="0" labelOnly="1" outline="0" fieldPosition="0"/>
    </format>
    <format dxfId="381">
      <pivotArea field="16" type="button" dataOnly="0" labelOnly="1" outline="0" axis="axisPage" fieldPosition="0"/>
    </format>
    <format dxfId="382">
      <pivotArea type="topRight" dataOnly="0" labelOnly="1" outline="0" fieldPosition="0"/>
    </format>
    <format dxfId="383">
      <pivotArea field="1" type="button" dataOnly="0" labelOnly="1" outline="0" axis="axisRow" fieldPosition="0"/>
    </format>
    <format dxfId="384">
      <pivotArea dataOnly="0" labelOnly="1" grandRow="1" outline="0" fieldPosition="0"/>
    </format>
    <format dxfId="385">
      <pivotArea dataOnly="0" labelOnly="1" grandCol="1" outline="0" fieldPosition="0"/>
    </format>
    <format dxfId="386">
      <pivotArea type="all" dataOnly="0" outline="0" fieldPosition="0"/>
    </format>
    <format dxfId="387">
      <pivotArea outline="0" collapsedLevelsAreSubtotals="1" fieldPosition="0"/>
    </format>
    <format dxfId="388">
      <pivotArea type="origin" dataOnly="0" labelOnly="1" outline="0" fieldPosition="0"/>
    </format>
    <format dxfId="389">
      <pivotArea field="16" type="button" dataOnly="0" labelOnly="1" outline="0" axis="axisPage" fieldPosition="0"/>
    </format>
    <format dxfId="390">
      <pivotArea type="topRight" dataOnly="0" labelOnly="1" outline="0" fieldPosition="0"/>
    </format>
    <format dxfId="391">
      <pivotArea field="1" type="button" dataOnly="0" labelOnly="1" outline="0" axis="axisRow" fieldPosition="0"/>
    </format>
    <format dxfId="392">
      <pivotArea dataOnly="0" labelOnly="1" grandRow="1" outline="0" fieldPosition="0"/>
    </format>
    <format dxfId="393">
      <pivotArea dataOnly="0" labelOnly="1" grandCol="1" outline="0" fieldPosition="0"/>
    </format>
    <format dxfId="377">
      <pivotArea outline="0" fieldPosition="0">
        <references count="1">
          <reference field="4294967294" count="1">
            <x v="0"/>
          </reference>
        </references>
      </pivotArea>
    </format>
  </formats>
  <conditionalFormats count="1">
    <conditionalFormat type="all" priority="1">
      <pivotAreas count="1">
        <pivotArea type="data" collapsedLevelsAreSubtotals="1" fieldPosition="0">
          <references count="3">
            <reference field="4294967294" count="1" selected="0">
              <x v="0"/>
            </reference>
            <reference field="1" count="6">
              <x v="1"/>
              <x v="2"/>
              <x v="3"/>
              <x v="4"/>
              <x v="5"/>
              <x v="6"/>
            </reference>
            <reference field="31"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8255ED-534B-4276-9B8C-23C7BCE8883D}"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36">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BMI mismatches to Calculated BMI" fld="6" baseField="0" baseItem="0"/>
  </dataFields>
  <formats count="7">
    <format dxfId="138">
      <pivotArea type="all" dataOnly="0" outline="0" fieldPosition="0"/>
    </format>
    <format dxfId="137">
      <pivotArea outline="0" collapsedLevelsAreSubtotals="1" fieldPosition="0"/>
    </format>
    <format dxfId="136">
      <pivotArea dataOnly="0" labelOnly="1" outline="0" axis="axisValues"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VD_Risk_Level" xr10:uid="{0F253106-628A-43F5-A9A7-3ABCADE91A6E}" sourceName="CVD Risk Level">
  <pivotTables>
    <pivotTable tabId="6" name="PivotTable3"/>
  </pivotTables>
  <data>
    <tabular pivotCacheId="6388711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VD Risk Level" xr10:uid="{6756DAA2-D036-466C-B033-41AC996BE4A3}" cache="Slicer_CVD_Risk_Level" caption="CVD Risk Level"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5629-D8EB-47D3-AB20-A57478DF72C0}">
  <dimension ref="A1:J30"/>
  <sheetViews>
    <sheetView topLeftCell="A10" workbookViewId="0">
      <selection activeCell="A23" sqref="A23:D30"/>
    </sheetView>
  </sheetViews>
  <sheetFormatPr defaultRowHeight="14.4" x14ac:dyDescent="0.3"/>
  <cols>
    <col min="1" max="1" width="13.44140625" bestFit="1" customWidth="1"/>
    <col min="2" max="2" width="23.33203125" bestFit="1" customWidth="1"/>
    <col min="3" max="3" width="14" bestFit="1" customWidth="1"/>
    <col min="4" max="4" width="5.5546875" bestFit="1" customWidth="1"/>
    <col min="5" max="5" width="21.109375" bestFit="1" customWidth="1"/>
    <col min="6" max="6" width="14" bestFit="1" customWidth="1"/>
    <col min="7" max="7" width="5" bestFit="1" customWidth="1"/>
    <col min="8" max="8" width="28.109375" bestFit="1" customWidth="1"/>
    <col min="9" max="9" width="26" bestFit="1" customWidth="1"/>
    <col min="10" max="10" width="18.77734375" customWidth="1"/>
  </cols>
  <sheetData>
    <row r="1" spans="1:10" ht="14.4" customHeight="1" x14ac:dyDescent="0.3">
      <c r="A1" s="36" t="s">
        <v>1293</v>
      </c>
      <c r="B1" s="36"/>
      <c r="C1" s="36"/>
      <c r="D1" s="36"/>
      <c r="E1" s="36"/>
      <c r="F1" s="36"/>
      <c r="G1" s="36"/>
      <c r="H1" s="36"/>
      <c r="I1" s="36"/>
      <c r="J1" s="3"/>
    </row>
    <row r="2" spans="1:10" x14ac:dyDescent="0.3">
      <c r="A2" s="36"/>
      <c r="B2" s="36"/>
      <c r="C2" s="36"/>
      <c r="D2" s="36"/>
      <c r="E2" s="36"/>
      <c r="F2" s="36"/>
      <c r="G2" s="36"/>
      <c r="H2" s="36"/>
      <c r="I2" s="36"/>
      <c r="J2" s="3"/>
    </row>
    <row r="3" spans="1:10" x14ac:dyDescent="0.3">
      <c r="A3" t="s">
        <v>1294</v>
      </c>
    </row>
    <row r="4" spans="1:10" x14ac:dyDescent="0.3">
      <c r="A4" t="s">
        <v>1295</v>
      </c>
    </row>
    <row r="6" spans="1:10" x14ac:dyDescent="0.3">
      <c r="A6" t="s">
        <v>1296</v>
      </c>
    </row>
    <row r="7" spans="1:10" x14ac:dyDescent="0.3">
      <c r="A7" t="s">
        <v>1297</v>
      </c>
    </row>
    <row r="9" spans="1:10" x14ac:dyDescent="0.3">
      <c r="A9" s="5"/>
      <c r="B9" s="4" t="s">
        <v>1373</v>
      </c>
      <c r="C9" s="5"/>
      <c r="D9" s="5"/>
      <c r="E9" s="5"/>
      <c r="F9" s="5"/>
      <c r="G9" s="5"/>
      <c r="H9" s="5"/>
      <c r="I9" s="5"/>
      <c r="J9" s="10"/>
    </row>
    <row r="10" spans="1:10" ht="28.8" x14ac:dyDescent="0.3">
      <c r="A10" s="5"/>
      <c r="B10" s="5" t="s">
        <v>1371</v>
      </c>
      <c r="C10" s="5"/>
      <c r="D10" s="5"/>
      <c r="E10" s="5" t="s">
        <v>1372</v>
      </c>
      <c r="F10" s="5"/>
      <c r="G10" s="5"/>
      <c r="H10" s="5" t="s">
        <v>1374</v>
      </c>
      <c r="I10" s="5" t="s">
        <v>1375</v>
      </c>
      <c r="J10" s="11" t="s">
        <v>1377</v>
      </c>
    </row>
    <row r="11" spans="1:10" x14ac:dyDescent="0.3">
      <c r="A11" s="4" t="s">
        <v>1376</v>
      </c>
      <c r="B11" s="5" t="s">
        <v>32</v>
      </c>
      <c r="C11" s="5" t="s">
        <v>28</v>
      </c>
      <c r="D11" s="5" t="s">
        <v>54</v>
      </c>
      <c r="E11" s="5" t="s">
        <v>32</v>
      </c>
      <c r="F11" s="5" t="s">
        <v>28</v>
      </c>
      <c r="G11" s="5" t="s">
        <v>54</v>
      </c>
      <c r="H11" s="5"/>
      <c r="I11" s="5"/>
      <c r="J11" s="10"/>
    </row>
    <row r="12" spans="1:10" x14ac:dyDescent="0.3">
      <c r="A12" s="5" t="s">
        <v>1365</v>
      </c>
      <c r="B12" s="6">
        <v>17.924467289719633</v>
      </c>
      <c r="C12" s="6">
        <v>16.514104761904761</v>
      </c>
      <c r="D12" s="6">
        <v>16.430090909090911</v>
      </c>
      <c r="E12" s="5">
        <v>112</v>
      </c>
      <c r="F12" s="5">
        <v>108</v>
      </c>
      <c r="G12" s="5">
        <v>48</v>
      </c>
      <c r="H12" s="6">
        <v>17.089152343750001</v>
      </c>
      <c r="I12" s="5">
        <v>268</v>
      </c>
      <c r="J12" s="9">
        <f>E12*100/I12</f>
        <v>41.791044776119406</v>
      </c>
    </row>
    <row r="13" spans="1:10" x14ac:dyDescent="0.3">
      <c r="A13" s="5" t="s">
        <v>1366</v>
      </c>
      <c r="B13" s="6">
        <v>17.865925170068028</v>
      </c>
      <c r="C13" s="6">
        <v>16.123296296296285</v>
      </c>
      <c r="D13" s="6">
        <v>15.834369565217393</v>
      </c>
      <c r="E13" s="5">
        <v>153</v>
      </c>
      <c r="F13" s="5">
        <v>197</v>
      </c>
      <c r="G13" s="5">
        <v>51</v>
      </c>
      <c r="H13" s="6">
        <v>16.759096858638749</v>
      </c>
      <c r="I13" s="5">
        <v>401</v>
      </c>
      <c r="J13" s="9">
        <f t="shared" ref="J13:J17" si="0">E13*100/I13</f>
        <v>38.154613466334162</v>
      </c>
    </row>
    <row r="14" spans="1:10" x14ac:dyDescent="0.3">
      <c r="A14" s="5" t="s">
        <v>1367</v>
      </c>
      <c r="B14" s="6">
        <v>17.29086899563319</v>
      </c>
      <c r="C14" s="6">
        <v>15.740336538461538</v>
      </c>
      <c r="D14" s="6">
        <v>17.995823529411759</v>
      </c>
      <c r="E14" s="5">
        <v>236</v>
      </c>
      <c r="F14" s="5">
        <v>108</v>
      </c>
      <c r="G14" s="5">
        <v>35</v>
      </c>
      <c r="H14" s="6">
        <v>16.916790190735693</v>
      </c>
      <c r="I14" s="5">
        <v>379</v>
      </c>
      <c r="J14" s="9">
        <f t="shared" si="0"/>
        <v>62.269129287598943</v>
      </c>
    </row>
    <row r="15" spans="1:10" x14ac:dyDescent="0.3">
      <c r="A15" s="5" t="s">
        <v>1368</v>
      </c>
      <c r="B15" s="6">
        <v>17.76086861313868</v>
      </c>
      <c r="C15" s="6">
        <v>15.690674157303368</v>
      </c>
      <c r="D15" s="6">
        <v>18.049962962962962</v>
      </c>
      <c r="E15" s="5">
        <v>145</v>
      </c>
      <c r="F15" s="5">
        <v>94</v>
      </c>
      <c r="G15" s="5">
        <v>32</v>
      </c>
      <c r="H15" s="6">
        <v>17.063470355731216</v>
      </c>
      <c r="I15" s="5">
        <v>271</v>
      </c>
      <c r="J15" s="9">
        <f t="shared" si="0"/>
        <v>53.505535055350556</v>
      </c>
    </row>
    <row r="16" spans="1:10" x14ac:dyDescent="0.3">
      <c r="A16" s="5" t="s">
        <v>1369</v>
      </c>
      <c r="B16" s="6">
        <v>16.83503125</v>
      </c>
      <c r="C16" s="6">
        <v>17.228481481481481</v>
      </c>
      <c r="D16" s="6">
        <v>18.020333333333333</v>
      </c>
      <c r="E16" s="5">
        <v>33</v>
      </c>
      <c r="F16" s="5">
        <v>28</v>
      </c>
      <c r="G16" s="5">
        <v>21</v>
      </c>
      <c r="H16" s="6">
        <v>17.278962500000002</v>
      </c>
      <c r="I16" s="5">
        <v>82</v>
      </c>
      <c r="J16" s="9">
        <f t="shared" si="0"/>
        <v>40.243902439024389</v>
      </c>
    </row>
    <row r="17" spans="1:10" x14ac:dyDescent="0.3">
      <c r="A17" s="5" t="s">
        <v>1370</v>
      </c>
      <c r="B17" s="6">
        <v>17.988461538461539</v>
      </c>
      <c r="C17" s="6">
        <v>17.111562499999998</v>
      </c>
      <c r="D17" s="6">
        <v>17.878058823529415</v>
      </c>
      <c r="E17" s="5">
        <v>14</v>
      </c>
      <c r="F17" s="5">
        <v>17</v>
      </c>
      <c r="G17" s="5">
        <v>19</v>
      </c>
      <c r="H17" s="6">
        <v>17.642652173913042</v>
      </c>
      <c r="I17" s="5">
        <v>50</v>
      </c>
      <c r="J17" s="9">
        <f t="shared" si="0"/>
        <v>28</v>
      </c>
    </row>
    <row r="18" spans="1:10" x14ac:dyDescent="0.3">
      <c r="A18" s="5" t="s">
        <v>1364</v>
      </c>
      <c r="B18" s="6">
        <v>17.608463157894747</v>
      </c>
      <c r="C18" s="6">
        <v>16.139062264150937</v>
      </c>
      <c r="D18" s="6">
        <v>17.105111111111107</v>
      </c>
      <c r="E18" s="5">
        <v>693</v>
      </c>
      <c r="F18" s="5">
        <v>552</v>
      </c>
      <c r="G18" s="5">
        <v>206</v>
      </c>
      <c r="H18" s="6">
        <v>16.977020953757226</v>
      </c>
      <c r="I18" s="5">
        <v>1451</v>
      </c>
      <c r="J18" s="10"/>
    </row>
    <row r="23" spans="1:10" ht="14.4" customHeight="1" x14ac:dyDescent="0.3">
      <c r="A23" s="37" t="s">
        <v>1378</v>
      </c>
      <c r="B23" s="37"/>
      <c r="C23" s="37"/>
      <c r="D23" s="37"/>
    </row>
    <row r="24" spans="1:10" x14ac:dyDescent="0.3">
      <c r="A24" s="38"/>
      <c r="B24" s="38"/>
      <c r="C24" s="38"/>
      <c r="D24" s="38"/>
    </row>
    <row r="25" spans="1:10" x14ac:dyDescent="0.3">
      <c r="A25" s="38"/>
      <c r="B25" s="38"/>
      <c r="C25" s="38"/>
      <c r="D25" s="38"/>
    </row>
    <row r="26" spans="1:10" x14ac:dyDescent="0.3">
      <c r="A26" s="38"/>
      <c r="B26" s="38"/>
      <c r="C26" s="38"/>
      <c r="D26" s="38"/>
    </row>
    <row r="27" spans="1:10" x14ac:dyDescent="0.3">
      <c r="A27" s="38"/>
      <c r="B27" s="38"/>
      <c r="C27" s="38"/>
      <c r="D27" s="38"/>
    </row>
    <row r="28" spans="1:10" x14ac:dyDescent="0.3">
      <c r="A28" s="38"/>
      <c r="B28" s="38"/>
      <c r="C28" s="38"/>
      <c r="D28" s="38"/>
    </row>
    <row r="29" spans="1:10" x14ac:dyDescent="0.3">
      <c r="A29" s="38"/>
      <c r="B29" s="38"/>
      <c r="C29" s="38"/>
      <c r="D29" s="38"/>
    </row>
    <row r="30" spans="1:10" x14ac:dyDescent="0.3">
      <c r="A30" s="38"/>
      <c r="B30" s="38"/>
      <c r="C30" s="38"/>
      <c r="D30" s="38"/>
    </row>
  </sheetData>
  <mergeCells count="2">
    <mergeCell ref="A1:I2"/>
    <mergeCell ref="A23:D30"/>
  </mergeCells>
  <conditionalFormatting sqref="J12:J17">
    <cfRule type="top10" dxfId="144" priority="1" rank="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369D-97F9-4A7A-8050-576AE5324B06}">
  <dimension ref="A1:H23"/>
  <sheetViews>
    <sheetView workbookViewId="0">
      <selection activeCell="A20" sqref="A20:G23"/>
    </sheetView>
  </sheetViews>
  <sheetFormatPr defaultRowHeight="14.4" x14ac:dyDescent="0.3"/>
  <cols>
    <col min="1" max="1" width="10.77734375" bestFit="1" customWidth="1"/>
    <col min="2" max="2" width="23.33203125" bestFit="1" customWidth="1"/>
    <col min="3" max="3" width="19.5546875" bestFit="1" customWidth="1"/>
    <col min="4" max="4" width="23.88671875" bestFit="1" customWidth="1"/>
    <col min="5" max="5" width="19.5546875" bestFit="1" customWidth="1"/>
    <col min="6" max="6" width="18.5546875" customWidth="1"/>
    <col min="7" max="7" width="14.5546875" customWidth="1"/>
  </cols>
  <sheetData>
    <row r="1" spans="1:8" x14ac:dyDescent="0.3">
      <c r="A1" t="s">
        <v>1298</v>
      </c>
    </row>
    <row r="3" spans="1:8" x14ac:dyDescent="0.3">
      <c r="A3" t="s">
        <v>1299</v>
      </c>
    </row>
    <row r="4" spans="1:8" x14ac:dyDescent="0.3">
      <c r="A4" t="s">
        <v>1300</v>
      </c>
    </row>
    <row r="6" spans="1:8" x14ac:dyDescent="0.3">
      <c r="A6" t="s">
        <v>1301</v>
      </c>
    </row>
    <row r="7" spans="1:8" x14ac:dyDescent="0.3">
      <c r="A7" t="s">
        <v>1302</v>
      </c>
    </row>
    <row r="12" spans="1:8" x14ac:dyDescent="0.3">
      <c r="A12" s="8"/>
      <c r="B12" s="13" t="s">
        <v>1373</v>
      </c>
      <c r="C12" s="8"/>
      <c r="D12" s="8"/>
      <c r="E12" s="8"/>
      <c r="F12" s="8"/>
      <c r="G12" s="8"/>
      <c r="H12" s="10"/>
    </row>
    <row r="13" spans="1:8" ht="57.6" x14ac:dyDescent="0.3">
      <c r="A13" s="8"/>
      <c r="B13" s="8" t="s">
        <v>1371</v>
      </c>
      <c r="C13" s="8"/>
      <c r="D13" s="8" t="s">
        <v>1382</v>
      </c>
      <c r="E13" s="8"/>
      <c r="F13" s="14" t="s">
        <v>1374</v>
      </c>
      <c r="G13" s="14" t="s">
        <v>1383</v>
      </c>
      <c r="H13" s="11" t="s">
        <v>1384</v>
      </c>
    </row>
    <row r="14" spans="1:8" x14ac:dyDescent="0.3">
      <c r="A14" s="13" t="s">
        <v>1381</v>
      </c>
      <c r="B14" s="8" t="s">
        <v>1379</v>
      </c>
      <c r="C14" s="8" t="s">
        <v>1380</v>
      </c>
      <c r="D14" s="8" t="s">
        <v>1379</v>
      </c>
      <c r="E14" s="8" t="s">
        <v>1380</v>
      </c>
      <c r="F14" s="8"/>
      <c r="G14" s="8"/>
      <c r="H14" s="10"/>
    </row>
    <row r="15" spans="1:8" x14ac:dyDescent="0.3">
      <c r="A15" s="15" t="s">
        <v>22</v>
      </c>
      <c r="B15" s="9">
        <v>17.51458402203858</v>
      </c>
      <c r="C15" s="9">
        <v>16.369840970350403</v>
      </c>
      <c r="D15" s="8">
        <v>379</v>
      </c>
      <c r="E15" s="8">
        <v>394</v>
      </c>
      <c r="F15" s="9">
        <v>16.935974114441422</v>
      </c>
      <c r="G15" s="8">
        <v>773</v>
      </c>
      <c r="H15" s="8">
        <f>D15*100/G15</f>
        <v>49.029754204398451</v>
      </c>
    </row>
    <row r="16" spans="1:8" x14ac:dyDescent="0.3">
      <c r="A16" s="15" t="s">
        <v>33</v>
      </c>
      <c r="B16" s="9">
        <v>17.716461077844301</v>
      </c>
      <c r="C16" s="9">
        <v>16.362370843989762</v>
      </c>
      <c r="D16" s="8">
        <v>349</v>
      </c>
      <c r="E16" s="8">
        <v>407</v>
      </c>
      <c r="F16" s="9">
        <v>16.986186206896555</v>
      </c>
      <c r="G16" s="8">
        <v>756</v>
      </c>
      <c r="H16" s="8">
        <f t="shared" ref="H16:H17" si="0">D16*100/G16</f>
        <v>46.164021164021165</v>
      </c>
    </row>
    <row r="17" spans="1:8" x14ac:dyDescent="0.3">
      <c r="A17" s="15" t="s">
        <v>1364</v>
      </c>
      <c r="B17" s="9">
        <v>17.611322812051657</v>
      </c>
      <c r="C17" s="9">
        <v>16.366007874015757</v>
      </c>
      <c r="D17" s="8">
        <v>728</v>
      </c>
      <c r="E17" s="8">
        <v>801</v>
      </c>
      <c r="F17" s="9">
        <v>16.96092529129541</v>
      </c>
      <c r="G17" s="8">
        <v>1529</v>
      </c>
      <c r="H17" s="16">
        <f t="shared" si="0"/>
        <v>47.612818835840422</v>
      </c>
    </row>
    <row r="20" spans="1:8" ht="14.4" customHeight="1" x14ac:dyDescent="0.3">
      <c r="A20" s="38" t="s">
        <v>1386</v>
      </c>
      <c r="B20" s="38"/>
      <c r="C20" s="38"/>
      <c r="D20" s="38"/>
      <c r="E20" s="38"/>
      <c r="F20" s="38"/>
      <c r="G20" s="38"/>
    </row>
    <row r="21" spans="1:8" x14ac:dyDescent="0.3">
      <c r="A21" s="38"/>
      <c r="B21" s="38"/>
      <c r="C21" s="38"/>
      <c r="D21" s="38"/>
      <c r="E21" s="38"/>
      <c r="F21" s="38"/>
      <c r="G21" s="38"/>
    </row>
    <row r="22" spans="1:8" x14ac:dyDescent="0.3">
      <c r="A22" s="38"/>
      <c r="B22" s="38"/>
      <c r="C22" s="38"/>
      <c r="D22" s="38"/>
      <c r="E22" s="38"/>
      <c r="F22" s="38"/>
      <c r="G22" s="38"/>
    </row>
    <row r="23" spans="1:8" x14ac:dyDescent="0.3">
      <c r="A23" s="38"/>
      <c r="B23" s="38"/>
      <c r="C23" s="38"/>
      <c r="D23" s="38"/>
      <c r="E23" s="38"/>
      <c r="F23" s="38"/>
      <c r="G23" s="38"/>
    </row>
  </sheetData>
  <mergeCells count="1">
    <mergeCell ref="A20:G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C445F-88EA-41E2-AEB3-F64103B1518B}">
  <dimension ref="A1:F26"/>
  <sheetViews>
    <sheetView workbookViewId="0">
      <selection sqref="A1:I26"/>
    </sheetView>
  </sheetViews>
  <sheetFormatPr defaultRowHeight="14.4" x14ac:dyDescent="0.3"/>
  <cols>
    <col min="1" max="1" width="12.44140625" bestFit="1" customWidth="1"/>
    <col min="2" max="2" width="13.5546875" bestFit="1" customWidth="1"/>
    <col min="3" max="3" width="14" bestFit="1" customWidth="1"/>
    <col min="4" max="4" width="7" bestFit="1" customWidth="1"/>
    <col min="5" max="5" width="10.77734375" bestFit="1" customWidth="1"/>
    <col min="6" max="6" width="5.21875" bestFit="1" customWidth="1"/>
    <col min="7" max="7" width="14" bestFit="1" customWidth="1"/>
    <col min="8" max="8" width="5" bestFit="1" customWidth="1"/>
    <col min="9" max="9" width="6.6640625" bestFit="1" customWidth="1"/>
    <col min="10" max="10" width="10.77734375" bestFit="1" customWidth="1"/>
  </cols>
  <sheetData>
    <row r="1" spans="1:5" x14ac:dyDescent="0.3">
      <c r="A1" t="s">
        <v>1303</v>
      </c>
    </row>
    <row r="3" spans="1:5" x14ac:dyDescent="0.3">
      <c r="A3" t="s">
        <v>1299</v>
      </c>
    </row>
    <row r="4" spans="1:5" x14ac:dyDescent="0.3">
      <c r="A4" t="s">
        <v>1304</v>
      </c>
    </row>
    <row r="6" spans="1:5" x14ac:dyDescent="0.3">
      <c r="A6" t="s">
        <v>1301</v>
      </c>
    </row>
    <row r="7" spans="1:5" x14ac:dyDescent="0.3">
      <c r="A7" t="s">
        <v>1305</v>
      </c>
    </row>
    <row r="11" spans="1:5" x14ac:dyDescent="0.3">
      <c r="A11" s="4" t="s">
        <v>1387</v>
      </c>
      <c r="B11" s="4" t="s">
        <v>1388</v>
      </c>
      <c r="C11" s="5"/>
      <c r="D11" s="5"/>
      <c r="E11" s="5"/>
    </row>
    <row r="12" spans="1:5" x14ac:dyDescent="0.3">
      <c r="A12" s="4" t="s">
        <v>1381</v>
      </c>
      <c r="B12" s="5" t="s">
        <v>32</v>
      </c>
      <c r="C12" s="5" t="s">
        <v>28</v>
      </c>
      <c r="D12" s="5" t="s">
        <v>54</v>
      </c>
      <c r="E12" s="5" t="s">
        <v>1364</v>
      </c>
    </row>
    <row r="13" spans="1:5" x14ac:dyDescent="0.3">
      <c r="A13" s="5" t="s">
        <v>22</v>
      </c>
      <c r="B13" s="7">
        <v>0.49118046132971505</v>
      </c>
      <c r="C13" s="7">
        <v>0.37449118046132973</v>
      </c>
      <c r="D13" s="7">
        <v>0.13432835820895522</v>
      </c>
      <c r="E13" s="7">
        <v>1</v>
      </c>
    </row>
    <row r="14" spans="1:5" x14ac:dyDescent="0.3">
      <c r="A14" s="5" t="s">
        <v>24</v>
      </c>
      <c r="B14" s="7">
        <v>0.39548022598870058</v>
      </c>
      <c r="C14" s="7">
        <v>0.46045197740112992</v>
      </c>
      <c r="D14" s="7">
        <v>0.1440677966101695</v>
      </c>
      <c r="E14" s="7">
        <v>1</v>
      </c>
    </row>
    <row r="15" spans="1:5" x14ac:dyDescent="0.3">
      <c r="A15" s="5" t="s">
        <v>25</v>
      </c>
      <c r="B15" s="7">
        <v>0.57963446475195823</v>
      </c>
      <c r="C15" s="7">
        <v>0.29503916449086159</v>
      </c>
      <c r="D15" s="7">
        <v>0.12532637075718014</v>
      </c>
      <c r="E15" s="7">
        <v>1</v>
      </c>
    </row>
    <row r="16" spans="1:5" x14ac:dyDescent="0.3">
      <c r="A16" s="5" t="s">
        <v>33</v>
      </c>
      <c r="B16" s="7">
        <v>0.45569620253164556</v>
      </c>
      <c r="C16" s="7">
        <v>0.38959212376933894</v>
      </c>
      <c r="D16" s="7">
        <v>0.15471167369901548</v>
      </c>
      <c r="E16" s="7">
        <v>1</v>
      </c>
    </row>
    <row r="17" spans="1:6" x14ac:dyDescent="0.3">
      <c r="A17" s="5" t="s">
        <v>24</v>
      </c>
      <c r="B17" s="7">
        <v>0.33913043478260868</v>
      </c>
      <c r="C17" s="7">
        <v>0.48695652173913045</v>
      </c>
      <c r="D17" s="7">
        <v>0.17391304347826086</v>
      </c>
      <c r="E17" s="7">
        <v>1</v>
      </c>
    </row>
    <row r="18" spans="1:6" x14ac:dyDescent="0.3">
      <c r="A18" s="5" t="s">
        <v>25</v>
      </c>
      <c r="B18" s="7">
        <v>0.56557377049180324</v>
      </c>
      <c r="C18" s="7">
        <v>0.29781420765027322</v>
      </c>
      <c r="D18" s="7">
        <v>0.13661202185792351</v>
      </c>
      <c r="E18" s="7">
        <v>1</v>
      </c>
    </row>
    <row r="19" spans="1:6" x14ac:dyDescent="0.3">
      <c r="A19" s="5" t="s">
        <v>1364</v>
      </c>
      <c r="B19" s="7">
        <v>0.47375690607734805</v>
      </c>
      <c r="C19" s="7">
        <v>0.38190607734806631</v>
      </c>
      <c r="D19" s="7">
        <v>0.14433701657458564</v>
      </c>
      <c r="E19" s="7">
        <v>1</v>
      </c>
    </row>
    <row r="22" spans="1:6" ht="14.4" customHeight="1" x14ac:dyDescent="0.3">
      <c r="A22" s="37" t="s">
        <v>1389</v>
      </c>
      <c r="B22" s="37"/>
      <c r="C22" s="37"/>
      <c r="D22" s="37"/>
      <c r="E22" s="37"/>
      <c r="F22" s="37"/>
    </row>
    <row r="23" spans="1:6" x14ac:dyDescent="0.3">
      <c r="A23" s="38"/>
      <c r="B23" s="38"/>
      <c r="C23" s="38"/>
      <c r="D23" s="38"/>
      <c r="E23" s="38"/>
      <c r="F23" s="38"/>
    </row>
    <row r="24" spans="1:6" x14ac:dyDescent="0.3">
      <c r="A24" s="38"/>
      <c r="B24" s="38"/>
      <c r="C24" s="38"/>
      <c r="D24" s="38"/>
      <c r="E24" s="38"/>
      <c r="F24" s="38"/>
    </row>
    <row r="25" spans="1:6" x14ac:dyDescent="0.3">
      <c r="A25" s="38"/>
      <c r="B25" s="38"/>
      <c r="C25" s="38"/>
      <c r="D25" s="38"/>
      <c r="E25" s="38"/>
      <c r="F25" s="38"/>
    </row>
    <row r="26" spans="1:6" x14ac:dyDescent="0.3">
      <c r="A26" s="38"/>
      <c r="B26" s="38"/>
      <c r="C26" s="38"/>
      <c r="D26" s="38"/>
      <c r="E26" s="38"/>
      <c r="F26" s="38"/>
    </row>
  </sheetData>
  <mergeCells count="1">
    <mergeCell ref="A22:F2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E30A-4D00-4E91-AB2D-F941854E23B2}">
  <dimension ref="A1:E22"/>
  <sheetViews>
    <sheetView workbookViewId="0">
      <selection activeCell="A18" sqref="A18:E22"/>
    </sheetView>
  </sheetViews>
  <sheetFormatPr defaultRowHeight="14.4" x14ac:dyDescent="0.3"/>
  <cols>
    <col min="1" max="1" width="14.77734375" bestFit="1" customWidth="1"/>
    <col min="2" max="2" width="29.109375" bestFit="1" customWidth="1"/>
    <col min="3" max="3" width="11.6640625" bestFit="1" customWidth="1"/>
    <col min="4" max="4" width="20.21875" customWidth="1"/>
  </cols>
  <sheetData>
    <row r="1" spans="1:4" x14ac:dyDescent="0.3">
      <c r="A1" t="s">
        <v>1306</v>
      </c>
    </row>
    <row r="3" spans="1:4" x14ac:dyDescent="0.3">
      <c r="A3" t="s">
        <v>1299</v>
      </c>
    </row>
    <row r="4" spans="1:4" x14ac:dyDescent="0.3">
      <c r="A4" t="s">
        <v>1307</v>
      </c>
    </row>
    <row r="6" spans="1:4" x14ac:dyDescent="0.3">
      <c r="A6" t="s">
        <v>1301</v>
      </c>
    </row>
    <row r="7" spans="1:4" x14ac:dyDescent="0.3">
      <c r="A7" t="s">
        <v>1308</v>
      </c>
    </row>
    <row r="11" spans="1:4" x14ac:dyDescent="0.3">
      <c r="A11" s="4" t="s">
        <v>1363</v>
      </c>
      <c r="B11" s="5" t="s">
        <v>1393</v>
      </c>
      <c r="C11" s="5" t="s">
        <v>1394</v>
      </c>
      <c r="D11" s="17" t="s">
        <v>1395</v>
      </c>
    </row>
    <row r="12" spans="1:4" x14ac:dyDescent="0.3">
      <c r="A12" s="5" t="s">
        <v>1392</v>
      </c>
      <c r="B12" s="44">
        <v>120</v>
      </c>
      <c r="C12" s="44">
        <v>209</v>
      </c>
      <c r="D12" s="6">
        <f>B12*100/C12</f>
        <v>57.41626794258373</v>
      </c>
    </row>
    <row r="13" spans="1:4" x14ac:dyDescent="0.3">
      <c r="A13" s="5" t="s">
        <v>1391</v>
      </c>
      <c r="B13" s="44">
        <v>608</v>
      </c>
      <c r="C13" s="44">
        <v>1320</v>
      </c>
      <c r="D13" s="6">
        <f>B13*100/C13</f>
        <v>46.060606060606062</v>
      </c>
    </row>
    <row r="14" spans="1:4" x14ac:dyDescent="0.3">
      <c r="A14" s="5" t="s">
        <v>1364</v>
      </c>
      <c r="B14" s="44">
        <v>728</v>
      </c>
      <c r="C14" s="44">
        <v>1529</v>
      </c>
      <c r="D14" s="17">
        <v>100</v>
      </c>
    </row>
    <row r="18" spans="1:5" ht="14.4" customHeight="1" x14ac:dyDescent="0.3">
      <c r="A18" s="37" t="s">
        <v>1396</v>
      </c>
      <c r="B18" s="37"/>
      <c r="C18" s="37"/>
      <c r="D18" s="37"/>
      <c r="E18" s="37"/>
    </row>
    <row r="19" spans="1:5" x14ac:dyDescent="0.3">
      <c r="A19" s="38"/>
      <c r="B19" s="38"/>
      <c r="C19" s="38"/>
      <c r="D19" s="38"/>
      <c r="E19" s="38"/>
    </row>
    <row r="20" spans="1:5" x14ac:dyDescent="0.3">
      <c r="A20" s="38"/>
      <c r="B20" s="38"/>
      <c r="C20" s="38"/>
      <c r="D20" s="38"/>
      <c r="E20" s="38"/>
    </row>
    <row r="21" spans="1:5" x14ac:dyDescent="0.3">
      <c r="A21" s="38"/>
      <c r="B21" s="38"/>
      <c r="C21" s="38"/>
      <c r="D21" s="38"/>
      <c r="E21" s="38"/>
    </row>
    <row r="22" spans="1:5" x14ac:dyDescent="0.3">
      <c r="A22" s="38"/>
      <c r="B22" s="38"/>
      <c r="C22" s="38"/>
      <c r="D22" s="38"/>
      <c r="E22" s="38"/>
    </row>
  </sheetData>
  <mergeCells count="1">
    <mergeCell ref="A18:E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656F4-3F78-463C-B7D9-94E90D4B0E8A}">
  <dimension ref="A1:L27"/>
  <sheetViews>
    <sheetView topLeftCell="A10" workbookViewId="0">
      <selection activeCell="A27" sqref="A27:L27"/>
    </sheetView>
  </sheetViews>
  <sheetFormatPr defaultRowHeight="14.4" x14ac:dyDescent="0.3"/>
  <cols>
    <col min="1" max="1" width="12.5546875" bestFit="1" customWidth="1"/>
    <col min="2" max="2" width="10.109375" bestFit="1" customWidth="1"/>
    <col min="3" max="3" width="11.6640625" bestFit="1" customWidth="1"/>
    <col min="4" max="4" width="14.21875" bestFit="1" customWidth="1"/>
    <col min="5" max="5" width="8.33203125" bestFit="1" customWidth="1"/>
    <col min="6" max="6" width="18.109375" bestFit="1" customWidth="1"/>
    <col min="7" max="7" width="11.6640625" bestFit="1" customWidth="1"/>
    <col min="8" max="8" width="19" bestFit="1" customWidth="1"/>
    <col min="9" max="9" width="16.44140625" bestFit="1" customWidth="1"/>
  </cols>
  <sheetData>
    <row r="1" spans="1:9" x14ac:dyDescent="0.3">
      <c r="A1" t="s">
        <v>1310</v>
      </c>
    </row>
    <row r="3" spans="1:9" x14ac:dyDescent="0.3">
      <c r="A3" t="s">
        <v>1299</v>
      </c>
    </row>
    <row r="4" spans="1:9" x14ac:dyDescent="0.3">
      <c r="A4" t="s">
        <v>1311</v>
      </c>
    </row>
    <row r="6" spans="1:9" x14ac:dyDescent="0.3">
      <c r="A6" t="s">
        <v>1301</v>
      </c>
    </row>
    <row r="7" spans="1:9" x14ac:dyDescent="0.3">
      <c r="A7" t="s">
        <v>1312</v>
      </c>
    </row>
    <row r="10" spans="1:9" ht="28.8" x14ac:dyDescent="0.3">
      <c r="A10" s="12"/>
      <c r="B10" s="18" t="s">
        <v>1373</v>
      </c>
      <c r="C10" s="12"/>
      <c r="D10" s="12"/>
      <c r="E10" s="12"/>
      <c r="F10" s="12"/>
      <c r="G10" s="12"/>
      <c r="H10" s="12"/>
      <c r="I10" s="12"/>
    </row>
    <row r="11" spans="1:9" ht="28.8" x14ac:dyDescent="0.3">
      <c r="A11" s="12"/>
      <c r="B11" s="12" t="s">
        <v>32</v>
      </c>
      <c r="C11" s="12"/>
      <c r="D11" s="12" t="s">
        <v>28</v>
      </c>
      <c r="E11" s="12"/>
      <c r="F11" s="12" t="s">
        <v>54</v>
      </c>
      <c r="G11" s="12"/>
      <c r="H11" s="12" t="s">
        <v>1374</v>
      </c>
      <c r="I11" s="12" t="s">
        <v>1403</v>
      </c>
    </row>
    <row r="12" spans="1:9" ht="43.2" x14ac:dyDescent="0.3">
      <c r="A12" s="18" t="s">
        <v>1363</v>
      </c>
      <c r="B12" s="12" t="s">
        <v>1371</v>
      </c>
      <c r="C12" s="12" t="s">
        <v>1394</v>
      </c>
      <c r="D12" s="12" t="s">
        <v>1371</v>
      </c>
      <c r="E12" s="12" t="s">
        <v>1394</v>
      </c>
      <c r="F12" s="12" t="s">
        <v>1371</v>
      </c>
      <c r="G12" s="12" t="s">
        <v>1394</v>
      </c>
      <c r="H12" s="12"/>
      <c r="I12" s="12"/>
    </row>
    <row r="13" spans="1:9" x14ac:dyDescent="0.3">
      <c r="A13" s="19" t="s">
        <v>1399</v>
      </c>
      <c r="B13" s="20">
        <v>18.715446022727267</v>
      </c>
      <c r="C13" s="45">
        <v>360</v>
      </c>
      <c r="D13" s="20">
        <v>17.673204419889494</v>
      </c>
      <c r="E13" s="45">
        <v>192</v>
      </c>
      <c r="F13" s="20">
        <v>18.815999999999995</v>
      </c>
      <c r="G13" s="45">
        <v>83</v>
      </c>
      <c r="H13" s="20">
        <v>18.418231527093589</v>
      </c>
      <c r="I13" s="45">
        <v>635</v>
      </c>
    </row>
    <row r="14" spans="1:9" x14ac:dyDescent="0.3">
      <c r="A14" s="19" t="s">
        <v>1400</v>
      </c>
      <c r="B14" s="20">
        <v>16.958540000000013</v>
      </c>
      <c r="C14" s="45">
        <v>160</v>
      </c>
      <c r="D14" s="20">
        <v>16.396877358490567</v>
      </c>
      <c r="E14" s="45">
        <v>112</v>
      </c>
      <c r="F14" s="20">
        <v>17.330619047619049</v>
      </c>
      <c r="G14" s="45">
        <v>46</v>
      </c>
      <c r="H14" s="20">
        <v>16.811194630872478</v>
      </c>
      <c r="I14" s="45">
        <v>318</v>
      </c>
    </row>
    <row r="15" spans="1:9" ht="28.8" x14ac:dyDescent="0.3">
      <c r="A15" s="19" t="s">
        <v>1398</v>
      </c>
      <c r="B15" s="20">
        <v>16.069049295774651</v>
      </c>
      <c r="C15" s="45">
        <v>151</v>
      </c>
      <c r="D15" s="20">
        <v>15.145349462365592</v>
      </c>
      <c r="E15" s="45">
        <v>191</v>
      </c>
      <c r="F15" s="20">
        <v>15.441819444444446</v>
      </c>
      <c r="G15" s="45">
        <v>76</v>
      </c>
      <c r="H15" s="20">
        <v>15.526627500000009</v>
      </c>
      <c r="I15" s="45">
        <v>418</v>
      </c>
    </row>
    <row r="16" spans="1:9" x14ac:dyDescent="0.3">
      <c r="A16" s="19" t="s">
        <v>1401</v>
      </c>
      <c r="B16" s="20">
        <v>16.257905660377357</v>
      </c>
      <c r="C16" s="45">
        <v>57</v>
      </c>
      <c r="D16" s="20">
        <v>14.705127906976745</v>
      </c>
      <c r="E16" s="45">
        <v>86</v>
      </c>
      <c r="F16" s="20">
        <v>14.045384615384616</v>
      </c>
      <c r="G16" s="45">
        <v>15</v>
      </c>
      <c r="H16" s="20">
        <v>15.190131578947369</v>
      </c>
      <c r="I16" s="45">
        <v>158</v>
      </c>
    </row>
    <row r="17" spans="1:12" x14ac:dyDescent="0.3">
      <c r="A17" s="19" t="s">
        <v>1364</v>
      </c>
      <c r="B17" s="20">
        <v>17.611322812051636</v>
      </c>
      <c r="C17" s="45">
        <v>728</v>
      </c>
      <c r="D17" s="20">
        <v>16.133443649373891</v>
      </c>
      <c r="E17" s="45">
        <v>581</v>
      </c>
      <c r="F17" s="20">
        <v>17.006418719211819</v>
      </c>
      <c r="G17" s="45">
        <v>220</v>
      </c>
      <c r="H17" s="20">
        <v>16.960925291295407</v>
      </c>
      <c r="I17" s="45">
        <v>1529</v>
      </c>
    </row>
    <row r="23" spans="1:12" x14ac:dyDescent="0.3">
      <c r="A23" s="39" t="s">
        <v>1404</v>
      </c>
      <c r="B23" s="39"/>
      <c r="C23" s="39"/>
      <c r="D23" s="39"/>
      <c r="E23" s="39"/>
      <c r="F23" s="39"/>
      <c r="G23" s="39"/>
      <c r="H23" s="39"/>
      <c r="I23" s="39"/>
      <c r="J23" s="39"/>
      <c r="K23" s="39"/>
      <c r="L23" s="39"/>
    </row>
    <row r="24" spans="1:12" x14ac:dyDescent="0.3">
      <c r="A24" s="39"/>
      <c r="B24" s="39"/>
      <c r="C24" s="39"/>
      <c r="D24" s="39"/>
      <c r="E24" s="39"/>
      <c r="F24" s="39"/>
      <c r="G24" s="39"/>
      <c r="H24" s="39"/>
      <c r="I24" s="39"/>
      <c r="J24" s="39"/>
      <c r="K24" s="39"/>
      <c r="L24" s="39"/>
    </row>
    <row r="25" spans="1:12" x14ac:dyDescent="0.3">
      <c r="A25" s="39"/>
      <c r="B25" s="39"/>
      <c r="C25" s="39"/>
      <c r="D25" s="39"/>
      <c r="E25" s="39"/>
      <c r="F25" s="39"/>
      <c r="G25" s="39"/>
      <c r="H25" s="39"/>
      <c r="I25" s="39"/>
      <c r="J25" s="39"/>
      <c r="K25" s="39"/>
      <c r="L25" s="39"/>
    </row>
    <row r="26" spans="1:12" x14ac:dyDescent="0.3">
      <c r="A26" s="41" t="s">
        <v>1402</v>
      </c>
      <c r="B26" s="41"/>
      <c r="C26" s="41"/>
      <c r="D26" s="41"/>
      <c r="E26" s="41"/>
      <c r="F26" s="41"/>
      <c r="G26" s="41"/>
      <c r="H26" s="41"/>
      <c r="I26" s="41"/>
      <c r="J26" s="41"/>
      <c r="K26" s="41"/>
      <c r="L26" s="41"/>
    </row>
    <row r="27" spans="1:12" x14ac:dyDescent="0.3">
      <c r="A27" s="40">
        <f>CORREL('CVD Dataset'!E:E,'CVD Dataset'!AE:AE)</f>
        <v>0.61644657801967995</v>
      </c>
      <c r="B27" s="40"/>
      <c r="C27" s="40"/>
      <c r="D27" s="40"/>
      <c r="E27" s="40"/>
      <c r="F27" s="40"/>
      <c r="G27" s="40"/>
      <c r="H27" s="40"/>
      <c r="I27" s="40"/>
      <c r="J27" s="40"/>
      <c r="K27" s="40"/>
      <c r="L27" s="40"/>
    </row>
  </sheetData>
  <mergeCells count="3">
    <mergeCell ref="A23:L25"/>
    <mergeCell ref="A27:L27"/>
    <mergeCell ref="A26:L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9819-5F8E-4571-B42D-092270C4BC42}">
  <dimension ref="A1:H25"/>
  <sheetViews>
    <sheetView workbookViewId="0">
      <selection activeCell="A19" sqref="A19:C25"/>
    </sheetView>
  </sheetViews>
  <sheetFormatPr defaultRowHeight="14.4" x14ac:dyDescent="0.3"/>
  <cols>
    <col min="1" max="1" width="12.5546875" bestFit="1" customWidth="1"/>
    <col min="2" max="2" width="30.21875" bestFit="1" customWidth="1"/>
    <col min="3" max="3" width="23.33203125" bestFit="1" customWidth="1"/>
  </cols>
  <sheetData>
    <row r="1" spans="1:7" x14ac:dyDescent="0.3">
      <c r="A1" t="s">
        <v>1313</v>
      </c>
    </row>
    <row r="3" spans="1:7" x14ac:dyDescent="0.3">
      <c r="A3" t="s">
        <v>1299</v>
      </c>
    </row>
    <row r="4" spans="1:7" x14ac:dyDescent="0.3">
      <c r="A4" t="s">
        <v>1314</v>
      </c>
    </row>
    <row r="6" spans="1:7" x14ac:dyDescent="0.3">
      <c r="A6" t="s">
        <v>1301</v>
      </c>
    </row>
    <row r="7" spans="1:7" x14ac:dyDescent="0.3">
      <c r="A7" t="s">
        <v>1315</v>
      </c>
    </row>
    <row r="11" spans="1:7" x14ac:dyDescent="0.3">
      <c r="A11" s="21" t="s">
        <v>1363</v>
      </c>
      <c r="B11" t="s">
        <v>1411</v>
      </c>
      <c r="C11" t="s">
        <v>1371</v>
      </c>
    </row>
    <row r="12" spans="1:7" x14ac:dyDescent="0.3">
      <c r="A12" s="22" t="s">
        <v>1408</v>
      </c>
      <c r="B12" s="23">
        <v>112.22752808988764</v>
      </c>
      <c r="C12" s="23">
        <v>16.722582386363623</v>
      </c>
    </row>
    <row r="13" spans="1:7" x14ac:dyDescent="0.3">
      <c r="A13" s="22" t="s">
        <v>1406</v>
      </c>
      <c r="B13" s="23">
        <v>106.87647058823529</v>
      </c>
      <c r="C13" s="23">
        <v>16.759859237536663</v>
      </c>
    </row>
    <row r="14" spans="1:7" x14ac:dyDescent="0.3">
      <c r="A14" s="22" t="s">
        <v>1407</v>
      </c>
      <c r="B14" s="23">
        <v>109.70170454545455</v>
      </c>
      <c r="C14" s="23">
        <v>16.961971428571427</v>
      </c>
    </row>
    <row r="15" spans="1:7" x14ac:dyDescent="0.3">
      <c r="A15" s="22" t="s">
        <v>1409</v>
      </c>
      <c r="B15" s="23">
        <v>117.86607142857143</v>
      </c>
      <c r="C15" s="23">
        <v>17.47331176470588</v>
      </c>
      <c r="E15" s="39" t="s">
        <v>1412</v>
      </c>
      <c r="F15" s="39"/>
      <c r="G15" s="39"/>
    </row>
    <row r="16" spans="1:7" x14ac:dyDescent="0.3">
      <c r="A16" s="22" t="s">
        <v>1364</v>
      </c>
      <c r="B16" s="23">
        <v>111.63945086705202</v>
      </c>
      <c r="C16" s="23">
        <v>16.976917570498934</v>
      </c>
      <c r="E16" s="42">
        <f>CORREL('CVD Dataset'!E:E,'CVD Dataset'!AE:AE)</f>
        <v>0.61644657801967995</v>
      </c>
      <c r="F16" s="42"/>
      <c r="G16" s="42"/>
    </row>
    <row r="18" spans="1:8" x14ac:dyDescent="0.3">
      <c r="E18" s="39" t="s">
        <v>1413</v>
      </c>
      <c r="F18" s="39"/>
      <c r="G18" s="39"/>
      <c r="H18" s="39"/>
    </row>
    <row r="19" spans="1:8" ht="14.4" customHeight="1" x14ac:dyDescent="0.3">
      <c r="A19" s="37" t="s">
        <v>1414</v>
      </c>
      <c r="B19" s="37"/>
      <c r="C19" s="37"/>
      <c r="E19" s="42">
        <f>CORREL('CVD Dataset'!W:W, 'CVD Dataset'!AE:AE)</f>
        <v>0.11509024142863544</v>
      </c>
      <c r="F19" s="42"/>
      <c r="G19" s="42"/>
      <c r="H19" s="42"/>
    </row>
    <row r="20" spans="1:8" x14ac:dyDescent="0.3">
      <c r="A20" s="38"/>
      <c r="B20" s="38"/>
      <c r="C20" s="38"/>
    </row>
    <row r="21" spans="1:8" x14ac:dyDescent="0.3">
      <c r="A21" s="38"/>
      <c r="B21" s="38"/>
      <c r="C21" s="38"/>
    </row>
    <row r="22" spans="1:8" x14ac:dyDescent="0.3">
      <c r="A22" s="38"/>
      <c r="B22" s="38"/>
      <c r="C22" s="38"/>
    </row>
    <row r="23" spans="1:8" x14ac:dyDescent="0.3">
      <c r="A23" s="38"/>
      <c r="B23" s="38"/>
      <c r="C23" s="38"/>
    </row>
    <row r="24" spans="1:8" x14ac:dyDescent="0.3">
      <c r="A24" s="38"/>
      <c r="B24" s="38"/>
      <c r="C24" s="38"/>
    </row>
    <row r="25" spans="1:8" x14ac:dyDescent="0.3">
      <c r="A25" s="38"/>
      <c r="B25" s="38"/>
      <c r="C25" s="38"/>
    </row>
  </sheetData>
  <mergeCells count="5">
    <mergeCell ref="E15:G15"/>
    <mergeCell ref="E16:G16"/>
    <mergeCell ref="E18:H18"/>
    <mergeCell ref="E19:H19"/>
    <mergeCell ref="A19:C25"/>
  </mergeCells>
  <conditionalFormatting pivot="1" sqref="B12:B15">
    <cfRule type="top10" dxfId="143" priority="2" rank="1"/>
  </conditionalFormatting>
  <conditionalFormatting pivot="1" sqref="C12:C15">
    <cfRule type="top10" dxfId="142" priority="1" rank="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94458-D5DD-48E0-B1DC-E521BDE933D8}">
  <dimension ref="A1:J24"/>
  <sheetViews>
    <sheetView workbookViewId="0">
      <selection activeCell="B20" sqref="B20:J24"/>
    </sheetView>
  </sheetViews>
  <sheetFormatPr defaultRowHeight="14.4" x14ac:dyDescent="0.3"/>
  <sheetData>
    <row r="1" spans="1:6" x14ac:dyDescent="0.3">
      <c r="A1" t="s">
        <v>1316</v>
      </c>
    </row>
    <row r="3" spans="1:6" x14ac:dyDescent="0.3">
      <c r="A3" t="s">
        <v>1299</v>
      </c>
    </row>
    <row r="4" spans="1:6" x14ac:dyDescent="0.3">
      <c r="A4" t="s">
        <v>1317</v>
      </c>
    </row>
    <row r="6" spans="1:6" x14ac:dyDescent="0.3">
      <c r="A6" t="s">
        <v>1301</v>
      </c>
    </row>
    <row r="7" spans="1:6" x14ac:dyDescent="0.3">
      <c r="A7" t="s">
        <v>1318</v>
      </c>
    </row>
    <row r="11" spans="1:6" x14ac:dyDescent="0.3">
      <c r="B11" s="39" t="s">
        <v>1415</v>
      </c>
      <c r="C11" s="39"/>
      <c r="D11" s="39"/>
      <c r="E11" s="39"/>
      <c r="F11" s="39"/>
    </row>
    <row r="12" spans="1:6" x14ac:dyDescent="0.3">
      <c r="B12" s="42">
        <f>CORREL('CVD Dataset'!I:I,'CVD Dataset'!AE:AE)</f>
        <v>8.6472365700640777E-2</v>
      </c>
      <c r="C12" s="42"/>
      <c r="D12" s="42"/>
      <c r="E12" s="42"/>
      <c r="F12" s="42"/>
    </row>
    <row r="15" spans="1:6" x14ac:dyDescent="0.3">
      <c r="B15" s="39" t="s">
        <v>1412</v>
      </c>
      <c r="C15" s="39"/>
      <c r="D15" s="39"/>
      <c r="E15" s="39"/>
      <c r="F15" s="39"/>
    </row>
    <row r="16" spans="1:6" x14ac:dyDescent="0.3">
      <c r="B16" s="40">
        <f>CORREL('CVD Dataset'!E:E,'CVD Dataset'!AE:AE)</f>
        <v>0.61644657801967995</v>
      </c>
      <c r="C16" s="40"/>
      <c r="D16" s="40"/>
      <c r="E16" s="40"/>
      <c r="F16" s="40"/>
    </row>
    <row r="20" spans="2:10" ht="14.4" customHeight="1" x14ac:dyDescent="0.3">
      <c r="B20" s="39" t="s">
        <v>1416</v>
      </c>
      <c r="C20" s="39"/>
      <c r="D20" s="39"/>
      <c r="E20" s="39"/>
      <c r="F20" s="39"/>
      <c r="G20" s="39"/>
      <c r="H20" s="39"/>
      <c r="I20" s="39"/>
      <c r="J20" s="39"/>
    </row>
    <row r="21" spans="2:10" x14ac:dyDescent="0.3">
      <c r="B21" s="39"/>
      <c r="C21" s="39"/>
      <c r="D21" s="39"/>
      <c r="E21" s="39"/>
      <c r="F21" s="39"/>
      <c r="G21" s="39"/>
      <c r="H21" s="39"/>
      <c r="I21" s="39"/>
      <c r="J21" s="39"/>
    </row>
    <row r="22" spans="2:10" x14ac:dyDescent="0.3">
      <c r="B22" s="39"/>
      <c r="C22" s="39"/>
      <c r="D22" s="39"/>
      <c r="E22" s="39"/>
      <c r="F22" s="39"/>
      <c r="G22" s="39"/>
      <c r="H22" s="39"/>
      <c r="I22" s="39"/>
      <c r="J22" s="39"/>
    </row>
    <row r="23" spans="2:10" x14ac:dyDescent="0.3">
      <c r="B23" s="39"/>
      <c r="C23" s="39"/>
      <c r="D23" s="39"/>
      <c r="E23" s="39"/>
      <c r="F23" s="39"/>
      <c r="G23" s="39"/>
      <c r="H23" s="39"/>
      <c r="I23" s="39"/>
      <c r="J23" s="39"/>
    </row>
    <row r="24" spans="2:10" x14ac:dyDescent="0.3">
      <c r="B24" s="39"/>
      <c r="C24" s="39"/>
      <c r="D24" s="39"/>
      <c r="E24" s="39"/>
      <c r="F24" s="39"/>
      <c r="G24" s="39"/>
      <c r="H24" s="39"/>
      <c r="I24" s="39"/>
      <c r="J24" s="39"/>
    </row>
  </sheetData>
  <mergeCells count="5">
    <mergeCell ref="B11:F11"/>
    <mergeCell ref="B12:F12"/>
    <mergeCell ref="B15:F15"/>
    <mergeCell ref="B16:F16"/>
    <mergeCell ref="B20:J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7781-5EA7-45B0-B8BE-42655659C762}">
  <dimension ref="A1:I21"/>
  <sheetViews>
    <sheetView workbookViewId="0">
      <selection activeCell="C8" sqref="C8"/>
    </sheetView>
  </sheetViews>
  <sheetFormatPr defaultRowHeight="14.4" x14ac:dyDescent="0.3"/>
  <cols>
    <col min="1" max="1" width="13.44140625" bestFit="1" customWidth="1"/>
    <col min="2" max="2" width="25" bestFit="1" customWidth="1"/>
    <col min="3" max="3" width="12.44140625" bestFit="1" customWidth="1"/>
    <col min="4" max="4" width="13.33203125" bestFit="1" customWidth="1"/>
    <col min="5" max="5" width="10.109375" bestFit="1" customWidth="1"/>
    <col min="6" max="6" width="18.6640625" bestFit="1" customWidth="1"/>
    <col min="7" max="7" width="23.33203125" bestFit="1" customWidth="1"/>
    <col min="8" max="8" width="7.88671875" bestFit="1" customWidth="1"/>
  </cols>
  <sheetData>
    <row r="1" spans="1:8" x14ac:dyDescent="0.3">
      <c r="A1" t="s">
        <v>1319</v>
      </c>
    </row>
    <row r="3" spans="1:8" x14ac:dyDescent="0.3">
      <c r="A3" t="s">
        <v>1299</v>
      </c>
    </row>
    <row r="4" spans="1:8" x14ac:dyDescent="0.3">
      <c r="A4" t="s">
        <v>1320</v>
      </c>
    </row>
    <row r="6" spans="1:8" x14ac:dyDescent="0.3">
      <c r="A6" t="s">
        <v>1301</v>
      </c>
    </row>
    <row r="7" spans="1:8" x14ac:dyDescent="0.3">
      <c r="A7" t="s">
        <v>1321</v>
      </c>
    </row>
    <row r="9" spans="1:8" x14ac:dyDescent="0.3">
      <c r="A9" s="27" t="s">
        <v>21</v>
      </c>
      <c r="B9" s="14" t="s">
        <v>32</v>
      </c>
    </row>
    <row r="11" spans="1:8" s="12" customFormat="1" ht="43.2" x14ac:dyDescent="0.3">
      <c r="A11" s="27" t="s">
        <v>1363</v>
      </c>
      <c r="B11" s="14" t="s">
        <v>1418</v>
      </c>
      <c r="C11" s="14" t="s">
        <v>1387</v>
      </c>
      <c r="D11" s="14" t="s">
        <v>1417</v>
      </c>
      <c r="E11" s="14" t="s">
        <v>1371</v>
      </c>
      <c r="F11" s="14" t="s">
        <v>1419</v>
      </c>
      <c r="G11"/>
      <c r="H11"/>
    </row>
    <row r="12" spans="1:8" x14ac:dyDescent="0.3">
      <c r="A12" s="28" t="s">
        <v>1398</v>
      </c>
      <c r="B12" s="29">
        <v>207.81944444444446</v>
      </c>
      <c r="C12" s="46">
        <v>151</v>
      </c>
      <c r="D12" s="46">
        <v>151</v>
      </c>
      <c r="E12" s="29">
        <v>16.06904929577464</v>
      </c>
      <c r="F12" s="29">
        <v>121.02758620689656</v>
      </c>
    </row>
    <row r="13" spans="1:8" x14ac:dyDescent="0.3">
      <c r="A13" s="28" t="s">
        <v>1399</v>
      </c>
      <c r="B13" s="29">
        <v>207.31412103746399</v>
      </c>
      <c r="C13" s="46">
        <v>360</v>
      </c>
      <c r="D13" s="46">
        <v>360</v>
      </c>
      <c r="E13" s="29">
        <v>18.715446022727267</v>
      </c>
      <c r="F13" s="29">
        <v>116.28735632183908</v>
      </c>
    </row>
    <row r="14" spans="1:8" x14ac:dyDescent="0.3">
      <c r="A14" s="28" t="s">
        <v>1400</v>
      </c>
      <c r="B14" s="29">
        <v>208.31125827814569</v>
      </c>
      <c r="C14" s="46">
        <v>160</v>
      </c>
      <c r="D14" s="46">
        <v>160</v>
      </c>
      <c r="E14" s="29">
        <v>16.958539999999996</v>
      </c>
      <c r="F14" s="29">
        <v>115.7748344370861</v>
      </c>
    </row>
    <row r="15" spans="1:8" x14ac:dyDescent="0.3">
      <c r="A15" s="28" t="s">
        <v>1401</v>
      </c>
      <c r="B15" s="29">
        <v>219.16981132075472</v>
      </c>
      <c r="C15" s="46">
        <v>57</v>
      </c>
      <c r="D15" s="46">
        <v>57</v>
      </c>
      <c r="E15" s="29">
        <v>16.257905660377357</v>
      </c>
      <c r="F15" s="29">
        <v>115.7090909090909</v>
      </c>
    </row>
    <row r="16" spans="1:8" x14ac:dyDescent="0.3">
      <c r="A16" s="28" t="s">
        <v>1364</v>
      </c>
      <c r="B16" s="29">
        <v>208.53956834532374</v>
      </c>
      <c r="C16" s="46">
        <v>728</v>
      </c>
      <c r="D16" s="46">
        <v>728</v>
      </c>
      <c r="E16" s="29">
        <v>17.611322812051633</v>
      </c>
      <c r="F16" s="29">
        <v>117.11444921316166</v>
      </c>
    </row>
    <row r="17" spans="1:9" x14ac:dyDescent="0.3">
      <c r="A17" s="12"/>
      <c r="B17" s="12"/>
      <c r="C17" s="12"/>
      <c r="D17" s="12"/>
      <c r="E17" s="12"/>
      <c r="F17" s="12"/>
      <c r="G17" s="12"/>
    </row>
    <row r="19" spans="1:9" x14ac:dyDescent="0.3">
      <c r="A19" s="39" t="s">
        <v>1420</v>
      </c>
      <c r="B19" s="39"/>
      <c r="C19" s="39"/>
      <c r="D19" s="39"/>
      <c r="E19" s="39"/>
      <c r="F19" s="39"/>
      <c r="G19" s="39"/>
      <c r="H19" s="39"/>
      <c r="I19" s="39"/>
    </row>
    <row r="20" spans="1:9" x14ac:dyDescent="0.3">
      <c r="A20" s="39"/>
      <c r="B20" s="39"/>
      <c r="C20" s="39"/>
      <c r="D20" s="39"/>
      <c r="E20" s="39"/>
      <c r="F20" s="39"/>
      <c r="G20" s="39"/>
      <c r="H20" s="39"/>
      <c r="I20" s="39"/>
    </row>
    <row r="21" spans="1:9" x14ac:dyDescent="0.3">
      <c r="A21" s="39"/>
      <c r="B21" s="39"/>
      <c r="C21" s="39"/>
      <c r="D21" s="39"/>
      <c r="E21" s="39"/>
      <c r="F21" s="39"/>
      <c r="G21" s="39"/>
      <c r="H21" s="39"/>
      <c r="I21" s="39"/>
    </row>
  </sheetData>
  <mergeCells count="1">
    <mergeCell ref="A19:I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C8F1-0FB7-4F8E-96A3-4823CCFC5754}">
  <dimension ref="A1:G25"/>
  <sheetViews>
    <sheetView workbookViewId="0">
      <selection activeCell="A22" sqref="A22:G25"/>
    </sheetView>
  </sheetViews>
  <sheetFormatPr defaultRowHeight="14.4" x14ac:dyDescent="0.3"/>
  <cols>
    <col min="1" max="1" width="24" bestFit="1" customWidth="1"/>
    <col min="2" max="2" width="15.88671875" bestFit="1" customWidth="1"/>
    <col min="3" max="3" width="19.5546875" bestFit="1" customWidth="1"/>
    <col min="4" max="4" width="10.77734375" bestFit="1" customWidth="1"/>
  </cols>
  <sheetData>
    <row r="1" spans="1:4" x14ac:dyDescent="0.3">
      <c r="A1" t="s">
        <v>1323</v>
      </c>
    </row>
    <row r="3" spans="1:4" x14ac:dyDescent="0.3">
      <c r="A3" t="s">
        <v>1299</v>
      </c>
    </row>
    <row r="4" spans="1:4" x14ac:dyDescent="0.3">
      <c r="A4" t="s">
        <v>1324</v>
      </c>
    </row>
    <row r="6" spans="1:4" x14ac:dyDescent="0.3">
      <c r="A6" t="s">
        <v>1301</v>
      </c>
    </row>
    <row r="7" spans="1:4" x14ac:dyDescent="0.3">
      <c r="A7" t="s">
        <v>1325</v>
      </c>
    </row>
    <row r="12" spans="1:4" x14ac:dyDescent="0.3">
      <c r="A12" s="21" t="s">
        <v>1394</v>
      </c>
      <c r="B12" s="21" t="s">
        <v>1373</v>
      </c>
    </row>
    <row r="13" spans="1:4" x14ac:dyDescent="0.3">
      <c r="A13" s="21" t="s">
        <v>18</v>
      </c>
      <c r="B13" t="s">
        <v>1379</v>
      </c>
      <c r="C13" t="s">
        <v>1380</v>
      </c>
      <c r="D13" t="s">
        <v>1364</v>
      </c>
    </row>
    <row r="14" spans="1:4" x14ac:dyDescent="0.3">
      <c r="A14" s="22" t="s">
        <v>27</v>
      </c>
      <c r="B14" s="30">
        <v>0.52</v>
      </c>
      <c r="C14" s="30">
        <v>0.48</v>
      </c>
      <c r="D14" s="30">
        <v>1</v>
      </c>
    </row>
    <row r="15" spans="1:4" x14ac:dyDescent="0.3">
      <c r="A15" s="22" t="s">
        <v>31</v>
      </c>
      <c r="B15" s="30">
        <v>0.50704225352112675</v>
      </c>
      <c r="C15" s="30">
        <v>0.49295774647887325</v>
      </c>
      <c r="D15" s="30">
        <v>1</v>
      </c>
    </row>
    <row r="16" spans="1:4" x14ac:dyDescent="0.3">
      <c r="A16" s="22" t="s">
        <v>40</v>
      </c>
      <c r="B16" s="30">
        <v>0.44145569620253167</v>
      </c>
      <c r="C16" s="30">
        <v>0.55854430379746833</v>
      </c>
      <c r="D16" s="30">
        <v>1</v>
      </c>
    </row>
    <row r="17" spans="1:7" x14ac:dyDescent="0.3">
      <c r="A17" s="22" t="s">
        <v>35</v>
      </c>
      <c r="B17" s="30">
        <v>0.48333333333333334</v>
      </c>
      <c r="C17" s="30">
        <v>0.51666666666666672</v>
      </c>
      <c r="D17" s="30">
        <v>1</v>
      </c>
    </row>
    <row r="18" spans="1:7" x14ac:dyDescent="0.3">
      <c r="A18" s="22" t="s">
        <v>1364</v>
      </c>
      <c r="B18" s="30">
        <v>0.4761281883584042</v>
      </c>
      <c r="C18" s="30">
        <v>0.5238718116415958</v>
      </c>
      <c r="D18" s="30">
        <v>1</v>
      </c>
    </row>
    <row r="22" spans="1:7" ht="14.4" customHeight="1" x14ac:dyDescent="0.3">
      <c r="A22" s="37" t="s">
        <v>1421</v>
      </c>
      <c r="B22" s="37"/>
      <c r="C22" s="37"/>
      <c r="D22" s="37"/>
      <c r="E22" s="37"/>
      <c r="F22" s="37"/>
      <c r="G22" s="37"/>
    </row>
    <row r="23" spans="1:7" x14ac:dyDescent="0.3">
      <c r="A23" s="38"/>
      <c r="B23" s="38"/>
      <c r="C23" s="38"/>
      <c r="D23" s="38"/>
      <c r="E23" s="38"/>
      <c r="F23" s="38"/>
      <c r="G23" s="38"/>
    </row>
    <row r="24" spans="1:7" x14ac:dyDescent="0.3">
      <c r="A24" s="38"/>
      <c r="B24" s="38"/>
      <c r="C24" s="38"/>
      <c r="D24" s="38"/>
      <c r="E24" s="38"/>
      <c r="F24" s="38"/>
      <c r="G24" s="38"/>
    </row>
    <row r="25" spans="1:7" x14ac:dyDescent="0.3">
      <c r="A25" s="38"/>
      <c r="B25" s="38"/>
      <c r="C25" s="38"/>
      <c r="D25" s="38"/>
      <c r="E25" s="38"/>
      <c r="F25" s="38"/>
      <c r="G25" s="38"/>
    </row>
  </sheetData>
  <mergeCells count="1">
    <mergeCell ref="A22:G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19F24-0B11-4407-8FB6-78EBF5910124}">
  <dimension ref="A1:H24"/>
  <sheetViews>
    <sheetView workbookViewId="0">
      <selection activeCell="A20" sqref="A20:H24"/>
    </sheetView>
  </sheetViews>
  <sheetFormatPr defaultRowHeight="14.4" x14ac:dyDescent="0.3"/>
  <cols>
    <col min="1" max="1" width="18.33203125" bestFit="1" customWidth="1"/>
    <col min="2" max="2" width="23.33203125" bestFit="1" customWidth="1"/>
  </cols>
  <sheetData>
    <row r="1" spans="1:2" x14ac:dyDescent="0.3">
      <c r="A1" t="s">
        <v>1326</v>
      </c>
    </row>
    <row r="3" spans="1:2" x14ac:dyDescent="0.3">
      <c r="A3" t="s">
        <v>1299</v>
      </c>
    </row>
    <row r="4" spans="1:2" x14ac:dyDescent="0.3">
      <c r="A4" t="s">
        <v>1327</v>
      </c>
    </row>
    <row r="6" spans="1:2" x14ac:dyDescent="0.3">
      <c r="A6" t="s">
        <v>1301</v>
      </c>
    </row>
    <row r="7" spans="1:2" x14ac:dyDescent="0.3">
      <c r="A7" t="s">
        <v>1328</v>
      </c>
    </row>
    <row r="11" spans="1:2" x14ac:dyDescent="0.3">
      <c r="A11" s="21" t="s">
        <v>1363</v>
      </c>
      <c r="B11" t="s">
        <v>1371</v>
      </c>
    </row>
    <row r="12" spans="1:2" x14ac:dyDescent="0.3">
      <c r="A12" s="22" t="s">
        <v>27</v>
      </c>
      <c r="B12" s="23">
        <v>17.213541666666671</v>
      </c>
    </row>
    <row r="13" spans="1:2" x14ac:dyDescent="0.3">
      <c r="A13" s="22" t="s">
        <v>31</v>
      </c>
      <c r="B13" s="23">
        <v>16.889739872068244</v>
      </c>
    </row>
    <row r="14" spans="1:2" x14ac:dyDescent="0.3">
      <c r="A14" s="22" t="s">
        <v>40</v>
      </c>
      <c r="B14" s="23">
        <v>17.563860426929381</v>
      </c>
    </row>
    <row r="15" spans="1:2" x14ac:dyDescent="0.3">
      <c r="A15" s="22" t="s">
        <v>35</v>
      </c>
      <c r="B15" s="23">
        <v>15.704599999999992</v>
      </c>
    </row>
    <row r="16" spans="1:2" x14ac:dyDescent="0.3">
      <c r="A16" s="22" t="s">
        <v>1364</v>
      </c>
      <c r="B16" s="23">
        <v>16.960925291295439</v>
      </c>
    </row>
    <row r="20" spans="1:8" ht="14.4" customHeight="1" x14ac:dyDescent="0.3">
      <c r="A20" s="37" t="s">
        <v>1422</v>
      </c>
      <c r="B20" s="37"/>
      <c r="C20" s="37"/>
      <c r="D20" s="37"/>
      <c r="E20" s="37"/>
      <c r="F20" s="37"/>
      <c r="G20" s="37"/>
      <c r="H20" s="37"/>
    </row>
    <row r="21" spans="1:8" x14ac:dyDescent="0.3">
      <c r="A21" s="38"/>
      <c r="B21" s="38"/>
      <c r="C21" s="38"/>
      <c r="D21" s="38"/>
      <c r="E21" s="38"/>
      <c r="F21" s="38"/>
      <c r="G21" s="38"/>
      <c r="H21" s="38"/>
    </row>
    <row r="22" spans="1:8" x14ac:dyDescent="0.3">
      <c r="A22" s="38"/>
      <c r="B22" s="38"/>
      <c r="C22" s="38"/>
      <c r="D22" s="38"/>
      <c r="E22" s="38"/>
      <c r="F22" s="38"/>
      <c r="G22" s="38"/>
      <c r="H22" s="38"/>
    </row>
    <row r="23" spans="1:8" x14ac:dyDescent="0.3">
      <c r="A23" s="38"/>
      <c r="B23" s="38"/>
      <c r="C23" s="38"/>
      <c r="D23" s="38"/>
      <c r="E23" s="38"/>
      <c r="F23" s="38"/>
      <c r="G23" s="38"/>
      <c r="H23" s="38"/>
    </row>
    <row r="24" spans="1:8" x14ac:dyDescent="0.3">
      <c r="A24" s="38"/>
      <c r="B24" s="38"/>
      <c r="C24" s="38"/>
      <c r="D24" s="38"/>
      <c r="E24" s="38"/>
      <c r="F24" s="38"/>
      <c r="G24" s="38"/>
      <c r="H24" s="38"/>
    </row>
  </sheetData>
  <mergeCells count="1">
    <mergeCell ref="A20:H24"/>
  </mergeCells>
  <conditionalFormatting sqref="A12:A15">
    <cfRule type="colorScale" priority="2">
      <colorScale>
        <cfvo type="min"/>
        <cfvo type="percentile" val="50"/>
        <cfvo type="max"/>
        <color rgb="FF63BE7B"/>
        <color rgb="FFFFEB84"/>
        <color rgb="FFF8696B"/>
      </colorScale>
    </cfRule>
  </conditionalFormatting>
  <conditionalFormatting pivot="1" sqref="B12:B1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F968-91B6-4920-8D60-EBF7C2445A65}">
  <dimension ref="A1:D22"/>
  <sheetViews>
    <sheetView workbookViewId="0">
      <selection activeCell="A16" sqref="A16:D22"/>
    </sheetView>
  </sheetViews>
  <sheetFormatPr defaultRowHeight="14.4" x14ac:dyDescent="0.3"/>
  <cols>
    <col min="1" max="1" width="16.6640625" bestFit="1" customWidth="1"/>
    <col min="2" max="2" width="29.109375" bestFit="1" customWidth="1"/>
  </cols>
  <sheetData>
    <row r="1" spans="1:4" x14ac:dyDescent="0.3">
      <c r="A1" t="s">
        <v>1329</v>
      </c>
    </row>
    <row r="3" spans="1:4" x14ac:dyDescent="0.3">
      <c r="A3" t="s">
        <v>1299</v>
      </c>
    </row>
    <row r="4" spans="1:4" x14ac:dyDescent="0.3">
      <c r="A4" t="s">
        <v>1330</v>
      </c>
    </row>
    <row r="6" spans="1:4" x14ac:dyDescent="0.3">
      <c r="A6" t="s">
        <v>1301</v>
      </c>
    </row>
    <row r="7" spans="1:4" x14ac:dyDescent="0.3">
      <c r="A7" t="s">
        <v>1331</v>
      </c>
    </row>
    <row r="10" spans="1:4" x14ac:dyDescent="0.3">
      <c r="A10" s="21" t="s">
        <v>1363</v>
      </c>
      <c r="B10" t="s">
        <v>1393</v>
      </c>
    </row>
    <row r="11" spans="1:4" x14ac:dyDescent="0.3">
      <c r="A11" s="22" t="s">
        <v>1424</v>
      </c>
      <c r="B11" s="30">
        <v>0.11401098901098901</v>
      </c>
    </row>
    <row r="12" spans="1:4" x14ac:dyDescent="0.3">
      <c r="A12" s="22" t="s">
        <v>1425</v>
      </c>
      <c r="B12" s="30">
        <v>0.88598901098901095</v>
      </c>
    </row>
    <row r="13" spans="1:4" x14ac:dyDescent="0.3">
      <c r="A13" s="22" t="s">
        <v>1364</v>
      </c>
      <c r="B13" s="30">
        <v>1</v>
      </c>
    </row>
    <row r="16" spans="1:4" ht="14.4" customHeight="1" x14ac:dyDescent="0.3">
      <c r="A16" s="38" t="s">
        <v>1426</v>
      </c>
      <c r="B16" s="38"/>
      <c r="C16" s="38"/>
      <c r="D16" s="38"/>
    </row>
    <row r="17" spans="1:4" x14ac:dyDescent="0.3">
      <c r="A17" s="38"/>
      <c r="B17" s="38"/>
      <c r="C17" s="38"/>
      <c r="D17" s="38"/>
    </row>
    <row r="18" spans="1:4" x14ac:dyDescent="0.3">
      <c r="A18" s="38"/>
      <c r="B18" s="38"/>
      <c r="C18" s="38"/>
      <c r="D18" s="38"/>
    </row>
    <row r="19" spans="1:4" x14ac:dyDescent="0.3">
      <c r="A19" s="38"/>
      <c r="B19" s="38"/>
      <c r="C19" s="38"/>
      <c r="D19" s="38"/>
    </row>
    <row r="20" spans="1:4" x14ac:dyDescent="0.3">
      <c r="A20" s="38"/>
      <c r="B20" s="38"/>
      <c r="C20" s="38"/>
      <c r="D20" s="38"/>
    </row>
    <row r="21" spans="1:4" x14ac:dyDescent="0.3">
      <c r="A21" s="38"/>
      <c r="B21" s="38"/>
      <c r="C21" s="38"/>
      <c r="D21" s="38"/>
    </row>
    <row r="22" spans="1:4" x14ac:dyDescent="0.3">
      <c r="A22" s="38"/>
      <c r="B22" s="38"/>
      <c r="C22" s="38"/>
      <c r="D22" s="38"/>
    </row>
  </sheetData>
  <mergeCells count="1">
    <mergeCell ref="A16:D2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9ABC-37D8-4821-8EDD-203502B8782C}">
  <dimension ref="A2:F26"/>
  <sheetViews>
    <sheetView topLeftCell="A4" workbookViewId="0">
      <selection activeCell="B17" sqref="B17:F26"/>
    </sheetView>
  </sheetViews>
  <sheetFormatPr defaultRowHeight="14.4" x14ac:dyDescent="0.3"/>
  <sheetData>
    <row r="2" spans="1:6" x14ac:dyDescent="0.3">
      <c r="A2" t="s">
        <v>1332</v>
      </c>
    </row>
    <row r="4" spans="1:6" x14ac:dyDescent="0.3">
      <c r="A4" t="s">
        <v>1299</v>
      </c>
    </row>
    <row r="5" spans="1:6" x14ac:dyDescent="0.3">
      <c r="A5" t="s">
        <v>1333</v>
      </c>
    </row>
    <row r="7" spans="1:6" x14ac:dyDescent="0.3">
      <c r="A7" t="s">
        <v>1301</v>
      </c>
    </row>
    <row r="8" spans="1:6" x14ac:dyDescent="0.3">
      <c r="A8" t="s">
        <v>1334</v>
      </c>
    </row>
    <row r="12" spans="1:6" x14ac:dyDescent="0.3">
      <c r="B12" s="43" t="s">
        <v>1429</v>
      </c>
      <c r="C12" s="43"/>
      <c r="D12" s="43"/>
      <c r="E12" s="43"/>
      <c r="F12" s="43"/>
    </row>
    <row r="13" spans="1:6" x14ac:dyDescent="0.3">
      <c r="B13" s="40">
        <f>CORREL('CVD Dataset'!K:K,'CVD Dataset'!AE:AE)</f>
        <v>0.4842079437527797</v>
      </c>
      <c r="C13" s="40"/>
      <c r="D13" s="40"/>
      <c r="E13" s="40"/>
      <c r="F13" s="40"/>
    </row>
    <row r="17" spans="2:6" ht="14.4" customHeight="1" x14ac:dyDescent="0.3">
      <c r="B17" s="37" t="s">
        <v>1430</v>
      </c>
      <c r="C17" s="37"/>
      <c r="D17" s="37"/>
      <c r="E17" s="37"/>
      <c r="F17" s="37"/>
    </row>
    <row r="18" spans="2:6" x14ac:dyDescent="0.3">
      <c r="B18" s="38"/>
      <c r="C18" s="38"/>
      <c r="D18" s="38"/>
      <c r="E18" s="38"/>
      <c r="F18" s="38"/>
    </row>
    <row r="19" spans="2:6" x14ac:dyDescent="0.3">
      <c r="B19" s="38"/>
      <c r="C19" s="38"/>
      <c r="D19" s="38"/>
      <c r="E19" s="38"/>
      <c r="F19" s="38"/>
    </row>
    <row r="20" spans="2:6" x14ac:dyDescent="0.3">
      <c r="B20" s="38"/>
      <c r="C20" s="38"/>
      <c r="D20" s="38"/>
      <c r="E20" s="38"/>
      <c r="F20" s="38"/>
    </row>
    <row r="21" spans="2:6" x14ac:dyDescent="0.3">
      <c r="B21" s="38"/>
      <c r="C21" s="38"/>
      <c r="D21" s="38"/>
      <c r="E21" s="38"/>
      <c r="F21" s="38"/>
    </row>
    <row r="22" spans="2:6" x14ac:dyDescent="0.3">
      <c r="B22" s="38"/>
      <c r="C22" s="38"/>
      <c r="D22" s="38"/>
      <c r="E22" s="38"/>
      <c r="F22" s="38"/>
    </row>
    <row r="23" spans="2:6" x14ac:dyDescent="0.3">
      <c r="B23" s="38"/>
      <c r="C23" s="38"/>
      <c r="D23" s="38"/>
      <c r="E23" s="38"/>
      <c r="F23" s="38"/>
    </row>
    <row r="24" spans="2:6" x14ac:dyDescent="0.3">
      <c r="B24" s="38"/>
      <c r="C24" s="38"/>
      <c r="D24" s="38"/>
      <c r="E24" s="38"/>
      <c r="F24" s="38"/>
    </row>
    <row r="25" spans="2:6" x14ac:dyDescent="0.3">
      <c r="B25" s="38"/>
      <c r="C25" s="38"/>
      <c r="D25" s="38"/>
      <c r="E25" s="38"/>
      <c r="F25" s="38"/>
    </row>
    <row r="26" spans="2:6" x14ac:dyDescent="0.3">
      <c r="B26" s="38"/>
      <c r="C26" s="38"/>
      <c r="D26" s="38"/>
      <c r="E26" s="38"/>
      <c r="F26" s="38"/>
    </row>
  </sheetData>
  <mergeCells count="3">
    <mergeCell ref="B13:F13"/>
    <mergeCell ref="B12:F12"/>
    <mergeCell ref="B17:F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FD3D1-10F6-479F-85E7-2487ECB9A291}">
  <dimension ref="A1:F22"/>
  <sheetViews>
    <sheetView workbookViewId="0">
      <selection activeCell="B13" sqref="B13"/>
    </sheetView>
  </sheetViews>
  <sheetFormatPr defaultRowHeight="14.4" x14ac:dyDescent="0.3"/>
  <cols>
    <col min="1" max="1" width="19.88671875" bestFit="1" customWidth="1"/>
    <col min="2" max="2" width="23.33203125" bestFit="1" customWidth="1"/>
  </cols>
  <sheetData>
    <row r="1" spans="1:2" x14ac:dyDescent="0.3">
      <c r="A1" t="s">
        <v>1336</v>
      </c>
    </row>
    <row r="3" spans="1:2" x14ac:dyDescent="0.3">
      <c r="A3" t="s">
        <v>1299</v>
      </c>
    </row>
    <row r="4" spans="1:2" x14ac:dyDescent="0.3">
      <c r="A4" t="s">
        <v>1337</v>
      </c>
    </row>
    <row r="6" spans="1:2" x14ac:dyDescent="0.3">
      <c r="A6" t="s">
        <v>1301</v>
      </c>
    </row>
    <row r="7" spans="1:2" x14ac:dyDescent="0.3">
      <c r="A7" t="s">
        <v>1338</v>
      </c>
    </row>
    <row r="11" spans="1:2" x14ac:dyDescent="0.3">
      <c r="A11" s="13" t="s">
        <v>1435</v>
      </c>
      <c r="B11" s="8" t="s">
        <v>1371</v>
      </c>
    </row>
    <row r="12" spans="1:2" x14ac:dyDescent="0.3">
      <c r="A12" s="15" t="s">
        <v>1432</v>
      </c>
      <c r="B12" s="9">
        <v>17.883831683168307</v>
      </c>
    </row>
    <row r="13" spans="1:2" x14ac:dyDescent="0.3">
      <c r="A13" s="15" t="s">
        <v>1433</v>
      </c>
      <c r="B13" s="9">
        <v>16.162184873949574</v>
      </c>
    </row>
    <row r="14" spans="1:2" x14ac:dyDescent="0.3">
      <c r="A14" s="15" t="s">
        <v>1434</v>
      </c>
      <c r="B14" s="9">
        <v>15.615627118644074</v>
      </c>
    </row>
    <row r="15" spans="1:2" x14ac:dyDescent="0.3">
      <c r="A15" s="15" t="s">
        <v>1364</v>
      </c>
      <c r="B15" s="9">
        <v>16.960925291295446</v>
      </c>
    </row>
    <row r="19" spans="1:6" ht="14.4" customHeight="1" x14ac:dyDescent="0.3">
      <c r="A19" s="37" t="s">
        <v>1436</v>
      </c>
      <c r="B19" s="37"/>
      <c r="C19" s="37"/>
      <c r="D19" s="37"/>
      <c r="E19" s="37"/>
      <c r="F19" s="37"/>
    </row>
    <row r="20" spans="1:6" x14ac:dyDescent="0.3">
      <c r="A20" s="38"/>
      <c r="B20" s="38"/>
      <c r="C20" s="38"/>
      <c r="D20" s="38"/>
      <c r="E20" s="38"/>
      <c r="F20" s="38"/>
    </row>
    <row r="21" spans="1:6" x14ac:dyDescent="0.3">
      <c r="A21" s="38"/>
      <c r="B21" s="38"/>
      <c r="C21" s="38"/>
      <c r="D21" s="38"/>
      <c r="E21" s="38"/>
      <c r="F21" s="38"/>
    </row>
    <row r="22" spans="1:6" x14ac:dyDescent="0.3">
      <c r="A22" s="38"/>
      <c r="B22" s="38"/>
      <c r="C22" s="38"/>
      <c r="D22" s="38"/>
      <c r="E22" s="38"/>
      <c r="F22" s="38"/>
    </row>
  </sheetData>
  <mergeCells count="1">
    <mergeCell ref="A19:F22"/>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1AA7-4FC0-43D4-B3D8-CC3297D7A6EA}">
  <dimension ref="A1:G23"/>
  <sheetViews>
    <sheetView workbookViewId="0">
      <selection activeCell="A16" sqref="A16:G23"/>
    </sheetView>
  </sheetViews>
  <sheetFormatPr defaultRowHeight="14.4" x14ac:dyDescent="0.3"/>
  <sheetData>
    <row r="1" spans="1:7" x14ac:dyDescent="0.3">
      <c r="A1" t="s">
        <v>1339</v>
      </c>
    </row>
    <row r="3" spans="1:7" x14ac:dyDescent="0.3">
      <c r="A3" t="s">
        <v>1299</v>
      </c>
    </row>
    <row r="4" spans="1:7" x14ac:dyDescent="0.3">
      <c r="A4" t="s">
        <v>1340</v>
      </c>
    </row>
    <row r="6" spans="1:7" x14ac:dyDescent="0.3">
      <c r="A6" t="s">
        <v>1301</v>
      </c>
    </row>
    <row r="7" spans="1:7" x14ac:dyDescent="0.3">
      <c r="A7" t="s">
        <v>1341</v>
      </c>
    </row>
    <row r="9" spans="1:7" x14ac:dyDescent="0.3">
      <c r="A9" s="43" t="s">
        <v>1438</v>
      </c>
      <c r="B9" s="43"/>
      <c r="C9" s="43"/>
      <c r="D9" s="43"/>
    </row>
    <row r="10" spans="1:7" x14ac:dyDescent="0.3">
      <c r="A10" s="40">
        <f>CORREL('CVD Dataset'!AE:AE,'CVD Dataset'!AC:AC)</f>
        <v>0.32024271803581772</v>
      </c>
      <c r="B10" s="40"/>
      <c r="C10" s="40"/>
      <c r="D10" s="40"/>
    </row>
    <row r="12" spans="1:7" x14ac:dyDescent="0.3">
      <c r="A12" s="43" t="s">
        <v>1439</v>
      </c>
      <c r="B12" s="43"/>
      <c r="C12" s="43"/>
      <c r="D12" s="43"/>
    </row>
    <row r="13" spans="1:7" x14ac:dyDescent="0.3">
      <c r="A13" s="40">
        <f>CORREL('CVD Dataset'!AB:AB,'CVD Dataset'!AE:AE)</f>
        <v>0.4848424231633886</v>
      </c>
      <c r="B13" s="40"/>
      <c r="C13" s="40"/>
      <c r="D13" s="40"/>
    </row>
    <row r="16" spans="1:7" ht="14.4" customHeight="1" x14ac:dyDescent="0.3">
      <c r="A16" s="37" t="s">
        <v>1440</v>
      </c>
      <c r="B16" s="37"/>
      <c r="C16" s="37"/>
      <c r="D16" s="37"/>
      <c r="E16" s="37"/>
      <c r="F16" s="37"/>
      <c r="G16" s="37"/>
    </row>
    <row r="17" spans="1:7" x14ac:dyDescent="0.3">
      <c r="A17" s="38"/>
      <c r="B17" s="38"/>
      <c r="C17" s="38"/>
      <c r="D17" s="38"/>
      <c r="E17" s="38"/>
      <c r="F17" s="38"/>
      <c r="G17" s="38"/>
    </row>
    <row r="18" spans="1:7" x14ac:dyDescent="0.3">
      <c r="A18" s="38"/>
      <c r="B18" s="38"/>
      <c r="C18" s="38"/>
      <c r="D18" s="38"/>
      <c r="E18" s="38"/>
      <c r="F18" s="38"/>
      <c r="G18" s="38"/>
    </row>
    <row r="19" spans="1:7" x14ac:dyDescent="0.3">
      <c r="A19" s="38"/>
      <c r="B19" s="38"/>
      <c r="C19" s="38"/>
      <c r="D19" s="38"/>
      <c r="E19" s="38"/>
      <c r="F19" s="38"/>
      <c r="G19" s="38"/>
    </row>
    <row r="20" spans="1:7" x14ac:dyDescent="0.3">
      <c r="A20" s="38"/>
      <c r="B20" s="38"/>
      <c r="C20" s="38"/>
      <c r="D20" s="38"/>
      <c r="E20" s="38"/>
      <c r="F20" s="38"/>
      <c r="G20" s="38"/>
    </row>
    <row r="21" spans="1:7" x14ac:dyDescent="0.3">
      <c r="A21" s="38"/>
      <c r="B21" s="38"/>
      <c r="C21" s="38"/>
      <c r="D21" s="38"/>
      <c r="E21" s="38"/>
      <c r="F21" s="38"/>
      <c r="G21" s="38"/>
    </row>
    <row r="22" spans="1:7" x14ac:dyDescent="0.3">
      <c r="A22" s="38"/>
      <c r="B22" s="38"/>
      <c r="C22" s="38"/>
      <c r="D22" s="38"/>
      <c r="E22" s="38"/>
      <c r="F22" s="38"/>
      <c r="G22" s="38"/>
    </row>
    <row r="23" spans="1:7" x14ac:dyDescent="0.3">
      <c r="A23" s="38"/>
      <c r="B23" s="38"/>
      <c r="C23" s="38"/>
      <c r="D23" s="38"/>
      <c r="E23" s="38"/>
      <c r="F23" s="38"/>
      <c r="G23" s="38"/>
    </row>
  </sheetData>
  <mergeCells count="5">
    <mergeCell ref="A9:D9"/>
    <mergeCell ref="A10:D10"/>
    <mergeCell ref="A12:D12"/>
    <mergeCell ref="A13:D13"/>
    <mergeCell ref="A16:G2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81BA-2C9C-47D4-BC9B-23E41F50E537}">
  <dimension ref="A1:D24"/>
  <sheetViews>
    <sheetView workbookViewId="0">
      <selection activeCell="C14" sqref="C14"/>
    </sheetView>
  </sheetViews>
  <sheetFormatPr defaultRowHeight="14.4" x14ac:dyDescent="0.3"/>
  <cols>
    <col min="1" max="1" width="12" bestFit="1" customWidth="1"/>
    <col min="2" max="2" width="35" bestFit="1" customWidth="1"/>
    <col min="3" max="3" width="23.33203125" bestFit="1" customWidth="1"/>
  </cols>
  <sheetData>
    <row r="1" spans="1:3" x14ac:dyDescent="0.3">
      <c r="A1" t="s">
        <v>1342</v>
      </c>
    </row>
    <row r="3" spans="1:3" x14ac:dyDescent="0.3">
      <c r="A3" t="s">
        <v>1299</v>
      </c>
    </row>
    <row r="4" spans="1:3" x14ac:dyDescent="0.3">
      <c r="A4" t="s">
        <v>1343</v>
      </c>
    </row>
    <row r="6" spans="1:3" x14ac:dyDescent="0.3">
      <c r="A6" t="s">
        <v>1301</v>
      </c>
    </row>
    <row r="7" spans="1:3" x14ac:dyDescent="0.3">
      <c r="A7" t="s">
        <v>1344</v>
      </c>
    </row>
    <row r="12" spans="1:3" x14ac:dyDescent="0.3">
      <c r="A12" s="31" t="s">
        <v>1441</v>
      </c>
      <c r="B12" s="8" t="s">
        <v>1419</v>
      </c>
      <c r="C12" s="8" t="s">
        <v>1371</v>
      </c>
    </row>
    <row r="13" spans="1:3" x14ac:dyDescent="0.3">
      <c r="A13" s="32" t="s">
        <v>1442</v>
      </c>
      <c r="B13" s="9">
        <v>117.13783403656821</v>
      </c>
      <c r="C13" s="9">
        <v>15.848090027700824</v>
      </c>
    </row>
    <row r="14" spans="1:3" x14ac:dyDescent="0.3">
      <c r="A14" s="32" t="s">
        <v>1443</v>
      </c>
      <c r="B14" s="9">
        <v>117.81491344873503</v>
      </c>
      <c r="C14" s="9">
        <v>18.05111126187245</v>
      </c>
    </row>
    <row r="15" spans="1:3" x14ac:dyDescent="0.3">
      <c r="A15" s="32" t="s">
        <v>1364</v>
      </c>
      <c r="B15" s="9">
        <v>117.48563611491107</v>
      </c>
      <c r="C15" s="9">
        <v>16.960925291295432</v>
      </c>
    </row>
    <row r="19" spans="1:4" ht="14.4" customHeight="1" x14ac:dyDescent="0.3">
      <c r="A19" s="39" t="s">
        <v>1444</v>
      </c>
      <c r="B19" s="39"/>
      <c r="C19" s="39"/>
      <c r="D19" s="39"/>
    </row>
    <row r="20" spans="1:4" x14ac:dyDescent="0.3">
      <c r="A20" s="39"/>
      <c r="B20" s="39"/>
      <c r="C20" s="39"/>
      <c r="D20" s="39"/>
    </row>
    <row r="21" spans="1:4" x14ac:dyDescent="0.3">
      <c r="A21" s="39"/>
      <c r="B21" s="39"/>
      <c r="C21" s="39"/>
      <c r="D21" s="39"/>
    </row>
    <row r="22" spans="1:4" x14ac:dyDescent="0.3">
      <c r="A22" s="39"/>
      <c r="B22" s="39"/>
      <c r="C22" s="39"/>
      <c r="D22" s="39"/>
    </row>
    <row r="23" spans="1:4" x14ac:dyDescent="0.3">
      <c r="A23" s="39"/>
      <c r="B23" s="39"/>
      <c r="C23" s="39"/>
      <c r="D23" s="39"/>
    </row>
    <row r="24" spans="1:4" x14ac:dyDescent="0.3">
      <c r="A24" s="39"/>
      <c r="B24" s="39"/>
      <c r="C24" s="39"/>
      <c r="D24" s="39"/>
    </row>
  </sheetData>
  <mergeCells count="1">
    <mergeCell ref="A19:D24"/>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90E15-F26F-43B1-BB12-0C93F09F8E89}">
  <dimension ref="A1:G22"/>
  <sheetViews>
    <sheetView workbookViewId="0">
      <selection activeCell="D7" sqref="D7:F14"/>
    </sheetView>
  </sheetViews>
  <sheetFormatPr defaultRowHeight="14.4" x14ac:dyDescent="0.3"/>
  <cols>
    <col min="1" max="1" width="13.88671875" bestFit="1" customWidth="1"/>
    <col min="2" max="2" width="14.109375" bestFit="1" customWidth="1"/>
    <col min="3" max="3" width="31.6640625" bestFit="1" customWidth="1"/>
    <col min="4" max="4" width="20.88671875" bestFit="1" customWidth="1"/>
    <col min="5" max="5" width="19.109375" bestFit="1" customWidth="1"/>
    <col min="6" max="6" width="22.109375" bestFit="1" customWidth="1"/>
    <col min="7" max="7" width="8.5546875" bestFit="1" customWidth="1"/>
  </cols>
  <sheetData>
    <row r="1" spans="1:7" x14ac:dyDescent="0.3">
      <c r="A1" t="s">
        <v>1345</v>
      </c>
    </row>
    <row r="3" spans="1:7" s="12" customFormat="1" x14ac:dyDescent="0.3">
      <c r="A3" t="s">
        <v>1299</v>
      </c>
      <c r="G3"/>
    </row>
    <row r="4" spans="1:7" x14ac:dyDescent="0.3">
      <c r="A4" t="s">
        <v>1346</v>
      </c>
    </row>
    <row r="6" spans="1:7" x14ac:dyDescent="0.3">
      <c r="A6" t="s">
        <v>1301</v>
      </c>
    </row>
    <row r="7" spans="1:7" ht="14.4" customHeight="1" x14ac:dyDescent="0.3">
      <c r="A7" t="s">
        <v>1347</v>
      </c>
      <c r="D7" s="39" t="s">
        <v>1450</v>
      </c>
      <c r="E7" s="39"/>
      <c r="F7" s="39"/>
    </row>
    <row r="8" spans="1:7" x14ac:dyDescent="0.3">
      <c r="D8" s="39"/>
      <c r="E8" s="39"/>
      <c r="F8" s="39"/>
    </row>
    <row r="9" spans="1:7" x14ac:dyDescent="0.3">
      <c r="D9" s="39"/>
      <c r="E9" s="39"/>
      <c r="F9" s="39"/>
    </row>
    <row r="10" spans="1:7" x14ac:dyDescent="0.3">
      <c r="D10" s="39"/>
      <c r="E10" s="39"/>
      <c r="F10" s="39"/>
    </row>
    <row r="11" spans="1:7" ht="14.4" customHeight="1" x14ac:dyDescent="0.3">
      <c r="D11" s="39"/>
      <c r="E11" s="39"/>
      <c r="F11" s="39"/>
    </row>
    <row r="12" spans="1:7" x14ac:dyDescent="0.3">
      <c r="D12" s="39"/>
      <c r="E12" s="39"/>
      <c r="F12" s="39"/>
    </row>
    <row r="13" spans="1:7" x14ac:dyDescent="0.3">
      <c r="D13" s="39"/>
      <c r="E13" s="39"/>
      <c r="F13" s="39"/>
    </row>
    <row r="14" spans="1:7" ht="28.8" x14ac:dyDescent="0.3">
      <c r="A14" s="33" t="s">
        <v>1445</v>
      </c>
      <c r="B14" s="25">
        <v>1</v>
      </c>
      <c r="D14" s="39"/>
      <c r="E14" s="39"/>
      <c r="F14" s="39"/>
    </row>
    <row r="16" spans="1:7" ht="28.8" x14ac:dyDescent="0.3">
      <c r="A16" s="25" t="s">
        <v>1446</v>
      </c>
      <c r="B16" s="25" t="s">
        <v>1447</v>
      </c>
      <c r="C16" s="25" t="s">
        <v>1448</v>
      </c>
      <c r="D16" s="25" t="s">
        <v>1449</v>
      </c>
      <c r="E16" s="25" t="s">
        <v>1411</v>
      </c>
      <c r="F16" s="25" t="s">
        <v>1419</v>
      </c>
    </row>
    <row r="17" spans="1:6" x14ac:dyDescent="0.3">
      <c r="A17" s="34">
        <v>48.397540983606561</v>
      </c>
      <c r="B17" s="35">
        <v>30.414291338582657</v>
      </c>
      <c r="C17" s="35">
        <v>126.51330798479087</v>
      </c>
      <c r="D17" s="35">
        <v>82.475285171102655</v>
      </c>
      <c r="E17" s="35">
        <v>113.4</v>
      </c>
      <c r="F17" s="35">
        <v>118.08627450980393</v>
      </c>
    </row>
    <row r="21" spans="1:6" ht="28.8" x14ac:dyDescent="0.3">
      <c r="A21" s="25" t="s">
        <v>1446</v>
      </c>
      <c r="B21" s="25" t="s">
        <v>1447</v>
      </c>
      <c r="C21" s="25" t="s">
        <v>1448</v>
      </c>
      <c r="D21" s="25" t="s">
        <v>1449</v>
      </c>
      <c r="E21" s="25" t="s">
        <v>1411</v>
      </c>
      <c r="F21" s="25" t="s">
        <v>1419</v>
      </c>
    </row>
    <row r="22" spans="1:6" x14ac:dyDescent="0.3">
      <c r="A22" s="34">
        <v>47.025499655410059</v>
      </c>
      <c r="B22" s="35">
        <v>28.46599726962458</v>
      </c>
      <c r="C22" s="35">
        <v>125.50228907782865</v>
      </c>
      <c r="D22" s="35">
        <v>82.956180510137344</v>
      </c>
      <c r="E22" s="35">
        <v>111.55068493150685</v>
      </c>
      <c r="F22" s="35">
        <v>117.48563611491107</v>
      </c>
    </row>
  </sheetData>
  <mergeCells count="1">
    <mergeCell ref="D7:F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27AA-A1B0-4FCF-9CA8-4FA9AA32FC9C}">
  <dimension ref="A1:H26"/>
  <sheetViews>
    <sheetView workbookViewId="0">
      <selection activeCell="A22" sqref="A22:H26"/>
    </sheetView>
  </sheetViews>
  <sheetFormatPr defaultRowHeight="14.4" x14ac:dyDescent="0.3"/>
  <cols>
    <col min="1" max="1" width="21.33203125" bestFit="1" customWidth="1"/>
    <col min="2" max="2" width="23.33203125" bestFit="1" customWidth="1"/>
  </cols>
  <sheetData>
    <row r="1" spans="1:2" x14ac:dyDescent="0.3">
      <c r="A1" t="s">
        <v>1349</v>
      </c>
    </row>
    <row r="3" spans="1:2" x14ac:dyDescent="0.3">
      <c r="A3" t="s">
        <v>1299</v>
      </c>
    </row>
    <row r="4" spans="1:2" x14ac:dyDescent="0.3">
      <c r="A4" t="s">
        <v>1350</v>
      </c>
    </row>
    <row r="6" spans="1:2" x14ac:dyDescent="0.3">
      <c r="A6" t="s">
        <v>1301</v>
      </c>
    </row>
    <row r="7" spans="1:2" x14ac:dyDescent="0.3">
      <c r="A7" t="s">
        <v>1351</v>
      </c>
    </row>
    <row r="10" spans="1:2" x14ac:dyDescent="0.3">
      <c r="A10" s="4" t="s">
        <v>1452</v>
      </c>
      <c r="B10" s="5" t="s">
        <v>1371</v>
      </c>
    </row>
    <row r="11" spans="1:2" x14ac:dyDescent="0.3">
      <c r="A11" s="5">
        <v>0</v>
      </c>
      <c r="B11" s="6">
        <v>15.914166666666672</v>
      </c>
    </row>
    <row r="12" spans="1:2" x14ac:dyDescent="0.3">
      <c r="A12" s="5">
        <v>1</v>
      </c>
      <c r="B12" s="6">
        <v>16.345447727272731</v>
      </c>
    </row>
    <row r="13" spans="1:2" x14ac:dyDescent="0.3">
      <c r="A13" s="5">
        <v>2</v>
      </c>
      <c r="B13" s="6">
        <v>17.13568566176469</v>
      </c>
    </row>
    <row r="14" spans="1:2" x14ac:dyDescent="0.3">
      <c r="A14" s="5">
        <v>3</v>
      </c>
      <c r="B14" s="6">
        <v>17.760658862876248</v>
      </c>
    </row>
    <row r="15" spans="1:2" x14ac:dyDescent="0.3">
      <c r="A15" s="5">
        <v>4</v>
      </c>
      <c r="B15" s="6">
        <v>17.863354838709682</v>
      </c>
    </row>
    <row r="16" spans="1:2" x14ac:dyDescent="0.3">
      <c r="A16" s="5" t="s">
        <v>1364</v>
      </c>
      <c r="B16" s="6">
        <v>16.960925291295428</v>
      </c>
    </row>
    <row r="19" spans="1:8" x14ac:dyDescent="0.3">
      <c r="A19" s="43" t="s">
        <v>1453</v>
      </c>
      <c r="B19" s="43"/>
    </row>
    <row r="20" spans="1:8" x14ac:dyDescent="0.3">
      <c r="A20" s="40">
        <f>CORREL('CVD Dataset'!U:U,'CVD Dataset'!AE:AE)</f>
        <v>0.24706131603512282</v>
      </c>
      <c r="B20" s="40"/>
    </row>
    <row r="22" spans="1:8" ht="14.4" customHeight="1" x14ac:dyDescent="0.3">
      <c r="A22" s="37" t="s">
        <v>1454</v>
      </c>
      <c r="B22" s="37"/>
      <c r="C22" s="37"/>
      <c r="D22" s="37"/>
      <c r="E22" s="37"/>
      <c r="F22" s="37"/>
      <c r="G22" s="37"/>
      <c r="H22" s="37"/>
    </row>
    <row r="23" spans="1:8" x14ac:dyDescent="0.3">
      <c r="A23" s="47"/>
      <c r="B23" s="47"/>
      <c r="C23" s="47"/>
      <c r="D23" s="47"/>
      <c r="E23" s="47"/>
      <c r="F23" s="47"/>
      <c r="G23" s="47"/>
      <c r="H23" s="47"/>
    </row>
    <row r="24" spans="1:8" x14ac:dyDescent="0.3">
      <c r="A24" s="47"/>
      <c r="B24" s="47"/>
      <c r="C24" s="47"/>
      <c r="D24" s="47"/>
      <c r="E24" s="47"/>
      <c r="F24" s="47"/>
      <c r="G24" s="47"/>
      <c r="H24" s="47"/>
    </row>
    <row r="25" spans="1:8" x14ac:dyDescent="0.3">
      <c r="A25" s="47"/>
      <c r="B25" s="47"/>
      <c r="C25" s="47"/>
      <c r="D25" s="47"/>
      <c r="E25" s="47"/>
      <c r="F25" s="47"/>
      <c r="G25" s="47"/>
      <c r="H25" s="47"/>
    </row>
    <row r="26" spans="1:8" x14ac:dyDescent="0.3">
      <c r="A26" s="47"/>
      <c r="B26" s="47"/>
      <c r="C26" s="47"/>
      <c r="D26" s="47"/>
      <c r="E26" s="47"/>
      <c r="F26" s="47"/>
      <c r="G26" s="47"/>
      <c r="H26" s="47"/>
    </row>
  </sheetData>
  <mergeCells count="3">
    <mergeCell ref="A20:B20"/>
    <mergeCell ref="A19:B19"/>
    <mergeCell ref="A22:H26"/>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80B62-7E28-40A8-86C8-C774370DD62F}">
  <dimension ref="A1:C26"/>
  <sheetViews>
    <sheetView workbookViewId="0">
      <selection activeCell="E23" sqref="E23"/>
    </sheetView>
  </sheetViews>
  <sheetFormatPr defaultRowHeight="14.4" x14ac:dyDescent="0.3"/>
  <cols>
    <col min="1" max="1" width="19.109375" bestFit="1" customWidth="1"/>
    <col min="2" max="2" width="23.33203125" bestFit="1" customWidth="1"/>
  </cols>
  <sheetData>
    <row r="1" spans="1:2" x14ac:dyDescent="0.3">
      <c r="A1" t="s">
        <v>1352</v>
      </c>
    </row>
    <row r="3" spans="1:2" x14ac:dyDescent="0.3">
      <c r="A3" t="s">
        <v>1299</v>
      </c>
    </row>
    <row r="4" spans="1:2" x14ac:dyDescent="0.3">
      <c r="A4" t="s">
        <v>1353</v>
      </c>
    </row>
    <row r="6" spans="1:2" x14ac:dyDescent="0.3">
      <c r="A6" t="s">
        <v>1301</v>
      </c>
    </row>
    <row r="7" spans="1:2" x14ac:dyDescent="0.3">
      <c r="A7" t="s">
        <v>1354</v>
      </c>
    </row>
    <row r="11" spans="1:2" x14ac:dyDescent="0.3">
      <c r="A11" s="4" t="s">
        <v>1455</v>
      </c>
      <c r="B11" s="5" t="s">
        <v>1371</v>
      </c>
    </row>
    <row r="12" spans="1:2" x14ac:dyDescent="0.3">
      <c r="A12" s="5" t="s">
        <v>39</v>
      </c>
      <c r="B12" s="6">
        <v>16.9907453416149</v>
      </c>
    </row>
    <row r="13" spans="1:2" x14ac:dyDescent="0.3">
      <c r="A13" s="5" t="s">
        <v>26</v>
      </c>
      <c r="B13" s="6">
        <v>16.952489495798321</v>
      </c>
    </row>
    <row r="14" spans="1:2" x14ac:dyDescent="0.3">
      <c r="A14" s="5" t="s">
        <v>30</v>
      </c>
      <c r="B14" s="6">
        <v>16.94015000000001</v>
      </c>
    </row>
    <row r="15" spans="1:2" x14ac:dyDescent="0.3">
      <c r="A15" s="5" t="s">
        <v>1364</v>
      </c>
      <c r="B15" s="6">
        <v>16.960925291295442</v>
      </c>
    </row>
    <row r="18" spans="1:3" ht="14.4" customHeight="1" x14ac:dyDescent="0.3">
      <c r="A18" s="39" t="s">
        <v>1456</v>
      </c>
      <c r="B18" s="39"/>
      <c r="C18" s="39"/>
    </row>
    <row r="19" spans="1:3" x14ac:dyDescent="0.3">
      <c r="A19" s="39"/>
      <c r="B19" s="39"/>
      <c r="C19" s="39"/>
    </row>
    <row r="20" spans="1:3" x14ac:dyDescent="0.3">
      <c r="A20" s="39"/>
      <c r="B20" s="39"/>
      <c r="C20" s="39"/>
    </row>
    <row r="21" spans="1:3" x14ac:dyDescent="0.3">
      <c r="A21" s="39"/>
      <c r="B21" s="39"/>
      <c r="C21" s="39"/>
    </row>
    <row r="22" spans="1:3" x14ac:dyDescent="0.3">
      <c r="A22" s="39"/>
      <c r="B22" s="39"/>
      <c r="C22" s="39"/>
    </row>
    <row r="23" spans="1:3" x14ac:dyDescent="0.3">
      <c r="A23" s="39"/>
      <c r="B23" s="39"/>
      <c r="C23" s="39"/>
    </row>
    <row r="24" spans="1:3" x14ac:dyDescent="0.3">
      <c r="A24" s="39"/>
      <c r="B24" s="39"/>
      <c r="C24" s="39"/>
    </row>
    <row r="25" spans="1:3" x14ac:dyDescent="0.3">
      <c r="A25" s="39"/>
      <c r="B25" s="39"/>
      <c r="C25" s="39"/>
    </row>
    <row r="26" spans="1:3" x14ac:dyDescent="0.3">
      <c r="A26" s="39"/>
      <c r="B26" s="39"/>
      <c r="C26" s="39"/>
    </row>
  </sheetData>
  <mergeCells count="1">
    <mergeCell ref="A18:C26"/>
  </mergeCell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FF83-7155-4C9D-A9D9-AFF2ED4B476D}">
  <dimension ref="A1:F24"/>
  <sheetViews>
    <sheetView workbookViewId="0">
      <selection activeCell="A21" sqref="A21:F24"/>
    </sheetView>
  </sheetViews>
  <sheetFormatPr defaultRowHeight="14.4" x14ac:dyDescent="0.3"/>
  <cols>
    <col min="1" max="1" width="14.33203125" bestFit="1" customWidth="1"/>
    <col min="2" max="2" width="19.109375" bestFit="1" customWidth="1"/>
    <col min="3" max="3" width="14" bestFit="1" customWidth="1"/>
    <col min="4" max="4" width="7" bestFit="1" customWidth="1"/>
    <col min="5" max="5" width="10.77734375" bestFit="1" customWidth="1"/>
    <col min="6" max="7" width="6" bestFit="1" customWidth="1"/>
    <col min="8" max="9" width="5" bestFit="1" customWidth="1"/>
    <col min="10" max="10" width="6" bestFit="1" customWidth="1"/>
    <col min="11" max="11" width="7" bestFit="1" customWidth="1"/>
    <col min="12" max="12" width="6" bestFit="1" customWidth="1"/>
    <col min="13" max="13" width="5" bestFit="1" customWidth="1"/>
    <col min="14" max="14" width="6" bestFit="1" customWidth="1"/>
    <col min="15" max="15" width="7" bestFit="1" customWidth="1"/>
    <col min="16" max="16" width="6" bestFit="1" customWidth="1"/>
    <col min="17" max="17" width="7" bestFit="1" customWidth="1"/>
    <col min="18" max="21" width="6" bestFit="1" customWidth="1"/>
    <col min="22" max="22" width="5" bestFit="1" customWidth="1"/>
    <col min="23" max="23" width="7" bestFit="1" customWidth="1"/>
    <col min="24" max="27" width="6" bestFit="1" customWidth="1"/>
    <col min="28" max="29" width="7" bestFit="1" customWidth="1"/>
    <col min="30" max="32" width="6" bestFit="1" customWidth="1"/>
    <col min="33" max="33" width="5" bestFit="1" customWidth="1"/>
    <col min="34" max="38" width="6" bestFit="1" customWidth="1"/>
    <col min="39" max="41" width="7" bestFit="1" customWidth="1"/>
    <col min="42" max="42" width="6" bestFit="1" customWidth="1"/>
    <col min="43" max="43" width="5" bestFit="1" customWidth="1"/>
    <col min="44" max="49" width="6" bestFit="1" customWidth="1"/>
    <col min="50" max="50" width="7" bestFit="1" customWidth="1"/>
    <col min="51" max="51" width="5" bestFit="1" customWidth="1"/>
    <col min="52" max="52" width="6" bestFit="1" customWidth="1"/>
    <col min="53" max="53" width="7" bestFit="1" customWidth="1"/>
    <col min="54" max="54" width="6" bestFit="1" customWidth="1"/>
    <col min="55" max="55" width="7" bestFit="1" customWidth="1"/>
    <col min="56" max="56" width="6" bestFit="1" customWidth="1"/>
    <col min="57" max="57" width="7" bestFit="1" customWidth="1"/>
    <col min="58" max="61" width="6" bestFit="1" customWidth="1"/>
    <col min="62" max="62" width="7" bestFit="1" customWidth="1"/>
    <col min="63" max="63" width="6" bestFit="1" customWidth="1"/>
    <col min="64" max="65" width="7" bestFit="1" customWidth="1"/>
    <col min="66" max="66" width="6" bestFit="1" customWidth="1"/>
    <col min="67" max="67" width="7" bestFit="1" customWidth="1"/>
    <col min="68" max="71" width="6" bestFit="1" customWidth="1"/>
    <col min="72" max="72" width="7" bestFit="1" customWidth="1"/>
    <col min="73" max="74" width="6" bestFit="1" customWidth="1"/>
    <col min="75" max="75" width="7" bestFit="1" customWidth="1"/>
    <col min="76" max="77" width="6" bestFit="1" customWidth="1"/>
    <col min="78" max="78" width="7" bestFit="1" customWidth="1"/>
    <col min="79" max="79" width="5" bestFit="1" customWidth="1"/>
    <col min="80" max="82" width="6" bestFit="1" customWidth="1"/>
    <col min="83" max="83" width="5" bestFit="1" customWidth="1"/>
    <col min="84" max="84" width="6" bestFit="1" customWidth="1"/>
    <col min="85" max="85" width="7" bestFit="1" customWidth="1"/>
    <col min="86" max="86" width="6" bestFit="1" customWidth="1"/>
    <col min="87" max="87" width="7" bestFit="1" customWidth="1"/>
    <col min="88" max="89" width="6" bestFit="1" customWidth="1"/>
    <col min="90" max="90" width="5" bestFit="1" customWidth="1"/>
    <col min="91" max="92" width="6" bestFit="1" customWidth="1"/>
    <col min="93" max="93" width="7" bestFit="1" customWidth="1"/>
    <col min="94" max="97" width="6" bestFit="1" customWidth="1"/>
    <col min="98" max="98" width="5" bestFit="1" customWidth="1"/>
    <col min="99" max="102" width="6" bestFit="1" customWidth="1"/>
    <col min="103" max="103" width="7" bestFit="1" customWidth="1"/>
    <col min="104" max="104" width="6" bestFit="1" customWidth="1"/>
    <col min="105" max="105" width="7" bestFit="1" customWidth="1"/>
    <col min="106" max="106" width="6" bestFit="1" customWidth="1"/>
    <col min="107" max="108" width="7" bestFit="1" customWidth="1"/>
    <col min="109" max="109" width="6" bestFit="1" customWidth="1"/>
    <col min="110" max="110" width="7" bestFit="1" customWidth="1"/>
    <col min="111" max="115" width="6" bestFit="1" customWidth="1"/>
    <col min="116" max="116" width="5" bestFit="1" customWidth="1"/>
    <col min="117" max="118" width="6" bestFit="1" customWidth="1"/>
    <col min="119" max="119" width="7" bestFit="1" customWidth="1"/>
    <col min="120" max="121" width="6" bestFit="1" customWidth="1"/>
    <col min="122" max="123" width="7" bestFit="1" customWidth="1"/>
    <col min="124" max="126" width="6" bestFit="1" customWidth="1"/>
    <col min="127" max="127" width="7" bestFit="1" customWidth="1"/>
    <col min="128" max="134" width="6" bestFit="1" customWidth="1"/>
    <col min="135" max="135" width="3" bestFit="1" customWidth="1"/>
    <col min="136" max="136" width="7" bestFit="1" customWidth="1"/>
    <col min="137" max="137" width="6" bestFit="1" customWidth="1"/>
    <col min="138" max="138" width="7" bestFit="1" customWidth="1"/>
    <col min="139" max="141" width="6" bestFit="1" customWidth="1"/>
    <col min="142" max="143" width="7" bestFit="1" customWidth="1"/>
    <col min="144" max="148" width="6" bestFit="1" customWidth="1"/>
    <col min="149" max="149" width="7" bestFit="1" customWidth="1"/>
    <col min="150" max="157" width="6" bestFit="1" customWidth="1"/>
    <col min="158" max="158" width="7" bestFit="1" customWidth="1"/>
    <col min="159" max="161" width="6" bestFit="1" customWidth="1"/>
    <col min="162" max="162" width="7" bestFit="1" customWidth="1"/>
    <col min="163" max="163" width="5" bestFit="1" customWidth="1"/>
    <col min="164" max="164" width="6" bestFit="1" customWidth="1"/>
    <col min="165" max="166" width="7" bestFit="1" customWidth="1"/>
    <col min="167" max="167" width="6" bestFit="1" customWidth="1"/>
    <col min="168" max="168" width="7" bestFit="1" customWidth="1"/>
    <col min="169" max="170" width="6" bestFit="1" customWidth="1"/>
    <col min="171" max="171" width="7" bestFit="1" customWidth="1"/>
    <col min="172" max="172" width="6" bestFit="1" customWidth="1"/>
    <col min="173" max="173" width="7" bestFit="1" customWidth="1"/>
    <col min="174" max="174" width="6" bestFit="1" customWidth="1"/>
    <col min="175" max="175" width="7" bestFit="1" customWidth="1"/>
    <col min="176" max="176" width="6" bestFit="1" customWidth="1"/>
    <col min="177" max="177" width="7" bestFit="1" customWidth="1"/>
    <col min="178" max="178" width="5" bestFit="1" customWidth="1"/>
    <col min="179" max="179" width="6" bestFit="1" customWidth="1"/>
    <col min="180" max="180" width="7" bestFit="1" customWidth="1"/>
    <col min="181" max="182" width="6" bestFit="1" customWidth="1"/>
    <col min="183" max="183" width="7" bestFit="1" customWidth="1"/>
    <col min="184" max="185" width="6" bestFit="1" customWidth="1"/>
    <col min="186" max="186" width="7" bestFit="1" customWidth="1"/>
    <col min="187" max="187" width="6" bestFit="1" customWidth="1"/>
    <col min="188" max="188" width="7" bestFit="1" customWidth="1"/>
    <col min="189" max="189" width="6" bestFit="1" customWidth="1"/>
    <col min="190" max="190" width="5" bestFit="1" customWidth="1"/>
    <col min="191" max="192" width="6" bestFit="1" customWidth="1"/>
    <col min="193" max="193" width="7" bestFit="1" customWidth="1"/>
    <col min="194" max="195" width="6" bestFit="1" customWidth="1"/>
    <col min="196" max="196" width="7" bestFit="1" customWidth="1"/>
    <col min="197" max="197" width="5" bestFit="1" customWidth="1"/>
    <col min="198" max="199" width="7" bestFit="1" customWidth="1"/>
    <col min="200" max="202" width="6" bestFit="1" customWidth="1"/>
    <col min="203" max="203" width="7" bestFit="1" customWidth="1"/>
    <col min="204" max="206" width="6" bestFit="1" customWidth="1"/>
    <col min="207" max="207" width="7" bestFit="1" customWidth="1"/>
    <col min="208" max="212" width="6" bestFit="1" customWidth="1"/>
    <col min="213" max="213" width="7" bestFit="1" customWidth="1"/>
    <col min="214" max="214" width="6" bestFit="1" customWidth="1"/>
    <col min="215" max="216" width="7" bestFit="1" customWidth="1"/>
    <col min="217" max="217" width="6" bestFit="1" customWidth="1"/>
    <col min="218" max="220" width="7" bestFit="1" customWidth="1"/>
    <col min="221" max="221" width="6" bestFit="1" customWidth="1"/>
    <col min="222" max="223" width="7" bestFit="1" customWidth="1"/>
    <col min="224" max="225" width="6" bestFit="1" customWidth="1"/>
    <col min="226" max="226" width="5" bestFit="1" customWidth="1"/>
    <col min="227" max="228" width="7" bestFit="1" customWidth="1"/>
    <col min="229" max="231" width="6" bestFit="1" customWidth="1"/>
    <col min="232" max="232" width="7" bestFit="1" customWidth="1"/>
    <col min="233" max="234" width="6" bestFit="1" customWidth="1"/>
    <col min="235" max="235" width="7" bestFit="1" customWidth="1"/>
    <col min="236" max="236" width="6" bestFit="1" customWidth="1"/>
    <col min="237" max="237" width="7" bestFit="1" customWidth="1"/>
    <col min="238" max="238" width="6" bestFit="1" customWidth="1"/>
    <col min="239" max="239" width="3" bestFit="1" customWidth="1"/>
    <col min="240" max="240" width="7" bestFit="1" customWidth="1"/>
    <col min="241" max="242" width="6" bestFit="1" customWidth="1"/>
    <col min="243" max="243" width="7" bestFit="1" customWidth="1"/>
    <col min="244" max="244" width="6" bestFit="1" customWidth="1"/>
    <col min="245" max="245" width="7" bestFit="1" customWidth="1"/>
    <col min="246" max="246" width="6" bestFit="1" customWidth="1"/>
    <col min="247" max="249" width="7" bestFit="1" customWidth="1"/>
    <col min="250" max="251" width="6" bestFit="1" customWidth="1"/>
    <col min="252" max="253" width="7" bestFit="1" customWidth="1"/>
    <col min="254" max="254" width="5" bestFit="1" customWidth="1"/>
    <col min="255" max="258" width="6" bestFit="1" customWidth="1"/>
    <col min="259" max="260" width="7" bestFit="1" customWidth="1"/>
    <col min="261" max="263" width="6" bestFit="1" customWidth="1"/>
    <col min="264" max="264" width="5" bestFit="1" customWidth="1"/>
    <col min="265" max="266" width="6" bestFit="1" customWidth="1"/>
    <col min="267" max="267" width="7" bestFit="1" customWidth="1"/>
    <col min="268" max="269" width="6" bestFit="1" customWidth="1"/>
    <col min="270" max="270" width="7" bestFit="1" customWidth="1"/>
    <col min="271" max="271" width="6" bestFit="1" customWidth="1"/>
    <col min="272" max="272" width="7" bestFit="1" customWidth="1"/>
    <col min="273" max="274" width="6" bestFit="1" customWidth="1"/>
    <col min="275" max="275" width="5" bestFit="1" customWidth="1"/>
    <col min="276" max="276" width="6" bestFit="1" customWidth="1"/>
    <col min="277" max="278" width="7" bestFit="1" customWidth="1"/>
    <col min="279" max="281" width="6" bestFit="1" customWidth="1"/>
    <col min="282" max="282" width="7" bestFit="1" customWidth="1"/>
    <col min="283" max="285" width="6" bestFit="1" customWidth="1"/>
    <col min="286" max="287" width="7" bestFit="1" customWidth="1"/>
    <col min="288" max="288" width="5" bestFit="1" customWidth="1"/>
    <col min="289" max="289" width="6" bestFit="1" customWidth="1"/>
    <col min="290" max="290" width="7" bestFit="1" customWidth="1"/>
    <col min="291" max="291" width="6" bestFit="1" customWidth="1"/>
    <col min="292" max="292" width="7" bestFit="1" customWidth="1"/>
    <col min="293" max="293" width="6" bestFit="1" customWidth="1"/>
    <col min="294" max="294" width="7" bestFit="1" customWidth="1"/>
    <col min="295" max="295" width="6" bestFit="1" customWidth="1"/>
    <col min="296" max="296" width="7" bestFit="1" customWidth="1"/>
    <col min="297" max="298" width="6" bestFit="1" customWidth="1"/>
    <col min="299" max="299" width="7" bestFit="1" customWidth="1"/>
    <col min="300" max="300" width="5" bestFit="1" customWidth="1"/>
    <col min="301" max="302" width="7" bestFit="1" customWidth="1"/>
    <col min="303" max="311" width="6" bestFit="1" customWidth="1"/>
    <col min="312" max="312" width="7" bestFit="1" customWidth="1"/>
    <col min="313" max="314" width="6" bestFit="1" customWidth="1"/>
    <col min="315" max="315" width="7" bestFit="1" customWidth="1"/>
    <col min="316" max="316" width="6" bestFit="1" customWidth="1"/>
    <col min="317" max="317" width="7" bestFit="1" customWidth="1"/>
    <col min="318" max="318" width="6" bestFit="1" customWidth="1"/>
    <col min="319" max="319" width="7" bestFit="1" customWidth="1"/>
    <col min="320" max="320" width="6" bestFit="1" customWidth="1"/>
    <col min="321" max="321" width="7" bestFit="1" customWidth="1"/>
    <col min="322" max="322" width="5" bestFit="1" customWidth="1"/>
    <col min="323" max="323" width="6" bestFit="1" customWidth="1"/>
    <col min="324" max="324" width="7" bestFit="1" customWidth="1"/>
    <col min="325" max="326" width="6" bestFit="1" customWidth="1"/>
    <col min="327" max="327" width="7" bestFit="1" customWidth="1"/>
    <col min="328" max="328" width="6" bestFit="1" customWidth="1"/>
    <col min="329" max="329" width="7" bestFit="1" customWidth="1"/>
    <col min="330" max="331" width="6" bestFit="1" customWidth="1"/>
    <col min="332" max="332" width="5" bestFit="1" customWidth="1"/>
    <col min="333" max="337" width="6" bestFit="1" customWidth="1"/>
    <col min="338" max="338" width="7" bestFit="1" customWidth="1"/>
    <col min="339" max="339" width="6" bestFit="1" customWidth="1"/>
    <col min="340" max="341" width="7" bestFit="1" customWidth="1"/>
    <col min="342" max="343" width="6" bestFit="1" customWidth="1"/>
    <col min="344" max="344" width="5" bestFit="1" customWidth="1"/>
    <col min="345" max="347" width="6" bestFit="1" customWidth="1"/>
    <col min="348" max="348" width="7" bestFit="1" customWidth="1"/>
    <col min="349" max="351" width="6" bestFit="1" customWidth="1"/>
    <col min="352" max="352" width="7" bestFit="1" customWidth="1"/>
    <col min="353" max="355" width="6" bestFit="1" customWidth="1"/>
    <col min="356" max="356" width="7" bestFit="1" customWidth="1"/>
    <col min="357" max="357" width="3" bestFit="1" customWidth="1"/>
    <col min="358" max="360" width="6" bestFit="1" customWidth="1"/>
    <col min="361" max="361" width="7" bestFit="1" customWidth="1"/>
    <col min="362" max="362" width="6" bestFit="1" customWidth="1"/>
    <col min="363" max="365" width="7" bestFit="1" customWidth="1"/>
    <col min="366" max="368" width="6" bestFit="1" customWidth="1"/>
    <col min="369" max="369" width="7" bestFit="1" customWidth="1"/>
    <col min="370" max="370" width="6" bestFit="1" customWidth="1"/>
    <col min="371" max="371" width="5" bestFit="1" customWidth="1"/>
    <col min="372" max="372" width="6" bestFit="1" customWidth="1"/>
    <col min="373" max="374" width="7" bestFit="1" customWidth="1"/>
    <col min="375" max="380" width="6" bestFit="1" customWidth="1"/>
    <col min="381" max="381" width="7" bestFit="1" customWidth="1"/>
    <col min="382" max="382" width="5" bestFit="1" customWidth="1"/>
    <col min="383" max="385" width="7" bestFit="1" customWidth="1"/>
    <col min="386" max="386" width="6" bestFit="1" customWidth="1"/>
    <col min="387" max="388" width="7" bestFit="1" customWidth="1"/>
    <col min="389" max="391" width="6" bestFit="1" customWidth="1"/>
    <col min="392" max="392" width="7" bestFit="1" customWidth="1"/>
    <col min="393" max="394" width="6" bestFit="1" customWidth="1"/>
    <col min="395" max="396" width="7" bestFit="1" customWidth="1"/>
    <col min="397" max="397" width="6" bestFit="1" customWidth="1"/>
    <col min="398" max="398" width="7" bestFit="1" customWidth="1"/>
    <col min="399" max="399" width="6" bestFit="1" customWidth="1"/>
    <col min="400" max="400" width="7" bestFit="1" customWidth="1"/>
    <col min="401" max="401" width="6" bestFit="1" customWidth="1"/>
    <col min="402" max="402" width="7" bestFit="1" customWidth="1"/>
    <col min="403" max="405" width="6" bestFit="1" customWidth="1"/>
    <col min="406" max="406" width="7" bestFit="1" customWidth="1"/>
    <col min="407" max="407" width="6" bestFit="1" customWidth="1"/>
    <col min="408" max="409" width="7" bestFit="1" customWidth="1"/>
    <col min="410" max="410" width="6" bestFit="1" customWidth="1"/>
    <col min="411" max="411" width="7" bestFit="1" customWidth="1"/>
    <col min="412" max="412" width="5" bestFit="1" customWidth="1"/>
    <col min="413" max="414" width="6" bestFit="1" customWidth="1"/>
    <col min="415" max="415" width="7" bestFit="1" customWidth="1"/>
    <col min="416" max="418" width="6" bestFit="1" customWidth="1"/>
    <col min="419" max="420" width="7" bestFit="1" customWidth="1"/>
    <col min="421" max="421" width="6" bestFit="1" customWidth="1"/>
    <col min="422" max="422" width="7" bestFit="1" customWidth="1"/>
    <col min="423" max="423" width="6" bestFit="1" customWidth="1"/>
    <col min="424" max="424" width="7" bestFit="1" customWidth="1"/>
    <col min="425" max="425" width="6" bestFit="1" customWidth="1"/>
    <col min="426" max="426" width="7" bestFit="1" customWidth="1"/>
    <col min="427" max="428" width="6" bestFit="1" customWidth="1"/>
    <col min="429" max="429" width="7" bestFit="1" customWidth="1"/>
    <col min="430" max="430" width="6" bestFit="1" customWidth="1"/>
    <col min="431" max="431" width="7" bestFit="1" customWidth="1"/>
    <col min="432" max="432" width="6" bestFit="1" customWidth="1"/>
    <col min="433" max="434" width="7" bestFit="1" customWidth="1"/>
    <col min="435" max="435" width="6" bestFit="1" customWidth="1"/>
    <col min="436" max="436" width="7" bestFit="1" customWidth="1"/>
    <col min="437" max="437" width="5" bestFit="1" customWidth="1"/>
    <col min="438" max="438" width="7" bestFit="1" customWidth="1"/>
    <col min="439" max="439" width="6" bestFit="1" customWidth="1"/>
    <col min="440" max="441" width="7" bestFit="1" customWidth="1"/>
    <col min="442" max="443" width="6" bestFit="1" customWidth="1"/>
    <col min="444" max="444" width="7" bestFit="1" customWidth="1"/>
    <col min="445" max="448" width="6" bestFit="1" customWidth="1"/>
    <col min="449" max="450" width="7" bestFit="1" customWidth="1"/>
    <col min="451" max="451" width="6" bestFit="1" customWidth="1"/>
    <col min="452" max="452" width="7" bestFit="1" customWidth="1"/>
    <col min="453" max="453" width="6" bestFit="1" customWidth="1"/>
    <col min="454" max="455" width="7" bestFit="1" customWidth="1"/>
    <col min="456" max="456" width="5" bestFit="1" customWidth="1"/>
    <col min="457" max="457" width="7" bestFit="1" customWidth="1"/>
    <col min="458" max="460" width="6" bestFit="1" customWidth="1"/>
    <col min="461" max="462" width="7" bestFit="1" customWidth="1"/>
    <col min="463" max="463" width="6" bestFit="1" customWidth="1"/>
    <col min="464" max="465" width="7" bestFit="1" customWidth="1"/>
    <col min="466" max="468" width="6" bestFit="1" customWidth="1"/>
    <col min="469" max="469" width="7" bestFit="1" customWidth="1"/>
    <col min="470" max="470" width="6" bestFit="1" customWidth="1"/>
    <col min="471" max="471" width="7" bestFit="1" customWidth="1"/>
    <col min="472" max="472" width="6" bestFit="1" customWidth="1"/>
    <col min="473" max="474" width="7" bestFit="1" customWidth="1"/>
    <col min="475" max="475" width="5" bestFit="1" customWidth="1"/>
    <col min="476" max="477" width="6" bestFit="1" customWidth="1"/>
    <col min="478" max="478" width="7" bestFit="1" customWidth="1"/>
    <col min="479" max="479" width="6" bestFit="1" customWidth="1"/>
    <col min="480" max="483" width="7" bestFit="1" customWidth="1"/>
    <col min="484" max="484" width="6" bestFit="1" customWidth="1"/>
    <col min="485" max="485" width="7" bestFit="1" customWidth="1"/>
    <col min="486" max="487" width="6" bestFit="1" customWidth="1"/>
    <col min="488" max="488" width="7" bestFit="1" customWidth="1"/>
    <col min="489" max="490" width="6" bestFit="1" customWidth="1"/>
    <col min="491" max="491" width="7" bestFit="1" customWidth="1"/>
    <col min="492" max="492" width="5" bestFit="1" customWidth="1"/>
    <col min="493" max="493" width="7" bestFit="1" customWidth="1"/>
    <col min="494" max="495" width="6" bestFit="1" customWidth="1"/>
    <col min="496" max="497" width="7" bestFit="1" customWidth="1"/>
    <col min="498" max="500" width="6" bestFit="1" customWidth="1"/>
    <col min="501" max="501" width="7" bestFit="1" customWidth="1"/>
    <col min="502" max="502" width="6" bestFit="1" customWidth="1"/>
    <col min="503" max="503" width="7" bestFit="1" customWidth="1"/>
    <col min="504" max="504" width="6" bestFit="1" customWidth="1"/>
    <col min="505" max="505" width="7" bestFit="1" customWidth="1"/>
    <col min="506" max="506" width="6" bestFit="1" customWidth="1"/>
    <col min="507" max="509" width="7" bestFit="1" customWidth="1"/>
    <col min="510" max="510" width="6" bestFit="1" customWidth="1"/>
    <col min="511" max="511" width="7" bestFit="1" customWidth="1"/>
    <col min="512" max="512" width="6" bestFit="1" customWidth="1"/>
    <col min="513" max="513" width="7" bestFit="1" customWidth="1"/>
    <col min="514" max="516" width="6" bestFit="1" customWidth="1"/>
    <col min="517" max="517" width="7" bestFit="1" customWidth="1"/>
    <col min="518" max="518" width="6" bestFit="1" customWidth="1"/>
    <col min="519" max="519" width="5" bestFit="1" customWidth="1"/>
    <col min="520" max="523" width="6" bestFit="1" customWidth="1"/>
    <col min="524" max="524" width="7" bestFit="1" customWidth="1"/>
    <col min="525" max="527" width="6" bestFit="1" customWidth="1"/>
    <col min="528" max="529" width="7" bestFit="1" customWidth="1"/>
    <col min="530" max="531" width="6" bestFit="1" customWidth="1"/>
    <col min="532" max="532" width="7" bestFit="1" customWidth="1"/>
    <col min="533" max="537" width="6" bestFit="1" customWidth="1"/>
    <col min="538" max="538" width="7" bestFit="1" customWidth="1"/>
    <col min="539" max="539" width="5" bestFit="1" customWidth="1"/>
    <col min="540" max="540" width="7" bestFit="1" customWidth="1"/>
    <col min="541" max="541" width="6" bestFit="1" customWidth="1"/>
    <col min="542" max="543" width="7" bestFit="1" customWidth="1"/>
    <col min="544" max="544" width="6" bestFit="1" customWidth="1"/>
    <col min="545" max="547" width="7" bestFit="1" customWidth="1"/>
    <col min="548" max="549" width="6" bestFit="1" customWidth="1"/>
    <col min="550" max="551" width="7" bestFit="1" customWidth="1"/>
    <col min="552" max="552" width="6" bestFit="1" customWidth="1"/>
    <col min="553" max="553" width="7" bestFit="1" customWidth="1"/>
    <col min="554" max="554" width="6" bestFit="1" customWidth="1"/>
    <col min="555" max="555" width="5" bestFit="1" customWidth="1"/>
    <col min="556" max="556" width="6" bestFit="1" customWidth="1"/>
    <col min="557" max="561" width="7" bestFit="1" customWidth="1"/>
    <col min="562" max="564" width="6" bestFit="1" customWidth="1"/>
    <col min="565" max="565" width="7" bestFit="1" customWidth="1"/>
    <col min="566" max="566" width="6" bestFit="1" customWidth="1"/>
    <col min="567" max="567" width="7" bestFit="1" customWidth="1"/>
    <col min="568" max="568" width="6" bestFit="1" customWidth="1"/>
    <col min="569" max="569" width="7" bestFit="1" customWidth="1"/>
    <col min="570" max="570" width="5" bestFit="1" customWidth="1"/>
    <col min="571" max="571" width="7" bestFit="1" customWidth="1"/>
    <col min="572" max="572" width="6" bestFit="1" customWidth="1"/>
    <col min="573" max="573" width="7" bestFit="1" customWidth="1"/>
    <col min="574" max="576" width="6" bestFit="1" customWidth="1"/>
    <col min="577" max="580" width="7" bestFit="1" customWidth="1"/>
    <col min="581" max="581" width="5" bestFit="1" customWidth="1"/>
    <col min="582" max="582" width="7" bestFit="1" customWidth="1"/>
    <col min="583" max="583" width="6" bestFit="1" customWidth="1"/>
    <col min="584" max="584" width="7" bestFit="1" customWidth="1"/>
    <col min="585" max="585" width="6" bestFit="1" customWidth="1"/>
    <col min="586" max="586" width="7" bestFit="1" customWidth="1"/>
    <col min="587" max="587" width="6" bestFit="1" customWidth="1"/>
    <col min="588" max="588" width="7" bestFit="1" customWidth="1"/>
    <col min="589" max="590" width="6" bestFit="1" customWidth="1"/>
    <col min="591" max="592" width="7" bestFit="1" customWidth="1"/>
    <col min="593" max="593" width="6" bestFit="1" customWidth="1"/>
    <col min="594" max="594" width="7" bestFit="1" customWidth="1"/>
    <col min="595" max="595" width="6" bestFit="1" customWidth="1"/>
    <col min="596" max="597" width="7" bestFit="1" customWidth="1"/>
    <col min="598" max="598" width="5" bestFit="1" customWidth="1"/>
    <col min="599" max="600" width="6" bestFit="1" customWidth="1"/>
    <col min="601" max="602" width="7" bestFit="1" customWidth="1"/>
    <col min="603" max="604" width="6" bestFit="1" customWidth="1"/>
    <col min="605" max="605" width="7" bestFit="1" customWidth="1"/>
    <col min="606" max="606" width="6" bestFit="1" customWidth="1"/>
    <col min="607" max="607" width="7" bestFit="1" customWidth="1"/>
    <col min="608" max="608" width="6" bestFit="1" customWidth="1"/>
    <col min="609" max="609" width="7" bestFit="1" customWidth="1"/>
    <col min="610" max="610" width="6" bestFit="1" customWidth="1"/>
    <col min="611" max="611" width="7" bestFit="1" customWidth="1"/>
    <col min="612" max="612" width="5" bestFit="1" customWidth="1"/>
    <col min="613" max="614" width="6" bestFit="1" customWidth="1"/>
    <col min="615" max="615" width="7" bestFit="1" customWidth="1"/>
    <col min="616" max="616" width="6" bestFit="1" customWidth="1"/>
    <col min="617" max="617" width="7" bestFit="1" customWidth="1"/>
    <col min="618" max="619" width="6" bestFit="1" customWidth="1"/>
    <col min="620" max="621" width="7" bestFit="1" customWidth="1"/>
    <col min="622" max="622" width="6" bestFit="1" customWidth="1"/>
    <col min="623" max="623" width="7" bestFit="1" customWidth="1"/>
    <col min="624" max="626" width="6" bestFit="1" customWidth="1"/>
    <col min="627" max="627" width="5" bestFit="1" customWidth="1"/>
    <col min="628" max="628" width="7" bestFit="1" customWidth="1"/>
    <col min="629" max="629" width="6" bestFit="1" customWidth="1"/>
    <col min="630" max="631" width="7" bestFit="1" customWidth="1"/>
    <col min="632" max="634" width="6" bestFit="1" customWidth="1"/>
    <col min="635" max="635" width="7" bestFit="1" customWidth="1"/>
    <col min="636" max="636" width="6" bestFit="1" customWidth="1"/>
    <col min="637" max="639" width="7" bestFit="1" customWidth="1"/>
    <col min="640" max="641" width="6" bestFit="1" customWidth="1"/>
    <col min="642" max="644" width="7" bestFit="1" customWidth="1"/>
    <col min="645" max="647" width="6" bestFit="1" customWidth="1"/>
    <col min="648" max="649" width="7" bestFit="1" customWidth="1"/>
    <col min="650" max="650" width="6" bestFit="1" customWidth="1"/>
    <col min="651" max="652" width="7" bestFit="1" customWidth="1"/>
    <col min="653" max="653" width="6" bestFit="1" customWidth="1"/>
    <col min="654" max="654" width="7" bestFit="1" customWidth="1"/>
    <col min="655" max="655" width="5" bestFit="1" customWidth="1"/>
    <col min="656" max="656" width="6" bestFit="1" customWidth="1"/>
    <col min="657" max="657" width="7" bestFit="1" customWidth="1"/>
    <col min="658" max="658" width="6" bestFit="1" customWidth="1"/>
    <col min="659" max="661" width="7" bestFit="1" customWidth="1"/>
    <col min="662" max="662" width="6" bestFit="1" customWidth="1"/>
    <col min="663" max="664" width="7" bestFit="1" customWidth="1"/>
    <col min="665" max="665" width="6" bestFit="1" customWidth="1"/>
    <col min="666" max="666" width="7" bestFit="1" customWidth="1"/>
    <col min="667" max="667" width="6" bestFit="1" customWidth="1"/>
    <col min="668" max="670" width="7" bestFit="1" customWidth="1"/>
    <col min="671" max="671" width="5" bestFit="1" customWidth="1"/>
    <col min="672" max="675" width="7" bestFit="1" customWidth="1"/>
    <col min="676" max="677" width="6" bestFit="1" customWidth="1"/>
    <col min="678" max="680" width="7" bestFit="1" customWidth="1"/>
    <col min="681" max="681" width="6" bestFit="1" customWidth="1"/>
    <col min="682" max="685" width="7" bestFit="1" customWidth="1"/>
    <col min="686" max="686" width="6" bestFit="1" customWidth="1"/>
    <col min="687" max="687" width="7" bestFit="1" customWidth="1"/>
    <col min="688" max="688" width="5" bestFit="1" customWidth="1"/>
    <col min="689" max="690" width="7" bestFit="1" customWidth="1"/>
    <col min="691" max="692" width="6" bestFit="1" customWidth="1"/>
    <col min="693" max="696" width="7" bestFit="1" customWidth="1"/>
    <col min="697" max="698" width="6" bestFit="1" customWidth="1"/>
    <col min="699" max="699" width="7" bestFit="1" customWidth="1"/>
    <col min="700" max="700" width="5" bestFit="1" customWidth="1"/>
    <col min="701" max="701" width="6" bestFit="1" customWidth="1"/>
    <col min="702" max="702" width="7" bestFit="1" customWidth="1"/>
    <col min="703" max="704" width="6" bestFit="1" customWidth="1"/>
    <col min="705" max="705" width="7" bestFit="1" customWidth="1"/>
    <col min="706" max="706" width="6" bestFit="1" customWidth="1"/>
    <col min="707" max="711" width="7" bestFit="1" customWidth="1"/>
    <col min="712" max="713" width="6" bestFit="1" customWidth="1"/>
    <col min="714" max="714" width="7" bestFit="1" customWidth="1"/>
    <col min="715" max="715" width="5" bestFit="1" customWidth="1"/>
    <col min="716" max="716" width="7" bestFit="1" customWidth="1"/>
    <col min="717" max="717" width="6" bestFit="1" customWidth="1"/>
    <col min="718" max="719" width="7" bestFit="1" customWidth="1"/>
    <col min="720" max="720" width="6" bestFit="1" customWidth="1"/>
    <col min="721" max="722" width="7" bestFit="1" customWidth="1"/>
    <col min="723" max="723" width="5" bestFit="1" customWidth="1"/>
    <col min="724" max="725" width="7" bestFit="1" customWidth="1"/>
    <col min="726" max="727" width="6" bestFit="1" customWidth="1"/>
    <col min="728" max="728" width="7" bestFit="1" customWidth="1"/>
    <col min="729" max="730" width="6" bestFit="1" customWidth="1"/>
    <col min="731" max="733" width="7" bestFit="1" customWidth="1"/>
    <col min="734" max="734" width="6" bestFit="1" customWidth="1"/>
    <col min="735" max="736" width="7" bestFit="1" customWidth="1"/>
    <col min="737" max="737" width="6" bestFit="1" customWidth="1"/>
    <col min="738" max="738" width="7" bestFit="1" customWidth="1"/>
    <col min="739" max="739" width="6" bestFit="1" customWidth="1"/>
    <col min="740" max="740" width="7" bestFit="1" customWidth="1"/>
    <col min="741" max="741" width="6" bestFit="1" customWidth="1"/>
    <col min="742" max="742" width="7" bestFit="1" customWidth="1"/>
    <col min="743" max="744" width="6" bestFit="1" customWidth="1"/>
    <col min="745" max="745" width="7" bestFit="1" customWidth="1"/>
    <col min="746" max="746" width="6" bestFit="1" customWidth="1"/>
    <col min="747" max="748" width="7" bestFit="1" customWidth="1"/>
    <col min="749" max="749" width="6" bestFit="1" customWidth="1"/>
    <col min="750" max="750" width="7" bestFit="1" customWidth="1"/>
    <col min="751" max="751" width="6" bestFit="1" customWidth="1"/>
    <col min="752" max="752" width="7" bestFit="1" customWidth="1"/>
    <col min="753" max="754" width="6" bestFit="1" customWidth="1"/>
    <col min="755" max="755" width="5" bestFit="1" customWidth="1"/>
    <col min="756" max="756" width="7" bestFit="1" customWidth="1"/>
    <col min="757" max="757" width="6" bestFit="1" customWidth="1"/>
    <col min="758" max="759" width="7" bestFit="1" customWidth="1"/>
    <col min="760" max="760" width="6" bestFit="1" customWidth="1"/>
    <col min="761" max="762" width="7" bestFit="1" customWidth="1"/>
    <col min="763" max="764" width="6" bestFit="1" customWidth="1"/>
    <col min="765" max="766" width="7" bestFit="1" customWidth="1"/>
    <col min="767" max="767" width="6" bestFit="1" customWidth="1"/>
    <col min="768" max="769" width="7" bestFit="1" customWidth="1"/>
    <col min="770" max="770" width="3" bestFit="1" customWidth="1"/>
    <col min="771" max="771" width="6" bestFit="1" customWidth="1"/>
    <col min="772" max="772" width="7" bestFit="1" customWidth="1"/>
    <col min="773" max="773" width="6" bestFit="1" customWidth="1"/>
    <col min="774" max="776" width="7" bestFit="1" customWidth="1"/>
    <col min="777" max="779" width="6" bestFit="1" customWidth="1"/>
    <col min="780" max="780" width="7" bestFit="1" customWidth="1"/>
    <col min="781" max="781" width="5" bestFit="1" customWidth="1"/>
    <col min="782" max="783" width="7" bestFit="1" customWidth="1"/>
    <col min="784" max="789" width="6" bestFit="1" customWidth="1"/>
    <col min="790" max="790" width="5" bestFit="1" customWidth="1"/>
    <col min="791" max="791" width="6" bestFit="1" customWidth="1"/>
    <col min="792" max="794" width="7" bestFit="1" customWidth="1"/>
    <col min="795" max="795" width="6" bestFit="1" customWidth="1"/>
    <col min="796" max="797" width="7" bestFit="1" customWidth="1"/>
    <col min="798" max="799" width="6" bestFit="1" customWidth="1"/>
    <col min="800" max="800" width="7" bestFit="1" customWidth="1"/>
    <col min="801" max="801" width="6" bestFit="1" customWidth="1"/>
    <col min="802" max="802" width="7" bestFit="1" customWidth="1"/>
    <col min="803" max="803" width="5" bestFit="1" customWidth="1"/>
    <col min="804" max="804" width="7" bestFit="1" customWidth="1"/>
    <col min="805" max="806" width="6" bestFit="1" customWidth="1"/>
    <col min="807" max="807" width="7" bestFit="1" customWidth="1"/>
    <col min="808" max="808" width="6" bestFit="1" customWidth="1"/>
    <col min="809" max="810" width="7" bestFit="1" customWidth="1"/>
    <col min="811" max="813" width="6" bestFit="1" customWidth="1"/>
    <col min="814" max="815" width="7" bestFit="1" customWidth="1"/>
    <col min="816" max="819" width="6" bestFit="1" customWidth="1"/>
    <col min="820" max="823" width="7" bestFit="1" customWidth="1"/>
    <col min="824" max="824" width="6" bestFit="1" customWidth="1"/>
    <col min="825" max="825" width="7" bestFit="1" customWidth="1"/>
    <col min="826" max="832" width="6" bestFit="1" customWidth="1"/>
    <col min="833" max="833" width="7" bestFit="1" customWidth="1"/>
    <col min="834" max="835" width="6" bestFit="1" customWidth="1"/>
    <col min="836" max="836" width="7" bestFit="1" customWidth="1"/>
    <col min="837" max="837" width="6" bestFit="1" customWidth="1"/>
    <col min="838" max="838" width="7" bestFit="1" customWidth="1"/>
    <col min="839" max="841" width="6" bestFit="1" customWidth="1"/>
    <col min="842" max="842" width="7" bestFit="1" customWidth="1"/>
    <col min="843" max="843" width="6" bestFit="1" customWidth="1"/>
    <col min="844" max="844" width="7" bestFit="1" customWidth="1"/>
    <col min="845" max="845" width="6" bestFit="1" customWidth="1"/>
    <col min="846" max="846" width="5" bestFit="1" customWidth="1"/>
    <col min="847" max="849" width="7" bestFit="1" customWidth="1"/>
    <col min="850" max="851" width="6" bestFit="1" customWidth="1"/>
    <col min="852" max="854" width="7" bestFit="1" customWidth="1"/>
    <col min="855" max="855" width="6" bestFit="1" customWidth="1"/>
    <col min="856" max="856" width="7" bestFit="1" customWidth="1"/>
    <col min="857" max="859" width="6" bestFit="1" customWidth="1"/>
    <col min="860" max="861" width="7" bestFit="1" customWidth="1"/>
    <col min="862" max="862" width="6" bestFit="1" customWidth="1"/>
    <col min="863" max="865" width="7" bestFit="1" customWidth="1"/>
    <col min="866" max="866" width="6" bestFit="1" customWidth="1"/>
    <col min="867" max="867" width="7" bestFit="1" customWidth="1"/>
    <col min="868" max="868" width="6" bestFit="1" customWidth="1"/>
    <col min="869" max="870" width="7" bestFit="1" customWidth="1"/>
    <col min="871" max="872" width="6" bestFit="1" customWidth="1"/>
    <col min="873" max="874" width="7" bestFit="1" customWidth="1"/>
    <col min="875" max="875" width="3" bestFit="1" customWidth="1"/>
    <col min="876" max="876" width="7" bestFit="1" customWidth="1"/>
    <col min="877" max="877" width="6" bestFit="1" customWidth="1"/>
    <col min="878" max="878" width="7" bestFit="1" customWidth="1"/>
    <col min="879" max="884" width="6" bestFit="1" customWidth="1"/>
    <col min="885" max="885" width="7" bestFit="1" customWidth="1"/>
    <col min="886" max="886" width="6" bestFit="1" customWidth="1"/>
    <col min="887" max="887" width="7" bestFit="1" customWidth="1"/>
    <col min="888" max="888" width="6" bestFit="1" customWidth="1"/>
    <col min="889" max="890" width="7" bestFit="1" customWidth="1"/>
    <col min="891" max="891" width="6" bestFit="1" customWidth="1"/>
    <col min="892" max="893" width="7" bestFit="1" customWidth="1"/>
    <col min="894" max="897" width="6" bestFit="1" customWidth="1"/>
    <col min="898" max="899" width="7" bestFit="1" customWidth="1"/>
    <col min="900" max="901" width="6" bestFit="1" customWidth="1"/>
    <col min="902" max="902" width="7" bestFit="1" customWidth="1"/>
    <col min="903" max="904" width="6" bestFit="1" customWidth="1"/>
    <col min="905" max="905" width="7" bestFit="1" customWidth="1"/>
    <col min="906" max="906" width="6" bestFit="1" customWidth="1"/>
    <col min="907" max="907" width="7" bestFit="1" customWidth="1"/>
    <col min="908" max="908" width="5" bestFit="1" customWidth="1"/>
    <col min="909" max="911" width="6" bestFit="1" customWidth="1"/>
    <col min="912" max="912" width="7" bestFit="1" customWidth="1"/>
    <col min="913" max="913" width="6" bestFit="1" customWidth="1"/>
    <col min="914" max="918" width="7" bestFit="1" customWidth="1"/>
    <col min="919" max="919" width="6" bestFit="1" customWidth="1"/>
    <col min="920" max="920" width="7" bestFit="1" customWidth="1"/>
    <col min="921" max="921" width="6" bestFit="1" customWidth="1"/>
    <col min="922" max="922" width="5" bestFit="1" customWidth="1"/>
    <col min="923" max="923" width="6" bestFit="1" customWidth="1"/>
    <col min="924" max="924" width="7" bestFit="1" customWidth="1"/>
    <col min="925" max="925" width="6" bestFit="1" customWidth="1"/>
    <col min="926" max="926" width="7" bestFit="1" customWidth="1"/>
    <col min="927" max="927" width="6" bestFit="1" customWidth="1"/>
    <col min="928" max="928" width="7" bestFit="1" customWidth="1"/>
    <col min="929" max="930" width="6" bestFit="1" customWidth="1"/>
    <col min="931" max="931" width="7" bestFit="1" customWidth="1"/>
    <col min="932" max="932" width="6" bestFit="1" customWidth="1"/>
    <col min="933" max="935" width="7" bestFit="1" customWidth="1"/>
    <col min="936" max="936" width="5" bestFit="1" customWidth="1"/>
    <col min="937" max="938" width="6" bestFit="1" customWidth="1"/>
    <col min="939" max="942" width="7" bestFit="1" customWidth="1"/>
    <col min="943" max="943" width="6" bestFit="1" customWidth="1"/>
    <col min="944" max="944" width="7" bestFit="1" customWidth="1"/>
    <col min="945" max="945" width="6" bestFit="1" customWidth="1"/>
    <col min="946" max="946" width="7" bestFit="1" customWidth="1"/>
    <col min="947" max="947" width="6" bestFit="1" customWidth="1"/>
    <col min="948" max="955" width="7" bestFit="1" customWidth="1"/>
    <col min="956" max="956" width="6" bestFit="1" customWidth="1"/>
    <col min="957" max="957" width="7" bestFit="1" customWidth="1"/>
    <col min="958" max="959" width="6" bestFit="1" customWidth="1"/>
    <col min="960" max="960" width="7" bestFit="1" customWidth="1"/>
    <col min="961" max="966" width="6" bestFit="1" customWidth="1"/>
    <col min="967" max="967" width="7" bestFit="1" customWidth="1"/>
    <col min="968" max="969" width="6" bestFit="1" customWidth="1"/>
    <col min="970" max="971" width="7" bestFit="1" customWidth="1"/>
    <col min="972" max="973" width="6" bestFit="1" customWidth="1"/>
    <col min="974" max="974" width="7" bestFit="1" customWidth="1"/>
    <col min="975" max="978" width="6" bestFit="1" customWidth="1"/>
    <col min="979" max="979" width="7" bestFit="1" customWidth="1"/>
    <col min="980" max="980" width="6" bestFit="1" customWidth="1"/>
    <col min="981" max="982" width="7" bestFit="1" customWidth="1"/>
    <col min="983" max="985" width="6" bestFit="1" customWidth="1"/>
    <col min="986" max="986" width="7" bestFit="1" customWidth="1"/>
    <col min="987" max="988" width="6" bestFit="1" customWidth="1"/>
    <col min="989" max="991" width="7" bestFit="1" customWidth="1"/>
    <col min="992" max="994" width="6" bestFit="1" customWidth="1"/>
    <col min="995" max="995" width="7" bestFit="1" customWidth="1"/>
    <col min="996" max="997" width="6" bestFit="1" customWidth="1"/>
    <col min="998" max="999" width="7" bestFit="1" customWidth="1"/>
    <col min="1000" max="1000" width="6" bestFit="1" customWidth="1"/>
    <col min="1001" max="1005" width="7" bestFit="1" customWidth="1"/>
    <col min="1006" max="1006" width="6" bestFit="1" customWidth="1"/>
    <col min="1007" max="1007" width="7" bestFit="1" customWidth="1"/>
    <col min="1008" max="1008" width="6" bestFit="1" customWidth="1"/>
    <col min="1009" max="1009" width="7" bestFit="1" customWidth="1"/>
    <col min="1010" max="1010" width="6" bestFit="1" customWidth="1"/>
    <col min="1011" max="1011" width="7" bestFit="1" customWidth="1"/>
    <col min="1012" max="1012" width="6" bestFit="1" customWidth="1"/>
    <col min="1013" max="1017" width="7" bestFit="1" customWidth="1"/>
    <col min="1018" max="1018" width="6" bestFit="1" customWidth="1"/>
    <col min="1019" max="1019" width="7" bestFit="1" customWidth="1"/>
    <col min="1020" max="1020" width="6" bestFit="1" customWidth="1"/>
    <col min="1021" max="1021" width="7" bestFit="1" customWidth="1"/>
    <col min="1022" max="1023" width="6" bestFit="1" customWidth="1"/>
    <col min="1024" max="1024" width="7" bestFit="1" customWidth="1"/>
    <col min="1025" max="1025" width="10.77734375" bestFit="1" customWidth="1"/>
  </cols>
  <sheetData>
    <row r="1" spans="1:5" x14ac:dyDescent="0.3">
      <c r="A1" t="s">
        <v>1355</v>
      </c>
    </row>
    <row r="3" spans="1:5" x14ac:dyDescent="0.3">
      <c r="A3" t="s">
        <v>1299</v>
      </c>
    </row>
    <row r="4" spans="1:5" x14ac:dyDescent="0.3">
      <c r="A4" t="s">
        <v>1356</v>
      </c>
    </row>
    <row r="6" spans="1:5" x14ac:dyDescent="0.3">
      <c r="A6" t="s">
        <v>1301</v>
      </c>
    </row>
    <row r="7" spans="1:5" x14ac:dyDescent="0.3">
      <c r="A7" t="s">
        <v>1357</v>
      </c>
    </row>
    <row r="9" spans="1:5" x14ac:dyDescent="0.3">
      <c r="A9" s="4" t="s">
        <v>10</v>
      </c>
      <c r="B9" s="5" t="s">
        <v>25</v>
      </c>
    </row>
    <row r="11" spans="1:5" x14ac:dyDescent="0.3">
      <c r="A11" s="4" t="s">
        <v>1394</v>
      </c>
      <c r="B11" s="4" t="s">
        <v>1458</v>
      </c>
      <c r="C11" s="5"/>
      <c r="D11" s="5"/>
      <c r="E11" s="5"/>
    </row>
    <row r="12" spans="1:5" x14ac:dyDescent="0.3">
      <c r="A12" s="4" t="s">
        <v>1457</v>
      </c>
      <c r="B12" s="5" t="s">
        <v>32</v>
      </c>
      <c r="C12" s="5" t="s">
        <v>28</v>
      </c>
      <c r="D12" s="5" t="s">
        <v>54</v>
      </c>
      <c r="E12" s="5" t="s">
        <v>1364</v>
      </c>
    </row>
    <row r="13" spans="1:5" x14ac:dyDescent="0.3">
      <c r="A13" s="5" t="s">
        <v>1365</v>
      </c>
      <c r="B13" s="7">
        <v>0.52597402597402598</v>
      </c>
      <c r="C13" s="7">
        <v>0.31818181818181818</v>
      </c>
      <c r="D13" s="7">
        <v>0.15584415584415584</v>
      </c>
      <c r="E13" s="7">
        <v>1</v>
      </c>
    </row>
    <row r="14" spans="1:5" x14ac:dyDescent="0.3">
      <c r="A14" s="5" t="s">
        <v>1366</v>
      </c>
      <c r="B14" s="7">
        <v>0.51470588235294112</v>
      </c>
      <c r="C14" s="7">
        <v>0.42156862745098039</v>
      </c>
      <c r="D14" s="7">
        <v>6.3725490196078427E-2</v>
      </c>
      <c r="E14" s="7">
        <v>1</v>
      </c>
    </row>
    <row r="15" spans="1:5" x14ac:dyDescent="0.3">
      <c r="A15" s="5" t="s">
        <v>1367</v>
      </c>
      <c r="B15" s="7">
        <v>0.75268817204301075</v>
      </c>
      <c r="C15" s="7">
        <v>0.15591397849462366</v>
      </c>
      <c r="D15" s="7">
        <v>9.1397849462365593E-2</v>
      </c>
      <c r="E15" s="7">
        <v>1</v>
      </c>
    </row>
    <row r="16" spans="1:5" x14ac:dyDescent="0.3">
      <c r="A16" s="5" t="s">
        <v>1368</v>
      </c>
      <c r="B16" s="7">
        <v>0.59310344827586203</v>
      </c>
      <c r="C16" s="7">
        <v>0.2620689655172414</v>
      </c>
      <c r="D16" s="7">
        <v>0.14482758620689656</v>
      </c>
      <c r="E16" s="7">
        <v>1</v>
      </c>
    </row>
    <row r="17" spans="1:6" x14ac:dyDescent="0.3">
      <c r="A17" s="5" t="s">
        <v>1369</v>
      </c>
      <c r="B17" s="7">
        <v>0.4358974358974359</v>
      </c>
      <c r="C17" s="7">
        <v>0.28205128205128205</v>
      </c>
      <c r="D17" s="7">
        <v>0.28205128205128205</v>
      </c>
      <c r="E17" s="7">
        <v>1</v>
      </c>
    </row>
    <row r="18" spans="1:6" ht="14.4" customHeight="1" x14ac:dyDescent="0.3">
      <c r="A18" s="5" t="s">
        <v>1370</v>
      </c>
      <c r="B18" s="7">
        <v>0.1</v>
      </c>
      <c r="C18" s="7">
        <v>0.4</v>
      </c>
      <c r="D18" s="7">
        <v>0.5</v>
      </c>
      <c r="E18" s="7">
        <v>1</v>
      </c>
    </row>
    <row r="19" spans="1:6" x14ac:dyDescent="0.3">
      <c r="A19" s="5" t="s">
        <v>1364</v>
      </c>
      <c r="B19" s="7">
        <v>0.5762032085561497</v>
      </c>
      <c r="C19" s="7">
        <v>0.29545454545454547</v>
      </c>
      <c r="D19" s="7">
        <v>0.12834224598930483</v>
      </c>
      <c r="E19" s="7">
        <v>1</v>
      </c>
    </row>
    <row r="21" spans="1:6" ht="14.4" customHeight="1" x14ac:dyDescent="0.3">
      <c r="A21" s="37" t="s">
        <v>1459</v>
      </c>
      <c r="B21" s="37"/>
      <c r="C21" s="37"/>
      <c r="D21" s="37"/>
      <c r="E21" s="37"/>
      <c r="F21" s="37"/>
    </row>
    <row r="22" spans="1:6" x14ac:dyDescent="0.3">
      <c r="A22" s="47"/>
      <c r="B22" s="47"/>
      <c r="C22" s="47"/>
      <c r="D22" s="47"/>
      <c r="E22" s="47"/>
      <c r="F22" s="47"/>
    </row>
    <row r="23" spans="1:6" x14ac:dyDescent="0.3">
      <c r="A23" s="47"/>
      <c r="B23" s="47"/>
      <c r="C23" s="47"/>
      <c r="D23" s="47"/>
      <c r="E23" s="47"/>
      <c r="F23" s="47"/>
    </row>
    <row r="24" spans="1:6" x14ac:dyDescent="0.3">
      <c r="A24" s="47"/>
      <c r="B24" s="47"/>
      <c r="C24" s="47"/>
      <c r="D24" s="47"/>
      <c r="E24" s="47"/>
      <c r="F24" s="47"/>
    </row>
  </sheetData>
  <mergeCells count="1">
    <mergeCell ref="A21:F24"/>
  </mergeCells>
  <conditionalFormatting pivot="1" sqref="B13:B18">
    <cfRule type="top10" dxfId="139" priority="1" rank="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A2867-2822-4A29-8BF7-6C6667E0C7D2}">
  <dimension ref="A1:D18"/>
  <sheetViews>
    <sheetView workbookViewId="0">
      <selection activeCell="A13" sqref="A13:D18"/>
    </sheetView>
  </sheetViews>
  <sheetFormatPr defaultRowHeight="14.4" x14ac:dyDescent="0.3"/>
  <cols>
    <col min="1" max="1" width="35.5546875" bestFit="1" customWidth="1"/>
  </cols>
  <sheetData>
    <row r="1" spans="1:4" x14ac:dyDescent="0.3">
      <c r="A1" t="s">
        <v>1462</v>
      </c>
    </row>
    <row r="3" spans="1:4" x14ac:dyDescent="0.3">
      <c r="A3" t="s">
        <v>1299</v>
      </c>
    </row>
    <row r="4" spans="1:4" x14ac:dyDescent="0.3">
      <c r="A4" t="s">
        <v>1359</v>
      </c>
    </row>
    <row r="6" spans="1:4" x14ac:dyDescent="0.3">
      <c r="A6" t="s">
        <v>1301</v>
      </c>
    </row>
    <row r="7" spans="1:4" x14ac:dyDescent="0.3">
      <c r="A7" t="s">
        <v>1360</v>
      </c>
    </row>
    <row r="9" spans="1:4" x14ac:dyDescent="0.3">
      <c r="A9" s="5" t="s">
        <v>1463</v>
      </c>
    </row>
    <row r="10" spans="1:4" x14ac:dyDescent="0.3">
      <c r="A10" s="44">
        <v>598</v>
      </c>
    </row>
    <row r="13" spans="1:4" x14ac:dyDescent="0.3">
      <c r="A13" s="39" t="s">
        <v>1464</v>
      </c>
      <c r="B13" s="39"/>
      <c r="C13" s="39"/>
      <c r="D13" s="39"/>
    </row>
    <row r="14" spans="1:4" x14ac:dyDescent="0.3">
      <c r="A14" s="39"/>
      <c r="B14" s="39"/>
      <c r="C14" s="39"/>
      <c r="D14" s="39"/>
    </row>
    <row r="15" spans="1:4" x14ac:dyDescent="0.3">
      <c r="A15" s="39"/>
      <c r="B15" s="39"/>
      <c r="C15" s="39"/>
      <c r="D15" s="39"/>
    </row>
    <row r="16" spans="1:4" x14ac:dyDescent="0.3">
      <c r="A16" s="39"/>
      <c r="B16" s="39"/>
      <c r="C16" s="39"/>
      <c r="D16" s="39"/>
    </row>
    <row r="17" spans="1:4" x14ac:dyDescent="0.3">
      <c r="A17" s="39"/>
      <c r="B17" s="39"/>
      <c r="C17" s="39"/>
      <c r="D17" s="39"/>
    </row>
    <row r="18" spans="1:4" x14ac:dyDescent="0.3">
      <c r="A18" s="39"/>
      <c r="B18" s="39"/>
      <c r="C18" s="39"/>
      <c r="D18" s="39"/>
    </row>
  </sheetData>
  <mergeCells count="1">
    <mergeCell ref="A13:D1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7065-52FE-4359-BAEB-2E45C4F62D67}">
  <dimension ref="A2:U21"/>
  <sheetViews>
    <sheetView workbookViewId="0">
      <selection activeCell="J14" sqref="J14"/>
    </sheetView>
  </sheetViews>
  <sheetFormatPr defaultRowHeight="14.4" x14ac:dyDescent="0.3"/>
  <sheetData>
    <row r="2" spans="1:21" x14ac:dyDescent="0.3">
      <c r="A2" t="s">
        <v>1465</v>
      </c>
    </row>
    <row r="4" spans="1:21" x14ac:dyDescent="0.3">
      <c r="A4" t="s">
        <v>1299</v>
      </c>
    </row>
    <row r="5" spans="1:21" x14ac:dyDescent="0.3">
      <c r="A5" t="s">
        <v>1361</v>
      </c>
    </row>
    <row r="7" spans="1:21" x14ac:dyDescent="0.3">
      <c r="A7" t="s">
        <v>1301</v>
      </c>
    </row>
    <row r="8" spans="1:21" x14ac:dyDescent="0.3">
      <c r="A8" t="s">
        <v>1362</v>
      </c>
      <c r="I8" s="39" t="s">
        <v>1469</v>
      </c>
      <c r="J8" s="39"/>
      <c r="K8" s="39"/>
      <c r="L8" s="39"/>
      <c r="M8" s="39"/>
      <c r="N8" s="39"/>
      <c r="O8" s="39"/>
      <c r="P8" s="39"/>
      <c r="Q8" s="39"/>
      <c r="R8" s="39"/>
      <c r="S8" s="39"/>
      <c r="T8" s="39"/>
      <c r="U8" s="39"/>
    </row>
    <row r="9" spans="1:21" x14ac:dyDescent="0.3">
      <c r="I9" s="39"/>
      <c r="J9" s="39"/>
      <c r="K9" s="39"/>
      <c r="L9" s="39"/>
      <c r="M9" s="39"/>
      <c r="N9" s="39"/>
      <c r="O9" s="39"/>
      <c r="P9" s="39"/>
      <c r="Q9" s="39"/>
      <c r="R9" s="39"/>
      <c r="S9" s="39"/>
      <c r="T9" s="39"/>
      <c r="U9" s="39"/>
    </row>
    <row r="10" spans="1:21" x14ac:dyDescent="0.3">
      <c r="I10" s="39"/>
      <c r="J10" s="39"/>
      <c r="K10" s="39"/>
      <c r="L10" s="39"/>
      <c r="M10" s="39"/>
      <c r="N10" s="39"/>
      <c r="O10" s="39"/>
      <c r="P10" s="39"/>
      <c r="Q10" s="39"/>
      <c r="R10" s="39"/>
      <c r="S10" s="39"/>
      <c r="T10" s="39"/>
      <c r="U10" s="39"/>
    </row>
    <row r="11" spans="1:21" x14ac:dyDescent="0.3">
      <c r="I11" s="39"/>
      <c r="J11" s="39"/>
      <c r="K11" s="39"/>
      <c r="L11" s="39"/>
      <c r="M11" s="39"/>
      <c r="N11" s="39"/>
      <c r="O11" s="39"/>
      <c r="P11" s="39"/>
      <c r="Q11" s="39"/>
      <c r="R11" s="39"/>
      <c r="S11" s="39"/>
      <c r="T11" s="39"/>
      <c r="U11" s="39"/>
    </row>
    <row r="12" spans="1:21" x14ac:dyDescent="0.3">
      <c r="A12" s="39" t="s">
        <v>1466</v>
      </c>
      <c r="B12" s="39"/>
      <c r="C12" s="39"/>
      <c r="D12" s="39"/>
    </row>
    <row r="13" spans="1:21" x14ac:dyDescent="0.3">
      <c r="A13" s="42">
        <f>CORREL('CVD Dataset'!E:E,'CVD Dataset'!W:W)</f>
        <v>9.6285842509831771E-2</v>
      </c>
      <c r="B13" s="42"/>
      <c r="C13" s="42"/>
      <c r="D13" s="42"/>
    </row>
    <row r="16" spans="1:21" x14ac:dyDescent="0.3">
      <c r="A16" s="39" t="s">
        <v>1467</v>
      </c>
      <c r="B16" s="39"/>
      <c r="C16" s="39"/>
      <c r="D16" s="39"/>
      <c r="E16" s="39"/>
    </row>
    <row r="17" spans="1:5" x14ac:dyDescent="0.3">
      <c r="A17" s="42">
        <f>CORREL('CVD Dataset'!W:W,'CVD Dataset'!I:I)</f>
        <v>0.90277511575969127</v>
      </c>
      <c r="B17" s="42"/>
      <c r="C17" s="42"/>
      <c r="D17" s="42"/>
      <c r="E17" s="42"/>
    </row>
    <row r="20" spans="1:5" x14ac:dyDescent="0.3">
      <c r="A20" s="39" t="s">
        <v>1468</v>
      </c>
      <c r="B20" s="39"/>
      <c r="C20" s="39"/>
      <c r="D20" s="39"/>
      <c r="E20" s="39"/>
    </row>
    <row r="21" spans="1:5" x14ac:dyDescent="0.3">
      <c r="A21" s="42">
        <f>CORREL('CVD Dataset'!E:E,'CVD Dataset'!I:I)</f>
        <v>3.1422486946265468E-2</v>
      </c>
      <c r="B21" s="42"/>
      <c r="C21" s="42"/>
      <c r="D21" s="42"/>
      <c r="E21" s="42"/>
    </row>
  </sheetData>
  <mergeCells count="7">
    <mergeCell ref="I8:U11"/>
    <mergeCell ref="A12:D12"/>
    <mergeCell ref="A13:D13"/>
    <mergeCell ref="A16:E16"/>
    <mergeCell ref="A17:E17"/>
    <mergeCell ref="A20:E20"/>
    <mergeCell ref="A21:E2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40E47-CEAB-411D-ACE1-C455239E01A1}">
  <dimension ref="A1:AJ1530"/>
  <sheetViews>
    <sheetView topLeftCell="M1" workbookViewId="0">
      <selection activeCell="R15" sqref="R15"/>
    </sheetView>
  </sheetViews>
  <sheetFormatPr defaultRowHeight="14.4" x14ac:dyDescent="0.3"/>
  <cols>
    <col min="1" max="1" width="3.77734375" bestFit="1" customWidth="1"/>
    <col min="2" max="2" width="4" bestFit="1" customWidth="1"/>
    <col min="3" max="3" width="10.109375" bestFit="1" customWidth="1"/>
    <col min="4" max="4" width="9.33203125" bestFit="1" customWidth="1"/>
    <col min="5" max="5" width="7" bestFit="1" customWidth="1"/>
    <col min="6" max="6" width="15.44140625" customWidth="1"/>
    <col min="7" max="7" width="29.21875" customWidth="1"/>
    <col min="8" max="8" width="24.33203125" customWidth="1"/>
    <col min="9" max="9" width="26.44140625" bestFit="1" customWidth="1"/>
    <col min="10" max="10" width="20.109375" bestFit="1" customWidth="1"/>
    <col min="11" max="11" width="20.109375" style="26" customWidth="1"/>
    <col min="12" max="12" width="20.109375" style="24" customWidth="1"/>
    <col min="13" max="13" width="22" bestFit="1" customWidth="1"/>
    <col min="14" max="14" width="22" customWidth="1"/>
    <col min="15" max="15" width="11" bestFit="1" customWidth="1"/>
    <col min="16" max="16" width="23.77734375" bestFit="1" customWidth="1"/>
    <col min="17" max="17" width="13.33203125" bestFit="1" customWidth="1"/>
    <col min="18" max="18" width="13.6640625" bestFit="1" customWidth="1"/>
    <col min="19" max="20" width="18.77734375" bestFit="1" customWidth="1"/>
    <col min="21" max="21" width="18.77734375" customWidth="1"/>
    <col min="22" max="22" width="10.21875" bestFit="1" customWidth="1"/>
    <col min="23" max="23" width="19" bestFit="1" customWidth="1"/>
    <col min="24" max="24" width="19" customWidth="1"/>
    <col min="25" max="25" width="9.6640625" bestFit="1" customWidth="1"/>
    <col min="26" max="26" width="10.5546875" bestFit="1" customWidth="1"/>
    <col min="27" max="27" width="21.109375" bestFit="1" customWidth="1"/>
    <col min="28" max="28" width="19.44140625" bestFit="1" customWidth="1"/>
    <col min="29" max="29" width="19.44140625" style="23" customWidth="1"/>
    <col min="30" max="30" width="19.44140625" customWidth="1"/>
    <col min="31" max="31" width="13.21875" bestFit="1" customWidth="1"/>
    <col min="32" max="32" width="13.77734375" bestFit="1" customWidth="1"/>
    <col min="33" max="33" width="13.77734375" customWidth="1"/>
    <col min="34" max="34" width="19" bestFit="1" customWidth="1"/>
    <col min="35" max="35" width="21.77734375" bestFit="1" customWidth="1"/>
    <col min="36" max="36" width="19.88671875" bestFit="1" customWidth="1"/>
  </cols>
  <sheetData>
    <row r="1" spans="1:36" x14ac:dyDescent="0.3">
      <c r="A1" t="s">
        <v>0</v>
      </c>
      <c r="B1" t="s">
        <v>1</v>
      </c>
      <c r="C1" t="s">
        <v>2</v>
      </c>
      <c r="D1" t="s">
        <v>3</v>
      </c>
      <c r="E1" t="s">
        <v>4</v>
      </c>
      <c r="F1" t="s">
        <v>1460</v>
      </c>
      <c r="G1" t="s">
        <v>1461</v>
      </c>
      <c r="H1" t="s">
        <v>1397</v>
      </c>
      <c r="I1" t="s">
        <v>5</v>
      </c>
      <c r="J1" t="s">
        <v>6</v>
      </c>
      <c r="K1" s="26" t="s">
        <v>1428</v>
      </c>
      <c r="L1" s="24" t="s">
        <v>1427</v>
      </c>
      <c r="M1" t="s">
        <v>7</v>
      </c>
      <c r="N1" t="s">
        <v>1431</v>
      </c>
      <c r="O1" t="s">
        <v>8</v>
      </c>
      <c r="P1" t="s">
        <v>9</v>
      </c>
      <c r="Q1" t="s">
        <v>10</v>
      </c>
      <c r="R1" t="s">
        <v>11</v>
      </c>
      <c r="S1" t="s">
        <v>12</v>
      </c>
      <c r="T1" t="s">
        <v>13</v>
      </c>
      <c r="U1" t="s">
        <v>1451</v>
      </c>
      <c r="V1" t="s">
        <v>14</v>
      </c>
      <c r="W1" t="s">
        <v>15</v>
      </c>
      <c r="X1" t="s">
        <v>1405</v>
      </c>
      <c r="Y1" t="s">
        <v>16</v>
      </c>
      <c r="Z1" t="s">
        <v>17</v>
      </c>
      <c r="AA1" t="s">
        <v>18</v>
      </c>
      <c r="AB1" t="s">
        <v>19</v>
      </c>
      <c r="AC1" s="23" t="s">
        <v>1437</v>
      </c>
      <c r="AD1" t="s">
        <v>1423</v>
      </c>
      <c r="AE1" t="s">
        <v>20</v>
      </c>
      <c r="AF1" t="s">
        <v>21</v>
      </c>
      <c r="AG1" t="s">
        <v>1445</v>
      </c>
      <c r="AH1" t="s">
        <v>1379</v>
      </c>
      <c r="AI1" t="s">
        <v>1385</v>
      </c>
      <c r="AJ1" t="s">
        <v>1390</v>
      </c>
    </row>
    <row r="2" spans="1:36" x14ac:dyDescent="0.3">
      <c r="A2" t="s">
        <v>22</v>
      </c>
      <c r="B2">
        <v>32</v>
      </c>
      <c r="C2">
        <v>69.099999999999994</v>
      </c>
      <c r="D2">
        <v>1.71</v>
      </c>
      <c r="E2">
        <v>23.6</v>
      </c>
      <c r="F2">
        <f>IFERROR(C2/POWER(D2,2),"")</f>
        <v>23.63120276324339</v>
      </c>
      <c r="G2">
        <f>IF(ABS(E2 - F2) &lt;= 0.1, 0, 1)</f>
        <v>0</v>
      </c>
      <c r="H2" t="s">
        <v>1398</v>
      </c>
      <c r="I2">
        <v>86.2</v>
      </c>
      <c r="J2" t="s">
        <v>23</v>
      </c>
      <c r="K2" s="26">
        <v>125</v>
      </c>
      <c r="L2" s="24">
        <v>79</v>
      </c>
      <c r="M2">
        <v>248</v>
      </c>
      <c r="N2" t="s">
        <v>1432</v>
      </c>
      <c r="O2">
        <v>78</v>
      </c>
      <c r="P2">
        <v>111</v>
      </c>
      <c r="Q2" t="s">
        <v>24</v>
      </c>
      <c r="R2" t="s">
        <v>25</v>
      </c>
      <c r="S2" t="s">
        <v>26</v>
      </c>
      <c r="T2" t="s">
        <v>24</v>
      </c>
      <c r="U2">
        <f>SUM(IF(Q2="Y",1,0),IF(R2="Y",1,0),IF(S2="Low",1,0),IF(T2="Y",1,0))</f>
        <v>2</v>
      </c>
      <c r="V2">
        <v>171</v>
      </c>
      <c r="W2">
        <v>0.504</v>
      </c>
      <c r="X2" t="s">
        <v>1406</v>
      </c>
      <c r="Y2">
        <v>125</v>
      </c>
      <c r="Z2">
        <v>79</v>
      </c>
      <c r="AA2" t="s">
        <v>27</v>
      </c>
      <c r="AB2">
        <v>140</v>
      </c>
      <c r="AC2" s="23">
        <v>1.79</v>
      </c>
      <c r="AD2" t="str">
        <f>IF(AND('CVD Dataset'!AA2="Normal",'CVD Dataset'!AB2&gt;AVERAGE('CVD Dataset'!AB:AB),'CVD Dataset'!AF2="High"),"High Lipid Category","Normal Category")</f>
        <v>Normal Category</v>
      </c>
      <c r="AE2">
        <v>17.93</v>
      </c>
      <c r="AF2" t="s">
        <v>28</v>
      </c>
      <c r="AG2">
        <v>0</v>
      </c>
      <c r="AH2" t="s">
        <v>1380</v>
      </c>
      <c r="AI2">
        <f>IF(AF2="HIGH",1,0)</f>
        <v>0</v>
      </c>
      <c r="AJ2" t="s">
        <v>1391</v>
      </c>
    </row>
    <row r="3" spans="1:36" x14ac:dyDescent="0.3">
      <c r="A3" t="s">
        <v>22</v>
      </c>
      <c r="B3">
        <v>55</v>
      </c>
      <c r="C3">
        <v>118.7</v>
      </c>
      <c r="D3">
        <v>1.69</v>
      </c>
      <c r="E3">
        <v>41.6</v>
      </c>
      <c r="F3">
        <f t="shared" ref="F3:F66" si="0">IFERROR(C3/POWER(D3,2),"")</f>
        <v>41.560169461853583</v>
      </c>
      <c r="G3">
        <f t="shared" ref="G3:G66" si="1">IF(ABS(E3 - F3) &lt;= 0.1, 0, 1)</f>
        <v>0</v>
      </c>
      <c r="H3" t="s">
        <v>1399</v>
      </c>
      <c r="I3">
        <v>82.5</v>
      </c>
      <c r="J3" t="s">
        <v>29</v>
      </c>
      <c r="K3" s="26">
        <v>139</v>
      </c>
      <c r="L3" s="24">
        <v>70</v>
      </c>
      <c r="M3">
        <v>162</v>
      </c>
      <c r="N3" t="s">
        <v>1433</v>
      </c>
      <c r="O3">
        <v>50</v>
      </c>
      <c r="P3">
        <v>135</v>
      </c>
      <c r="Q3" t="s">
        <v>25</v>
      </c>
      <c r="R3" t="s">
        <v>25</v>
      </c>
      <c r="S3" t="s">
        <v>30</v>
      </c>
      <c r="T3" t="s">
        <v>25</v>
      </c>
      <c r="U3">
        <f t="shared" ref="U3:U66" si="2">SUM(IF(Q3="Y",1,0),IF(R3="Y",1,0),IF(S3="Low",1,0),IF(T3="Y",1,0))</f>
        <v>3</v>
      </c>
      <c r="V3">
        <v>169</v>
      </c>
      <c r="W3">
        <v>0.48799999999999999</v>
      </c>
      <c r="X3" t="s">
        <v>1406</v>
      </c>
      <c r="Y3">
        <v>139</v>
      </c>
      <c r="Z3">
        <v>70</v>
      </c>
      <c r="AA3" t="s">
        <v>31</v>
      </c>
      <c r="AB3">
        <v>82</v>
      </c>
      <c r="AC3" s="23">
        <v>1.64</v>
      </c>
      <c r="AD3" t="str">
        <f>IF(AND('CVD Dataset'!AA3="Normal",'CVD Dataset'!AB3&gt;AVERAGE('CVD Dataset'!AB:AB),'CVD Dataset'!AF3="High"),"High Lipid Category","Normal Category")</f>
        <v>Normal Category</v>
      </c>
      <c r="AE3">
        <v>20.51</v>
      </c>
      <c r="AF3" t="s">
        <v>32</v>
      </c>
      <c r="AG3">
        <v>0</v>
      </c>
      <c r="AH3" t="s">
        <v>1379</v>
      </c>
      <c r="AI3">
        <f t="shared" ref="AI3:AI66" si="3">IF(AF3="HIGH",1,0)</f>
        <v>1</v>
      </c>
      <c r="AJ3" t="s">
        <v>1392</v>
      </c>
    </row>
    <row r="4" spans="1:36" x14ac:dyDescent="0.3">
      <c r="A4" t="s">
        <v>33</v>
      </c>
      <c r="D4">
        <v>1.83</v>
      </c>
      <c r="E4">
        <v>26.9</v>
      </c>
      <c r="F4">
        <f t="shared" si="0"/>
        <v>0</v>
      </c>
      <c r="G4">
        <f t="shared" si="1"/>
        <v>1</v>
      </c>
      <c r="H4" t="s">
        <v>1400</v>
      </c>
      <c r="I4">
        <v>106.7</v>
      </c>
      <c r="J4" t="s">
        <v>34</v>
      </c>
      <c r="K4" s="24">
        <v>104</v>
      </c>
      <c r="L4" s="24">
        <v>77</v>
      </c>
      <c r="M4">
        <v>103</v>
      </c>
      <c r="N4" t="s">
        <v>1434</v>
      </c>
      <c r="O4">
        <v>73</v>
      </c>
      <c r="P4">
        <v>114</v>
      </c>
      <c r="Q4" t="s">
        <v>24</v>
      </c>
      <c r="R4" t="s">
        <v>24</v>
      </c>
      <c r="S4" t="s">
        <v>30</v>
      </c>
      <c r="T4" t="s">
        <v>25</v>
      </c>
      <c r="U4">
        <f t="shared" si="2"/>
        <v>1</v>
      </c>
      <c r="V4">
        <v>183</v>
      </c>
      <c r="W4">
        <v>0.58299999999999996</v>
      </c>
      <c r="X4" t="s">
        <v>1407</v>
      </c>
      <c r="Y4">
        <v>104</v>
      </c>
      <c r="Z4">
        <v>77</v>
      </c>
      <c r="AA4" t="s">
        <v>35</v>
      </c>
      <c r="AB4">
        <v>0</v>
      </c>
      <c r="AC4" s="23">
        <v>0</v>
      </c>
      <c r="AD4" t="str">
        <f>IF(AND('CVD Dataset'!AA4="Normal",'CVD Dataset'!AB4&gt;AVERAGE('CVD Dataset'!AB:AB),'CVD Dataset'!AF4="High"),"High Lipid Category","Normal Category")</f>
        <v>Normal Category</v>
      </c>
      <c r="AE4">
        <v>12.64</v>
      </c>
      <c r="AF4" t="s">
        <v>28</v>
      </c>
      <c r="AG4">
        <v>0</v>
      </c>
      <c r="AH4" t="s">
        <v>1380</v>
      </c>
      <c r="AI4">
        <f t="shared" si="3"/>
        <v>0</v>
      </c>
      <c r="AJ4" t="s">
        <v>1391</v>
      </c>
    </row>
    <row r="5" spans="1:36" x14ac:dyDescent="0.3">
      <c r="A5" t="s">
        <v>33</v>
      </c>
      <c r="B5">
        <v>44</v>
      </c>
      <c r="C5">
        <v>108.3</v>
      </c>
      <c r="D5">
        <v>1.8</v>
      </c>
      <c r="E5">
        <v>33.4</v>
      </c>
      <c r="F5">
        <f t="shared" si="0"/>
        <v>33.425925925925924</v>
      </c>
      <c r="G5">
        <f t="shared" si="1"/>
        <v>0</v>
      </c>
      <c r="H5" t="s">
        <v>1399</v>
      </c>
      <c r="I5">
        <v>96.6</v>
      </c>
      <c r="J5" t="s">
        <v>36</v>
      </c>
      <c r="K5" s="24">
        <v>140</v>
      </c>
      <c r="L5" s="24">
        <v>83</v>
      </c>
      <c r="M5">
        <v>134</v>
      </c>
      <c r="N5" t="s">
        <v>1434</v>
      </c>
      <c r="O5">
        <v>46</v>
      </c>
      <c r="P5">
        <v>91</v>
      </c>
      <c r="Q5" t="s">
        <v>24</v>
      </c>
      <c r="R5" t="s">
        <v>24</v>
      </c>
      <c r="S5" t="s">
        <v>30</v>
      </c>
      <c r="T5" t="s">
        <v>25</v>
      </c>
      <c r="U5">
        <f t="shared" si="2"/>
        <v>1</v>
      </c>
      <c r="W5">
        <v>0.53700000000000003</v>
      </c>
      <c r="X5" t="s">
        <v>1407</v>
      </c>
      <c r="Y5">
        <v>140</v>
      </c>
      <c r="Z5">
        <v>83</v>
      </c>
      <c r="AA5" t="s">
        <v>31</v>
      </c>
      <c r="AB5">
        <v>58</v>
      </c>
      <c r="AC5" s="23">
        <v>1.26</v>
      </c>
      <c r="AD5" t="str">
        <f>IF(AND('CVD Dataset'!AA5="Normal",'CVD Dataset'!AB5&gt;AVERAGE('CVD Dataset'!AB:AB),'CVD Dataset'!AF5="High"),"High Lipid Category","Normal Category")</f>
        <v>Normal Category</v>
      </c>
      <c r="AE5">
        <v>16.36</v>
      </c>
      <c r="AF5" t="s">
        <v>28</v>
      </c>
      <c r="AG5">
        <v>0</v>
      </c>
      <c r="AH5" t="s">
        <v>1380</v>
      </c>
      <c r="AI5">
        <f t="shared" si="3"/>
        <v>0</v>
      </c>
      <c r="AJ5" t="s">
        <v>1391</v>
      </c>
    </row>
    <row r="6" spans="1:36" x14ac:dyDescent="0.3">
      <c r="A6" t="s">
        <v>22</v>
      </c>
      <c r="B6">
        <v>32</v>
      </c>
      <c r="C6">
        <v>99.5</v>
      </c>
      <c r="D6">
        <v>1.86</v>
      </c>
      <c r="E6">
        <v>28.8</v>
      </c>
      <c r="F6">
        <f t="shared" si="0"/>
        <v>28.760550352641921</v>
      </c>
      <c r="G6">
        <f t="shared" si="1"/>
        <v>0</v>
      </c>
      <c r="H6" t="s">
        <v>1400</v>
      </c>
      <c r="I6">
        <v>102.7</v>
      </c>
      <c r="J6" t="s">
        <v>37</v>
      </c>
      <c r="K6" s="24">
        <v>144</v>
      </c>
      <c r="L6" s="24">
        <v>83</v>
      </c>
      <c r="M6">
        <v>146</v>
      </c>
      <c r="N6" t="s">
        <v>1434</v>
      </c>
      <c r="O6">
        <v>64</v>
      </c>
      <c r="P6">
        <v>141</v>
      </c>
      <c r="Q6" t="s">
        <v>25</v>
      </c>
      <c r="R6" t="s">
        <v>25</v>
      </c>
      <c r="S6" t="s">
        <v>30</v>
      </c>
      <c r="T6" t="s">
        <v>24</v>
      </c>
      <c r="U6">
        <f t="shared" si="2"/>
        <v>2</v>
      </c>
      <c r="V6">
        <v>186</v>
      </c>
      <c r="W6">
        <v>0.55200000000000005</v>
      </c>
      <c r="X6" t="s">
        <v>1407</v>
      </c>
      <c r="Y6">
        <v>144</v>
      </c>
      <c r="Z6">
        <v>83</v>
      </c>
      <c r="AA6" t="s">
        <v>31</v>
      </c>
      <c r="AB6">
        <v>52</v>
      </c>
      <c r="AC6" s="23">
        <v>0.81</v>
      </c>
      <c r="AD6" t="str">
        <f>IF(AND('CVD Dataset'!AA6="Normal",'CVD Dataset'!AB6&gt;AVERAGE('CVD Dataset'!AB:AB),'CVD Dataset'!AF6="High"),"High Lipid Category","Normal Category")</f>
        <v>Normal Category</v>
      </c>
      <c r="AE6">
        <v>17.88</v>
      </c>
      <c r="AF6" t="s">
        <v>28</v>
      </c>
      <c r="AG6">
        <v>0</v>
      </c>
      <c r="AH6" t="s">
        <v>1380</v>
      </c>
      <c r="AI6">
        <f t="shared" si="3"/>
        <v>0</v>
      </c>
      <c r="AJ6" t="s">
        <v>1391</v>
      </c>
    </row>
    <row r="7" spans="1:36" x14ac:dyDescent="0.3">
      <c r="A7" t="s">
        <v>22</v>
      </c>
      <c r="B7">
        <v>58</v>
      </c>
      <c r="C7">
        <v>117.9</v>
      </c>
      <c r="D7">
        <v>1.87</v>
      </c>
      <c r="E7">
        <v>33.700000000000003</v>
      </c>
      <c r="F7">
        <f t="shared" si="0"/>
        <v>33.715576653607478</v>
      </c>
      <c r="G7">
        <f t="shared" si="1"/>
        <v>0</v>
      </c>
      <c r="H7" t="s">
        <v>1399</v>
      </c>
      <c r="I7">
        <v>81.400000000000006</v>
      </c>
      <c r="J7" t="s">
        <v>38</v>
      </c>
      <c r="K7" s="24">
        <v>142</v>
      </c>
      <c r="L7" s="24">
        <v>90</v>
      </c>
      <c r="M7">
        <v>156</v>
      </c>
      <c r="N7" t="s">
        <v>1433</v>
      </c>
      <c r="O7">
        <v>67</v>
      </c>
      <c r="P7">
        <v>82</v>
      </c>
      <c r="Q7" t="s">
        <v>25</v>
      </c>
      <c r="R7" t="s">
        <v>24</v>
      </c>
      <c r="S7" t="s">
        <v>39</v>
      </c>
      <c r="T7" t="s">
        <v>25</v>
      </c>
      <c r="U7">
        <f t="shared" si="2"/>
        <v>2</v>
      </c>
      <c r="V7">
        <v>187</v>
      </c>
      <c r="W7">
        <v>0.435</v>
      </c>
      <c r="X7" t="s">
        <v>1408</v>
      </c>
      <c r="Y7">
        <v>142</v>
      </c>
      <c r="Z7">
        <v>90</v>
      </c>
      <c r="AA7" t="s">
        <v>40</v>
      </c>
      <c r="AB7">
        <v>59</v>
      </c>
      <c r="AC7" s="23">
        <v>0.88</v>
      </c>
      <c r="AD7" t="str">
        <f>IF(AND('CVD Dataset'!AA7="Normal",'CVD Dataset'!AB7&gt;AVERAGE('CVD Dataset'!AB:AB),'CVD Dataset'!AF7="High"),"High Lipid Category","Normal Category")</f>
        <v>Normal Category</v>
      </c>
      <c r="AE7">
        <v>16.96</v>
      </c>
      <c r="AF7" t="s">
        <v>32</v>
      </c>
      <c r="AG7">
        <v>1</v>
      </c>
      <c r="AH7" t="s">
        <v>1379</v>
      </c>
      <c r="AI7">
        <f t="shared" si="3"/>
        <v>1</v>
      </c>
      <c r="AJ7" t="s">
        <v>1391</v>
      </c>
    </row>
    <row r="8" spans="1:36" x14ac:dyDescent="0.3">
      <c r="A8" t="s">
        <v>33</v>
      </c>
      <c r="B8">
        <v>33</v>
      </c>
      <c r="C8">
        <v>117.9</v>
      </c>
      <c r="D8">
        <v>1.82</v>
      </c>
      <c r="E8">
        <v>35.6</v>
      </c>
      <c r="F8">
        <f t="shared" si="0"/>
        <v>35.593527351769112</v>
      </c>
      <c r="G8">
        <f t="shared" si="1"/>
        <v>0</v>
      </c>
      <c r="H8" t="s">
        <v>1399</v>
      </c>
      <c r="I8">
        <v>74.8</v>
      </c>
      <c r="J8" t="s">
        <v>41</v>
      </c>
      <c r="K8" s="24">
        <v>96</v>
      </c>
      <c r="L8" s="24">
        <v>63</v>
      </c>
      <c r="M8">
        <v>184</v>
      </c>
      <c r="N8" t="s">
        <v>1432</v>
      </c>
      <c r="O8">
        <v>66</v>
      </c>
      <c r="P8">
        <v>87</v>
      </c>
      <c r="Q8" t="s">
        <v>24</v>
      </c>
      <c r="R8" t="s">
        <v>25</v>
      </c>
      <c r="S8" t="s">
        <v>26</v>
      </c>
      <c r="T8" t="s">
        <v>24</v>
      </c>
      <c r="U8">
        <f t="shared" si="2"/>
        <v>2</v>
      </c>
      <c r="V8">
        <v>182</v>
      </c>
      <c r="W8">
        <v>0.41099999999999998</v>
      </c>
      <c r="X8" t="s">
        <v>1408</v>
      </c>
      <c r="Y8">
        <v>96</v>
      </c>
      <c r="Z8">
        <v>63</v>
      </c>
      <c r="AA8" t="s">
        <v>35</v>
      </c>
      <c r="AB8">
        <v>88</v>
      </c>
      <c r="AC8" s="23">
        <v>1.33</v>
      </c>
      <c r="AD8" t="str">
        <f>IF(AND('CVD Dataset'!AA8="Normal",'CVD Dataset'!AB8&gt;AVERAGE('CVD Dataset'!AB:AB),'CVD Dataset'!AF8="High"),"High Lipid Category","Normal Category")</f>
        <v>Normal Category</v>
      </c>
      <c r="AE8">
        <v>17.600000000000001</v>
      </c>
      <c r="AF8" t="s">
        <v>28</v>
      </c>
      <c r="AG8">
        <v>0</v>
      </c>
      <c r="AH8" t="s">
        <v>1380</v>
      </c>
      <c r="AI8">
        <f t="shared" si="3"/>
        <v>0</v>
      </c>
      <c r="AJ8" t="s">
        <v>1391</v>
      </c>
    </row>
    <row r="9" spans="1:36" x14ac:dyDescent="0.3">
      <c r="A9" t="s">
        <v>33</v>
      </c>
      <c r="B9">
        <v>55</v>
      </c>
      <c r="C9">
        <v>100.1</v>
      </c>
      <c r="D9">
        <v>1.74</v>
      </c>
      <c r="E9">
        <v>33.1</v>
      </c>
      <c r="F9">
        <f t="shared" si="0"/>
        <v>33.062491742634428</v>
      </c>
      <c r="G9">
        <f t="shared" si="1"/>
        <v>0</v>
      </c>
      <c r="H9" t="s">
        <v>1399</v>
      </c>
      <c r="I9">
        <v>96.6</v>
      </c>
      <c r="J9" t="s">
        <v>42</v>
      </c>
      <c r="K9" s="24">
        <v>115</v>
      </c>
      <c r="L9" s="24">
        <v>73</v>
      </c>
      <c r="M9">
        <v>287</v>
      </c>
      <c r="N9" t="s">
        <v>1432</v>
      </c>
      <c r="O9">
        <v>40</v>
      </c>
      <c r="P9">
        <v>96</v>
      </c>
      <c r="Q9" t="s">
        <v>25</v>
      </c>
      <c r="R9" t="s">
        <v>24</v>
      </c>
      <c r="S9" t="s">
        <v>39</v>
      </c>
      <c r="T9" t="s">
        <v>24</v>
      </c>
      <c r="U9">
        <f t="shared" si="2"/>
        <v>1</v>
      </c>
      <c r="V9">
        <v>174</v>
      </c>
      <c r="W9">
        <v>0.55500000000000005</v>
      </c>
      <c r="X9" t="s">
        <v>1407</v>
      </c>
      <c r="Y9">
        <v>115</v>
      </c>
      <c r="Z9">
        <v>73</v>
      </c>
      <c r="AA9" t="s">
        <v>35</v>
      </c>
      <c r="AB9">
        <v>217</v>
      </c>
      <c r="AC9" s="23">
        <v>5.43</v>
      </c>
      <c r="AD9" t="str">
        <f>IF(AND('CVD Dataset'!AA9="Normal",'CVD Dataset'!AB9&gt;AVERAGE('CVD Dataset'!AB:AB),'CVD Dataset'!AF9="High"),"High Lipid Category","Normal Category")</f>
        <v>High Lipid Category</v>
      </c>
      <c r="AE9">
        <v>18.11</v>
      </c>
      <c r="AF9" t="s">
        <v>32</v>
      </c>
      <c r="AG9">
        <v>0</v>
      </c>
      <c r="AH9" t="s">
        <v>1379</v>
      </c>
      <c r="AI9">
        <f t="shared" si="3"/>
        <v>1</v>
      </c>
      <c r="AJ9" t="s">
        <v>1391</v>
      </c>
    </row>
    <row r="10" spans="1:36" x14ac:dyDescent="0.3">
      <c r="A10" t="s">
        <v>22</v>
      </c>
      <c r="B10">
        <v>37</v>
      </c>
      <c r="C10">
        <v>110.1</v>
      </c>
      <c r="D10">
        <v>1.86</v>
      </c>
      <c r="E10">
        <v>31.8</v>
      </c>
      <c r="F10">
        <f t="shared" si="0"/>
        <v>31.824488380159551</v>
      </c>
      <c r="G10">
        <f t="shared" si="1"/>
        <v>0</v>
      </c>
      <c r="H10" t="s">
        <v>1399</v>
      </c>
      <c r="I10">
        <v>92.4</v>
      </c>
      <c r="J10" t="s">
        <v>43</v>
      </c>
      <c r="K10" s="24">
        <v>107</v>
      </c>
      <c r="L10" s="24">
        <v>95</v>
      </c>
      <c r="M10">
        <v>177</v>
      </c>
      <c r="N10" t="s">
        <v>1433</v>
      </c>
      <c r="O10">
        <v>68</v>
      </c>
      <c r="P10">
        <v>70</v>
      </c>
      <c r="Q10" t="s">
        <v>25</v>
      </c>
      <c r="R10" t="s">
        <v>24</v>
      </c>
      <c r="S10" t="s">
        <v>30</v>
      </c>
      <c r="T10" t="s">
        <v>24</v>
      </c>
      <c r="U10">
        <f t="shared" si="2"/>
        <v>1</v>
      </c>
      <c r="V10">
        <v>186</v>
      </c>
      <c r="W10">
        <v>0.497</v>
      </c>
      <c r="X10" t="s">
        <v>1406</v>
      </c>
      <c r="Z10">
        <v>95</v>
      </c>
      <c r="AA10" t="s">
        <v>40</v>
      </c>
      <c r="AB10">
        <v>79</v>
      </c>
      <c r="AC10" s="23">
        <v>1.1599999999999999</v>
      </c>
      <c r="AD10" t="str">
        <f>IF(AND('CVD Dataset'!AA10="Normal",'CVD Dataset'!AB10&gt;AVERAGE('CVD Dataset'!AB:AB),'CVD Dataset'!AF10="High"),"High Lipid Category","Normal Category")</f>
        <v>Normal Category</v>
      </c>
      <c r="AE10">
        <v>15.25</v>
      </c>
      <c r="AF10" t="s">
        <v>28</v>
      </c>
      <c r="AG10">
        <v>0</v>
      </c>
      <c r="AH10" t="s">
        <v>1380</v>
      </c>
      <c r="AI10">
        <f t="shared" si="3"/>
        <v>0</v>
      </c>
      <c r="AJ10" t="s">
        <v>1391</v>
      </c>
    </row>
    <row r="11" spans="1:36" x14ac:dyDescent="0.3">
      <c r="A11" t="s">
        <v>22</v>
      </c>
      <c r="B11">
        <v>58</v>
      </c>
      <c r="C11">
        <v>97.6</v>
      </c>
      <c r="D11">
        <v>1.86</v>
      </c>
      <c r="E11">
        <v>28.2</v>
      </c>
      <c r="F11">
        <f t="shared" si="0"/>
        <v>28.211353913747249</v>
      </c>
      <c r="G11">
        <f t="shared" si="1"/>
        <v>0</v>
      </c>
      <c r="H11" t="s">
        <v>1400</v>
      </c>
      <c r="I11">
        <v>74.599999999999994</v>
      </c>
      <c r="J11" t="s">
        <v>44</v>
      </c>
      <c r="K11" s="24">
        <v>133</v>
      </c>
      <c r="L11" s="24">
        <v>83</v>
      </c>
      <c r="M11">
        <v>281</v>
      </c>
      <c r="N11" t="s">
        <v>1432</v>
      </c>
      <c r="O11">
        <v>68</v>
      </c>
      <c r="P11">
        <v>126</v>
      </c>
      <c r="Q11" t="s">
        <v>24</v>
      </c>
      <c r="R11" t="s">
        <v>24</v>
      </c>
      <c r="S11" t="s">
        <v>39</v>
      </c>
      <c r="T11" t="s">
        <v>24</v>
      </c>
      <c r="U11">
        <f t="shared" si="2"/>
        <v>0</v>
      </c>
      <c r="V11">
        <v>186</v>
      </c>
      <c r="W11">
        <v>0.40100000000000002</v>
      </c>
      <c r="X11" t="s">
        <v>1408</v>
      </c>
      <c r="Y11">
        <v>133</v>
      </c>
      <c r="Z11">
        <v>83</v>
      </c>
      <c r="AA11" t="s">
        <v>31</v>
      </c>
      <c r="AB11">
        <v>183</v>
      </c>
      <c r="AC11" s="23">
        <v>2.69</v>
      </c>
      <c r="AD11" t="str">
        <f>IF(AND('CVD Dataset'!AA11="Normal",'CVD Dataset'!AB11&gt;AVERAGE('CVD Dataset'!AB:AB),'CVD Dataset'!AF11="High"),"High Lipid Category","Normal Category")</f>
        <v>Normal Category</v>
      </c>
      <c r="AE11">
        <v>17.91</v>
      </c>
      <c r="AF11" t="s">
        <v>28</v>
      </c>
      <c r="AG11">
        <v>0</v>
      </c>
      <c r="AH11" t="s">
        <v>1380</v>
      </c>
      <c r="AI11">
        <f t="shared" si="3"/>
        <v>0</v>
      </c>
      <c r="AJ11" t="s">
        <v>1391</v>
      </c>
    </row>
    <row r="12" spans="1:36" x14ac:dyDescent="0.3">
      <c r="A12" t="s">
        <v>22</v>
      </c>
      <c r="B12">
        <v>38</v>
      </c>
      <c r="C12">
        <v>75.599999999999994</v>
      </c>
      <c r="D12">
        <v>1.6</v>
      </c>
      <c r="E12">
        <v>29.5</v>
      </c>
      <c r="F12">
        <f t="shared" si="0"/>
        <v>29.531249999999993</v>
      </c>
      <c r="G12">
        <f t="shared" si="1"/>
        <v>0</v>
      </c>
      <c r="H12" t="s">
        <v>1400</v>
      </c>
      <c r="I12">
        <v>72.3</v>
      </c>
      <c r="J12" t="s">
        <v>45</v>
      </c>
      <c r="K12" s="24">
        <v>129</v>
      </c>
      <c r="L12" s="24">
        <v>87</v>
      </c>
      <c r="M12">
        <v>269</v>
      </c>
      <c r="N12" t="s">
        <v>1432</v>
      </c>
      <c r="O12">
        <v>61</v>
      </c>
      <c r="P12">
        <v>74</v>
      </c>
      <c r="Q12" t="s">
        <v>25</v>
      </c>
      <c r="R12" t="s">
        <v>25</v>
      </c>
      <c r="S12" t="s">
        <v>26</v>
      </c>
      <c r="T12" t="s">
        <v>25</v>
      </c>
      <c r="U12">
        <f t="shared" si="2"/>
        <v>4</v>
      </c>
      <c r="V12">
        <v>160</v>
      </c>
      <c r="W12">
        <v>0.45200000000000001</v>
      </c>
      <c r="X12" t="s">
        <v>1408</v>
      </c>
      <c r="Y12">
        <v>129</v>
      </c>
      <c r="Z12">
        <v>87</v>
      </c>
      <c r="AA12" t="s">
        <v>31</v>
      </c>
      <c r="AB12">
        <v>178</v>
      </c>
      <c r="AC12" s="23">
        <v>2.92</v>
      </c>
      <c r="AD12" t="str">
        <f>IF(AND('CVD Dataset'!AA12="Normal",'CVD Dataset'!AB12&gt;AVERAGE('CVD Dataset'!AB:AB),'CVD Dataset'!AF12="High"),"High Lipid Category","Normal Category")</f>
        <v>Normal Category</v>
      </c>
      <c r="AE12">
        <v>19.73</v>
      </c>
      <c r="AF12" t="s">
        <v>32</v>
      </c>
      <c r="AG12">
        <v>1</v>
      </c>
      <c r="AH12" t="s">
        <v>1379</v>
      </c>
      <c r="AI12">
        <f t="shared" si="3"/>
        <v>1</v>
      </c>
      <c r="AJ12" t="s">
        <v>1391</v>
      </c>
    </row>
    <row r="13" spans="1:36" x14ac:dyDescent="0.3">
      <c r="A13" t="s">
        <v>22</v>
      </c>
      <c r="B13">
        <v>32</v>
      </c>
      <c r="C13">
        <v>90.2</v>
      </c>
      <c r="D13">
        <v>1.85</v>
      </c>
      <c r="E13">
        <v>26.4</v>
      </c>
      <c r="F13">
        <f t="shared" si="0"/>
        <v>26.355003652300947</v>
      </c>
      <c r="G13">
        <f t="shared" si="1"/>
        <v>0</v>
      </c>
      <c r="H13" t="s">
        <v>1400</v>
      </c>
      <c r="I13">
        <v>71.8</v>
      </c>
      <c r="J13" t="s">
        <v>46</v>
      </c>
      <c r="K13" s="24">
        <v>134</v>
      </c>
      <c r="L13" s="24">
        <v>91</v>
      </c>
      <c r="M13">
        <v>231</v>
      </c>
      <c r="N13" t="s">
        <v>1432</v>
      </c>
      <c r="O13">
        <v>53</v>
      </c>
      <c r="P13">
        <v>121</v>
      </c>
      <c r="Q13" t="s">
        <v>24</v>
      </c>
      <c r="R13" t="s">
        <v>25</v>
      </c>
      <c r="S13" t="s">
        <v>39</v>
      </c>
      <c r="T13" t="s">
        <v>24</v>
      </c>
      <c r="U13">
        <f t="shared" si="2"/>
        <v>1</v>
      </c>
      <c r="V13">
        <v>185</v>
      </c>
      <c r="W13">
        <v>0.38800000000000001</v>
      </c>
      <c r="X13" t="s">
        <v>1408</v>
      </c>
      <c r="Y13">
        <v>134</v>
      </c>
      <c r="Z13">
        <v>91</v>
      </c>
      <c r="AA13" t="s">
        <v>31</v>
      </c>
      <c r="AB13">
        <v>148</v>
      </c>
      <c r="AC13" s="23">
        <v>2.79</v>
      </c>
      <c r="AD13" t="str">
        <f>IF(AND('CVD Dataset'!AA13="Normal",'CVD Dataset'!AB13&gt;AVERAGE('CVD Dataset'!AB:AB),'CVD Dataset'!AF13="High"),"High Lipid Category","Normal Category")</f>
        <v>Normal Category</v>
      </c>
      <c r="AE13">
        <v>18.600000000000001</v>
      </c>
      <c r="AF13" t="s">
        <v>28</v>
      </c>
      <c r="AG13">
        <v>0</v>
      </c>
      <c r="AH13" t="s">
        <v>1380</v>
      </c>
      <c r="AI13">
        <f t="shared" si="3"/>
        <v>0</v>
      </c>
      <c r="AJ13" t="s">
        <v>1391</v>
      </c>
    </row>
    <row r="14" spans="1:36" x14ac:dyDescent="0.3">
      <c r="A14" t="s">
        <v>33</v>
      </c>
      <c r="B14">
        <v>48</v>
      </c>
      <c r="E14">
        <v>28.8</v>
      </c>
      <c r="F14" t="str">
        <f t="shared" si="0"/>
        <v/>
      </c>
      <c r="G14" t="str">
        <f>IFERROR(IF(ABS(E14 - F14) &lt;= 0.1, 0, 1),"")</f>
        <v/>
      </c>
      <c r="H14" t="s">
        <v>1400</v>
      </c>
      <c r="I14">
        <v>79.7</v>
      </c>
      <c r="J14" t="s">
        <v>47</v>
      </c>
      <c r="K14" s="24">
        <v>102</v>
      </c>
      <c r="L14" s="24">
        <v>63</v>
      </c>
      <c r="M14">
        <v>245</v>
      </c>
      <c r="N14" t="s">
        <v>1432</v>
      </c>
      <c r="O14">
        <v>72</v>
      </c>
      <c r="P14">
        <v>97</v>
      </c>
      <c r="Q14" t="s">
        <v>25</v>
      </c>
      <c r="R14" t="s">
        <v>24</v>
      </c>
      <c r="S14" t="s">
        <v>26</v>
      </c>
      <c r="T14" t="s">
        <v>25</v>
      </c>
      <c r="U14">
        <f t="shared" si="2"/>
        <v>3</v>
      </c>
      <c r="V14">
        <v>178</v>
      </c>
      <c r="W14">
        <v>0.44800000000000001</v>
      </c>
      <c r="X14" t="s">
        <v>1408</v>
      </c>
      <c r="Y14">
        <v>102</v>
      </c>
      <c r="Z14">
        <v>63</v>
      </c>
      <c r="AA14" t="s">
        <v>35</v>
      </c>
      <c r="AB14">
        <v>143</v>
      </c>
      <c r="AC14" s="23">
        <v>1.99</v>
      </c>
      <c r="AD14" t="str">
        <f>IF(AND('CVD Dataset'!AA14="Normal",'CVD Dataset'!AB14&gt;AVERAGE('CVD Dataset'!AB:AB),'CVD Dataset'!AF14="High"),"High Lipid Category","Normal Category")</f>
        <v>High Lipid Category</v>
      </c>
      <c r="AE14">
        <v>15.76</v>
      </c>
      <c r="AF14" t="s">
        <v>32</v>
      </c>
      <c r="AG14">
        <v>1</v>
      </c>
      <c r="AH14" t="s">
        <v>1379</v>
      </c>
      <c r="AI14">
        <f t="shared" si="3"/>
        <v>1</v>
      </c>
      <c r="AJ14" t="s">
        <v>1391</v>
      </c>
    </row>
    <row r="15" spans="1:36" x14ac:dyDescent="0.3">
      <c r="A15" t="s">
        <v>33</v>
      </c>
      <c r="B15">
        <v>38</v>
      </c>
      <c r="C15">
        <v>117</v>
      </c>
      <c r="D15">
        <v>1.81</v>
      </c>
      <c r="E15">
        <v>35.700000000000003</v>
      </c>
      <c r="F15">
        <f t="shared" si="0"/>
        <v>35.713195567900854</v>
      </c>
      <c r="G15">
        <f t="shared" ref="G15:G78" si="4">IFERROR(IF(ABS(E15 - F15) &lt;= 0.1, 0, 1),"")</f>
        <v>0</v>
      </c>
      <c r="H15" t="s">
        <v>1399</v>
      </c>
      <c r="I15">
        <v>79.3</v>
      </c>
      <c r="J15" t="s">
        <v>48</v>
      </c>
      <c r="K15" s="24">
        <v>142</v>
      </c>
      <c r="L15" s="24">
        <v>92</v>
      </c>
      <c r="M15">
        <v>206</v>
      </c>
      <c r="N15" t="s">
        <v>1432</v>
      </c>
      <c r="O15">
        <v>51</v>
      </c>
      <c r="P15">
        <v>122</v>
      </c>
      <c r="Q15" t="s">
        <v>25</v>
      </c>
      <c r="R15" t="s">
        <v>25</v>
      </c>
      <c r="S15" t="s">
        <v>30</v>
      </c>
      <c r="T15" t="s">
        <v>25</v>
      </c>
      <c r="U15">
        <f t="shared" si="2"/>
        <v>3</v>
      </c>
      <c r="V15">
        <v>181</v>
      </c>
      <c r="W15">
        <v>0.438</v>
      </c>
      <c r="X15" t="s">
        <v>1408</v>
      </c>
      <c r="Y15">
        <v>142</v>
      </c>
      <c r="Z15">
        <v>92</v>
      </c>
      <c r="AA15" t="s">
        <v>40</v>
      </c>
      <c r="AB15">
        <v>125</v>
      </c>
      <c r="AC15" s="23">
        <v>2.4500000000000002</v>
      </c>
      <c r="AD15" t="str">
        <f>IF(AND('CVD Dataset'!AA15="Normal",'CVD Dataset'!AB15&gt;AVERAGE('CVD Dataset'!AB:AB),'CVD Dataset'!AF15="High"),"High Lipid Category","Normal Category")</f>
        <v>Normal Category</v>
      </c>
      <c r="AE15">
        <v>20.36</v>
      </c>
      <c r="AF15" t="s">
        <v>32</v>
      </c>
      <c r="AG15">
        <v>0</v>
      </c>
      <c r="AH15" t="s">
        <v>1379</v>
      </c>
      <c r="AI15">
        <f t="shared" si="3"/>
        <v>1</v>
      </c>
      <c r="AJ15" t="s">
        <v>1391</v>
      </c>
    </row>
    <row r="16" spans="1:36" x14ac:dyDescent="0.3">
      <c r="A16" t="s">
        <v>33</v>
      </c>
      <c r="B16">
        <v>58</v>
      </c>
      <c r="C16">
        <v>104.2</v>
      </c>
      <c r="D16">
        <v>1.73</v>
      </c>
      <c r="E16">
        <v>34.799999999999997</v>
      </c>
      <c r="F16">
        <f t="shared" si="0"/>
        <v>34.815730562330849</v>
      </c>
      <c r="G16">
        <f t="shared" si="4"/>
        <v>0</v>
      </c>
      <c r="H16" t="s">
        <v>1399</v>
      </c>
      <c r="I16">
        <v>108.4</v>
      </c>
      <c r="J16" t="s">
        <v>49</v>
      </c>
      <c r="K16" s="24">
        <v>101</v>
      </c>
      <c r="L16" s="24">
        <v>64</v>
      </c>
      <c r="N16" t="s">
        <v>1434</v>
      </c>
      <c r="O16">
        <v>68</v>
      </c>
      <c r="P16">
        <v>142</v>
      </c>
      <c r="Q16" t="s">
        <v>25</v>
      </c>
      <c r="R16" t="s">
        <v>25</v>
      </c>
      <c r="S16" t="s">
        <v>26</v>
      </c>
      <c r="T16" t="s">
        <v>25</v>
      </c>
      <c r="U16">
        <f t="shared" si="2"/>
        <v>4</v>
      </c>
      <c r="V16">
        <v>173</v>
      </c>
      <c r="W16">
        <v>0.627</v>
      </c>
      <c r="X16" t="s">
        <v>1409</v>
      </c>
      <c r="Y16">
        <v>101</v>
      </c>
      <c r="Z16">
        <v>64</v>
      </c>
      <c r="AA16" t="s">
        <v>35</v>
      </c>
      <c r="AB16">
        <v>190</v>
      </c>
      <c r="AC16" s="23">
        <v>2.79</v>
      </c>
      <c r="AD16" t="str">
        <f>IF(AND('CVD Dataset'!AA16="Normal",'CVD Dataset'!AB16&gt;AVERAGE('CVD Dataset'!AB:AB),'CVD Dataset'!AF16="High"),"High Lipid Category","Normal Category")</f>
        <v>High Lipid Category</v>
      </c>
      <c r="AF16" t="s">
        <v>32</v>
      </c>
      <c r="AG16">
        <v>1</v>
      </c>
      <c r="AH16" t="s">
        <v>1379</v>
      </c>
      <c r="AI16">
        <f t="shared" si="3"/>
        <v>1</v>
      </c>
      <c r="AJ16" t="s">
        <v>1391</v>
      </c>
    </row>
    <row r="17" spans="1:36" x14ac:dyDescent="0.3">
      <c r="A17" t="s">
        <v>33</v>
      </c>
      <c r="B17">
        <v>38</v>
      </c>
      <c r="C17">
        <v>116.5</v>
      </c>
      <c r="D17">
        <v>1.64</v>
      </c>
      <c r="E17">
        <v>43.3</v>
      </c>
      <c r="F17">
        <f t="shared" si="0"/>
        <v>43.314991076740043</v>
      </c>
      <c r="G17">
        <f t="shared" si="4"/>
        <v>0</v>
      </c>
      <c r="H17" t="s">
        <v>1399</v>
      </c>
      <c r="I17">
        <v>76.7</v>
      </c>
      <c r="J17" t="s">
        <v>50</v>
      </c>
      <c r="K17" s="24">
        <v>101</v>
      </c>
      <c r="L17" s="24">
        <v>67</v>
      </c>
      <c r="M17">
        <v>115</v>
      </c>
      <c r="N17" t="s">
        <v>1434</v>
      </c>
      <c r="O17">
        <v>41</v>
      </c>
      <c r="P17">
        <v>111</v>
      </c>
      <c r="Q17" t="s">
        <v>24</v>
      </c>
      <c r="R17" t="s">
        <v>24</v>
      </c>
      <c r="S17" t="s">
        <v>26</v>
      </c>
      <c r="T17" t="s">
        <v>24</v>
      </c>
      <c r="U17">
        <f t="shared" si="2"/>
        <v>1</v>
      </c>
      <c r="V17">
        <v>164</v>
      </c>
      <c r="W17">
        <v>0.46800000000000003</v>
      </c>
      <c r="X17" t="s">
        <v>1406</v>
      </c>
      <c r="Y17">
        <v>101</v>
      </c>
      <c r="Z17">
        <v>67</v>
      </c>
      <c r="AA17" t="s">
        <v>35</v>
      </c>
      <c r="AB17">
        <v>44</v>
      </c>
      <c r="AC17" s="23">
        <v>1.07</v>
      </c>
      <c r="AD17" t="str">
        <f>IF(AND('CVD Dataset'!AA17="Normal",'CVD Dataset'!AB17&gt;AVERAGE('CVD Dataset'!AB:AB),'CVD Dataset'!AF17="High"),"High Lipid Category","Normal Category")</f>
        <v>Normal Category</v>
      </c>
      <c r="AE17">
        <v>16.010000000000002</v>
      </c>
      <c r="AF17" t="s">
        <v>28</v>
      </c>
      <c r="AG17">
        <v>0</v>
      </c>
      <c r="AH17" t="s">
        <v>1380</v>
      </c>
      <c r="AI17">
        <f t="shared" si="3"/>
        <v>0</v>
      </c>
      <c r="AJ17" t="s">
        <v>1391</v>
      </c>
    </row>
    <row r="18" spans="1:36" x14ac:dyDescent="0.3">
      <c r="A18" t="s">
        <v>22</v>
      </c>
      <c r="B18">
        <v>41</v>
      </c>
      <c r="C18">
        <v>60.8</v>
      </c>
      <c r="D18">
        <v>1.68</v>
      </c>
      <c r="E18">
        <v>21.5</v>
      </c>
      <c r="F18">
        <f t="shared" si="0"/>
        <v>21.541950113378686</v>
      </c>
      <c r="G18">
        <f t="shared" si="4"/>
        <v>0</v>
      </c>
      <c r="H18" t="s">
        <v>1398</v>
      </c>
      <c r="I18">
        <v>77.099999999999994</v>
      </c>
      <c r="J18" t="s">
        <v>51</v>
      </c>
      <c r="K18" s="24">
        <v>138</v>
      </c>
      <c r="L18" s="24">
        <v>99</v>
      </c>
      <c r="N18" t="s">
        <v>1434</v>
      </c>
      <c r="O18">
        <v>60</v>
      </c>
      <c r="Q18" t="s">
        <v>25</v>
      </c>
      <c r="R18" t="s">
        <v>25</v>
      </c>
      <c r="S18" t="s">
        <v>26</v>
      </c>
      <c r="T18" t="s">
        <v>24</v>
      </c>
      <c r="U18">
        <f t="shared" si="2"/>
        <v>3</v>
      </c>
      <c r="V18">
        <v>168</v>
      </c>
      <c r="X18" t="s">
        <v>1410</v>
      </c>
      <c r="Y18">
        <v>138</v>
      </c>
      <c r="Z18">
        <v>99</v>
      </c>
      <c r="AA18" t="s">
        <v>31</v>
      </c>
      <c r="AB18">
        <v>138</v>
      </c>
      <c r="AC18" s="23">
        <v>2.2999999999999998</v>
      </c>
      <c r="AD18" t="str">
        <f>IF(AND('CVD Dataset'!AA18="Normal",'CVD Dataset'!AB18&gt;AVERAGE('CVD Dataset'!AB:AB),'CVD Dataset'!AF18="High"),"High Lipid Category","Normal Category")</f>
        <v>Normal Category</v>
      </c>
      <c r="AE18">
        <v>17.760000000000002</v>
      </c>
      <c r="AF18" t="s">
        <v>32</v>
      </c>
      <c r="AG18">
        <v>1</v>
      </c>
      <c r="AH18" t="s">
        <v>1379</v>
      </c>
      <c r="AI18">
        <f t="shared" si="3"/>
        <v>1</v>
      </c>
      <c r="AJ18" t="s">
        <v>1391</v>
      </c>
    </row>
    <row r="19" spans="1:36" x14ac:dyDescent="0.3">
      <c r="A19" t="s">
        <v>33</v>
      </c>
      <c r="B19">
        <v>57</v>
      </c>
      <c r="C19">
        <v>94.5</v>
      </c>
      <c r="D19">
        <v>1.8</v>
      </c>
      <c r="E19">
        <v>29.2</v>
      </c>
      <c r="F19">
        <f t="shared" si="0"/>
        <v>29.166666666666664</v>
      </c>
      <c r="G19">
        <f t="shared" si="4"/>
        <v>0</v>
      </c>
      <c r="H19" t="s">
        <v>1400</v>
      </c>
      <c r="I19">
        <v>89.9</v>
      </c>
      <c r="J19" t="s">
        <v>52</v>
      </c>
      <c r="K19" s="24">
        <v>129</v>
      </c>
      <c r="L19" s="24">
        <v>100</v>
      </c>
      <c r="N19" t="s">
        <v>1434</v>
      </c>
      <c r="O19">
        <v>64</v>
      </c>
      <c r="P19">
        <v>109</v>
      </c>
      <c r="Q19" t="s">
        <v>24</v>
      </c>
      <c r="R19" t="s">
        <v>25</v>
      </c>
      <c r="S19" t="s">
        <v>39</v>
      </c>
      <c r="T19" t="s">
        <v>24</v>
      </c>
      <c r="U19">
        <f t="shared" si="2"/>
        <v>1</v>
      </c>
      <c r="V19">
        <v>180</v>
      </c>
      <c r="W19">
        <v>0.499</v>
      </c>
      <c r="X19" t="s">
        <v>1406</v>
      </c>
      <c r="Y19">
        <v>129</v>
      </c>
      <c r="Z19">
        <v>100</v>
      </c>
      <c r="AA19" t="s">
        <v>40</v>
      </c>
      <c r="AB19">
        <v>78</v>
      </c>
      <c r="AC19" s="23">
        <v>1.22</v>
      </c>
      <c r="AD19" t="str">
        <f>IF(AND('CVD Dataset'!AA19="Normal",'CVD Dataset'!AB19&gt;AVERAGE('CVD Dataset'!AB:AB),'CVD Dataset'!AF19="High"),"High Lipid Category","Normal Category")</f>
        <v>Normal Category</v>
      </c>
      <c r="AE19">
        <v>17.73</v>
      </c>
      <c r="AF19" t="s">
        <v>28</v>
      </c>
      <c r="AG19">
        <v>0</v>
      </c>
      <c r="AH19" t="s">
        <v>1380</v>
      </c>
      <c r="AI19">
        <f t="shared" si="3"/>
        <v>0</v>
      </c>
      <c r="AJ19" t="s">
        <v>1392</v>
      </c>
    </row>
    <row r="20" spans="1:36" x14ac:dyDescent="0.3">
      <c r="A20" t="s">
        <v>22</v>
      </c>
      <c r="B20">
        <v>41</v>
      </c>
      <c r="C20">
        <v>58.3</v>
      </c>
      <c r="D20">
        <v>1.85</v>
      </c>
      <c r="E20">
        <v>17</v>
      </c>
      <c r="F20">
        <f t="shared" si="0"/>
        <v>17.034331628926221</v>
      </c>
      <c r="G20">
        <f t="shared" si="4"/>
        <v>0</v>
      </c>
      <c r="H20" t="s">
        <v>1401</v>
      </c>
      <c r="I20">
        <v>100.6</v>
      </c>
      <c r="J20" t="s">
        <v>53</v>
      </c>
      <c r="K20" s="24">
        <v>138</v>
      </c>
      <c r="L20" s="24">
        <v>96</v>
      </c>
      <c r="M20">
        <v>167</v>
      </c>
      <c r="N20" t="s">
        <v>1433</v>
      </c>
      <c r="O20">
        <v>51</v>
      </c>
      <c r="P20">
        <v>135</v>
      </c>
      <c r="Q20" t="s">
        <v>24</v>
      </c>
      <c r="R20" t="s">
        <v>24</v>
      </c>
      <c r="S20" t="s">
        <v>39</v>
      </c>
      <c r="T20" t="s">
        <v>25</v>
      </c>
      <c r="U20">
        <f t="shared" si="2"/>
        <v>1</v>
      </c>
      <c r="V20">
        <v>185</v>
      </c>
      <c r="X20" t="s">
        <v>1410</v>
      </c>
      <c r="Y20">
        <v>138</v>
      </c>
      <c r="Z20">
        <v>96</v>
      </c>
      <c r="AA20" t="s">
        <v>31</v>
      </c>
      <c r="AB20">
        <v>86</v>
      </c>
      <c r="AC20" s="23">
        <v>1.69</v>
      </c>
      <c r="AD20" t="str">
        <f>IF(AND('CVD Dataset'!AA20="Normal",'CVD Dataset'!AB20&gt;AVERAGE('CVD Dataset'!AB:AB),'CVD Dataset'!AF20="High"),"High Lipid Category","Normal Category")</f>
        <v>Normal Category</v>
      </c>
      <c r="AE20">
        <v>13.64</v>
      </c>
      <c r="AF20" t="s">
        <v>54</v>
      </c>
      <c r="AG20">
        <v>0</v>
      </c>
      <c r="AH20" t="s">
        <v>1380</v>
      </c>
      <c r="AI20">
        <f t="shared" si="3"/>
        <v>0</v>
      </c>
      <c r="AJ20" t="s">
        <v>1391</v>
      </c>
    </row>
    <row r="21" spans="1:36" x14ac:dyDescent="0.3">
      <c r="A21" t="s">
        <v>22</v>
      </c>
      <c r="B21">
        <v>48</v>
      </c>
      <c r="C21">
        <v>50.6</v>
      </c>
      <c r="D21">
        <v>1.7</v>
      </c>
      <c r="E21">
        <v>17.5</v>
      </c>
      <c r="F21">
        <f t="shared" si="0"/>
        <v>17.508650519031143</v>
      </c>
      <c r="G21">
        <f t="shared" si="4"/>
        <v>0</v>
      </c>
      <c r="H21" t="s">
        <v>1401</v>
      </c>
      <c r="J21" t="s">
        <v>55</v>
      </c>
      <c r="K21" s="24">
        <v>95</v>
      </c>
      <c r="L21" s="24">
        <v>92</v>
      </c>
      <c r="M21">
        <v>185</v>
      </c>
      <c r="N21" t="s">
        <v>1432</v>
      </c>
      <c r="O21">
        <v>68</v>
      </c>
      <c r="P21">
        <v>116</v>
      </c>
      <c r="Q21" t="s">
        <v>25</v>
      </c>
      <c r="R21" t="s">
        <v>24</v>
      </c>
      <c r="S21" t="s">
        <v>26</v>
      </c>
      <c r="T21" t="s">
        <v>25</v>
      </c>
      <c r="U21">
        <f t="shared" si="2"/>
        <v>3</v>
      </c>
      <c r="V21">
        <v>170</v>
      </c>
      <c r="W21">
        <v>0.64600000000000002</v>
      </c>
      <c r="X21" t="s">
        <v>1409</v>
      </c>
      <c r="Y21">
        <v>95</v>
      </c>
      <c r="Z21">
        <v>92</v>
      </c>
      <c r="AA21" t="s">
        <v>40</v>
      </c>
      <c r="AB21">
        <v>87</v>
      </c>
      <c r="AC21" s="23">
        <v>1.28</v>
      </c>
      <c r="AD21" t="str">
        <f>IF(AND('CVD Dataset'!AA21="Normal",'CVD Dataset'!AB21&gt;AVERAGE('CVD Dataset'!AB:AB),'CVD Dataset'!AF21="High"),"High Lipid Category","Normal Category")</f>
        <v>Normal Category</v>
      </c>
      <c r="AE21">
        <v>11.95</v>
      </c>
      <c r="AF21" t="s">
        <v>32</v>
      </c>
      <c r="AG21">
        <v>1</v>
      </c>
      <c r="AH21" t="s">
        <v>1379</v>
      </c>
      <c r="AI21">
        <f t="shared" si="3"/>
        <v>1</v>
      </c>
      <c r="AJ21" t="s">
        <v>1391</v>
      </c>
    </row>
    <row r="22" spans="1:36" x14ac:dyDescent="0.3">
      <c r="A22" t="s">
        <v>22</v>
      </c>
      <c r="B22">
        <v>40</v>
      </c>
      <c r="C22">
        <v>85.6</v>
      </c>
      <c r="D22">
        <v>1.77</v>
      </c>
      <c r="E22">
        <v>27.3</v>
      </c>
      <c r="F22">
        <f t="shared" si="0"/>
        <v>27.322927638928785</v>
      </c>
      <c r="G22">
        <f t="shared" si="4"/>
        <v>0</v>
      </c>
      <c r="H22" t="s">
        <v>1400</v>
      </c>
      <c r="I22">
        <v>98.7</v>
      </c>
      <c r="J22" t="s">
        <v>56</v>
      </c>
      <c r="K22" s="24">
        <v>132</v>
      </c>
      <c r="L22" s="24">
        <v>92</v>
      </c>
      <c r="M22">
        <v>282</v>
      </c>
      <c r="N22" t="s">
        <v>1432</v>
      </c>
      <c r="O22">
        <v>80</v>
      </c>
      <c r="P22">
        <v>112</v>
      </c>
      <c r="Q22" t="s">
        <v>25</v>
      </c>
      <c r="R22" t="s">
        <v>25</v>
      </c>
      <c r="S22" t="s">
        <v>26</v>
      </c>
      <c r="T22" t="s">
        <v>25</v>
      </c>
      <c r="U22">
        <f t="shared" si="2"/>
        <v>4</v>
      </c>
      <c r="V22">
        <v>177</v>
      </c>
      <c r="W22">
        <v>0.55800000000000005</v>
      </c>
      <c r="X22" t="s">
        <v>1407</v>
      </c>
      <c r="Y22">
        <v>132</v>
      </c>
      <c r="Z22">
        <v>92</v>
      </c>
      <c r="AA22" t="s">
        <v>31</v>
      </c>
      <c r="AB22">
        <v>172</v>
      </c>
      <c r="AC22" s="23">
        <v>2.15</v>
      </c>
      <c r="AD22" t="str">
        <f>IF(AND('CVD Dataset'!AA22="Normal",'CVD Dataset'!AB22&gt;AVERAGE('CVD Dataset'!AB:AB),'CVD Dataset'!AF22="High"),"High Lipid Category","Normal Category")</f>
        <v>Normal Category</v>
      </c>
      <c r="AE22">
        <v>19.7</v>
      </c>
      <c r="AF22" t="s">
        <v>32</v>
      </c>
      <c r="AG22">
        <v>1</v>
      </c>
      <c r="AH22" t="s">
        <v>1379</v>
      </c>
      <c r="AI22">
        <f t="shared" si="3"/>
        <v>1</v>
      </c>
      <c r="AJ22" t="s">
        <v>1391</v>
      </c>
    </row>
    <row r="23" spans="1:36" x14ac:dyDescent="0.3">
      <c r="A23" t="s">
        <v>22</v>
      </c>
      <c r="B23">
        <v>39</v>
      </c>
      <c r="C23">
        <v>92.7</v>
      </c>
      <c r="D23">
        <v>1.61</v>
      </c>
      <c r="E23">
        <v>35.799999999999997</v>
      </c>
      <c r="F23">
        <f t="shared" si="0"/>
        <v>35.762509162455146</v>
      </c>
      <c r="G23">
        <f t="shared" si="4"/>
        <v>0</v>
      </c>
      <c r="H23" t="s">
        <v>1399</v>
      </c>
      <c r="I23">
        <v>105.6</v>
      </c>
      <c r="J23" t="s">
        <v>57</v>
      </c>
      <c r="K23" s="24">
        <v>120</v>
      </c>
      <c r="L23" s="24">
        <v>89</v>
      </c>
      <c r="M23">
        <v>176</v>
      </c>
      <c r="N23" t="s">
        <v>1433</v>
      </c>
      <c r="O23">
        <v>71</v>
      </c>
      <c r="P23">
        <v>85</v>
      </c>
      <c r="Q23" t="s">
        <v>25</v>
      </c>
      <c r="R23" t="s">
        <v>24</v>
      </c>
      <c r="S23" t="s">
        <v>26</v>
      </c>
      <c r="T23" t="s">
        <v>25</v>
      </c>
      <c r="U23">
        <f t="shared" si="2"/>
        <v>3</v>
      </c>
      <c r="V23">
        <v>161</v>
      </c>
      <c r="W23">
        <v>0.65600000000000003</v>
      </c>
      <c r="X23" t="s">
        <v>1409</v>
      </c>
      <c r="Y23">
        <v>120</v>
      </c>
      <c r="Z23">
        <v>89</v>
      </c>
      <c r="AA23" t="s">
        <v>31</v>
      </c>
      <c r="AB23">
        <v>75</v>
      </c>
      <c r="AC23" s="23">
        <v>1.06</v>
      </c>
      <c r="AD23" t="str">
        <f>IF(AND('CVD Dataset'!AA23="Normal",'CVD Dataset'!AB23&gt;AVERAGE('CVD Dataset'!AB:AB),'CVD Dataset'!AF23="High"),"High Lipid Category","Normal Category")</f>
        <v>Normal Category</v>
      </c>
      <c r="AE23">
        <v>16.68</v>
      </c>
      <c r="AF23" t="s">
        <v>32</v>
      </c>
      <c r="AG23">
        <v>1</v>
      </c>
      <c r="AH23" t="s">
        <v>1379</v>
      </c>
      <c r="AI23">
        <f t="shared" si="3"/>
        <v>1</v>
      </c>
      <c r="AJ23" t="s">
        <v>1391</v>
      </c>
    </row>
    <row r="24" spans="1:36" x14ac:dyDescent="0.3">
      <c r="A24" t="s">
        <v>22</v>
      </c>
      <c r="B24">
        <v>34</v>
      </c>
      <c r="C24">
        <v>90.4</v>
      </c>
      <c r="E24">
        <v>25</v>
      </c>
      <c r="F24" t="str">
        <f t="shared" si="0"/>
        <v/>
      </c>
      <c r="G24" t="str">
        <f t="shared" si="4"/>
        <v/>
      </c>
      <c r="H24" t="s">
        <v>1400</v>
      </c>
      <c r="I24">
        <v>71.400000000000006</v>
      </c>
      <c r="J24" t="s">
        <v>58</v>
      </c>
      <c r="K24" s="24">
        <v>121</v>
      </c>
      <c r="L24" s="24">
        <v>79</v>
      </c>
      <c r="M24">
        <v>149</v>
      </c>
      <c r="N24" t="s">
        <v>1434</v>
      </c>
      <c r="O24">
        <v>76</v>
      </c>
      <c r="P24">
        <v>114</v>
      </c>
      <c r="Q24" t="s">
        <v>24</v>
      </c>
      <c r="R24" t="s">
        <v>25</v>
      </c>
      <c r="S24" t="s">
        <v>26</v>
      </c>
      <c r="T24" t="s">
        <v>25</v>
      </c>
      <c r="U24">
        <f t="shared" si="2"/>
        <v>3</v>
      </c>
      <c r="V24">
        <v>190</v>
      </c>
      <c r="W24">
        <v>0.376</v>
      </c>
      <c r="X24" t="s">
        <v>1408</v>
      </c>
      <c r="AA24" t="s">
        <v>27</v>
      </c>
      <c r="AB24">
        <v>43</v>
      </c>
      <c r="AC24" s="23">
        <v>0.56999999999999995</v>
      </c>
      <c r="AD24" t="str">
        <f>IF(AND('CVD Dataset'!AA24="Normal",'CVD Dataset'!AB24&gt;AVERAGE('CVD Dataset'!AB:AB),'CVD Dataset'!AF24="High"),"High Lipid Category","Normal Category")</f>
        <v>Normal Category</v>
      </c>
      <c r="AE24">
        <v>16.03</v>
      </c>
      <c r="AF24" t="s">
        <v>32</v>
      </c>
      <c r="AG24">
        <v>1</v>
      </c>
      <c r="AH24" t="s">
        <v>1379</v>
      </c>
      <c r="AI24">
        <f t="shared" si="3"/>
        <v>1</v>
      </c>
      <c r="AJ24" t="s">
        <v>1391</v>
      </c>
    </row>
    <row r="25" spans="1:36" x14ac:dyDescent="0.3">
      <c r="A25" t="s">
        <v>22</v>
      </c>
      <c r="B25">
        <v>35</v>
      </c>
      <c r="C25">
        <v>60.1</v>
      </c>
      <c r="D25">
        <v>1.76</v>
      </c>
      <c r="E25">
        <v>19.399999999999999</v>
      </c>
      <c r="F25">
        <f t="shared" si="0"/>
        <v>19.402117768595044</v>
      </c>
      <c r="G25">
        <f t="shared" si="4"/>
        <v>0</v>
      </c>
      <c r="H25" t="s">
        <v>1398</v>
      </c>
      <c r="I25">
        <v>86.9</v>
      </c>
      <c r="J25" t="s">
        <v>59</v>
      </c>
      <c r="K25" s="24">
        <v>102</v>
      </c>
      <c r="L25" s="24">
        <v>74</v>
      </c>
      <c r="M25">
        <v>191</v>
      </c>
      <c r="N25" t="s">
        <v>1432</v>
      </c>
      <c r="O25">
        <v>65</v>
      </c>
      <c r="P25">
        <v>86</v>
      </c>
      <c r="Q25" t="s">
        <v>24</v>
      </c>
      <c r="R25" t="s">
        <v>24</v>
      </c>
      <c r="S25" t="s">
        <v>39</v>
      </c>
      <c r="T25" t="s">
        <v>25</v>
      </c>
      <c r="U25">
        <f t="shared" si="2"/>
        <v>1</v>
      </c>
      <c r="V25">
        <v>176</v>
      </c>
      <c r="W25">
        <v>0.49399999999999999</v>
      </c>
      <c r="X25" t="s">
        <v>1406</v>
      </c>
      <c r="Y25">
        <v>102</v>
      </c>
      <c r="Z25">
        <v>74</v>
      </c>
      <c r="AA25" t="s">
        <v>35</v>
      </c>
      <c r="AB25">
        <v>96</v>
      </c>
      <c r="AC25" s="23">
        <v>1.48</v>
      </c>
      <c r="AD25" t="str">
        <f>IF(AND('CVD Dataset'!AA25="Normal",'CVD Dataset'!AB25&gt;AVERAGE('CVD Dataset'!AB:AB),'CVD Dataset'!AF25="High"),"High Lipid Category","Normal Category")</f>
        <v>Normal Category</v>
      </c>
      <c r="AE25">
        <v>12.8</v>
      </c>
      <c r="AF25" t="s">
        <v>54</v>
      </c>
      <c r="AG25">
        <v>0</v>
      </c>
      <c r="AH25" t="s">
        <v>1380</v>
      </c>
      <c r="AI25">
        <f t="shared" si="3"/>
        <v>0</v>
      </c>
      <c r="AJ25" t="s">
        <v>1391</v>
      </c>
    </row>
    <row r="26" spans="1:36" x14ac:dyDescent="0.3">
      <c r="A26" t="s">
        <v>33</v>
      </c>
      <c r="B26">
        <v>36</v>
      </c>
      <c r="C26">
        <v>96</v>
      </c>
      <c r="D26">
        <v>1.63</v>
      </c>
      <c r="E26">
        <v>36.1</v>
      </c>
      <c r="F26">
        <f t="shared" si="0"/>
        <v>36.132334675749938</v>
      </c>
      <c r="G26">
        <f t="shared" si="4"/>
        <v>0</v>
      </c>
      <c r="H26" t="s">
        <v>1399</v>
      </c>
      <c r="I26">
        <v>78.2</v>
      </c>
      <c r="J26" t="s">
        <v>60</v>
      </c>
      <c r="K26" s="24">
        <v>98</v>
      </c>
      <c r="L26" s="24">
        <v>99</v>
      </c>
      <c r="M26">
        <v>158</v>
      </c>
      <c r="N26" t="s">
        <v>1433</v>
      </c>
      <c r="O26">
        <v>39</v>
      </c>
      <c r="P26">
        <v>108</v>
      </c>
      <c r="Q26" t="s">
        <v>25</v>
      </c>
      <c r="R26" t="s">
        <v>25</v>
      </c>
      <c r="S26" t="s">
        <v>26</v>
      </c>
      <c r="T26" t="s">
        <v>25</v>
      </c>
      <c r="U26">
        <f t="shared" si="2"/>
        <v>4</v>
      </c>
      <c r="V26">
        <v>163</v>
      </c>
      <c r="W26">
        <v>0.48</v>
      </c>
      <c r="X26" t="s">
        <v>1406</v>
      </c>
      <c r="Y26">
        <v>98</v>
      </c>
      <c r="Z26">
        <v>99</v>
      </c>
      <c r="AA26" t="s">
        <v>40</v>
      </c>
      <c r="AB26">
        <v>89</v>
      </c>
      <c r="AC26" s="23">
        <v>2.2799999999999998</v>
      </c>
      <c r="AD26" t="str">
        <f>IF(AND('CVD Dataset'!AA26="Normal",'CVD Dataset'!AB26&gt;AVERAGE('CVD Dataset'!AB:AB),'CVD Dataset'!AF26="High"),"High Lipid Category","Normal Category")</f>
        <v>Normal Category</v>
      </c>
      <c r="AE26">
        <v>17.28</v>
      </c>
      <c r="AF26" t="s">
        <v>32</v>
      </c>
      <c r="AG26">
        <v>0</v>
      </c>
      <c r="AH26" t="s">
        <v>1379</v>
      </c>
      <c r="AI26">
        <f t="shared" si="3"/>
        <v>1</v>
      </c>
      <c r="AJ26" t="s">
        <v>1391</v>
      </c>
    </row>
    <row r="27" spans="1:36" x14ac:dyDescent="0.3">
      <c r="A27" t="s">
        <v>22</v>
      </c>
      <c r="B27">
        <v>53</v>
      </c>
      <c r="C27">
        <v>68.900000000000006</v>
      </c>
      <c r="D27">
        <v>1.88</v>
      </c>
      <c r="E27">
        <v>19.5</v>
      </c>
      <c r="F27">
        <f t="shared" si="0"/>
        <v>19.494114984155729</v>
      </c>
      <c r="G27">
        <f t="shared" si="4"/>
        <v>0</v>
      </c>
      <c r="H27" t="s">
        <v>1398</v>
      </c>
      <c r="I27">
        <v>84.6</v>
      </c>
      <c r="J27" t="s">
        <v>61</v>
      </c>
      <c r="K27" s="24">
        <v>137</v>
      </c>
      <c r="L27" s="24">
        <v>70</v>
      </c>
      <c r="M27">
        <v>156</v>
      </c>
      <c r="N27" t="s">
        <v>1433</v>
      </c>
      <c r="P27">
        <v>128</v>
      </c>
      <c r="Q27" t="s">
        <v>25</v>
      </c>
      <c r="R27" t="s">
        <v>25</v>
      </c>
      <c r="S27" t="s">
        <v>30</v>
      </c>
      <c r="T27" t="s">
        <v>25</v>
      </c>
      <c r="U27">
        <f t="shared" si="2"/>
        <v>3</v>
      </c>
      <c r="V27">
        <v>188</v>
      </c>
      <c r="W27">
        <v>0.45</v>
      </c>
      <c r="X27" t="s">
        <v>1408</v>
      </c>
      <c r="Y27">
        <v>137</v>
      </c>
      <c r="Z27">
        <v>70</v>
      </c>
      <c r="AA27" t="s">
        <v>31</v>
      </c>
      <c r="AB27">
        <v>47</v>
      </c>
      <c r="AC27" s="23" t="s">
        <v>1410</v>
      </c>
      <c r="AD27" t="str">
        <f>IF(AND('CVD Dataset'!AA27="Normal",'CVD Dataset'!AB27&gt;AVERAGE('CVD Dataset'!AB:AB),'CVD Dataset'!AF27="High"),"High Lipid Category","Normal Category")</f>
        <v>Normal Category</v>
      </c>
      <c r="AE27">
        <v>15.87</v>
      </c>
      <c r="AF27" t="s">
        <v>32</v>
      </c>
      <c r="AG27">
        <v>0</v>
      </c>
      <c r="AH27" t="s">
        <v>1379</v>
      </c>
      <c r="AI27">
        <f t="shared" si="3"/>
        <v>1</v>
      </c>
      <c r="AJ27" t="s">
        <v>1392</v>
      </c>
    </row>
    <row r="28" spans="1:36" x14ac:dyDescent="0.3">
      <c r="A28" t="s">
        <v>22</v>
      </c>
      <c r="B28">
        <v>55</v>
      </c>
      <c r="C28">
        <v>96</v>
      </c>
      <c r="D28">
        <v>1.65</v>
      </c>
      <c r="E28">
        <v>35.299999999999997</v>
      </c>
      <c r="F28">
        <f t="shared" si="0"/>
        <v>35.261707988980717</v>
      </c>
      <c r="G28">
        <f t="shared" si="4"/>
        <v>0</v>
      </c>
      <c r="H28" t="s">
        <v>1399</v>
      </c>
      <c r="I28">
        <v>83.6</v>
      </c>
      <c r="J28" t="s">
        <v>62</v>
      </c>
      <c r="K28" s="24">
        <v>148</v>
      </c>
      <c r="L28" s="24">
        <v>97</v>
      </c>
      <c r="M28">
        <v>160</v>
      </c>
      <c r="N28" t="s">
        <v>1433</v>
      </c>
      <c r="O28">
        <v>41</v>
      </c>
      <c r="Q28" t="s">
        <v>24</v>
      </c>
      <c r="R28" t="s">
        <v>24</v>
      </c>
      <c r="S28" t="s">
        <v>26</v>
      </c>
      <c r="T28" t="s">
        <v>25</v>
      </c>
      <c r="U28">
        <f t="shared" si="2"/>
        <v>2</v>
      </c>
      <c r="V28">
        <v>165</v>
      </c>
      <c r="W28">
        <v>0.50700000000000001</v>
      </c>
      <c r="X28" t="s">
        <v>1406</v>
      </c>
      <c r="Y28">
        <v>148</v>
      </c>
      <c r="AA28" t="s">
        <v>40</v>
      </c>
      <c r="AB28">
        <v>89</v>
      </c>
      <c r="AC28" s="23">
        <v>2.17</v>
      </c>
      <c r="AD28" t="str">
        <f>IF(AND('CVD Dataset'!AA28="Normal",'CVD Dataset'!AB28&gt;AVERAGE('CVD Dataset'!AB:AB),'CVD Dataset'!AF28="High"),"High Lipid Category","Normal Category")</f>
        <v>Normal Category</v>
      </c>
      <c r="AE28">
        <v>17.66</v>
      </c>
      <c r="AF28" t="s">
        <v>32</v>
      </c>
      <c r="AG28">
        <v>0</v>
      </c>
      <c r="AH28" t="s">
        <v>1379</v>
      </c>
      <c r="AI28">
        <f t="shared" si="3"/>
        <v>1</v>
      </c>
      <c r="AJ28" t="s">
        <v>1391</v>
      </c>
    </row>
    <row r="29" spans="1:36" x14ac:dyDescent="0.3">
      <c r="A29" t="s">
        <v>33</v>
      </c>
      <c r="B29">
        <v>47</v>
      </c>
      <c r="C29">
        <v>111.6</v>
      </c>
      <c r="D29">
        <v>1.73</v>
      </c>
      <c r="F29">
        <f t="shared" si="0"/>
        <v>37.288248855624978</v>
      </c>
      <c r="G29">
        <f t="shared" si="4"/>
        <v>1</v>
      </c>
      <c r="H29" t="s">
        <v>1401</v>
      </c>
      <c r="I29">
        <v>75.900000000000006</v>
      </c>
      <c r="J29" t="s">
        <v>63</v>
      </c>
      <c r="K29" s="24">
        <v>128</v>
      </c>
      <c r="L29" s="24">
        <v>66</v>
      </c>
      <c r="M29">
        <v>283</v>
      </c>
      <c r="N29" t="s">
        <v>1432</v>
      </c>
      <c r="O29">
        <v>64</v>
      </c>
      <c r="P29">
        <v>142</v>
      </c>
      <c r="Q29" t="s">
        <v>25</v>
      </c>
      <c r="R29" t="s">
        <v>24</v>
      </c>
      <c r="S29" t="s">
        <v>26</v>
      </c>
      <c r="T29" t="s">
        <v>24</v>
      </c>
      <c r="U29">
        <f t="shared" si="2"/>
        <v>2</v>
      </c>
      <c r="V29">
        <v>173</v>
      </c>
      <c r="W29">
        <v>0.439</v>
      </c>
      <c r="X29" t="s">
        <v>1408</v>
      </c>
      <c r="Y29">
        <v>128</v>
      </c>
      <c r="Z29">
        <v>66</v>
      </c>
      <c r="AA29" t="s">
        <v>27</v>
      </c>
      <c r="AB29">
        <v>189</v>
      </c>
      <c r="AC29" s="23">
        <v>2.95</v>
      </c>
      <c r="AD29" t="str">
        <f>IF(AND('CVD Dataset'!AA29="Normal",'CVD Dataset'!AB29&gt;AVERAGE('CVD Dataset'!AB:AB),'CVD Dataset'!AF29="High"),"High Lipid Category","Normal Category")</f>
        <v>Normal Category</v>
      </c>
      <c r="AE29">
        <v>19.52</v>
      </c>
      <c r="AF29" t="s">
        <v>32</v>
      </c>
      <c r="AG29">
        <v>1</v>
      </c>
      <c r="AH29" t="s">
        <v>1379</v>
      </c>
      <c r="AI29">
        <f t="shared" si="3"/>
        <v>1</v>
      </c>
      <c r="AJ29" t="s">
        <v>1391</v>
      </c>
    </row>
    <row r="30" spans="1:36" x14ac:dyDescent="0.3">
      <c r="A30" t="s">
        <v>33</v>
      </c>
      <c r="B30">
        <v>55</v>
      </c>
      <c r="C30">
        <v>106</v>
      </c>
      <c r="D30">
        <v>1.82</v>
      </c>
      <c r="E30">
        <v>32</v>
      </c>
      <c r="F30">
        <f t="shared" si="0"/>
        <v>32.000966066900133</v>
      </c>
      <c r="G30">
        <f t="shared" si="4"/>
        <v>0</v>
      </c>
      <c r="H30" t="s">
        <v>1399</v>
      </c>
      <c r="I30">
        <v>109.3</v>
      </c>
      <c r="J30" t="s">
        <v>64</v>
      </c>
      <c r="K30" s="24">
        <v>97</v>
      </c>
      <c r="L30" s="24">
        <v>63</v>
      </c>
      <c r="M30">
        <v>287</v>
      </c>
      <c r="N30" t="s">
        <v>1432</v>
      </c>
      <c r="O30">
        <v>35</v>
      </c>
      <c r="P30">
        <v>130</v>
      </c>
      <c r="Q30" t="s">
        <v>24</v>
      </c>
      <c r="R30" t="s">
        <v>25</v>
      </c>
      <c r="S30" t="s">
        <v>39</v>
      </c>
      <c r="T30" t="s">
        <v>24</v>
      </c>
      <c r="U30">
        <f t="shared" si="2"/>
        <v>1</v>
      </c>
      <c r="V30">
        <v>182</v>
      </c>
      <c r="W30">
        <v>0.60099999999999998</v>
      </c>
      <c r="X30" t="s">
        <v>1409</v>
      </c>
      <c r="Y30">
        <v>97</v>
      </c>
      <c r="Z30">
        <v>63</v>
      </c>
      <c r="AA30" t="s">
        <v>35</v>
      </c>
      <c r="AB30">
        <v>222</v>
      </c>
      <c r="AC30" s="23">
        <v>6.34</v>
      </c>
      <c r="AD30" t="str">
        <f>IF(AND('CVD Dataset'!AA30="Normal",'CVD Dataset'!AB30&gt;AVERAGE('CVD Dataset'!AB:AB),'CVD Dataset'!AF30="High"),"High Lipid Category","Normal Category")</f>
        <v>High Lipid Category</v>
      </c>
      <c r="AE30">
        <v>18.989999999999998</v>
      </c>
      <c r="AF30" t="s">
        <v>32</v>
      </c>
      <c r="AG30">
        <v>0</v>
      </c>
      <c r="AH30" t="s">
        <v>1379</v>
      </c>
      <c r="AI30">
        <f t="shared" si="3"/>
        <v>1</v>
      </c>
      <c r="AJ30" t="s">
        <v>1391</v>
      </c>
    </row>
    <row r="31" spans="1:36" x14ac:dyDescent="0.3">
      <c r="A31" t="s">
        <v>33</v>
      </c>
      <c r="B31">
        <v>30</v>
      </c>
      <c r="D31">
        <v>1.83</v>
      </c>
      <c r="E31">
        <v>22.6</v>
      </c>
      <c r="F31">
        <f t="shared" si="0"/>
        <v>0</v>
      </c>
      <c r="G31">
        <f t="shared" si="4"/>
        <v>1</v>
      </c>
      <c r="H31" t="s">
        <v>1398</v>
      </c>
      <c r="I31">
        <v>75.099999999999994</v>
      </c>
      <c r="J31" t="s">
        <v>65</v>
      </c>
      <c r="K31" s="24">
        <v>91</v>
      </c>
      <c r="L31" s="24">
        <v>95</v>
      </c>
      <c r="M31">
        <v>277</v>
      </c>
      <c r="N31" t="s">
        <v>1432</v>
      </c>
      <c r="O31">
        <v>32</v>
      </c>
      <c r="P31">
        <v>73</v>
      </c>
      <c r="Q31" t="s">
        <v>25</v>
      </c>
      <c r="R31" t="s">
        <v>24</v>
      </c>
      <c r="S31" t="s">
        <v>39</v>
      </c>
      <c r="T31" t="s">
        <v>25</v>
      </c>
      <c r="U31">
        <f t="shared" si="2"/>
        <v>2</v>
      </c>
      <c r="V31">
        <v>183</v>
      </c>
      <c r="W31">
        <v>0.41</v>
      </c>
      <c r="X31" t="s">
        <v>1408</v>
      </c>
      <c r="Y31">
        <v>91</v>
      </c>
      <c r="Z31">
        <v>95</v>
      </c>
      <c r="AA31" t="s">
        <v>40</v>
      </c>
      <c r="AB31">
        <v>215</v>
      </c>
      <c r="AC31" s="23">
        <v>6.72</v>
      </c>
      <c r="AD31" t="str">
        <f>IF(AND('CVD Dataset'!AA31="Normal",'CVD Dataset'!AB31&gt;AVERAGE('CVD Dataset'!AB:AB),'CVD Dataset'!AF31="High"),"High Lipid Category","Normal Category")</f>
        <v>Normal Category</v>
      </c>
      <c r="AE31">
        <v>14.61</v>
      </c>
      <c r="AF31" t="s">
        <v>32</v>
      </c>
      <c r="AG31">
        <v>0</v>
      </c>
      <c r="AH31" t="s">
        <v>1379</v>
      </c>
      <c r="AI31">
        <f t="shared" si="3"/>
        <v>1</v>
      </c>
      <c r="AJ31" t="s">
        <v>1391</v>
      </c>
    </row>
    <row r="32" spans="1:36" x14ac:dyDescent="0.3">
      <c r="A32" t="s">
        <v>22</v>
      </c>
      <c r="B32">
        <v>58</v>
      </c>
      <c r="C32">
        <v>64.7</v>
      </c>
      <c r="D32">
        <v>1.64</v>
      </c>
      <c r="E32">
        <v>24.1</v>
      </c>
      <c r="F32">
        <f t="shared" si="0"/>
        <v>24.055621653777518</v>
      </c>
      <c r="G32">
        <f t="shared" si="4"/>
        <v>0</v>
      </c>
      <c r="H32" t="s">
        <v>1398</v>
      </c>
      <c r="I32">
        <v>82.1</v>
      </c>
      <c r="J32" t="s">
        <v>66</v>
      </c>
      <c r="K32" s="24">
        <v>97</v>
      </c>
      <c r="L32" s="24">
        <v>75</v>
      </c>
      <c r="M32">
        <v>151</v>
      </c>
      <c r="N32" t="s">
        <v>1433</v>
      </c>
      <c r="O32">
        <v>40</v>
      </c>
      <c r="P32">
        <v>123</v>
      </c>
      <c r="Q32" t="s">
        <v>25</v>
      </c>
      <c r="R32" t="s">
        <v>24</v>
      </c>
      <c r="S32" t="s">
        <v>26</v>
      </c>
      <c r="T32" t="s">
        <v>24</v>
      </c>
      <c r="U32">
        <f t="shared" si="2"/>
        <v>2</v>
      </c>
      <c r="V32">
        <v>164</v>
      </c>
      <c r="X32" t="s">
        <v>1410</v>
      </c>
      <c r="Y32">
        <v>97</v>
      </c>
      <c r="Z32">
        <v>75</v>
      </c>
      <c r="AA32" t="s">
        <v>35</v>
      </c>
      <c r="AB32">
        <v>81</v>
      </c>
      <c r="AC32" s="23">
        <v>2.0299999999999998</v>
      </c>
      <c r="AD32" t="str">
        <f>IF(AND('CVD Dataset'!AA32="Normal",'CVD Dataset'!AB32&gt;AVERAGE('CVD Dataset'!AB:AB),'CVD Dataset'!AF32="High"),"High Lipid Category","Normal Category")</f>
        <v>Normal Category</v>
      </c>
      <c r="AE32">
        <v>12.69</v>
      </c>
      <c r="AF32" t="s">
        <v>28</v>
      </c>
      <c r="AG32">
        <v>0</v>
      </c>
      <c r="AH32" t="s">
        <v>1380</v>
      </c>
      <c r="AI32">
        <f t="shared" si="3"/>
        <v>0</v>
      </c>
      <c r="AJ32" t="s">
        <v>1391</v>
      </c>
    </row>
    <row r="33" spans="1:36" x14ac:dyDescent="0.3">
      <c r="A33" t="s">
        <v>22</v>
      </c>
      <c r="B33">
        <v>31</v>
      </c>
      <c r="C33">
        <v>51.6</v>
      </c>
      <c r="D33">
        <v>1.71</v>
      </c>
      <c r="E33">
        <v>17.600000000000001</v>
      </c>
      <c r="F33">
        <f t="shared" si="0"/>
        <v>17.646455319585517</v>
      </c>
      <c r="G33">
        <f t="shared" si="4"/>
        <v>0</v>
      </c>
      <c r="H33" t="s">
        <v>1401</v>
      </c>
      <c r="I33">
        <v>93.7</v>
      </c>
      <c r="J33" t="s">
        <v>67</v>
      </c>
      <c r="K33" s="24">
        <v>109</v>
      </c>
      <c r="L33" s="24">
        <v>64</v>
      </c>
      <c r="M33">
        <v>165</v>
      </c>
      <c r="N33" t="s">
        <v>1433</v>
      </c>
      <c r="O33">
        <v>79</v>
      </c>
      <c r="P33">
        <v>136</v>
      </c>
      <c r="Q33" t="s">
        <v>25</v>
      </c>
      <c r="R33" t="s">
        <v>25</v>
      </c>
      <c r="S33" t="s">
        <v>26</v>
      </c>
      <c r="T33" t="s">
        <v>24</v>
      </c>
      <c r="U33">
        <f t="shared" si="2"/>
        <v>3</v>
      </c>
      <c r="V33">
        <v>171</v>
      </c>
      <c r="W33">
        <v>0.54800000000000004</v>
      </c>
      <c r="X33" t="s">
        <v>1407</v>
      </c>
      <c r="Y33">
        <v>109</v>
      </c>
      <c r="Z33">
        <v>64</v>
      </c>
      <c r="AA33" t="s">
        <v>35</v>
      </c>
      <c r="AB33">
        <v>56</v>
      </c>
      <c r="AC33" s="23">
        <v>0.71</v>
      </c>
      <c r="AD33" t="str">
        <f>IF(AND('CVD Dataset'!AA33="Normal",'CVD Dataset'!AB33&gt;AVERAGE('CVD Dataset'!AB:AB),'CVD Dataset'!AF33="High"),"High Lipid Category","Normal Category")</f>
        <v>Normal Category</v>
      </c>
      <c r="AE33">
        <v>14.27</v>
      </c>
      <c r="AF33" t="s">
        <v>28</v>
      </c>
      <c r="AG33">
        <v>0</v>
      </c>
      <c r="AH33" t="s">
        <v>1380</v>
      </c>
      <c r="AI33">
        <f t="shared" si="3"/>
        <v>0</v>
      </c>
      <c r="AJ33" t="s">
        <v>1391</v>
      </c>
    </row>
    <row r="34" spans="1:36" x14ac:dyDescent="0.3">
      <c r="A34" t="s">
        <v>33</v>
      </c>
      <c r="B34">
        <v>55</v>
      </c>
      <c r="C34">
        <v>112.8</v>
      </c>
      <c r="D34">
        <v>1.74</v>
      </c>
      <c r="E34">
        <v>37.299999999999997</v>
      </c>
      <c r="F34">
        <f t="shared" si="0"/>
        <v>37.257233452239397</v>
      </c>
      <c r="G34">
        <f t="shared" si="4"/>
        <v>0</v>
      </c>
      <c r="H34" t="s">
        <v>1399</v>
      </c>
      <c r="I34">
        <v>80.900000000000006</v>
      </c>
      <c r="J34" t="s">
        <v>68</v>
      </c>
      <c r="K34" s="24">
        <v>106</v>
      </c>
      <c r="L34" s="24">
        <v>87</v>
      </c>
      <c r="M34">
        <v>145</v>
      </c>
      <c r="N34" t="s">
        <v>1434</v>
      </c>
      <c r="O34">
        <v>32</v>
      </c>
      <c r="P34">
        <v>150</v>
      </c>
      <c r="Q34" t="s">
        <v>25</v>
      </c>
      <c r="R34" t="s">
        <v>25</v>
      </c>
      <c r="S34" t="s">
        <v>30</v>
      </c>
      <c r="T34" t="s">
        <v>25</v>
      </c>
      <c r="U34">
        <f t="shared" si="2"/>
        <v>3</v>
      </c>
      <c r="V34">
        <v>174</v>
      </c>
      <c r="W34">
        <v>0.46500000000000002</v>
      </c>
      <c r="X34" t="s">
        <v>1406</v>
      </c>
      <c r="Y34">
        <v>106</v>
      </c>
      <c r="Z34">
        <v>87</v>
      </c>
      <c r="AA34" t="s">
        <v>31</v>
      </c>
      <c r="AB34">
        <v>83</v>
      </c>
      <c r="AC34" s="23">
        <v>2.59</v>
      </c>
      <c r="AD34" t="str">
        <f>IF(AND('CVD Dataset'!AA34="Normal",'CVD Dataset'!AB34&gt;AVERAGE('CVD Dataset'!AB:AB),'CVD Dataset'!AF34="High"),"High Lipid Category","Normal Category")</f>
        <v>Normal Category</v>
      </c>
      <c r="AE34">
        <v>17.66</v>
      </c>
      <c r="AF34" t="s">
        <v>32</v>
      </c>
      <c r="AG34">
        <v>0</v>
      </c>
      <c r="AH34" t="s">
        <v>1379</v>
      </c>
      <c r="AI34">
        <f t="shared" si="3"/>
        <v>1</v>
      </c>
      <c r="AJ34" t="s">
        <v>1392</v>
      </c>
    </row>
    <row r="35" spans="1:36" x14ac:dyDescent="0.3">
      <c r="A35" t="s">
        <v>33</v>
      </c>
      <c r="B35">
        <v>37</v>
      </c>
      <c r="C35">
        <v>108.4</v>
      </c>
      <c r="E35">
        <v>36.200000000000003</v>
      </c>
      <c r="F35" t="str">
        <f t="shared" si="0"/>
        <v/>
      </c>
      <c r="G35" t="str">
        <f t="shared" si="4"/>
        <v/>
      </c>
      <c r="H35" t="s">
        <v>1399</v>
      </c>
      <c r="I35">
        <v>80.099999999999994</v>
      </c>
      <c r="J35" t="s">
        <v>69</v>
      </c>
      <c r="K35" s="24">
        <v>100</v>
      </c>
      <c r="L35" s="24">
        <v>83</v>
      </c>
      <c r="N35" t="s">
        <v>1434</v>
      </c>
      <c r="O35">
        <v>48</v>
      </c>
      <c r="P35">
        <v>145</v>
      </c>
      <c r="Q35" t="s">
        <v>25</v>
      </c>
      <c r="R35" t="s">
        <v>24</v>
      </c>
      <c r="S35" t="s">
        <v>39</v>
      </c>
      <c r="T35" t="s">
        <v>24</v>
      </c>
      <c r="U35">
        <f t="shared" si="2"/>
        <v>1</v>
      </c>
      <c r="V35">
        <v>173</v>
      </c>
      <c r="W35">
        <v>0.46300000000000002</v>
      </c>
      <c r="X35" t="s">
        <v>1406</v>
      </c>
      <c r="Y35">
        <v>100</v>
      </c>
      <c r="Z35">
        <v>83</v>
      </c>
      <c r="AA35" t="s">
        <v>31</v>
      </c>
      <c r="AB35">
        <v>55</v>
      </c>
      <c r="AC35" s="23">
        <v>1.1499999999999999</v>
      </c>
      <c r="AD35" t="str">
        <f>IF(AND('CVD Dataset'!AA35="Normal",'CVD Dataset'!AB35&gt;AVERAGE('CVD Dataset'!AB:AB),'CVD Dataset'!AF35="High"),"High Lipid Category","Normal Category")</f>
        <v>Normal Category</v>
      </c>
      <c r="AE35">
        <v>14.9</v>
      </c>
      <c r="AF35" t="s">
        <v>28</v>
      </c>
      <c r="AG35">
        <v>0</v>
      </c>
      <c r="AH35" t="s">
        <v>1380</v>
      </c>
      <c r="AI35">
        <f t="shared" si="3"/>
        <v>0</v>
      </c>
      <c r="AJ35" t="s">
        <v>1391</v>
      </c>
    </row>
    <row r="36" spans="1:36" x14ac:dyDescent="0.3">
      <c r="A36" t="s">
        <v>33</v>
      </c>
      <c r="B36">
        <v>32</v>
      </c>
      <c r="D36">
        <v>1.62</v>
      </c>
      <c r="E36">
        <v>24</v>
      </c>
      <c r="F36">
        <f t="shared" si="0"/>
        <v>0</v>
      </c>
      <c r="G36">
        <f t="shared" si="4"/>
        <v>1</v>
      </c>
      <c r="H36" t="s">
        <v>1398</v>
      </c>
      <c r="I36">
        <v>105.5</v>
      </c>
      <c r="J36" t="s">
        <v>70</v>
      </c>
      <c r="K36" s="24">
        <v>122</v>
      </c>
      <c r="L36" s="24">
        <v>84</v>
      </c>
      <c r="M36">
        <v>155</v>
      </c>
      <c r="N36" t="s">
        <v>1433</v>
      </c>
      <c r="O36">
        <v>74</v>
      </c>
      <c r="P36">
        <v>130</v>
      </c>
      <c r="Q36" t="s">
        <v>24</v>
      </c>
      <c r="R36" t="s">
        <v>24</v>
      </c>
      <c r="S36" t="s">
        <v>26</v>
      </c>
      <c r="T36" t="s">
        <v>24</v>
      </c>
      <c r="U36">
        <f t="shared" si="2"/>
        <v>1</v>
      </c>
      <c r="V36">
        <v>162</v>
      </c>
      <c r="W36">
        <v>0.65100000000000002</v>
      </c>
      <c r="X36" t="s">
        <v>1409</v>
      </c>
      <c r="Y36">
        <v>122</v>
      </c>
      <c r="Z36">
        <v>84</v>
      </c>
      <c r="AA36" t="s">
        <v>31</v>
      </c>
      <c r="AB36">
        <v>51</v>
      </c>
      <c r="AC36" s="23">
        <v>0.69</v>
      </c>
      <c r="AD36" t="str">
        <f>IF(AND('CVD Dataset'!AA36="Normal",'CVD Dataset'!AB36&gt;AVERAGE('CVD Dataset'!AB:AB),'CVD Dataset'!AF36="High"),"High Lipid Category","Normal Category")</f>
        <v>Normal Category</v>
      </c>
      <c r="AE36">
        <v>14</v>
      </c>
      <c r="AF36" t="s">
        <v>54</v>
      </c>
      <c r="AG36">
        <v>0</v>
      </c>
      <c r="AH36" t="s">
        <v>1380</v>
      </c>
      <c r="AI36">
        <f t="shared" si="3"/>
        <v>0</v>
      </c>
      <c r="AJ36" t="s">
        <v>1391</v>
      </c>
    </row>
    <row r="37" spans="1:36" x14ac:dyDescent="0.3">
      <c r="A37" t="s">
        <v>33</v>
      </c>
      <c r="B37">
        <v>45</v>
      </c>
      <c r="C37">
        <v>58.7</v>
      </c>
      <c r="D37">
        <v>1.73</v>
      </c>
      <c r="E37">
        <v>19.600000000000001</v>
      </c>
      <c r="F37">
        <f t="shared" si="0"/>
        <v>19.613084299508838</v>
      </c>
      <c r="G37">
        <f t="shared" si="4"/>
        <v>0</v>
      </c>
      <c r="H37" t="s">
        <v>1398</v>
      </c>
      <c r="J37" t="s">
        <v>71</v>
      </c>
      <c r="K37" s="24">
        <v>136</v>
      </c>
      <c r="L37" s="24">
        <v>80</v>
      </c>
      <c r="M37">
        <v>286</v>
      </c>
      <c r="N37" t="s">
        <v>1432</v>
      </c>
      <c r="O37">
        <v>73</v>
      </c>
      <c r="P37">
        <v>141</v>
      </c>
      <c r="Q37" t="s">
        <v>24</v>
      </c>
      <c r="R37" t="s">
        <v>25</v>
      </c>
      <c r="S37" t="s">
        <v>30</v>
      </c>
      <c r="T37" t="s">
        <v>25</v>
      </c>
      <c r="U37">
        <f t="shared" si="2"/>
        <v>2</v>
      </c>
      <c r="V37">
        <v>173</v>
      </c>
      <c r="W37">
        <v>0.46</v>
      </c>
      <c r="X37" t="s">
        <v>1408</v>
      </c>
      <c r="Y37">
        <v>136</v>
      </c>
      <c r="AA37" t="s">
        <v>31</v>
      </c>
      <c r="AB37">
        <v>183</v>
      </c>
      <c r="AC37" s="23">
        <v>2.5099999999999998</v>
      </c>
      <c r="AD37" t="str">
        <f>IF(AND('CVD Dataset'!AA37="Normal",'CVD Dataset'!AB37&gt;AVERAGE('CVD Dataset'!AB:AB),'CVD Dataset'!AF37="High"),"High Lipid Category","Normal Category")</f>
        <v>Normal Category</v>
      </c>
      <c r="AE37">
        <v>18.440000000000001</v>
      </c>
      <c r="AF37" t="s">
        <v>28</v>
      </c>
      <c r="AG37">
        <v>0</v>
      </c>
      <c r="AH37" t="s">
        <v>1380</v>
      </c>
      <c r="AI37">
        <f t="shared" si="3"/>
        <v>0</v>
      </c>
      <c r="AJ37" t="s">
        <v>1391</v>
      </c>
    </row>
    <row r="38" spans="1:36" x14ac:dyDescent="0.3">
      <c r="A38" t="s">
        <v>22</v>
      </c>
      <c r="B38">
        <v>32</v>
      </c>
      <c r="C38">
        <v>116.2</v>
      </c>
      <c r="E38">
        <v>36.700000000000003</v>
      </c>
      <c r="F38" t="str">
        <f t="shared" si="0"/>
        <v/>
      </c>
      <c r="G38" t="str">
        <f t="shared" si="4"/>
        <v/>
      </c>
      <c r="H38" t="s">
        <v>1399</v>
      </c>
      <c r="I38">
        <v>89.8</v>
      </c>
      <c r="J38" t="s">
        <v>72</v>
      </c>
      <c r="K38" s="24">
        <v>99</v>
      </c>
      <c r="L38" s="24">
        <v>99</v>
      </c>
      <c r="M38">
        <v>115</v>
      </c>
      <c r="N38" t="s">
        <v>1434</v>
      </c>
      <c r="O38">
        <v>52</v>
      </c>
      <c r="P38">
        <v>147</v>
      </c>
      <c r="Q38" t="s">
        <v>24</v>
      </c>
      <c r="R38" t="s">
        <v>25</v>
      </c>
      <c r="S38" t="s">
        <v>39</v>
      </c>
      <c r="T38" t="s">
        <v>25</v>
      </c>
      <c r="U38">
        <f t="shared" si="2"/>
        <v>2</v>
      </c>
      <c r="V38">
        <v>178</v>
      </c>
      <c r="W38">
        <v>0.504</v>
      </c>
      <c r="X38" t="s">
        <v>1406</v>
      </c>
      <c r="Y38">
        <v>99</v>
      </c>
      <c r="Z38">
        <v>99</v>
      </c>
      <c r="AA38" t="s">
        <v>40</v>
      </c>
      <c r="AB38">
        <v>33</v>
      </c>
      <c r="AC38" s="23">
        <v>0.63</v>
      </c>
      <c r="AD38" t="str">
        <f>IF(AND('CVD Dataset'!AA38="Normal",'CVD Dataset'!AB38&gt;AVERAGE('CVD Dataset'!AB:AB),'CVD Dataset'!AF38="High"),"High Lipid Category","Normal Category")</f>
        <v>Normal Category</v>
      </c>
      <c r="AE38">
        <v>16.59</v>
      </c>
      <c r="AF38" t="s">
        <v>28</v>
      </c>
      <c r="AG38">
        <v>0</v>
      </c>
      <c r="AH38" t="s">
        <v>1380</v>
      </c>
      <c r="AI38">
        <f t="shared" si="3"/>
        <v>0</v>
      </c>
      <c r="AJ38" t="s">
        <v>1391</v>
      </c>
    </row>
    <row r="39" spans="1:36" x14ac:dyDescent="0.3">
      <c r="A39" t="s">
        <v>22</v>
      </c>
      <c r="B39">
        <v>42</v>
      </c>
      <c r="C39">
        <v>100.4</v>
      </c>
      <c r="D39">
        <v>1.77</v>
      </c>
      <c r="E39">
        <v>32</v>
      </c>
      <c r="F39">
        <f t="shared" si="0"/>
        <v>32.046985221360401</v>
      </c>
      <c r="G39">
        <f t="shared" si="4"/>
        <v>0</v>
      </c>
      <c r="H39" t="s">
        <v>1399</v>
      </c>
      <c r="I39">
        <v>82.5</v>
      </c>
      <c r="J39" t="s">
        <v>73</v>
      </c>
      <c r="K39" s="24">
        <v>144</v>
      </c>
      <c r="L39" s="24">
        <v>73</v>
      </c>
      <c r="M39">
        <v>164</v>
      </c>
      <c r="N39" t="s">
        <v>1433</v>
      </c>
      <c r="O39">
        <v>75</v>
      </c>
      <c r="P39">
        <v>96</v>
      </c>
      <c r="Q39" t="s">
        <v>24</v>
      </c>
      <c r="R39" t="s">
        <v>25</v>
      </c>
      <c r="S39" t="s">
        <v>30</v>
      </c>
      <c r="T39" t="s">
        <v>25</v>
      </c>
      <c r="U39">
        <f t="shared" si="2"/>
        <v>2</v>
      </c>
      <c r="V39">
        <v>177</v>
      </c>
      <c r="W39">
        <v>0.46600000000000003</v>
      </c>
      <c r="X39" t="s">
        <v>1406</v>
      </c>
      <c r="Y39">
        <v>144</v>
      </c>
      <c r="Z39">
        <v>73</v>
      </c>
      <c r="AA39" t="s">
        <v>40</v>
      </c>
      <c r="AB39">
        <v>59</v>
      </c>
      <c r="AC39" s="23">
        <v>0.79</v>
      </c>
      <c r="AD39" t="str">
        <f>IF(AND('CVD Dataset'!AA39="Normal",'CVD Dataset'!AB39&gt;AVERAGE('CVD Dataset'!AB:AB),'CVD Dataset'!AF39="High"),"High Lipid Category","Normal Category")</f>
        <v>Normal Category</v>
      </c>
      <c r="AE39">
        <v>18.88</v>
      </c>
      <c r="AF39" t="s">
        <v>28</v>
      </c>
      <c r="AG39">
        <v>0</v>
      </c>
      <c r="AH39" t="s">
        <v>1380</v>
      </c>
      <c r="AI39">
        <f t="shared" si="3"/>
        <v>0</v>
      </c>
      <c r="AJ39" t="s">
        <v>1391</v>
      </c>
    </row>
    <row r="40" spans="1:36" x14ac:dyDescent="0.3">
      <c r="A40" t="s">
        <v>33</v>
      </c>
      <c r="B40">
        <v>33</v>
      </c>
      <c r="C40">
        <v>81.599999999999994</v>
      </c>
      <c r="D40">
        <v>1.87</v>
      </c>
      <c r="E40">
        <v>23.3</v>
      </c>
      <c r="F40">
        <f t="shared" si="0"/>
        <v>23.334953816237235</v>
      </c>
      <c r="G40">
        <f t="shared" si="4"/>
        <v>0</v>
      </c>
      <c r="H40" t="s">
        <v>1398</v>
      </c>
      <c r="I40">
        <v>70</v>
      </c>
      <c r="J40" t="s">
        <v>74</v>
      </c>
      <c r="K40" s="24">
        <v>130</v>
      </c>
      <c r="L40" s="24">
        <v>75</v>
      </c>
      <c r="M40">
        <v>285</v>
      </c>
      <c r="N40" t="s">
        <v>1432</v>
      </c>
      <c r="O40">
        <v>69</v>
      </c>
      <c r="Q40" t="s">
        <v>24</v>
      </c>
      <c r="R40" t="s">
        <v>24</v>
      </c>
      <c r="S40" t="s">
        <v>26</v>
      </c>
      <c r="T40" t="s">
        <v>24</v>
      </c>
      <c r="U40">
        <f t="shared" si="2"/>
        <v>1</v>
      </c>
      <c r="V40">
        <v>187</v>
      </c>
      <c r="W40">
        <v>0.374</v>
      </c>
      <c r="X40" t="s">
        <v>1408</v>
      </c>
      <c r="Z40">
        <v>75</v>
      </c>
      <c r="AA40" t="s">
        <v>31</v>
      </c>
      <c r="AB40">
        <v>186</v>
      </c>
      <c r="AC40" s="23">
        <v>2.7</v>
      </c>
      <c r="AD40" t="str">
        <f>IF(AND('CVD Dataset'!AA40="Normal",'CVD Dataset'!AB40&gt;AVERAGE('CVD Dataset'!AB:AB),'CVD Dataset'!AF40="High"),"High Lipid Category","Normal Category")</f>
        <v>Normal Category</v>
      </c>
      <c r="AE40">
        <v>16.86</v>
      </c>
      <c r="AF40" t="s">
        <v>28</v>
      </c>
      <c r="AG40">
        <v>0</v>
      </c>
      <c r="AH40" t="s">
        <v>1380</v>
      </c>
      <c r="AI40">
        <f t="shared" si="3"/>
        <v>0</v>
      </c>
      <c r="AJ40" t="s">
        <v>1391</v>
      </c>
    </row>
    <row r="41" spans="1:36" x14ac:dyDescent="0.3">
      <c r="A41" t="s">
        <v>33</v>
      </c>
      <c r="B41">
        <v>46</v>
      </c>
      <c r="C41">
        <v>69.3</v>
      </c>
      <c r="D41">
        <v>1.63</v>
      </c>
      <c r="E41">
        <v>26.1</v>
      </c>
      <c r="F41">
        <f t="shared" si="0"/>
        <v>26.083029094056986</v>
      </c>
      <c r="G41">
        <f t="shared" si="4"/>
        <v>0</v>
      </c>
      <c r="H41" t="s">
        <v>1400</v>
      </c>
      <c r="I41">
        <v>102.6</v>
      </c>
      <c r="J41" t="s">
        <v>75</v>
      </c>
      <c r="K41" s="24">
        <v>134</v>
      </c>
      <c r="L41" s="24">
        <v>64</v>
      </c>
      <c r="M41">
        <v>111</v>
      </c>
      <c r="N41" t="s">
        <v>1434</v>
      </c>
      <c r="O41">
        <v>74</v>
      </c>
      <c r="P41">
        <v>94</v>
      </c>
      <c r="Q41" t="s">
        <v>24</v>
      </c>
      <c r="R41" t="s">
        <v>24</v>
      </c>
      <c r="S41" t="s">
        <v>26</v>
      </c>
      <c r="T41" t="s">
        <v>24</v>
      </c>
      <c r="U41">
        <f t="shared" si="2"/>
        <v>1</v>
      </c>
      <c r="V41">
        <v>163</v>
      </c>
      <c r="W41">
        <v>0.629</v>
      </c>
      <c r="X41" t="s">
        <v>1409</v>
      </c>
      <c r="Y41">
        <v>134</v>
      </c>
      <c r="Z41">
        <v>64</v>
      </c>
      <c r="AA41" t="s">
        <v>31</v>
      </c>
      <c r="AB41">
        <v>7</v>
      </c>
      <c r="AC41" s="23">
        <v>0.09</v>
      </c>
      <c r="AD41" t="str">
        <f>IF(AND('CVD Dataset'!AA41="Normal",'CVD Dataset'!AB41&gt;AVERAGE('CVD Dataset'!AB:AB),'CVD Dataset'!AF41="High"),"High Lipid Category","Normal Category")</f>
        <v>Normal Category</v>
      </c>
      <c r="AF41" t="s">
        <v>28</v>
      </c>
      <c r="AG41">
        <v>0</v>
      </c>
      <c r="AH41" t="s">
        <v>1380</v>
      </c>
      <c r="AI41">
        <f t="shared" si="3"/>
        <v>0</v>
      </c>
      <c r="AJ41" t="s">
        <v>1391</v>
      </c>
    </row>
    <row r="42" spans="1:36" x14ac:dyDescent="0.3">
      <c r="A42" t="s">
        <v>22</v>
      </c>
      <c r="C42">
        <v>109.2</v>
      </c>
      <c r="D42">
        <v>1.74</v>
      </c>
      <c r="E42">
        <v>36.1</v>
      </c>
      <c r="F42">
        <f t="shared" si="0"/>
        <v>36.068172810146649</v>
      </c>
      <c r="G42">
        <f t="shared" si="4"/>
        <v>0</v>
      </c>
      <c r="H42" t="s">
        <v>1399</v>
      </c>
      <c r="I42">
        <v>80.099999999999994</v>
      </c>
      <c r="J42" t="s">
        <v>76</v>
      </c>
      <c r="K42" s="24">
        <v>117</v>
      </c>
      <c r="L42" s="24">
        <v>85</v>
      </c>
      <c r="M42">
        <v>155</v>
      </c>
      <c r="N42" t="s">
        <v>1433</v>
      </c>
      <c r="O42">
        <v>65</v>
      </c>
      <c r="P42">
        <v>138</v>
      </c>
      <c r="Q42" t="s">
        <v>25</v>
      </c>
      <c r="R42" t="s">
        <v>24</v>
      </c>
      <c r="S42" t="s">
        <v>26</v>
      </c>
      <c r="T42" t="s">
        <v>25</v>
      </c>
      <c r="U42">
        <f t="shared" si="2"/>
        <v>3</v>
      </c>
      <c r="V42">
        <v>174</v>
      </c>
      <c r="W42">
        <v>0.46</v>
      </c>
      <c r="X42" t="s">
        <v>1408</v>
      </c>
      <c r="Y42">
        <v>117</v>
      </c>
      <c r="Z42">
        <v>85</v>
      </c>
      <c r="AA42" t="s">
        <v>31</v>
      </c>
      <c r="AB42">
        <v>60</v>
      </c>
      <c r="AC42" s="23">
        <v>0.92</v>
      </c>
      <c r="AD42" t="str">
        <f>IF(AND('CVD Dataset'!AA42="Normal",'CVD Dataset'!AB42&gt;AVERAGE('CVD Dataset'!AB:AB),'CVD Dataset'!AF42="High"),"High Lipid Category","Normal Category")</f>
        <v>Normal Category</v>
      </c>
      <c r="AE42">
        <v>16.170000000000002</v>
      </c>
      <c r="AF42" t="s">
        <v>32</v>
      </c>
      <c r="AG42">
        <v>1</v>
      </c>
      <c r="AH42" t="s">
        <v>1379</v>
      </c>
      <c r="AI42">
        <f t="shared" si="3"/>
        <v>1</v>
      </c>
      <c r="AJ42" t="s">
        <v>1391</v>
      </c>
    </row>
    <row r="43" spans="1:36" x14ac:dyDescent="0.3">
      <c r="A43" t="s">
        <v>22</v>
      </c>
      <c r="B43">
        <v>51</v>
      </c>
      <c r="C43">
        <v>102.1</v>
      </c>
      <c r="D43">
        <v>1.9</v>
      </c>
      <c r="E43">
        <v>28.3</v>
      </c>
      <c r="F43">
        <f t="shared" si="0"/>
        <v>28.282548476454291</v>
      </c>
      <c r="G43">
        <f t="shared" si="4"/>
        <v>0</v>
      </c>
      <c r="H43" t="s">
        <v>1400</v>
      </c>
      <c r="I43">
        <v>94.1</v>
      </c>
      <c r="J43" t="s">
        <v>77</v>
      </c>
      <c r="K43" s="24">
        <v>116</v>
      </c>
      <c r="L43" s="24">
        <v>61</v>
      </c>
      <c r="M43">
        <v>297</v>
      </c>
      <c r="N43" t="s">
        <v>1432</v>
      </c>
      <c r="O43">
        <v>38</v>
      </c>
      <c r="P43">
        <v>98</v>
      </c>
      <c r="Q43" t="s">
        <v>25</v>
      </c>
      <c r="R43" t="s">
        <v>24</v>
      </c>
      <c r="S43" t="s">
        <v>30</v>
      </c>
      <c r="T43" t="s">
        <v>24</v>
      </c>
      <c r="U43">
        <f t="shared" si="2"/>
        <v>1</v>
      </c>
      <c r="V43">
        <v>190</v>
      </c>
      <c r="X43" t="s">
        <v>1410</v>
      </c>
      <c r="Y43">
        <v>116</v>
      </c>
      <c r="Z43">
        <v>61</v>
      </c>
      <c r="AA43" t="s">
        <v>35</v>
      </c>
      <c r="AB43">
        <v>229</v>
      </c>
      <c r="AC43" s="23">
        <v>6.03</v>
      </c>
      <c r="AD43" t="str">
        <f>IF(AND('CVD Dataset'!AA43="Normal",'CVD Dataset'!AB43&gt;AVERAGE('CVD Dataset'!AB:AB),'CVD Dataset'!AF43="High"),"High Lipid Category","Normal Category")</f>
        <v>High Lipid Category</v>
      </c>
      <c r="AE43">
        <v>17.399999999999999</v>
      </c>
      <c r="AF43" t="s">
        <v>32</v>
      </c>
      <c r="AG43">
        <v>0</v>
      </c>
      <c r="AH43" t="s">
        <v>1379</v>
      </c>
      <c r="AI43">
        <f t="shared" si="3"/>
        <v>1</v>
      </c>
      <c r="AJ43" t="s">
        <v>1391</v>
      </c>
    </row>
    <row r="44" spans="1:36" x14ac:dyDescent="0.3">
      <c r="A44" t="s">
        <v>22</v>
      </c>
      <c r="B44">
        <v>43</v>
      </c>
      <c r="C44">
        <v>71.400000000000006</v>
      </c>
      <c r="D44">
        <v>1.76</v>
      </c>
      <c r="E44">
        <v>23.1</v>
      </c>
      <c r="F44">
        <f t="shared" si="0"/>
        <v>23.050103305785125</v>
      </c>
      <c r="G44">
        <f t="shared" si="4"/>
        <v>0</v>
      </c>
      <c r="H44" t="s">
        <v>1398</v>
      </c>
      <c r="I44">
        <v>97.7</v>
      </c>
      <c r="J44" t="s">
        <v>78</v>
      </c>
      <c r="K44" s="24">
        <v>105</v>
      </c>
      <c r="L44" s="24">
        <v>64</v>
      </c>
      <c r="M44">
        <v>123</v>
      </c>
      <c r="N44" t="s">
        <v>1434</v>
      </c>
      <c r="O44">
        <v>50</v>
      </c>
      <c r="P44">
        <v>125</v>
      </c>
      <c r="Q44" t="s">
        <v>25</v>
      </c>
      <c r="R44" t="s">
        <v>24</v>
      </c>
      <c r="S44" t="s">
        <v>30</v>
      </c>
      <c r="T44" t="s">
        <v>25</v>
      </c>
      <c r="U44">
        <f t="shared" si="2"/>
        <v>2</v>
      </c>
      <c r="V44">
        <v>176</v>
      </c>
      <c r="W44">
        <v>0.55500000000000005</v>
      </c>
      <c r="X44" t="s">
        <v>1407</v>
      </c>
      <c r="Y44">
        <v>105</v>
      </c>
      <c r="Z44">
        <v>64</v>
      </c>
      <c r="AA44" t="s">
        <v>35</v>
      </c>
      <c r="AB44">
        <v>43</v>
      </c>
      <c r="AC44" s="23">
        <v>0.86</v>
      </c>
      <c r="AD44" t="str">
        <f>IF(AND('CVD Dataset'!AA44="Normal",'CVD Dataset'!AB44&gt;AVERAGE('CVD Dataset'!AB:AB),'CVD Dataset'!AF44="High"),"High Lipid Category","Normal Category")</f>
        <v>Normal Category</v>
      </c>
      <c r="AE44">
        <v>12.33</v>
      </c>
      <c r="AF44" t="s">
        <v>28</v>
      </c>
      <c r="AG44">
        <v>0</v>
      </c>
      <c r="AH44" t="s">
        <v>1380</v>
      </c>
      <c r="AI44">
        <f t="shared" si="3"/>
        <v>0</v>
      </c>
      <c r="AJ44" t="s">
        <v>1391</v>
      </c>
    </row>
    <row r="45" spans="1:36" x14ac:dyDescent="0.3">
      <c r="A45" t="s">
        <v>22</v>
      </c>
      <c r="B45">
        <v>44</v>
      </c>
      <c r="C45">
        <v>64.400000000000006</v>
      </c>
      <c r="D45">
        <v>1.76</v>
      </c>
      <c r="E45">
        <v>20.8</v>
      </c>
      <c r="F45">
        <f t="shared" si="0"/>
        <v>20.790289256198349</v>
      </c>
      <c r="G45">
        <f t="shared" si="4"/>
        <v>0</v>
      </c>
      <c r="H45" t="s">
        <v>1398</v>
      </c>
      <c r="I45">
        <v>100.6</v>
      </c>
      <c r="J45" t="s">
        <v>79</v>
      </c>
      <c r="K45" s="24">
        <v>129</v>
      </c>
      <c r="L45" s="24">
        <v>78</v>
      </c>
      <c r="M45">
        <v>132</v>
      </c>
      <c r="N45" t="s">
        <v>1434</v>
      </c>
      <c r="O45">
        <v>49</v>
      </c>
      <c r="P45">
        <v>145</v>
      </c>
      <c r="Q45" t="s">
        <v>25</v>
      </c>
      <c r="R45" t="s">
        <v>25</v>
      </c>
      <c r="S45" t="s">
        <v>39</v>
      </c>
      <c r="T45" t="s">
        <v>24</v>
      </c>
      <c r="U45">
        <f t="shared" si="2"/>
        <v>2</v>
      </c>
      <c r="V45">
        <v>176</v>
      </c>
      <c r="X45" t="s">
        <v>1410</v>
      </c>
      <c r="Y45">
        <v>129</v>
      </c>
      <c r="Z45">
        <v>78</v>
      </c>
      <c r="AA45" t="s">
        <v>27</v>
      </c>
      <c r="AB45">
        <v>53</v>
      </c>
      <c r="AC45" s="23">
        <v>1.08</v>
      </c>
      <c r="AD45" t="str">
        <f>IF(AND('CVD Dataset'!AA45="Normal",'CVD Dataset'!AB45&gt;AVERAGE('CVD Dataset'!AB:AB),'CVD Dataset'!AF45="High"),"High Lipid Category","Normal Category")</f>
        <v>Normal Category</v>
      </c>
      <c r="AE45">
        <v>15.25</v>
      </c>
      <c r="AF45" t="s">
        <v>28</v>
      </c>
      <c r="AG45">
        <v>0</v>
      </c>
      <c r="AH45" t="s">
        <v>1380</v>
      </c>
      <c r="AI45">
        <f t="shared" si="3"/>
        <v>0</v>
      </c>
      <c r="AJ45" t="s">
        <v>1391</v>
      </c>
    </row>
    <row r="46" spans="1:36" x14ac:dyDescent="0.3">
      <c r="A46" t="s">
        <v>22</v>
      </c>
      <c r="D46">
        <v>1.81</v>
      </c>
      <c r="E46">
        <v>32.1</v>
      </c>
      <c r="F46">
        <f t="shared" si="0"/>
        <v>0</v>
      </c>
      <c r="G46">
        <f t="shared" si="4"/>
        <v>1</v>
      </c>
      <c r="H46" t="s">
        <v>1399</v>
      </c>
      <c r="I46">
        <v>75.7</v>
      </c>
      <c r="J46" t="s">
        <v>80</v>
      </c>
      <c r="K46" s="24">
        <v>94</v>
      </c>
      <c r="L46" s="24">
        <v>61</v>
      </c>
      <c r="M46">
        <v>144</v>
      </c>
      <c r="N46" t="s">
        <v>1434</v>
      </c>
      <c r="O46">
        <v>69</v>
      </c>
      <c r="P46">
        <v>129</v>
      </c>
      <c r="Q46" t="s">
        <v>24</v>
      </c>
      <c r="R46" t="s">
        <v>25</v>
      </c>
      <c r="S46" t="s">
        <v>39</v>
      </c>
      <c r="T46" t="s">
        <v>25</v>
      </c>
      <c r="U46">
        <f t="shared" si="2"/>
        <v>2</v>
      </c>
      <c r="V46">
        <v>181</v>
      </c>
      <c r="W46">
        <v>0.41799999999999998</v>
      </c>
      <c r="X46" t="s">
        <v>1408</v>
      </c>
      <c r="Y46">
        <v>94</v>
      </c>
      <c r="Z46">
        <v>61</v>
      </c>
      <c r="AA46" t="s">
        <v>35</v>
      </c>
      <c r="AB46">
        <v>45</v>
      </c>
      <c r="AC46" s="23">
        <v>0.65</v>
      </c>
      <c r="AD46" t="str">
        <f>IF(AND('CVD Dataset'!AA46="Normal",'CVD Dataset'!AB46&gt;AVERAGE('CVD Dataset'!AB:AB),'CVD Dataset'!AF46="High"),"High Lipid Category","Normal Category")</f>
        <v>Normal Category</v>
      </c>
      <c r="AE46">
        <v>16</v>
      </c>
      <c r="AF46" t="s">
        <v>28</v>
      </c>
      <c r="AG46">
        <v>0</v>
      </c>
      <c r="AH46" t="s">
        <v>1380</v>
      </c>
      <c r="AI46">
        <f t="shared" si="3"/>
        <v>0</v>
      </c>
      <c r="AJ46" t="s">
        <v>1391</v>
      </c>
    </row>
    <row r="47" spans="1:36" x14ac:dyDescent="0.3">
      <c r="A47" t="s">
        <v>22</v>
      </c>
      <c r="B47">
        <v>31</v>
      </c>
      <c r="C47">
        <v>115.5</v>
      </c>
      <c r="D47">
        <v>1.64</v>
      </c>
      <c r="E47">
        <v>42.9</v>
      </c>
      <c r="F47">
        <f t="shared" si="0"/>
        <v>42.94318857822725</v>
      </c>
      <c r="G47">
        <f t="shared" si="4"/>
        <v>0</v>
      </c>
      <c r="H47" t="s">
        <v>1399</v>
      </c>
      <c r="I47">
        <v>73.400000000000006</v>
      </c>
      <c r="J47" t="s">
        <v>81</v>
      </c>
      <c r="K47" s="24">
        <v>129</v>
      </c>
      <c r="L47" s="24">
        <v>75</v>
      </c>
      <c r="M47">
        <v>229</v>
      </c>
      <c r="N47" t="s">
        <v>1432</v>
      </c>
      <c r="P47">
        <v>85</v>
      </c>
      <c r="Q47" t="s">
        <v>24</v>
      </c>
      <c r="R47" t="s">
        <v>25</v>
      </c>
      <c r="S47" t="s">
        <v>30</v>
      </c>
      <c r="T47" t="s">
        <v>25</v>
      </c>
      <c r="U47">
        <f t="shared" si="2"/>
        <v>2</v>
      </c>
      <c r="V47">
        <v>164</v>
      </c>
      <c r="W47">
        <v>0.44800000000000001</v>
      </c>
      <c r="X47" t="s">
        <v>1408</v>
      </c>
      <c r="Y47">
        <v>129</v>
      </c>
      <c r="Z47">
        <v>75</v>
      </c>
      <c r="AA47" t="s">
        <v>27</v>
      </c>
      <c r="AB47">
        <v>156</v>
      </c>
      <c r="AC47" s="23" t="s">
        <v>1410</v>
      </c>
      <c r="AD47" t="str">
        <f>IF(AND('CVD Dataset'!AA47="Normal",'CVD Dataset'!AB47&gt;AVERAGE('CVD Dataset'!AB:AB),'CVD Dataset'!AF47="High"),"High Lipid Category","Normal Category")</f>
        <v>Normal Category</v>
      </c>
      <c r="AE47">
        <v>21.61</v>
      </c>
      <c r="AF47" t="s">
        <v>32</v>
      </c>
      <c r="AG47">
        <v>0</v>
      </c>
      <c r="AH47" t="s">
        <v>1379</v>
      </c>
      <c r="AI47">
        <f t="shared" si="3"/>
        <v>1</v>
      </c>
      <c r="AJ47" t="s">
        <v>1391</v>
      </c>
    </row>
    <row r="48" spans="1:36" x14ac:dyDescent="0.3">
      <c r="A48" t="s">
        <v>22</v>
      </c>
      <c r="B48">
        <v>48</v>
      </c>
      <c r="C48">
        <v>81.8</v>
      </c>
      <c r="D48">
        <v>1.61</v>
      </c>
      <c r="E48">
        <v>31.6</v>
      </c>
      <c r="F48">
        <f t="shared" si="0"/>
        <v>31.557424482080162</v>
      </c>
      <c r="G48">
        <f t="shared" si="4"/>
        <v>0</v>
      </c>
      <c r="H48" t="s">
        <v>1399</v>
      </c>
      <c r="I48">
        <v>88.5</v>
      </c>
      <c r="J48" t="s">
        <v>82</v>
      </c>
      <c r="K48" s="24">
        <v>110</v>
      </c>
      <c r="L48" s="24">
        <v>74</v>
      </c>
      <c r="M48">
        <v>111</v>
      </c>
      <c r="N48" t="s">
        <v>1434</v>
      </c>
      <c r="O48">
        <v>31</v>
      </c>
      <c r="P48">
        <v>123</v>
      </c>
      <c r="Q48" t="s">
        <v>24</v>
      </c>
      <c r="R48" t="s">
        <v>25</v>
      </c>
      <c r="S48" t="s">
        <v>39</v>
      </c>
      <c r="T48" t="s">
        <v>25</v>
      </c>
      <c r="U48">
        <f t="shared" si="2"/>
        <v>2</v>
      </c>
      <c r="V48">
        <v>161</v>
      </c>
      <c r="W48">
        <v>0.55000000000000004</v>
      </c>
      <c r="X48" t="s">
        <v>1407</v>
      </c>
      <c r="Y48">
        <v>110</v>
      </c>
      <c r="Z48">
        <v>74</v>
      </c>
      <c r="AA48" t="s">
        <v>35</v>
      </c>
      <c r="AC48" s="23">
        <v>0</v>
      </c>
      <c r="AD48" t="str">
        <f>IF(AND('CVD Dataset'!AA48="Normal",'CVD Dataset'!AB48&gt;AVERAGE('CVD Dataset'!AB:AB),'CVD Dataset'!AF48="High"),"High Lipid Category","Normal Category")</f>
        <v>Normal Category</v>
      </c>
      <c r="AE48">
        <v>16.04</v>
      </c>
      <c r="AF48" t="s">
        <v>32</v>
      </c>
      <c r="AG48">
        <v>0</v>
      </c>
      <c r="AH48" t="s">
        <v>1379</v>
      </c>
      <c r="AI48">
        <f t="shared" si="3"/>
        <v>1</v>
      </c>
      <c r="AJ48" t="s">
        <v>1391</v>
      </c>
    </row>
    <row r="49" spans="1:36" x14ac:dyDescent="0.3">
      <c r="A49" t="s">
        <v>33</v>
      </c>
      <c r="B49">
        <v>34</v>
      </c>
      <c r="D49">
        <v>1.71</v>
      </c>
      <c r="E49">
        <v>36.6</v>
      </c>
      <c r="F49">
        <f t="shared" si="0"/>
        <v>0</v>
      </c>
      <c r="G49">
        <f t="shared" si="4"/>
        <v>1</v>
      </c>
      <c r="H49" t="s">
        <v>1399</v>
      </c>
      <c r="I49">
        <v>79.7</v>
      </c>
      <c r="J49" t="s">
        <v>83</v>
      </c>
      <c r="K49" s="24">
        <v>120</v>
      </c>
      <c r="L49" s="24">
        <v>77</v>
      </c>
      <c r="M49">
        <v>250</v>
      </c>
      <c r="N49" t="s">
        <v>1432</v>
      </c>
      <c r="O49">
        <v>60</v>
      </c>
      <c r="P49">
        <v>88</v>
      </c>
      <c r="Q49" t="s">
        <v>24</v>
      </c>
      <c r="R49" t="s">
        <v>25</v>
      </c>
      <c r="S49" t="s">
        <v>30</v>
      </c>
      <c r="T49" t="s">
        <v>25</v>
      </c>
      <c r="U49">
        <f t="shared" si="2"/>
        <v>2</v>
      </c>
      <c r="V49">
        <v>171</v>
      </c>
      <c r="W49">
        <v>0.46600000000000003</v>
      </c>
      <c r="X49" t="s">
        <v>1406</v>
      </c>
      <c r="Y49">
        <v>120</v>
      </c>
      <c r="Z49">
        <v>77</v>
      </c>
      <c r="AA49" t="s">
        <v>27</v>
      </c>
      <c r="AC49" s="23">
        <v>0</v>
      </c>
      <c r="AD49" t="str">
        <f>IF(AND('CVD Dataset'!AA49="Normal",'CVD Dataset'!AB49&gt;AVERAGE('CVD Dataset'!AB:AB),'CVD Dataset'!AF49="High"),"High Lipid Category","Normal Category")</f>
        <v>Normal Category</v>
      </c>
      <c r="AE49">
        <v>20.32</v>
      </c>
      <c r="AF49" t="s">
        <v>32</v>
      </c>
      <c r="AG49">
        <v>1</v>
      </c>
      <c r="AH49" t="s">
        <v>1379</v>
      </c>
      <c r="AI49">
        <f t="shared" si="3"/>
        <v>1</v>
      </c>
      <c r="AJ49" t="s">
        <v>1391</v>
      </c>
    </row>
    <row r="50" spans="1:36" x14ac:dyDescent="0.3">
      <c r="A50" t="s">
        <v>33</v>
      </c>
      <c r="B50">
        <v>41</v>
      </c>
      <c r="C50">
        <v>114.7</v>
      </c>
      <c r="D50">
        <v>1.8</v>
      </c>
      <c r="E50">
        <v>35.4</v>
      </c>
      <c r="F50">
        <f t="shared" si="0"/>
        <v>35.401234567901234</v>
      </c>
      <c r="G50">
        <f t="shared" si="4"/>
        <v>0</v>
      </c>
      <c r="H50" t="s">
        <v>1399</v>
      </c>
      <c r="I50">
        <v>75.099999999999994</v>
      </c>
      <c r="J50" t="s">
        <v>84</v>
      </c>
      <c r="K50" s="24">
        <v>145</v>
      </c>
      <c r="L50" s="24">
        <v>84</v>
      </c>
      <c r="M50">
        <v>119</v>
      </c>
      <c r="N50" t="s">
        <v>1434</v>
      </c>
      <c r="O50">
        <v>74</v>
      </c>
      <c r="P50">
        <v>133</v>
      </c>
      <c r="Q50" t="s">
        <v>25</v>
      </c>
      <c r="R50" t="s">
        <v>25</v>
      </c>
      <c r="S50" t="s">
        <v>30</v>
      </c>
      <c r="T50" t="s">
        <v>24</v>
      </c>
      <c r="U50">
        <f t="shared" si="2"/>
        <v>2</v>
      </c>
      <c r="V50">
        <v>180</v>
      </c>
      <c r="W50">
        <v>0.41699999999999998</v>
      </c>
      <c r="X50" t="s">
        <v>1408</v>
      </c>
      <c r="Y50">
        <v>145</v>
      </c>
      <c r="Z50">
        <v>84</v>
      </c>
      <c r="AA50" t="s">
        <v>31</v>
      </c>
      <c r="AB50">
        <v>15</v>
      </c>
      <c r="AC50" s="23">
        <v>0.2</v>
      </c>
      <c r="AD50" t="str">
        <f>IF(AND('CVD Dataset'!AA50="Normal",'CVD Dataset'!AB50&gt;AVERAGE('CVD Dataset'!AB:AB),'CVD Dataset'!AF50="High"),"High Lipid Category","Normal Category")</f>
        <v>Normal Category</v>
      </c>
      <c r="AE50">
        <v>18.71</v>
      </c>
      <c r="AF50" t="s">
        <v>28</v>
      </c>
      <c r="AG50">
        <v>0</v>
      </c>
      <c r="AH50" t="s">
        <v>1380</v>
      </c>
      <c r="AI50">
        <f t="shared" si="3"/>
        <v>0</v>
      </c>
      <c r="AJ50" t="s">
        <v>1391</v>
      </c>
    </row>
    <row r="51" spans="1:36" x14ac:dyDescent="0.3">
      <c r="A51" t="s">
        <v>33</v>
      </c>
      <c r="B51">
        <v>56</v>
      </c>
      <c r="C51">
        <v>61</v>
      </c>
      <c r="D51">
        <v>1.82</v>
      </c>
      <c r="E51">
        <v>18.399999999999999</v>
      </c>
      <c r="F51">
        <f t="shared" si="0"/>
        <v>18.415650283782149</v>
      </c>
      <c r="G51">
        <f t="shared" si="4"/>
        <v>0</v>
      </c>
      <c r="H51" t="s">
        <v>1401</v>
      </c>
      <c r="J51" t="s">
        <v>85</v>
      </c>
      <c r="K51" s="24">
        <v>97</v>
      </c>
      <c r="L51" s="24">
        <v>73</v>
      </c>
      <c r="M51">
        <v>260</v>
      </c>
      <c r="N51" t="s">
        <v>1432</v>
      </c>
      <c r="O51">
        <v>79</v>
      </c>
      <c r="P51">
        <v>78</v>
      </c>
      <c r="Q51" t="s">
        <v>24</v>
      </c>
      <c r="R51" t="s">
        <v>24</v>
      </c>
      <c r="S51" t="s">
        <v>39</v>
      </c>
      <c r="T51" t="s">
        <v>24</v>
      </c>
      <c r="U51">
        <f t="shared" si="2"/>
        <v>0</v>
      </c>
      <c r="V51">
        <v>182</v>
      </c>
      <c r="W51">
        <v>0.48099999999999998</v>
      </c>
      <c r="X51" t="s">
        <v>1406</v>
      </c>
      <c r="Y51">
        <v>97</v>
      </c>
      <c r="Z51">
        <v>73</v>
      </c>
      <c r="AA51" t="s">
        <v>35</v>
      </c>
      <c r="AC51" s="23">
        <v>0</v>
      </c>
      <c r="AD51" t="str">
        <f>IF(AND('CVD Dataset'!AA51="Normal",'CVD Dataset'!AB51&gt;AVERAGE('CVD Dataset'!AB:AB),'CVD Dataset'!AF51="High"),"High Lipid Category","Normal Category")</f>
        <v>Normal Category</v>
      </c>
      <c r="AE51">
        <v>13.73</v>
      </c>
      <c r="AF51" t="s">
        <v>28</v>
      </c>
      <c r="AG51">
        <v>0</v>
      </c>
      <c r="AH51" t="s">
        <v>1380</v>
      </c>
      <c r="AI51">
        <f t="shared" si="3"/>
        <v>0</v>
      </c>
      <c r="AJ51" t="s">
        <v>1391</v>
      </c>
    </row>
    <row r="52" spans="1:36" x14ac:dyDescent="0.3">
      <c r="A52" t="s">
        <v>33</v>
      </c>
      <c r="B52">
        <v>55</v>
      </c>
      <c r="C52">
        <v>110.3</v>
      </c>
      <c r="D52">
        <v>1.61</v>
      </c>
      <c r="E52">
        <v>42.6</v>
      </c>
      <c r="F52">
        <f t="shared" si="0"/>
        <v>42.552370664712001</v>
      </c>
      <c r="G52">
        <f t="shared" si="4"/>
        <v>0</v>
      </c>
      <c r="H52" t="s">
        <v>1399</v>
      </c>
      <c r="I52">
        <v>74.5</v>
      </c>
      <c r="J52" t="s">
        <v>86</v>
      </c>
      <c r="K52" s="24">
        <v>135</v>
      </c>
      <c r="L52" s="24">
        <v>96</v>
      </c>
      <c r="M52">
        <v>101</v>
      </c>
      <c r="N52" t="s">
        <v>1434</v>
      </c>
      <c r="O52">
        <v>43</v>
      </c>
      <c r="P52">
        <v>117</v>
      </c>
      <c r="Q52" t="s">
        <v>24</v>
      </c>
      <c r="R52" t="s">
        <v>24</v>
      </c>
      <c r="S52" t="s">
        <v>30</v>
      </c>
      <c r="T52" t="s">
        <v>24</v>
      </c>
      <c r="U52">
        <f t="shared" si="2"/>
        <v>0</v>
      </c>
      <c r="V52">
        <v>161</v>
      </c>
      <c r="W52">
        <v>0.46300000000000002</v>
      </c>
      <c r="X52" t="s">
        <v>1406</v>
      </c>
      <c r="Y52">
        <v>135</v>
      </c>
      <c r="AA52" t="s">
        <v>31</v>
      </c>
      <c r="AB52">
        <v>28</v>
      </c>
      <c r="AC52" s="23">
        <v>0.65</v>
      </c>
      <c r="AD52" t="str">
        <f>IF(AND('CVD Dataset'!AA52="Normal",'CVD Dataset'!AB52&gt;AVERAGE('CVD Dataset'!AB:AB),'CVD Dataset'!AF52="High"),"High Lipid Category","Normal Category")</f>
        <v>Normal Category</v>
      </c>
      <c r="AF52" t="s">
        <v>28</v>
      </c>
      <c r="AG52">
        <v>0</v>
      </c>
      <c r="AH52" t="s">
        <v>1380</v>
      </c>
      <c r="AI52">
        <f t="shared" si="3"/>
        <v>0</v>
      </c>
      <c r="AJ52" t="s">
        <v>1391</v>
      </c>
    </row>
    <row r="53" spans="1:36" x14ac:dyDescent="0.3">
      <c r="A53" t="s">
        <v>22</v>
      </c>
      <c r="C53">
        <v>75.2</v>
      </c>
      <c r="D53">
        <v>1.7</v>
      </c>
      <c r="E53">
        <v>26</v>
      </c>
      <c r="F53">
        <f t="shared" si="0"/>
        <v>26.020761245674745</v>
      </c>
      <c r="G53">
        <f t="shared" si="4"/>
        <v>0</v>
      </c>
      <c r="H53" t="s">
        <v>1400</v>
      </c>
      <c r="I53">
        <v>93.2</v>
      </c>
      <c r="J53" t="s">
        <v>87</v>
      </c>
      <c r="K53" s="24">
        <v>135</v>
      </c>
      <c r="L53" s="24">
        <v>75</v>
      </c>
      <c r="M53">
        <v>144</v>
      </c>
      <c r="N53" t="s">
        <v>1434</v>
      </c>
      <c r="O53">
        <v>49</v>
      </c>
      <c r="P53">
        <v>103</v>
      </c>
      <c r="Q53" t="s">
        <v>25</v>
      </c>
      <c r="R53" t="s">
        <v>24</v>
      </c>
      <c r="S53" t="s">
        <v>39</v>
      </c>
      <c r="T53" t="s">
        <v>24</v>
      </c>
      <c r="U53">
        <f t="shared" si="2"/>
        <v>1</v>
      </c>
      <c r="V53">
        <v>170</v>
      </c>
      <c r="W53">
        <v>0.54800000000000004</v>
      </c>
      <c r="X53" t="s">
        <v>1407</v>
      </c>
      <c r="Y53">
        <v>135</v>
      </c>
      <c r="Z53">
        <v>75</v>
      </c>
      <c r="AA53" t="s">
        <v>31</v>
      </c>
      <c r="AB53">
        <v>65</v>
      </c>
      <c r="AC53" s="23">
        <v>1.33</v>
      </c>
      <c r="AD53" t="str">
        <f>IF(AND('CVD Dataset'!AA53="Normal",'CVD Dataset'!AB53&gt;AVERAGE('CVD Dataset'!AB:AB),'CVD Dataset'!AF53="High"),"High Lipid Category","Normal Category")</f>
        <v>Normal Category</v>
      </c>
      <c r="AE53">
        <v>14.83</v>
      </c>
      <c r="AF53" t="s">
        <v>28</v>
      </c>
      <c r="AG53">
        <v>0</v>
      </c>
      <c r="AH53" t="s">
        <v>1380</v>
      </c>
      <c r="AI53">
        <f t="shared" si="3"/>
        <v>0</v>
      </c>
      <c r="AJ53" t="s">
        <v>1391</v>
      </c>
    </row>
    <row r="54" spans="1:36" x14ac:dyDescent="0.3">
      <c r="A54" t="s">
        <v>33</v>
      </c>
      <c r="B54">
        <v>59</v>
      </c>
      <c r="C54">
        <v>96.3</v>
      </c>
      <c r="D54">
        <v>1.75</v>
      </c>
      <c r="E54">
        <v>31.4</v>
      </c>
      <c r="F54">
        <f t="shared" si="0"/>
        <v>31.444897959183674</v>
      </c>
      <c r="G54">
        <f t="shared" si="4"/>
        <v>0</v>
      </c>
      <c r="H54" t="s">
        <v>1399</v>
      </c>
      <c r="I54">
        <v>90</v>
      </c>
      <c r="J54" t="s">
        <v>88</v>
      </c>
      <c r="K54" s="24">
        <v>102</v>
      </c>
      <c r="L54" s="24">
        <v>71</v>
      </c>
      <c r="M54">
        <v>115</v>
      </c>
      <c r="N54" t="s">
        <v>1434</v>
      </c>
      <c r="O54">
        <v>73</v>
      </c>
      <c r="Q54" t="s">
        <v>24</v>
      </c>
      <c r="R54" t="s">
        <v>25</v>
      </c>
      <c r="S54" t="s">
        <v>30</v>
      </c>
      <c r="T54" t="s">
        <v>24</v>
      </c>
      <c r="U54">
        <f t="shared" si="2"/>
        <v>1</v>
      </c>
      <c r="V54">
        <v>175</v>
      </c>
      <c r="W54">
        <v>0.51400000000000001</v>
      </c>
      <c r="X54" t="s">
        <v>1406</v>
      </c>
      <c r="Y54">
        <v>102</v>
      </c>
      <c r="AA54" t="s">
        <v>35</v>
      </c>
      <c r="AB54">
        <v>12</v>
      </c>
      <c r="AC54" s="23">
        <v>0.16</v>
      </c>
      <c r="AD54" t="str">
        <f>IF(AND('CVD Dataset'!AA54="Normal",'CVD Dataset'!AB54&gt;AVERAGE('CVD Dataset'!AB:AB),'CVD Dataset'!AF54="High"),"High Lipid Category","Normal Category")</f>
        <v>Normal Category</v>
      </c>
      <c r="AE54">
        <v>15.68</v>
      </c>
      <c r="AF54" t="s">
        <v>28</v>
      </c>
      <c r="AG54">
        <v>0</v>
      </c>
      <c r="AH54" t="s">
        <v>1380</v>
      </c>
      <c r="AI54">
        <f t="shared" si="3"/>
        <v>0</v>
      </c>
      <c r="AJ54" t="s">
        <v>1391</v>
      </c>
    </row>
    <row r="55" spans="1:36" x14ac:dyDescent="0.3">
      <c r="A55" t="s">
        <v>22</v>
      </c>
      <c r="B55">
        <v>50</v>
      </c>
      <c r="C55">
        <v>67.900000000000006</v>
      </c>
      <c r="D55">
        <v>1.83</v>
      </c>
      <c r="E55">
        <v>20.3</v>
      </c>
      <c r="F55">
        <f t="shared" si="0"/>
        <v>20.27531428230165</v>
      </c>
      <c r="G55">
        <f t="shared" si="4"/>
        <v>0</v>
      </c>
      <c r="H55" t="s">
        <v>1398</v>
      </c>
      <c r="I55">
        <v>108.2</v>
      </c>
      <c r="J55" t="s">
        <v>89</v>
      </c>
      <c r="K55" s="24">
        <v>148</v>
      </c>
      <c r="L55" s="24">
        <v>92</v>
      </c>
      <c r="M55">
        <v>128</v>
      </c>
      <c r="N55" t="s">
        <v>1434</v>
      </c>
      <c r="O55">
        <v>32</v>
      </c>
      <c r="P55">
        <v>87</v>
      </c>
      <c r="Q55" t="s">
        <v>25</v>
      </c>
      <c r="R55" t="s">
        <v>25</v>
      </c>
      <c r="S55" t="s">
        <v>30</v>
      </c>
      <c r="T55" t="s">
        <v>25</v>
      </c>
      <c r="U55">
        <f t="shared" si="2"/>
        <v>3</v>
      </c>
      <c r="V55">
        <v>183</v>
      </c>
      <c r="W55">
        <v>0.59099999999999997</v>
      </c>
      <c r="X55" t="s">
        <v>1409</v>
      </c>
      <c r="Y55">
        <v>148</v>
      </c>
      <c r="Z55">
        <v>92</v>
      </c>
      <c r="AA55" t="s">
        <v>40</v>
      </c>
      <c r="AB55">
        <v>66</v>
      </c>
      <c r="AC55" s="23">
        <v>2.06</v>
      </c>
      <c r="AD55" t="str">
        <f>IF(AND('CVD Dataset'!AA55="Normal",'CVD Dataset'!AB55&gt;AVERAGE('CVD Dataset'!AB:AB),'CVD Dataset'!AF55="High"),"High Lipid Category","Normal Category")</f>
        <v>Normal Category</v>
      </c>
      <c r="AE55">
        <v>16.02</v>
      </c>
      <c r="AF55" t="s">
        <v>32</v>
      </c>
      <c r="AG55">
        <v>0</v>
      </c>
      <c r="AH55" t="s">
        <v>1379</v>
      </c>
      <c r="AI55">
        <f t="shared" si="3"/>
        <v>1</v>
      </c>
      <c r="AJ55" t="s">
        <v>1391</v>
      </c>
    </row>
    <row r="56" spans="1:36" x14ac:dyDescent="0.3">
      <c r="A56" t="s">
        <v>22</v>
      </c>
      <c r="B56">
        <v>52</v>
      </c>
      <c r="C56">
        <v>98.9</v>
      </c>
      <c r="D56">
        <v>1.61</v>
      </c>
      <c r="E56">
        <v>38.200000000000003</v>
      </c>
      <c r="F56">
        <f t="shared" si="0"/>
        <v>38.154392191659269</v>
      </c>
      <c r="G56">
        <f t="shared" si="4"/>
        <v>0</v>
      </c>
      <c r="H56" t="s">
        <v>1399</v>
      </c>
      <c r="I56">
        <v>79.900000000000006</v>
      </c>
      <c r="J56" t="s">
        <v>90</v>
      </c>
      <c r="K56" s="24">
        <v>139</v>
      </c>
      <c r="L56" s="24">
        <v>66</v>
      </c>
      <c r="M56">
        <v>175</v>
      </c>
      <c r="N56" t="s">
        <v>1433</v>
      </c>
      <c r="O56">
        <v>32</v>
      </c>
      <c r="P56">
        <v>145</v>
      </c>
      <c r="Q56" t="s">
        <v>25</v>
      </c>
      <c r="R56" t="s">
        <v>25</v>
      </c>
      <c r="S56" t="s">
        <v>39</v>
      </c>
      <c r="T56" t="s">
        <v>24</v>
      </c>
      <c r="U56">
        <f t="shared" si="2"/>
        <v>2</v>
      </c>
      <c r="V56">
        <v>161</v>
      </c>
      <c r="W56">
        <v>0.496</v>
      </c>
      <c r="X56" t="s">
        <v>1406</v>
      </c>
      <c r="Y56">
        <v>139</v>
      </c>
      <c r="Z56">
        <v>66</v>
      </c>
      <c r="AA56" t="s">
        <v>31</v>
      </c>
      <c r="AB56">
        <v>113</v>
      </c>
      <c r="AC56" s="23">
        <v>3.53</v>
      </c>
      <c r="AD56" t="str">
        <f>IF(AND('CVD Dataset'!AA56="Normal",'CVD Dataset'!AB56&gt;AVERAGE('CVD Dataset'!AB:AB),'CVD Dataset'!AF56="High"),"High Lipid Category","Normal Category")</f>
        <v>Normal Category</v>
      </c>
      <c r="AE56">
        <v>20.09</v>
      </c>
      <c r="AF56" t="s">
        <v>32</v>
      </c>
      <c r="AG56">
        <v>0</v>
      </c>
      <c r="AH56" t="s">
        <v>1379</v>
      </c>
      <c r="AI56">
        <f t="shared" si="3"/>
        <v>1</v>
      </c>
      <c r="AJ56" t="s">
        <v>1392</v>
      </c>
    </row>
    <row r="57" spans="1:36" x14ac:dyDescent="0.3">
      <c r="A57" t="s">
        <v>33</v>
      </c>
      <c r="B57">
        <v>43</v>
      </c>
      <c r="C57">
        <v>65.8</v>
      </c>
      <c r="D57">
        <v>1.76</v>
      </c>
      <c r="E57">
        <v>21.2</v>
      </c>
      <c r="F57">
        <f t="shared" si="0"/>
        <v>21.242252066115704</v>
      </c>
      <c r="G57">
        <f t="shared" si="4"/>
        <v>0</v>
      </c>
      <c r="H57" t="s">
        <v>1398</v>
      </c>
      <c r="I57">
        <v>101.1</v>
      </c>
      <c r="J57" t="s">
        <v>91</v>
      </c>
      <c r="K57" s="24">
        <v>94</v>
      </c>
      <c r="L57" s="24">
        <v>81</v>
      </c>
      <c r="M57">
        <v>243</v>
      </c>
      <c r="N57" t="s">
        <v>1432</v>
      </c>
      <c r="O57">
        <v>66</v>
      </c>
      <c r="P57">
        <v>70</v>
      </c>
      <c r="Q57" t="s">
        <v>24</v>
      </c>
      <c r="R57" t="s">
        <v>25</v>
      </c>
      <c r="S57" t="s">
        <v>39</v>
      </c>
      <c r="T57" t="s">
        <v>25</v>
      </c>
      <c r="U57">
        <f t="shared" si="2"/>
        <v>2</v>
      </c>
      <c r="V57">
        <v>176</v>
      </c>
      <c r="W57">
        <v>0.57399999999999995</v>
      </c>
      <c r="X57" t="s">
        <v>1407</v>
      </c>
      <c r="Y57">
        <v>94</v>
      </c>
      <c r="Z57">
        <v>81</v>
      </c>
      <c r="AA57" t="s">
        <v>31</v>
      </c>
      <c r="AB57">
        <v>147</v>
      </c>
      <c r="AC57" s="23">
        <v>2.23</v>
      </c>
      <c r="AD57" t="str">
        <f>IF(AND('CVD Dataset'!AA57="Normal",'CVD Dataset'!AB57&gt;AVERAGE('CVD Dataset'!AB:AB),'CVD Dataset'!AF57="High"),"High Lipid Category","Normal Category")</f>
        <v>Normal Category</v>
      </c>
      <c r="AE57">
        <v>15.8</v>
      </c>
      <c r="AF57" t="s">
        <v>28</v>
      </c>
      <c r="AG57">
        <v>0</v>
      </c>
      <c r="AH57" t="s">
        <v>1380</v>
      </c>
      <c r="AI57">
        <f t="shared" si="3"/>
        <v>0</v>
      </c>
      <c r="AJ57" t="s">
        <v>1391</v>
      </c>
    </row>
    <row r="58" spans="1:36" x14ac:dyDescent="0.3">
      <c r="A58" t="s">
        <v>22</v>
      </c>
      <c r="B58">
        <v>37</v>
      </c>
      <c r="C58">
        <v>74.599999999999994</v>
      </c>
      <c r="D58">
        <v>1.74</v>
      </c>
      <c r="E58">
        <v>24.6</v>
      </c>
      <c r="F58">
        <f t="shared" si="0"/>
        <v>24.639978861144137</v>
      </c>
      <c r="G58">
        <f t="shared" si="4"/>
        <v>0</v>
      </c>
      <c r="H58" t="s">
        <v>1398</v>
      </c>
      <c r="I58">
        <v>107.8</v>
      </c>
      <c r="J58" t="s">
        <v>92</v>
      </c>
      <c r="K58" s="24">
        <v>104</v>
      </c>
      <c r="L58" s="24">
        <v>60</v>
      </c>
      <c r="M58">
        <v>124</v>
      </c>
      <c r="N58" t="s">
        <v>1434</v>
      </c>
      <c r="O58">
        <v>48</v>
      </c>
      <c r="P58">
        <v>98</v>
      </c>
      <c r="Q58" t="s">
        <v>25</v>
      </c>
      <c r="R58" t="s">
        <v>25</v>
      </c>
      <c r="S58" t="s">
        <v>30</v>
      </c>
      <c r="T58" t="s">
        <v>24</v>
      </c>
      <c r="U58">
        <f t="shared" si="2"/>
        <v>2</v>
      </c>
      <c r="V58">
        <v>174</v>
      </c>
      <c r="W58">
        <v>0.62</v>
      </c>
      <c r="X58" t="s">
        <v>1409</v>
      </c>
      <c r="Y58">
        <v>104</v>
      </c>
      <c r="Z58">
        <v>60</v>
      </c>
      <c r="AA58" t="s">
        <v>35</v>
      </c>
      <c r="AB58">
        <v>46</v>
      </c>
      <c r="AC58" s="23">
        <v>0.96</v>
      </c>
      <c r="AD58" t="str">
        <f>IF(AND('CVD Dataset'!AA58="Normal",'CVD Dataset'!AB58&gt;AVERAGE('CVD Dataset'!AB:AB),'CVD Dataset'!AF58="High"),"High Lipid Category","Normal Category")</f>
        <v>Normal Category</v>
      </c>
      <c r="AE58">
        <v>14.6</v>
      </c>
      <c r="AF58" t="s">
        <v>28</v>
      </c>
      <c r="AG58">
        <v>0</v>
      </c>
      <c r="AH58" t="s">
        <v>1380</v>
      </c>
      <c r="AI58">
        <f t="shared" si="3"/>
        <v>0</v>
      </c>
      <c r="AJ58" t="s">
        <v>1391</v>
      </c>
    </row>
    <row r="59" spans="1:36" x14ac:dyDescent="0.3">
      <c r="A59" t="s">
        <v>22</v>
      </c>
      <c r="B59">
        <v>51</v>
      </c>
      <c r="C59">
        <v>100.5</v>
      </c>
      <c r="D59">
        <v>1.82</v>
      </c>
      <c r="E59">
        <v>30.3</v>
      </c>
      <c r="F59">
        <f t="shared" si="0"/>
        <v>30.340538582296823</v>
      </c>
      <c r="G59">
        <f t="shared" si="4"/>
        <v>0</v>
      </c>
      <c r="H59" t="s">
        <v>1399</v>
      </c>
      <c r="I59">
        <v>106.4</v>
      </c>
      <c r="J59" t="s">
        <v>93</v>
      </c>
      <c r="K59" s="24">
        <v>129</v>
      </c>
      <c r="L59" s="24">
        <v>71</v>
      </c>
      <c r="M59">
        <v>257</v>
      </c>
      <c r="N59" t="s">
        <v>1432</v>
      </c>
      <c r="O59">
        <v>76</v>
      </c>
      <c r="P59">
        <v>89</v>
      </c>
      <c r="Q59" t="s">
        <v>25</v>
      </c>
      <c r="R59" t="s">
        <v>24</v>
      </c>
      <c r="S59" t="s">
        <v>39</v>
      </c>
      <c r="T59" t="s">
        <v>24</v>
      </c>
      <c r="U59">
        <f t="shared" si="2"/>
        <v>1</v>
      </c>
      <c r="V59">
        <v>182</v>
      </c>
      <c r="W59">
        <v>0.58499999999999996</v>
      </c>
      <c r="X59" t="s">
        <v>1409</v>
      </c>
      <c r="Y59">
        <v>129</v>
      </c>
      <c r="Z59">
        <v>71</v>
      </c>
      <c r="AA59" t="s">
        <v>27</v>
      </c>
      <c r="AB59">
        <v>151</v>
      </c>
      <c r="AC59" s="23">
        <v>1.99</v>
      </c>
      <c r="AD59" t="str">
        <f>IF(AND('CVD Dataset'!AA59="Normal",'CVD Dataset'!AB59&gt;AVERAGE('CVD Dataset'!AB:AB),'CVD Dataset'!AF59="High"),"High Lipid Category","Normal Category")</f>
        <v>Normal Category</v>
      </c>
      <c r="AE59">
        <v>17.649999999999999</v>
      </c>
      <c r="AF59" t="s">
        <v>32</v>
      </c>
      <c r="AG59">
        <v>1</v>
      </c>
      <c r="AH59" t="s">
        <v>1379</v>
      </c>
      <c r="AI59">
        <f t="shared" si="3"/>
        <v>1</v>
      </c>
      <c r="AJ59" t="s">
        <v>1391</v>
      </c>
    </row>
    <row r="60" spans="1:36" x14ac:dyDescent="0.3">
      <c r="A60" t="s">
        <v>22</v>
      </c>
      <c r="B60">
        <v>44</v>
      </c>
      <c r="C60">
        <v>101.5</v>
      </c>
      <c r="D60">
        <v>1.69</v>
      </c>
      <c r="E60">
        <v>35.5</v>
      </c>
      <c r="F60">
        <f t="shared" si="0"/>
        <v>35.537971359546241</v>
      </c>
      <c r="G60">
        <f t="shared" si="4"/>
        <v>0</v>
      </c>
      <c r="H60" t="s">
        <v>1399</v>
      </c>
      <c r="I60">
        <v>91.5</v>
      </c>
      <c r="J60" t="s">
        <v>94</v>
      </c>
      <c r="K60" s="24">
        <v>98</v>
      </c>
      <c r="L60" s="24">
        <v>73</v>
      </c>
      <c r="M60">
        <v>103</v>
      </c>
      <c r="N60" t="s">
        <v>1434</v>
      </c>
      <c r="O60">
        <v>74</v>
      </c>
      <c r="P60">
        <v>93</v>
      </c>
      <c r="Q60" t="s">
        <v>24</v>
      </c>
      <c r="R60" t="s">
        <v>24</v>
      </c>
      <c r="S60" t="s">
        <v>39</v>
      </c>
      <c r="T60" t="s">
        <v>24</v>
      </c>
      <c r="U60">
        <f t="shared" si="2"/>
        <v>0</v>
      </c>
      <c r="V60">
        <v>169</v>
      </c>
      <c r="W60">
        <v>0.54100000000000004</v>
      </c>
      <c r="X60" t="s">
        <v>1407</v>
      </c>
      <c r="Y60">
        <v>98</v>
      </c>
      <c r="Z60">
        <v>73</v>
      </c>
      <c r="AA60" t="s">
        <v>35</v>
      </c>
      <c r="AB60">
        <v>-1</v>
      </c>
      <c r="AC60" s="23">
        <v>-0.01</v>
      </c>
      <c r="AD60" t="str">
        <f>IF(AND('CVD Dataset'!AA60="Normal",'CVD Dataset'!AB60&gt;AVERAGE('CVD Dataset'!AB:AB),'CVD Dataset'!AF60="High"),"High Lipid Category","Normal Category")</f>
        <v>Normal Category</v>
      </c>
      <c r="AE60">
        <v>14.06</v>
      </c>
      <c r="AF60" t="s">
        <v>54</v>
      </c>
      <c r="AG60">
        <v>0</v>
      </c>
      <c r="AH60" t="s">
        <v>1380</v>
      </c>
      <c r="AI60">
        <f t="shared" si="3"/>
        <v>0</v>
      </c>
      <c r="AJ60" t="s">
        <v>1391</v>
      </c>
    </row>
    <row r="61" spans="1:36" x14ac:dyDescent="0.3">
      <c r="A61" t="s">
        <v>22</v>
      </c>
      <c r="B61">
        <v>46</v>
      </c>
      <c r="C61">
        <v>65.7</v>
      </c>
      <c r="D61">
        <v>1.77</v>
      </c>
      <c r="E61">
        <v>21</v>
      </c>
      <c r="F61">
        <f t="shared" si="0"/>
        <v>20.970985349037633</v>
      </c>
      <c r="G61">
        <f t="shared" si="4"/>
        <v>0</v>
      </c>
      <c r="H61" t="s">
        <v>1398</v>
      </c>
      <c r="I61">
        <v>77.099999999999994</v>
      </c>
      <c r="J61" t="s">
        <v>79</v>
      </c>
      <c r="K61" s="24">
        <v>129</v>
      </c>
      <c r="L61" s="24">
        <v>78</v>
      </c>
      <c r="M61">
        <v>232</v>
      </c>
      <c r="N61" t="s">
        <v>1432</v>
      </c>
      <c r="O61">
        <v>59</v>
      </c>
      <c r="P61">
        <v>113</v>
      </c>
      <c r="Q61" t="s">
        <v>24</v>
      </c>
      <c r="R61" t="s">
        <v>25</v>
      </c>
      <c r="S61" t="s">
        <v>30</v>
      </c>
      <c r="T61" t="s">
        <v>24</v>
      </c>
      <c r="U61">
        <f t="shared" si="2"/>
        <v>1</v>
      </c>
      <c r="V61">
        <v>177</v>
      </c>
      <c r="W61">
        <v>0.436</v>
      </c>
      <c r="X61" t="s">
        <v>1408</v>
      </c>
      <c r="Y61">
        <v>129</v>
      </c>
      <c r="Z61">
        <v>78</v>
      </c>
      <c r="AA61" t="s">
        <v>27</v>
      </c>
      <c r="AB61">
        <v>143</v>
      </c>
      <c r="AC61" s="23">
        <v>2.42</v>
      </c>
      <c r="AD61" t="str">
        <f>IF(AND('CVD Dataset'!AA61="Normal",'CVD Dataset'!AB61&gt;AVERAGE('CVD Dataset'!AB:AB),'CVD Dataset'!AF61="High"),"High Lipid Category","Normal Category")</f>
        <v>Normal Category</v>
      </c>
      <c r="AE61">
        <v>17.29</v>
      </c>
      <c r="AF61" t="s">
        <v>28</v>
      </c>
      <c r="AG61">
        <v>0</v>
      </c>
      <c r="AH61" t="s">
        <v>1380</v>
      </c>
      <c r="AI61">
        <f t="shared" si="3"/>
        <v>0</v>
      </c>
      <c r="AJ61" t="s">
        <v>1391</v>
      </c>
    </row>
    <row r="62" spans="1:36" x14ac:dyDescent="0.3">
      <c r="A62" t="s">
        <v>22</v>
      </c>
      <c r="B62">
        <v>53</v>
      </c>
      <c r="C62">
        <v>103.9</v>
      </c>
      <c r="D62">
        <v>1.77</v>
      </c>
      <c r="E62">
        <v>33.200000000000003</v>
      </c>
      <c r="F62">
        <f t="shared" si="0"/>
        <v>33.164161000989495</v>
      </c>
      <c r="G62">
        <f t="shared" si="4"/>
        <v>0</v>
      </c>
      <c r="H62" t="s">
        <v>1399</v>
      </c>
      <c r="I62">
        <v>71.599999999999994</v>
      </c>
      <c r="J62" t="s">
        <v>95</v>
      </c>
      <c r="K62" s="24">
        <v>149</v>
      </c>
      <c r="L62" s="24">
        <v>84</v>
      </c>
      <c r="M62">
        <v>247</v>
      </c>
      <c r="N62" t="s">
        <v>1432</v>
      </c>
      <c r="O62">
        <v>50</v>
      </c>
      <c r="P62">
        <v>130</v>
      </c>
      <c r="Q62" t="s">
        <v>24</v>
      </c>
      <c r="R62" t="s">
        <v>25</v>
      </c>
      <c r="S62" t="s">
        <v>39</v>
      </c>
      <c r="T62" t="s">
        <v>24</v>
      </c>
      <c r="U62">
        <f t="shared" si="2"/>
        <v>1</v>
      </c>
      <c r="V62">
        <v>177</v>
      </c>
      <c r="W62">
        <v>0.40500000000000003</v>
      </c>
      <c r="X62" t="s">
        <v>1408</v>
      </c>
      <c r="Y62">
        <v>149</v>
      </c>
      <c r="Z62">
        <v>84</v>
      </c>
      <c r="AA62" t="s">
        <v>31</v>
      </c>
      <c r="AB62">
        <v>167</v>
      </c>
      <c r="AC62" s="23">
        <v>3.34</v>
      </c>
      <c r="AD62" t="str">
        <f>IF(AND('CVD Dataset'!AA62="Normal",'CVD Dataset'!AB62&gt;AVERAGE('CVD Dataset'!AB:AB),'CVD Dataset'!AF62="High"),"High Lipid Category","Normal Category")</f>
        <v>Normal Category</v>
      </c>
      <c r="AE62">
        <v>21.03</v>
      </c>
      <c r="AF62" t="s">
        <v>32</v>
      </c>
      <c r="AG62">
        <v>0</v>
      </c>
      <c r="AH62" t="s">
        <v>1379</v>
      </c>
      <c r="AI62">
        <f t="shared" si="3"/>
        <v>1</v>
      </c>
      <c r="AJ62" t="s">
        <v>1392</v>
      </c>
    </row>
    <row r="63" spans="1:36" x14ac:dyDescent="0.3">
      <c r="A63" t="s">
        <v>22</v>
      </c>
      <c r="B63">
        <v>56</v>
      </c>
      <c r="C63">
        <v>112.1</v>
      </c>
      <c r="D63">
        <v>1.78</v>
      </c>
      <c r="E63">
        <v>35.4</v>
      </c>
      <c r="F63">
        <f t="shared" si="0"/>
        <v>35.380633758363842</v>
      </c>
      <c r="G63">
        <f t="shared" si="4"/>
        <v>0</v>
      </c>
      <c r="H63" t="s">
        <v>1399</v>
      </c>
      <c r="I63">
        <v>87.4</v>
      </c>
      <c r="J63" t="s">
        <v>96</v>
      </c>
      <c r="K63" s="24">
        <v>103</v>
      </c>
      <c r="L63" s="24">
        <v>98</v>
      </c>
      <c r="N63" t="s">
        <v>1434</v>
      </c>
      <c r="O63">
        <v>67</v>
      </c>
      <c r="P63">
        <v>89</v>
      </c>
      <c r="Q63" t="s">
        <v>24</v>
      </c>
      <c r="R63" t="s">
        <v>25</v>
      </c>
      <c r="S63" t="s">
        <v>39</v>
      </c>
      <c r="T63" t="s">
        <v>25</v>
      </c>
      <c r="U63">
        <f t="shared" si="2"/>
        <v>2</v>
      </c>
      <c r="V63">
        <v>178</v>
      </c>
      <c r="W63">
        <v>0.49099999999999999</v>
      </c>
      <c r="X63" t="s">
        <v>1406</v>
      </c>
      <c r="Y63">
        <v>103</v>
      </c>
      <c r="Z63">
        <v>98</v>
      </c>
      <c r="AA63" t="s">
        <v>40</v>
      </c>
      <c r="AB63">
        <v>50</v>
      </c>
      <c r="AC63" s="23">
        <v>0.75</v>
      </c>
      <c r="AD63" t="str">
        <f>IF(AND('CVD Dataset'!AA63="Normal",'CVD Dataset'!AB63&gt;AVERAGE('CVD Dataset'!AB:AB),'CVD Dataset'!AF63="High"),"High Lipid Category","Normal Category")</f>
        <v>Normal Category</v>
      </c>
      <c r="AE63">
        <v>17.170000000000002</v>
      </c>
      <c r="AF63" t="s">
        <v>32</v>
      </c>
      <c r="AG63">
        <v>1</v>
      </c>
      <c r="AH63" t="s">
        <v>1379</v>
      </c>
      <c r="AI63">
        <f t="shared" si="3"/>
        <v>1</v>
      </c>
      <c r="AJ63" t="s">
        <v>1392</v>
      </c>
    </row>
    <row r="64" spans="1:36" x14ac:dyDescent="0.3">
      <c r="A64" t="s">
        <v>33</v>
      </c>
      <c r="B64">
        <v>43</v>
      </c>
      <c r="C64">
        <v>118</v>
      </c>
      <c r="D64">
        <v>1.64</v>
      </c>
      <c r="E64">
        <v>43.9</v>
      </c>
      <c r="F64">
        <f t="shared" si="0"/>
        <v>43.872694824509232</v>
      </c>
      <c r="G64">
        <f t="shared" si="4"/>
        <v>0</v>
      </c>
      <c r="H64" t="s">
        <v>1399</v>
      </c>
      <c r="I64">
        <v>73.599999999999994</v>
      </c>
      <c r="J64" t="s">
        <v>97</v>
      </c>
      <c r="K64" s="24">
        <v>99</v>
      </c>
      <c r="L64" s="24">
        <v>92</v>
      </c>
      <c r="M64">
        <v>199</v>
      </c>
      <c r="N64" t="s">
        <v>1432</v>
      </c>
      <c r="O64">
        <v>51</v>
      </c>
      <c r="P64">
        <v>129</v>
      </c>
      <c r="Q64" t="s">
        <v>24</v>
      </c>
      <c r="R64" t="s">
        <v>24</v>
      </c>
      <c r="S64" t="s">
        <v>39</v>
      </c>
      <c r="T64" t="s">
        <v>25</v>
      </c>
      <c r="U64">
        <f t="shared" si="2"/>
        <v>1</v>
      </c>
      <c r="V64">
        <v>164</v>
      </c>
      <c r="W64">
        <v>0.44900000000000001</v>
      </c>
      <c r="X64" t="s">
        <v>1408</v>
      </c>
      <c r="Y64">
        <v>99</v>
      </c>
      <c r="Z64">
        <v>92</v>
      </c>
      <c r="AA64" t="s">
        <v>40</v>
      </c>
      <c r="AB64">
        <v>118</v>
      </c>
      <c r="AC64" s="23">
        <v>2.31</v>
      </c>
      <c r="AD64" t="str">
        <f>IF(AND('CVD Dataset'!AA64="Normal",'CVD Dataset'!AB64&gt;AVERAGE('CVD Dataset'!AB:AB),'CVD Dataset'!AF64="High"),"High Lipid Category","Normal Category")</f>
        <v>Normal Category</v>
      </c>
      <c r="AE64">
        <v>17.71</v>
      </c>
      <c r="AF64" t="s">
        <v>28</v>
      </c>
      <c r="AG64">
        <v>0</v>
      </c>
      <c r="AH64" t="s">
        <v>1380</v>
      </c>
      <c r="AI64">
        <f t="shared" si="3"/>
        <v>0</v>
      </c>
      <c r="AJ64" t="s">
        <v>1391</v>
      </c>
    </row>
    <row r="65" spans="1:36" x14ac:dyDescent="0.3">
      <c r="A65" t="s">
        <v>33</v>
      </c>
      <c r="B65">
        <v>40</v>
      </c>
      <c r="C65">
        <v>107.4</v>
      </c>
      <c r="D65">
        <v>1.6</v>
      </c>
      <c r="E65">
        <v>42</v>
      </c>
      <c r="F65">
        <f t="shared" si="0"/>
        <v>41.953124999999993</v>
      </c>
      <c r="G65">
        <f t="shared" si="4"/>
        <v>0</v>
      </c>
      <c r="H65" t="s">
        <v>1399</v>
      </c>
      <c r="J65" t="s">
        <v>98</v>
      </c>
      <c r="K65" s="24">
        <v>114</v>
      </c>
      <c r="L65" s="24">
        <v>91</v>
      </c>
      <c r="N65" t="s">
        <v>1434</v>
      </c>
      <c r="O65">
        <v>52</v>
      </c>
      <c r="P65">
        <v>89</v>
      </c>
      <c r="Q65" t="s">
        <v>25</v>
      </c>
      <c r="R65" t="s">
        <v>24</v>
      </c>
      <c r="S65" t="s">
        <v>39</v>
      </c>
      <c r="T65" t="s">
        <v>24</v>
      </c>
      <c r="U65">
        <f t="shared" si="2"/>
        <v>1</v>
      </c>
      <c r="V65">
        <v>160</v>
      </c>
      <c r="W65">
        <v>0.57899999999999996</v>
      </c>
      <c r="X65" t="s">
        <v>1407</v>
      </c>
      <c r="Y65">
        <v>114</v>
      </c>
      <c r="Z65">
        <v>91</v>
      </c>
      <c r="AA65" t="s">
        <v>40</v>
      </c>
      <c r="AB65">
        <v>89</v>
      </c>
      <c r="AC65" s="23">
        <v>1.71</v>
      </c>
      <c r="AD65" t="str">
        <f>IF(AND('CVD Dataset'!AA65="Normal",'CVD Dataset'!AB65&gt;AVERAGE('CVD Dataset'!AB:AB),'CVD Dataset'!AF65="High"),"High Lipid Category","Normal Category")</f>
        <v>Normal Category</v>
      </c>
      <c r="AE65">
        <v>17.52</v>
      </c>
      <c r="AF65" t="s">
        <v>28</v>
      </c>
      <c r="AG65">
        <v>0</v>
      </c>
      <c r="AH65" t="s">
        <v>1380</v>
      </c>
      <c r="AI65">
        <f t="shared" si="3"/>
        <v>0</v>
      </c>
      <c r="AJ65" t="s">
        <v>1391</v>
      </c>
    </row>
    <row r="66" spans="1:36" x14ac:dyDescent="0.3">
      <c r="A66" t="s">
        <v>22</v>
      </c>
      <c r="B66">
        <v>51</v>
      </c>
      <c r="C66">
        <v>60.6</v>
      </c>
      <c r="D66">
        <v>1.88</v>
      </c>
      <c r="E66">
        <v>17.100000000000001</v>
      </c>
      <c r="F66">
        <f t="shared" si="0"/>
        <v>17.14576731552739</v>
      </c>
      <c r="G66">
        <f t="shared" si="4"/>
        <v>0</v>
      </c>
      <c r="H66" t="s">
        <v>1401</v>
      </c>
      <c r="I66">
        <v>75.7</v>
      </c>
      <c r="J66" t="s">
        <v>99</v>
      </c>
      <c r="K66" s="24">
        <v>116</v>
      </c>
      <c r="L66" s="24">
        <v>64</v>
      </c>
      <c r="M66">
        <v>146</v>
      </c>
      <c r="N66" t="s">
        <v>1434</v>
      </c>
      <c r="O66">
        <v>50</v>
      </c>
      <c r="P66">
        <v>99</v>
      </c>
      <c r="Q66" t="s">
        <v>24</v>
      </c>
      <c r="R66" t="s">
        <v>25</v>
      </c>
      <c r="S66" t="s">
        <v>26</v>
      </c>
      <c r="T66" t="s">
        <v>25</v>
      </c>
      <c r="U66">
        <f t="shared" si="2"/>
        <v>3</v>
      </c>
      <c r="V66">
        <v>188</v>
      </c>
      <c r="W66">
        <v>0.40300000000000002</v>
      </c>
      <c r="X66" t="s">
        <v>1408</v>
      </c>
      <c r="Y66">
        <v>116</v>
      </c>
      <c r="Z66">
        <v>64</v>
      </c>
      <c r="AA66" t="s">
        <v>35</v>
      </c>
      <c r="AB66">
        <v>66</v>
      </c>
      <c r="AC66" s="23">
        <v>1.32</v>
      </c>
      <c r="AD66" t="str">
        <f>IF(AND('CVD Dataset'!AA66="Normal",'CVD Dataset'!AB66&gt;AVERAGE('CVD Dataset'!AB:AB),'CVD Dataset'!AF66="High"),"High Lipid Category","Normal Category")</f>
        <v>Normal Category</v>
      </c>
      <c r="AE66">
        <v>14.14</v>
      </c>
      <c r="AF66" t="s">
        <v>32</v>
      </c>
      <c r="AG66">
        <v>0</v>
      </c>
      <c r="AH66" t="s">
        <v>1379</v>
      </c>
      <c r="AI66">
        <f t="shared" si="3"/>
        <v>1</v>
      </c>
      <c r="AJ66" t="s">
        <v>1391</v>
      </c>
    </row>
    <row r="67" spans="1:36" x14ac:dyDescent="0.3">
      <c r="A67" t="s">
        <v>22</v>
      </c>
      <c r="B67">
        <v>52</v>
      </c>
      <c r="C67">
        <v>54.7</v>
      </c>
      <c r="D67">
        <v>1.61</v>
      </c>
      <c r="E67">
        <v>21.1</v>
      </c>
      <c r="F67">
        <f t="shared" ref="F67:F130" si="5">IFERROR(C67/POWER(D67,2),"")</f>
        <v>21.102580918946028</v>
      </c>
      <c r="G67">
        <f t="shared" si="4"/>
        <v>0</v>
      </c>
      <c r="H67" t="s">
        <v>1398</v>
      </c>
      <c r="I67">
        <v>78.099999999999994</v>
      </c>
      <c r="J67" t="s">
        <v>100</v>
      </c>
      <c r="K67" s="24">
        <v>93</v>
      </c>
      <c r="L67" s="24">
        <v>65</v>
      </c>
      <c r="M67">
        <v>193</v>
      </c>
      <c r="N67" t="s">
        <v>1432</v>
      </c>
      <c r="O67">
        <v>79</v>
      </c>
      <c r="P67">
        <v>127</v>
      </c>
      <c r="Q67" t="s">
        <v>24</v>
      </c>
      <c r="R67" t="s">
        <v>25</v>
      </c>
      <c r="S67" t="s">
        <v>30</v>
      </c>
      <c r="T67" t="s">
        <v>25</v>
      </c>
      <c r="U67">
        <f t="shared" ref="U67:U130" si="6">SUM(IF(Q67="Y",1,0),IF(R67="Y",1,0),IF(S67="Low",1,0),IF(T67="Y",1,0))</f>
        <v>2</v>
      </c>
      <c r="V67">
        <v>161</v>
      </c>
      <c r="W67">
        <v>0.48499999999999999</v>
      </c>
      <c r="X67" t="s">
        <v>1406</v>
      </c>
      <c r="Y67">
        <v>93</v>
      </c>
      <c r="Z67">
        <v>65</v>
      </c>
      <c r="AA67" t="s">
        <v>35</v>
      </c>
      <c r="AB67">
        <v>84</v>
      </c>
      <c r="AC67" s="23">
        <v>1.06</v>
      </c>
      <c r="AD67" t="str">
        <f>IF(AND('CVD Dataset'!AA67="Normal",'CVD Dataset'!AB67&gt;AVERAGE('CVD Dataset'!AB:AB),'CVD Dataset'!AF67="High"),"High Lipid Category","Normal Category")</f>
        <v>Normal Category</v>
      </c>
      <c r="AE67">
        <v>14.73</v>
      </c>
      <c r="AF67" t="s">
        <v>28</v>
      </c>
      <c r="AG67">
        <v>0</v>
      </c>
      <c r="AH67" t="s">
        <v>1380</v>
      </c>
      <c r="AI67">
        <f t="shared" ref="AI67:AI130" si="7">IF(AF67="HIGH",1,0)</f>
        <v>0</v>
      </c>
      <c r="AJ67" t="s">
        <v>1391</v>
      </c>
    </row>
    <row r="68" spans="1:36" x14ac:dyDescent="0.3">
      <c r="A68" t="s">
        <v>22</v>
      </c>
      <c r="B68">
        <v>55</v>
      </c>
      <c r="C68">
        <v>117.2</v>
      </c>
      <c r="D68">
        <v>1.72</v>
      </c>
      <c r="E68">
        <v>39.6</v>
      </c>
      <c r="F68">
        <f t="shared" si="5"/>
        <v>39.616008653326126</v>
      </c>
      <c r="G68">
        <f t="shared" si="4"/>
        <v>0</v>
      </c>
      <c r="H68" t="s">
        <v>1399</v>
      </c>
      <c r="I68">
        <v>74.2</v>
      </c>
      <c r="J68" t="s">
        <v>101</v>
      </c>
      <c r="K68" s="24">
        <v>113</v>
      </c>
      <c r="L68" s="24">
        <v>63</v>
      </c>
      <c r="M68">
        <v>164</v>
      </c>
      <c r="N68" t="s">
        <v>1433</v>
      </c>
      <c r="O68">
        <v>57</v>
      </c>
      <c r="P68">
        <v>150</v>
      </c>
      <c r="Q68" t="s">
        <v>24</v>
      </c>
      <c r="R68" t="s">
        <v>24</v>
      </c>
      <c r="S68" t="s">
        <v>26</v>
      </c>
      <c r="T68" t="s">
        <v>24</v>
      </c>
      <c r="U68">
        <f t="shared" si="6"/>
        <v>1</v>
      </c>
      <c r="V68">
        <v>172</v>
      </c>
      <c r="W68">
        <v>0.43099999999999999</v>
      </c>
      <c r="X68" t="s">
        <v>1408</v>
      </c>
      <c r="Y68">
        <v>113</v>
      </c>
      <c r="Z68">
        <v>63</v>
      </c>
      <c r="AA68" t="s">
        <v>35</v>
      </c>
      <c r="AB68">
        <v>77</v>
      </c>
      <c r="AC68" s="23">
        <v>1.35</v>
      </c>
      <c r="AD68" t="str">
        <f>IF(AND('CVD Dataset'!AA68="Normal",'CVD Dataset'!AB68&gt;AVERAGE('CVD Dataset'!AB:AB),'CVD Dataset'!AF68="High"),"High Lipid Category","Normal Category")</f>
        <v>Normal Category</v>
      </c>
      <c r="AE68">
        <v>16.850000000000001</v>
      </c>
      <c r="AF68" t="s">
        <v>28</v>
      </c>
      <c r="AG68">
        <v>0</v>
      </c>
      <c r="AH68" t="s">
        <v>1380</v>
      </c>
      <c r="AI68">
        <f t="shared" si="7"/>
        <v>0</v>
      </c>
      <c r="AJ68" t="s">
        <v>1391</v>
      </c>
    </row>
    <row r="69" spans="1:36" x14ac:dyDescent="0.3">
      <c r="A69" t="s">
        <v>22</v>
      </c>
      <c r="B69">
        <v>48</v>
      </c>
      <c r="C69">
        <v>56.7</v>
      </c>
      <c r="D69">
        <v>1.63</v>
      </c>
      <c r="E69">
        <v>21.3</v>
      </c>
      <c r="F69">
        <f t="shared" si="5"/>
        <v>21.340660167864808</v>
      </c>
      <c r="G69">
        <f t="shared" si="4"/>
        <v>0</v>
      </c>
      <c r="H69" t="s">
        <v>1398</v>
      </c>
      <c r="I69">
        <v>80.3</v>
      </c>
      <c r="J69" t="s">
        <v>102</v>
      </c>
      <c r="K69" s="24">
        <v>142</v>
      </c>
      <c r="L69" s="24">
        <v>66</v>
      </c>
      <c r="M69">
        <v>141</v>
      </c>
      <c r="N69" t="s">
        <v>1434</v>
      </c>
      <c r="O69">
        <v>62</v>
      </c>
      <c r="P69">
        <v>96</v>
      </c>
      <c r="Q69" t="s">
        <v>24</v>
      </c>
      <c r="R69" t="s">
        <v>24</v>
      </c>
      <c r="S69" t="s">
        <v>39</v>
      </c>
      <c r="T69" t="s">
        <v>24</v>
      </c>
      <c r="U69">
        <f t="shared" si="6"/>
        <v>0</v>
      </c>
      <c r="V69">
        <v>163</v>
      </c>
      <c r="X69" t="s">
        <v>1410</v>
      </c>
      <c r="Z69">
        <v>66</v>
      </c>
      <c r="AA69" t="s">
        <v>40</v>
      </c>
      <c r="AB69">
        <v>49</v>
      </c>
      <c r="AC69" s="23">
        <v>0.79</v>
      </c>
      <c r="AD69" t="str">
        <f>IF(AND('CVD Dataset'!AA69="Normal",'CVD Dataset'!AB69&gt;AVERAGE('CVD Dataset'!AB:AB),'CVD Dataset'!AF69="High"),"High Lipid Category","Normal Category")</f>
        <v>Normal Category</v>
      </c>
      <c r="AE69">
        <v>14.18</v>
      </c>
      <c r="AF69" t="s">
        <v>54</v>
      </c>
      <c r="AG69">
        <v>0</v>
      </c>
      <c r="AH69" t="s">
        <v>1380</v>
      </c>
      <c r="AI69">
        <f t="shared" si="7"/>
        <v>0</v>
      </c>
      <c r="AJ69" t="s">
        <v>1391</v>
      </c>
    </row>
    <row r="70" spans="1:36" x14ac:dyDescent="0.3">
      <c r="A70" t="s">
        <v>33</v>
      </c>
      <c r="B70">
        <v>58</v>
      </c>
      <c r="C70">
        <v>77</v>
      </c>
      <c r="E70">
        <v>21.8</v>
      </c>
      <c r="F70" t="str">
        <f t="shared" si="5"/>
        <v/>
      </c>
      <c r="G70" t="str">
        <f t="shared" si="4"/>
        <v/>
      </c>
      <c r="H70" t="s">
        <v>1398</v>
      </c>
      <c r="I70">
        <v>97.3</v>
      </c>
      <c r="J70" t="s">
        <v>103</v>
      </c>
      <c r="K70" s="24">
        <v>142</v>
      </c>
      <c r="L70" s="24">
        <v>69</v>
      </c>
      <c r="M70">
        <v>125</v>
      </c>
      <c r="N70" t="s">
        <v>1434</v>
      </c>
      <c r="O70">
        <v>80</v>
      </c>
      <c r="P70">
        <v>96</v>
      </c>
      <c r="Q70" t="s">
        <v>24</v>
      </c>
      <c r="R70" t="s">
        <v>24</v>
      </c>
      <c r="S70" t="s">
        <v>39</v>
      </c>
      <c r="T70" t="s">
        <v>25</v>
      </c>
      <c r="U70">
        <f t="shared" si="6"/>
        <v>1</v>
      </c>
      <c r="V70">
        <v>188</v>
      </c>
      <c r="W70">
        <v>0.51800000000000002</v>
      </c>
      <c r="X70" t="s">
        <v>1406</v>
      </c>
      <c r="Y70">
        <v>142</v>
      </c>
      <c r="Z70">
        <v>69</v>
      </c>
      <c r="AA70" t="s">
        <v>40</v>
      </c>
      <c r="AB70">
        <v>15</v>
      </c>
      <c r="AC70" s="23">
        <v>0.19</v>
      </c>
      <c r="AD70" t="str">
        <f>IF(AND('CVD Dataset'!AA70="Normal",'CVD Dataset'!AB70&gt;AVERAGE('CVD Dataset'!AB:AB),'CVD Dataset'!AF70="High"),"High Lipid Category","Normal Category")</f>
        <v>Normal Category</v>
      </c>
      <c r="AE70">
        <v>13.96</v>
      </c>
      <c r="AF70" t="s">
        <v>28</v>
      </c>
      <c r="AG70">
        <v>0</v>
      </c>
      <c r="AH70" t="s">
        <v>1380</v>
      </c>
      <c r="AI70">
        <f t="shared" si="7"/>
        <v>0</v>
      </c>
      <c r="AJ70" t="s">
        <v>1391</v>
      </c>
    </row>
    <row r="71" spans="1:36" x14ac:dyDescent="0.3">
      <c r="A71" t="s">
        <v>22</v>
      </c>
      <c r="B71">
        <v>37</v>
      </c>
      <c r="C71">
        <v>116.8</v>
      </c>
      <c r="D71">
        <v>1.77</v>
      </c>
      <c r="E71">
        <v>37.299999999999997</v>
      </c>
      <c r="F71">
        <f t="shared" si="5"/>
        <v>37.281751731622457</v>
      </c>
      <c r="G71">
        <f t="shared" si="4"/>
        <v>0</v>
      </c>
      <c r="H71" t="s">
        <v>1399</v>
      </c>
      <c r="I71">
        <v>92.9</v>
      </c>
      <c r="J71" t="s">
        <v>104</v>
      </c>
      <c r="K71" s="24">
        <v>140</v>
      </c>
      <c r="L71" s="24">
        <v>68</v>
      </c>
      <c r="M71">
        <v>244</v>
      </c>
      <c r="N71" t="s">
        <v>1432</v>
      </c>
      <c r="O71">
        <v>76</v>
      </c>
      <c r="P71">
        <v>96</v>
      </c>
      <c r="Q71" t="s">
        <v>24</v>
      </c>
      <c r="R71" t="s">
        <v>25</v>
      </c>
      <c r="S71" t="s">
        <v>30</v>
      </c>
      <c r="T71" t="s">
        <v>24</v>
      </c>
      <c r="U71">
        <f t="shared" si="6"/>
        <v>1</v>
      </c>
      <c r="V71">
        <v>177</v>
      </c>
      <c r="W71">
        <v>0.52500000000000002</v>
      </c>
      <c r="X71" t="s">
        <v>1407</v>
      </c>
      <c r="Y71">
        <v>140</v>
      </c>
      <c r="Z71">
        <v>68</v>
      </c>
      <c r="AA71" t="s">
        <v>40</v>
      </c>
      <c r="AB71">
        <v>138</v>
      </c>
      <c r="AC71" s="23">
        <v>1.82</v>
      </c>
      <c r="AD71" t="str">
        <f>IF(AND('CVD Dataset'!AA71="Normal",'CVD Dataset'!AB71&gt;AVERAGE('CVD Dataset'!AB:AB),'CVD Dataset'!AF71="High"),"High Lipid Category","Normal Category")</f>
        <v>Normal Category</v>
      </c>
      <c r="AE71">
        <v>21.34</v>
      </c>
      <c r="AF71" t="s">
        <v>28</v>
      </c>
      <c r="AG71">
        <v>0</v>
      </c>
      <c r="AH71" t="s">
        <v>1380</v>
      </c>
      <c r="AI71">
        <f t="shared" si="7"/>
        <v>0</v>
      </c>
      <c r="AJ71" t="s">
        <v>1391</v>
      </c>
    </row>
    <row r="72" spans="1:36" x14ac:dyDescent="0.3">
      <c r="A72" t="s">
        <v>33</v>
      </c>
      <c r="B72">
        <v>55</v>
      </c>
      <c r="C72">
        <v>51.4</v>
      </c>
      <c r="F72" t="str">
        <f t="shared" si="5"/>
        <v/>
      </c>
      <c r="G72" t="str">
        <f t="shared" si="4"/>
        <v/>
      </c>
      <c r="H72" t="s">
        <v>1401</v>
      </c>
      <c r="I72">
        <v>79.8</v>
      </c>
      <c r="J72" t="s">
        <v>105</v>
      </c>
      <c r="K72" s="24">
        <v>102</v>
      </c>
      <c r="L72" s="24">
        <v>79</v>
      </c>
      <c r="M72">
        <v>170</v>
      </c>
      <c r="N72" t="s">
        <v>1433</v>
      </c>
      <c r="O72">
        <v>36</v>
      </c>
      <c r="P72">
        <v>138</v>
      </c>
      <c r="Q72" t="s">
        <v>24</v>
      </c>
      <c r="R72" t="s">
        <v>24</v>
      </c>
      <c r="S72" t="s">
        <v>30</v>
      </c>
      <c r="T72" t="s">
        <v>24</v>
      </c>
      <c r="U72">
        <f t="shared" si="6"/>
        <v>0</v>
      </c>
      <c r="V72">
        <v>168</v>
      </c>
      <c r="W72">
        <v>0.47499999999999998</v>
      </c>
      <c r="X72" t="s">
        <v>1406</v>
      </c>
      <c r="Y72">
        <v>102</v>
      </c>
      <c r="Z72">
        <v>79</v>
      </c>
      <c r="AA72" t="s">
        <v>35</v>
      </c>
      <c r="AB72">
        <v>104</v>
      </c>
      <c r="AC72" s="23">
        <v>2.89</v>
      </c>
      <c r="AD72" t="str">
        <f>IF(AND('CVD Dataset'!AA72="Normal",'CVD Dataset'!AB72&gt;AVERAGE('CVD Dataset'!AB:AB),'CVD Dataset'!AF72="High"),"High Lipid Category","Normal Category")</f>
        <v>Normal Category</v>
      </c>
      <c r="AE72">
        <v>12.14</v>
      </c>
      <c r="AF72" t="s">
        <v>28</v>
      </c>
      <c r="AG72">
        <v>0</v>
      </c>
      <c r="AH72" t="s">
        <v>1380</v>
      </c>
      <c r="AI72">
        <f t="shared" si="7"/>
        <v>0</v>
      </c>
      <c r="AJ72" t="s">
        <v>1391</v>
      </c>
    </row>
    <row r="73" spans="1:36" x14ac:dyDescent="0.3">
      <c r="A73" t="s">
        <v>33</v>
      </c>
      <c r="B73">
        <v>51</v>
      </c>
      <c r="C73">
        <v>107.6</v>
      </c>
      <c r="D73">
        <v>1.66</v>
      </c>
      <c r="E73">
        <v>39</v>
      </c>
      <c r="F73">
        <f t="shared" si="5"/>
        <v>39.047757294237194</v>
      </c>
      <c r="G73">
        <f t="shared" si="4"/>
        <v>0</v>
      </c>
      <c r="H73" t="s">
        <v>1399</v>
      </c>
      <c r="I73">
        <v>100.8</v>
      </c>
      <c r="J73" t="s">
        <v>106</v>
      </c>
      <c r="K73" s="24">
        <v>96</v>
      </c>
      <c r="L73" s="24">
        <v>65</v>
      </c>
      <c r="M73">
        <v>135</v>
      </c>
      <c r="N73" t="s">
        <v>1434</v>
      </c>
      <c r="O73">
        <v>57</v>
      </c>
      <c r="P73">
        <v>129</v>
      </c>
      <c r="Q73" t="s">
        <v>24</v>
      </c>
      <c r="R73" t="s">
        <v>24</v>
      </c>
      <c r="S73" t="s">
        <v>30</v>
      </c>
      <c r="T73" t="s">
        <v>24</v>
      </c>
      <c r="U73">
        <f t="shared" si="6"/>
        <v>0</v>
      </c>
      <c r="V73">
        <v>166</v>
      </c>
      <c r="W73">
        <v>0.60699999999999998</v>
      </c>
      <c r="X73" t="s">
        <v>1409</v>
      </c>
      <c r="Y73">
        <v>96</v>
      </c>
      <c r="Z73">
        <v>65</v>
      </c>
      <c r="AA73" t="s">
        <v>35</v>
      </c>
      <c r="AB73">
        <v>48</v>
      </c>
      <c r="AC73" s="23">
        <v>0.84</v>
      </c>
      <c r="AD73" t="str">
        <f>IF(AND('CVD Dataset'!AA73="Normal",'CVD Dataset'!AB73&gt;AVERAGE('CVD Dataset'!AB:AB),'CVD Dataset'!AF73="High"),"High Lipid Category","Normal Category")</f>
        <v>Normal Category</v>
      </c>
      <c r="AE73">
        <v>15.3</v>
      </c>
      <c r="AF73" t="s">
        <v>28</v>
      </c>
      <c r="AG73">
        <v>0</v>
      </c>
      <c r="AH73" t="s">
        <v>1380</v>
      </c>
      <c r="AI73">
        <f t="shared" si="7"/>
        <v>0</v>
      </c>
      <c r="AJ73" t="s">
        <v>1391</v>
      </c>
    </row>
    <row r="74" spans="1:36" x14ac:dyDescent="0.3">
      <c r="A74" t="s">
        <v>22</v>
      </c>
      <c r="B74">
        <v>57</v>
      </c>
      <c r="C74">
        <v>82.5</v>
      </c>
      <c r="D74">
        <v>1.76</v>
      </c>
      <c r="E74">
        <v>26.6</v>
      </c>
      <c r="F74">
        <f t="shared" si="5"/>
        <v>26.633522727272727</v>
      </c>
      <c r="G74">
        <f t="shared" si="4"/>
        <v>0</v>
      </c>
      <c r="H74" t="s">
        <v>1400</v>
      </c>
      <c r="I74">
        <v>92.8</v>
      </c>
      <c r="J74" t="s">
        <v>107</v>
      </c>
      <c r="K74" s="24">
        <v>101</v>
      </c>
      <c r="L74" s="24">
        <v>81</v>
      </c>
      <c r="M74">
        <v>300</v>
      </c>
      <c r="N74" t="s">
        <v>1432</v>
      </c>
      <c r="O74">
        <v>38</v>
      </c>
      <c r="P74">
        <v>98</v>
      </c>
      <c r="Q74" t="s">
        <v>24</v>
      </c>
      <c r="R74" t="s">
        <v>25</v>
      </c>
      <c r="S74" t="s">
        <v>30</v>
      </c>
      <c r="T74" t="s">
        <v>24</v>
      </c>
      <c r="U74">
        <f t="shared" si="6"/>
        <v>1</v>
      </c>
      <c r="V74">
        <v>176</v>
      </c>
      <c r="W74">
        <v>0.52700000000000002</v>
      </c>
      <c r="X74" t="s">
        <v>1407</v>
      </c>
      <c r="Y74">
        <v>101</v>
      </c>
      <c r="Z74">
        <v>81</v>
      </c>
      <c r="AA74" t="s">
        <v>31</v>
      </c>
      <c r="AB74">
        <v>232</v>
      </c>
      <c r="AC74" s="23">
        <v>6.11</v>
      </c>
      <c r="AD74" t="str">
        <f>IF(AND('CVD Dataset'!AA74="Normal",'CVD Dataset'!AB74&gt;AVERAGE('CVD Dataset'!AB:AB),'CVD Dataset'!AF74="High"),"High Lipid Category","Normal Category")</f>
        <v>Normal Category</v>
      </c>
      <c r="AE74">
        <v>18.37</v>
      </c>
      <c r="AF74" t="s">
        <v>32</v>
      </c>
      <c r="AG74">
        <v>0</v>
      </c>
      <c r="AH74" t="s">
        <v>1379</v>
      </c>
      <c r="AI74">
        <f t="shared" si="7"/>
        <v>1</v>
      </c>
      <c r="AJ74" t="s">
        <v>1392</v>
      </c>
    </row>
    <row r="75" spans="1:36" x14ac:dyDescent="0.3">
      <c r="A75" t="s">
        <v>33</v>
      </c>
      <c r="B75">
        <v>44</v>
      </c>
      <c r="C75">
        <v>114.3</v>
      </c>
      <c r="D75">
        <v>1.72</v>
      </c>
      <c r="E75">
        <v>38.6</v>
      </c>
      <c r="F75">
        <f t="shared" si="5"/>
        <v>38.635749053542462</v>
      </c>
      <c r="G75">
        <f t="shared" si="4"/>
        <v>0</v>
      </c>
      <c r="H75" t="s">
        <v>1399</v>
      </c>
      <c r="I75">
        <v>100</v>
      </c>
      <c r="J75" t="s">
        <v>108</v>
      </c>
      <c r="K75" s="24">
        <v>112</v>
      </c>
      <c r="L75" s="24">
        <v>83</v>
      </c>
      <c r="M75">
        <v>228</v>
      </c>
      <c r="N75" t="s">
        <v>1432</v>
      </c>
      <c r="O75">
        <v>77</v>
      </c>
      <c r="P75">
        <v>91</v>
      </c>
      <c r="Q75" t="s">
        <v>25</v>
      </c>
      <c r="R75" t="s">
        <v>25</v>
      </c>
      <c r="S75" t="s">
        <v>30</v>
      </c>
      <c r="T75" t="s">
        <v>24</v>
      </c>
      <c r="U75">
        <f t="shared" si="6"/>
        <v>2</v>
      </c>
      <c r="V75">
        <v>172</v>
      </c>
      <c r="W75">
        <v>0.58099999999999996</v>
      </c>
      <c r="X75" t="s">
        <v>1407</v>
      </c>
      <c r="Y75">
        <v>112</v>
      </c>
      <c r="Z75">
        <v>83</v>
      </c>
      <c r="AA75" t="s">
        <v>31</v>
      </c>
      <c r="AB75">
        <v>121</v>
      </c>
      <c r="AC75" s="23">
        <v>1.57</v>
      </c>
      <c r="AD75" t="str">
        <f>IF(AND('CVD Dataset'!AA75="Normal",'CVD Dataset'!AB75&gt;AVERAGE('CVD Dataset'!AB:AB),'CVD Dataset'!AF75="High"),"High Lipid Category","Normal Category")</f>
        <v>Normal Category</v>
      </c>
      <c r="AE75">
        <v>19.88</v>
      </c>
      <c r="AF75" t="s">
        <v>32</v>
      </c>
      <c r="AG75">
        <v>1</v>
      </c>
      <c r="AH75" t="s">
        <v>1379</v>
      </c>
      <c r="AI75">
        <f t="shared" si="7"/>
        <v>1</v>
      </c>
      <c r="AJ75" t="s">
        <v>1391</v>
      </c>
    </row>
    <row r="76" spans="1:36" x14ac:dyDescent="0.3">
      <c r="A76" t="s">
        <v>33</v>
      </c>
      <c r="B76">
        <v>38</v>
      </c>
      <c r="C76">
        <v>63.3</v>
      </c>
      <c r="D76">
        <v>1.7</v>
      </c>
      <c r="E76">
        <v>21.9</v>
      </c>
      <c r="F76">
        <f t="shared" si="5"/>
        <v>21.903114186851212</v>
      </c>
      <c r="G76">
        <f t="shared" si="4"/>
        <v>0</v>
      </c>
      <c r="H76" t="s">
        <v>1398</v>
      </c>
      <c r="I76">
        <v>93.8</v>
      </c>
      <c r="J76" t="s">
        <v>109</v>
      </c>
      <c r="K76" s="24">
        <v>93</v>
      </c>
      <c r="L76" s="24">
        <v>67</v>
      </c>
      <c r="N76" t="s">
        <v>1434</v>
      </c>
      <c r="O76">
        <v>76</v>
      </c>
      <c r="P76">
        <v>73</v>
      </c>
      <c r="Q76" t="s">
        <v>24</v>
      </c>
      <c r="R76" t="s">
        <v>25</v>
      </c>
      <c r="S76" t="s">
        <v>30</v>
      </c>
      <c r="T76" t="s">
        <v>24</v>
      </c>
      <c r="U76">
        <f t="shared" si="6"/>
        <v>1</v>
      </c>
      <c r="V76">
        <v>170</v>
      </c>
      <c r="W76">
        <v>0.55200000000000005</v>
      </c>
      <c r="X76" t="s">
        <v>1407</v>
      </c>
      <c r="Y76">
        <v>93</v>
      </c>
      <c r="Z76">
        <v>67</v>
      </c>
      <c r="AA76" t="s">
        <v>35</v>
      </c>
      <c r="AB76">
        <v>182</v>
      </c>
      <c r="AC76" s="23">
        <v>2.39</v>
      </c>
      <c r="AD76" t="str">
        <f>IF(AND('CVD Dataset'!AA76="Normal",'CVD Dataset'!AB76&gt;AVERAGE('CVD Dataset'!AB:AB),'CVD Dataset'!AF76="High"),"High Lipid Category","Normal Category")</f>
        <v>Normal Category</v>
      </c>
      <c r="AE76">
        <v>16.79</v>
      </c>
      <c r="AF76" t="s">
        <v>28</v>
      </c>
      <c r="AG76">
        <v>0</v>
      </c>
      <c r="AH76" t="s">
        <v>1380</v>
      </c>
      <c r="AI76">
        <f t="shared" si="7"/>
        <v>0</v>
      </c>
      <c r="AJ76" t="s">
        <v>1391</v>
      </c>
    </row>
    <row r="77" spans="1:36" x14ac:dyDescent="0.3">
      <c r="A77" t="s">
        <v>22</v>
      </c>
      <c r="B77">
        <v>60</v>
      </c>
      <c r="C77">
        <v>91.6</v>
      </c>
      <c r="D77">
        <v>1.64</v>
      </c>
      <c r="E77">
        <v>34.1</v>
      </c>
      <c r="F77">
        <f t="shared" si="5"/>
        <v>34.057108863771568</v>
      </c>
      <c r="G77">
        <f t="shared" si="4"/>
        <v>0</v>
      </c>
      <c r="H77" t="s">
        <v>1399</v>
      </c>
      <c r="I77">
        <v>94.4</v>
      </c>
      <c r="J77" t="s">
        <v>110</v>
      </c>
      <c r="K77" s="24">
        <v>132</v>
      </c>
      <c r="L77" s="24">
        <v>73</v>
      </c>
      <c r="M77">
        <v>258</v>
      </c>
      <c r="N77" t="s">
        <v>1432</v>
      </c>
      <c r="O77">
        <v>31</v>
      </c>
      <c r="P77">
        <v>142</v>
      </c>
      <c r="Q77" t="s">
        <v>25</v>
      </c>
      <c r="R77" t="s">
        <v>25</v>
      </c>
      <c r="S77" t="s">
        <v>30</v>
      </c>
      <c r="T77" t="s">
        <v>25</v>
      </c>
      <c r="U77">
        <f t="shared" si="6"/>
        <v>3</v>
      </c>
      <c r="V77">
        <v>164</v>
      </c>
      <c r="W77">
        <v>0.57599999999999996</v>
      </c>
      <c r="X77" t="s">
        <v>1407</v>
      </c>
      <c r="Y77">
        <v>132</v>
      </c>
      <c r="AA77" t="s">
        <v>31</v>
      </c>
      <c r="AB77">
        <v>197</v>
      </c>
      <c r="AC77" s="23">
        <v>6.35</v>
      </c>
      <c r="AD77" t="str">
        <f>IF(AND('CVD Dataset'!AA77="Normal",'CVD Dataset'!AB77&gt;AVERAGE('CVD Dataset'!AB:AB),'CVD Dataset'!AF77="High"),"High Lipid Category","Normal Category")</f>
        <v>Normal Category</v>
      </c>
      <c r="AE77">
        <v>20.58</v>
      </c>
      <c r="AF77" t="s">
        <v>32</v>
      </c>
      <c r="AG77">
        <v>0</v>
      </c>
      <c r="AH77" t="s">
        <v>1379</v>
      </c>
      <c r="AI77">
        <f t="shared" si="7"/>
        <v>1</v>
      </c>
      <c r="AJ77" t="s">
        <v>1392</v>
      </c>
    </row>
    <row r="78" spans="1:36" x14ac:dyDescent="0.3">
      <c r="A78" t="s">
        <v>22</v>
      </c>
      <c r="B78">
        <v>51</v>
      </c>
      <c r="C78">
        <v>52.5</v>
      </c>
      <c r="D78">
        <v>1.78</v>
      </c>
      <c r="E78">
        <v>16.600000000000001</v>
      </c>
      <c r="F78">
        <f t="shared" si="5"/>
        <v>16.569877540714554</v>
      </c>
      <c r="G78">
        <f t="shared" si="4"/>
        <v>0</v>
      </c>
      <c r="H78" t="s">
        <v>1401</v>
      </c>
      <c r="I78">
        <v>75.8</v>
      </c>
      <c r="J78" t="s">
        <v>111</v>
      </c>
      <c r="K78" s="24">
        <v>98</v>
      </c>
      <c r="L78" s="24">
        <v>63</v>
      </c>
      <c r="M78">
        <v>119</v>
      </c>
      <c r="N78" t="s">
        <v>1434</v>
      </c>
      <c r="O78">
        <v>50</v>
      </c>
      <c r="P78">
        <v>128</v>
      </c>
      <c r="Q78" t="s">
        <v>25</v>
      </c>
      <c r="R78" t="s">
        <v>25</v>
      </c>
      <c r="S78" t="s">
        <v>30</v>
      </c>
      <c r="T78" t="s">
        <v>25</v>
      </c>
      <c r="U78">
        <f t="shared" si="6"/>
        <v>3</v>
      </c>
      <c r="V78">
        <v>178</v>
      </c>
      <c r="W78">
        <v>0.42599999999999999</v>
      </c>
      <c r="X78" t="s">
        <v>1408</v>
      </c>
      <c r="Y78">
        <v>98</v>
      </c>
      <c r="Z78">
        <v>63</v>
      </c>
      <c r="AA78" t="s">
        <v>35</v>
      </c>
      <c r="AB78">
        <v>39</v>
      </c>
      <c r="AC78" s="23">
        <v>0.78</v>
      </c>
      <c r="AD78" t="str">
        <f>IF(AND('CVD Dataset'!AA78="Normal",'CVD Dataset'!AB78&gt;AVERAGE('CVD Dataset'!AB:AB),'CVD Dataset'!AF78="High"),"High Lipid Category","Normal Category")</f>
        <v>Normal Category</v>
      </c>
      <c r="AE78">
        <v>12.6</v>
      </c>
      <c r="AF78" t="s">
        <v>32</v>
      </c>
      <c r="AG78">
        <v>0</v>
      </c>
      <c r="AH78" t="s">
        <v>1379</v>
      </c>
      <c r="AI78">
        <f t="shared" si="7"/>
        <v>1</v>
      </c>
      <c r="AJ78" t="s">
        <v>1391</v>
      </c>
    </row>
    <row r="79" spans="1:36" x14ac:dyDescent="0.3">
      <c r="A79" t="s">
        <v>22</v>
      </c>
      <c r="B79">
        <v>43</v>
      </c>
      <c r="C79">
        <v>109.7</v>
      </c>
      <c r="D79">
        <v>1.81</v>
      </c>
      <c r="E79">
        <v>33.5</v>
      </c>
      <c r="F79">
        <f t="shared" si="5"/>
        <v>33.48493635725405</v>
      </c>
      <c r="G79">
        <f t="shared" ref="G79:G142" si="8">IFERROR(IF(ABS(E79 - F79) &lt;= 0.1, 0, 1),"")</f>
        <v>0</v>
      </c>
      <c r="H79" t="s">
        <v>1399</v>
      </c>
      <c r="I79">
        <v>80.8</v>
      </c>
      <c r="J79" t="s">
        <v>112</v>
      </c>
      <c r="K79" s="24">
        <v>120</v>
      </c>
      <c r="L79" s="24">
        <v>74</v>
      </c>
      <c r="M79">
        <v>278</v>
      </c>
      <c r="N79" t="s">
        <v>1432</v>
      </c>
      <c r="O79">
        <v>63</v>
      </c>
      <c r="P79">
        <v>142</v>
      </c>
      <c r="Q79" t="s">
        <v>24</v>
      </c>
      <c r="R79" t="s">
        <v>25</v>
      </c>
      <c r="S79" t="s">
        <v>39</v>
      </c>
      <c r="T79" t="s">
        <v>25</v>
      </c>
      <c r="U79">
        <f t="shared" si="6"/>
        <v>2</v>
      </c>
      <c r="V79">
        <v>181</v>
      </c>
      <c r="W79">
        <v>0.44600000000000001</v>
      </c>
      <c r="X79" t="s">
        <v>1408</v>
      </c>
      <c r="Y79">
        <v>120</v>
      </c>
      <c r="Z79">
        <v>74</v>
      </c>
      <c r="AA79" t="s">
        <v>27</v>
      </c>
      <c r="AB79">
        <v>185</v>
      </c>
      <c r="AC79" s="23">
        <v>2.94</v>
      </c>
      <c r="AD79" t="str">
        <f>IF(AND('CVD Dataset'!AA79="Normal",'CVD Dataset'!AB79&gt;AVERAGE('CVD Dataset'!AB:AB),'CVD Dataset'!AF79="High"),"High Lipid Category","Normal Category")</f>
        <v>Normal Category</v>
      </c>
      <c r="AE79">
        <v>20.260000000000002</v>
      </c>
      <c r="AF79" t="s">
        <v>32</v>
      </c>
      <c r="AG79">
        <v>1</v>
      </c>
      <c r="AH79" t="s">
        <v>1379</v>
      </c>
      <c r="AI79">
        <f t="shared" si="7"/>
        <v>1</v>
      </c>
      <c r="AJ79" t="s">
        <v>1391</v>
      </c>
    </row>
    <row r="80" spans="1:36" x14ac:dyDescent="0.3">
      <c r="A80" t="s">
        <v>33</v>
      </c>
      <c r="B80">
        <v>49</v>
      </c>
      <c r="C80">
        <v>115.6</v>
      </c>
      <c r="D80">
        <v>1.72</v>
      </c>
      <c r="E80">
        <v>39.1</v>
      </c>
      <c r="F80">
        <f t="shared" si="5"/>
        <v>39.075175770686862</v>
      </c>
      <c r="G80">
        <f t="shared" si="8"/>
        <v>0</v>
      </c>
      <c r="H80" t="s">
        <v>1399</v>
      </c>
      <c r="I80">
        <v>109.3</v>
      </c>
      <c r="J80" t="s">
        <v>113</v>
      </c>
      <c r="K80" s="24">
        <v>90</v>
      </c>
      <c r="L80" s="24">
        <v>95</v>
      </c>
      <c r="M80">
        <v>155</v>
      </c>
      <c r="N80" t="s">
        <v>1433</v>
      </c>
      <c r="O80">
        <v>71</v>
      </c>
      <c r="P80">
        <v>110</v>
      </c>
      <c r="Q80" t="s">
        <v>24</v>
      </c>
      <c r="R80" t="s">
        <v>25</v>
      </c>
      <c r="S80" t="s">
        <v>39</v>
      </c>
      <c r="T80" t="s">
        <v>24</v>
      </c>
      <c r="U80">
        <f t="shared" si="6"/>
        <v>1</v>
      </c>
      <c r="V80">
        <v>172</v>
      </c>
      <c r="W80">
        <v>0.63500000000000001</v>
      </c>
      <c r="X80" t="s">
        <v>1409</v>
      </c>
      <c r="Y80">
        <v>90</v>
      </c>
      <c r="Z80">
        <v>95</v>
      </c>
      <c r="AA80" t="s">
        <v>40</v>
      </c>
      <c r="AB80">
        <v>54</v>
      </c>
      <c r="AC80" s="23">
        <v>0.76</v>
      </c>
      <c r="AD80" t="str">
        <f>IF(AND('CVD Dataset'!AA80="Normal",'CVD Dataset'!AB80&gt;AVERAGE('CVD Dataset'!AB:AB),'CVD Dataset'!AF80="High"),"High Lipid Category","Normal Category")</f>
        <v>Normal Category</v>
      </c>
      <c r="AE80">
        <v>17.420000000000002</v>
      </c>
      <c r="AF80" t="s">
        <v>28</v>
      </c>
      <c r="AG80">
        <v>0</v>
      </c>
      <c r="AH80" t="s">
        <v>1380</v>
      </c>
      <c r="AI80">
        <f t="shared" si="7"/>
        <v>0</v>
      </c>
      <c r="AJ80" t="s">
        <v>1391</v>
      </c>
    </row>
    <row r="81" spans="1:36" x14ac:dyDescent="0.3">
      <c r="A81" t="s">
        <v>33</v>
      </c>
      <c r="B81">
        <v>60</v>
      </c>
      <c r="C81">
        <v>78.900000000000006</v>
      </c>
      <c r="D81">
        <v>1.85</v>
      </c>
      <c r="E81">
        <v>23.1</v>
      </c>
      <c r="F81">
        <f t="shared" si="5"/>
        <v>23.053323593864135</v>
      </c>
      <c r="G81">
        <f t="shared" si="8"/>
        <v>0</v>
      </c>
      <c r="H81" t="s">
        <v>1398</v>
      </c>
      <c r="I81">
        <v>101.5</v>
      </c>
      <c r="J81" t="s">
        <v>114</v>
      </c>
      <c r="K81" s="24">
        <v>94</v>
      </c>
      <c r="L81" s="24">
        <v>78</v>
      </c>
      <c r="M81">
        <v>133</v>
      </c>
      <c r="N81" t="s">
        <v>1434</v>
      </c>
      <c r="O81">
        <v>39</v>
      </c>
      <c r="P81">
        <v>149</v>
      </c>
      <c r="Q81" t="s">
        <v>24</v>
      </c>
      <c r="R81" t="s">
        <v>25</v>
      </c>
      <c r="S81" t="s">
        <v>26</v>
      </c>
      <c r="T81" t="s">
        <v>25</v>
      </c>
      <c r="U81">
        <f t="shared" si="6"/>
        <v>3</v>
      </c>
      <c r="V81">
        <v>185</v>
      </c>
      <c r="W81">
        <v>0.54900000000000004</v>
      </c>
      <c r="X81" t="s">
        <v>1407</v>
      </c>
      <c r="Y81">
        <v>94</v>
      </c>
      <c r="Z81">
        <v>78</v>
      </c>
      <c r="AA81" t="s">
        <v>35</v>
      </c>
      <c r="AB81">
        <v>64</v>
      </c>
      <c r="AC81" s="23">
        <v>1.64</v>
      </c>
      <c r="AD81" t="str">
        <f>IF(AND('CVD Dataset'!AA81="Normal",'CVD Dataset'!AB81&gt;AVERAGE('CVD Dataset'!AB:AB),'CVD Dataset'!AF81="High"),"High Lipid Category","Normal Category")</f>
        <v>Normal Category</v>
      </c>
      <c r="AF81" t="s">
        <v>32</v>
      </c>
      <c r="AG81">
        <v>0</v>
      </c>
      <c r="AH81" t="s">
        <v>1379</v>
      </c>
      <c r="AI81">
        <f t="shared" si="7"/>
        <v>1</v>
      </c>
      <c r="AJ81" t="s">
        <v>1391</v>
      </c>
    </row>
    <row r="82" spans="1:36" x14ac:dyDescent="0.3">
      <c r="A82" t="s">
        <v>33</v>
      </c>
      <c r="B82">
        <v>37</v>
      </c>
      <c r="C82">
        <v>78.400000000000006</v>
      </c>
      <c r="D82">
        <v>1.63</v>
      </c>
      <c r="E82">
        <v>29.5</v>
      </c>
      <c r="F82">
        <f t="shared" si="5"/>
        <v>29.508073318529117</v>
      </c>
      <c r="G82">
        <f t="shared" si="8"/>
        <v>0</v>
      </c>
      <c r="H82" t="s">
        <v>1400</v>
      </c>
      <c r="I82">
        <v>70.2</v>
      </c>
      <c r="J82" t="s">
        <v>115</v>
      </c>
      <c r="K82" s="24">
        <v>127</v>
      </c>
      <c r="L82" s="24">
        <v>96</v>
      </c>
      <c r="M82">
        <v>103</v>
      </c>
      <c r="N82" t="s">
        <v>1434</v>
      </c>
      <c r="O82">
        <v>57</v>
      </c>
      <c r="P82">
        <v>74</v>
      </c>
      <c r="Q82" t="s">
        <v>24</v>
      </c>
      <c r="R82" t="s">
        <v>24</v>
      </c>
      <c r="S82" t="s">
        <v>30</v>
      </c>
      <c r="T82" t="s">
        <v>24</v>
      </c>
      <c r="U82">
        <f t="shared" si="6"/>
        <v>0</v>
      </c>
      <c r="V82">
        <v>163</v>
      </c>
      <c r="W82">
        <v>0.43099999999999999</v>
      </c>
      <c r="X82" t="s">
        <v>1408</v>
      </c>
      <c r="Y82">
        <v>127</v>
      </c>
      <c r="Z82">
        <v>96</v>
      </c>
      <c r="AA82" t="s">
        <v>40</v>
      </c>
      <c r="AB82">
        <v>16</v>
      </c>
      <c r="AC82" s="23">
        <v>0.28000000000000003</v>
      </c>
      <c r="AD82" t="str">
        <f>IF(AND('CVD Dataset'!AA82="Normal",'CVD Dataset'!AB82&gt;AVERAGE('CVD Dataset'!AB:AB),'CVD Dataset'!AF82="High"),"High Lipid Category","Normal Category")</f>
        <v>Normal Category</v>
      </c>
      <c r="AE82">
        <v>14.31</v>
      </c>
      <c r="AF82" t="s">
        <v>54</v>
      </c>
      <c r="AG82">
        <v>0</v>
      </c>
      <c r="AH82" t="s">
        <v>1380</v>
      </c>
      <c r="AI82">
        <f t="shared" si="7"/>
        <v>0</v>
      </c>
      <c r="AJ82" t="s">
        <v>1391</v>
      </c>
    </row>
    <row r="83" spans="1:36" x14ac:dyDescent="0.3">
      <c r="A83" t="s">
        <v>22</v>
      </c>
      <c r="B83">
        <v>52</v>
      </c>
      <c r="C83">
        <v>65.3</v>
      </c>
      <c r="D83">
        <v>1.61</v>
      </c>
      <c r="E83">
        <v>25.2</v>
      </c>
      <c r="F83">
        <f t="shared" si="5"/>
        <v>25.191929323714358</v>
      </c>
      <c r="G83">
        <f t="shared" si="8"/>
        <v>0</v>
      </c>
      <c r="H83" t="s">
        <v>1400</v>
      </c>
      <c r="I83">
        <v>74.900000000000006</v>
      </c>
      <c r="J83" t="s">
        <v>116</v>
      </c>
      <c r="K83" s="24">
        <v>120</v>
      </c>
      <c r="L83" s="24">
        <v>87</v>
      </c>
      <c r="M83">
        <v>251</v>
      </c>
      <c r="N83" t="s">
        <v>1432</v>
      </c>
      <c r="O83">
        <v>50</v>
      </c>
      <c r="P83">
        <v>83</v>
      </c>
      <c r="Q83" t="s">
        <v>25</v>
      </c>
      <c r="R83" t="s">
        <v>24</v>
      </c>
      <c r="S83" t="s">
        <v>26</v>
      </c>
      <c r="T83" t="s">
        <v>24</v>
      </c>
      <c r="U83">
        <f t="shared" si="6"/>
        <v>2</v>
      </c>
      <c r="W83">
        <v>0.46500000000000002</v>
      </c>
      <c r="X83" t="s">
        <v>1406</v>
      </c>
      <c r="Y83">
        <v>120</v>
      </c>
      <c r="Z83">
        <v>87</v>
      </c>
      <c r="AA83" t="s">
        <v>31</v>
      </c>
      <c r="AB83">
        <v>171</v>
      </c>
      <c r="AC83" s="23">
        <v>3.42</v>
      </c>
      <c r="AD83" t="str">
        <f>IF(AND('CVD Dataset'!AA83="Normal",'CVD Dataset'!AB83&gt;AVERAGE('CVD Dataset'!AB:AB),'CVD Dataset'!AF83="High"),"High Lipid Category","Normal Category")</f>
        <v>Normal Category</v>
      </c>
      <c r="AE83">
        <v>16.059999999999999</v>
      </c>
      <c r="AF83" t="s">
        <v>32</v>
      </c>
      <c r="AG83">
        <v>0</v>
      </c>
      <c r="AH83" t="s">
        <v>1379</v>
      </c>
      <c r="AI83">
        <f t="shared" si="7"/>
        <v>1</v>
      </c>
      <c r="AJ83" t="s">
        <v>1391</v>
      </c>
    </row>
    <row r="84" spans="1:36" x14ac:dyDescent="0.3">
      <c r="A84" t="s">
        <v>22</v>
      </c>
      <c r="B84">
        <v>37</v>
      </c>
      <c r="C84">
        <v>114.4</v>
      </c>
      <c r="D84">
        <v>1.72</v>
      </c>
      <c r="E84">
        <v>38.700000000000003</v>
      </c>
      <c r="F84">
        <f t="shared" si="5"/>
        <v>38.669551108707417</v>
      </c>
      <c r="G84">
        <f t="shared" si="8"/>
        <v>0</v>
      </c>
      <c r="H84" t="s">
        <v>1399</v>
      </c>
      <c r="I84">
        <v>105</v>
      </c>
      <c r="J84" t="s">
        <v>117</v>
      </c>
      <c r="K84" s="24">
        <v>99</v>
      </c>
      <c r="L84" s="24">
        <v>90</v>
      </c>
      <c r="M84">
        <v>203</v>
      </c>
      <c r="N84" t="s">
        <v>1432</v>
      </c>
      <c r="O84">
        <v>60</v>
      </c>
      <c r="P84">
        <v>103</v>
      </c>
      <c r="Q84" t="s">
        <v>24</v>
      </c>
      <c r="R84" t="s">
        <v>25</v>
      </c>
      <c r="S84" t="s">
        <v>39</v>
      </c>
      <c r="T84" t="s">
        <v>24</v>
      </c>
      <c r="U84">
        <f t="shared" si="6"/>
        <v>1</v>
      </c>
      <c r="V84">
        <v>172</v>
      </c>
      <c r="W84">
        <v>0.61</v>
      </c>
      <c r="X84" t="s">
        <v>1409</v>
      </c>
      <c r="Y84">
        <v>99</v>
      </c>
      <c r="Z84">
        <v>90</v>
      </c>
      <c r="AA84" t="s">
        <v>40</v>
      </c>
      <c r="AB84">
        <v>113</v>
      </c>
      <c r="AC84" s="23">
        <v>1.88</v>
      </c>
      <c r="AD84" t="str">
        <f>IF(AND('CVD Dataset'!AA84="Normal",'CVD Dataset'!AB84&gt;AVERAGE('CVD Dataset'!AB:AB),'CVD Dataset'!AF84="High"),"High Lipid Category","Normal Category")</f>
        <v>Normal Category</v>
      </c>
      <c r="AE84">
        <v>18.75</v>
      </c>
      <c r="AF84" t="s">
        <v>28</v>
      </c>
      <c r="AG84">
        <v>0</v>
      </c>
      <c r="AH84" t="s">
        <v>1380</v>
      </c>
      <c r="AI84">
        <f t="shared" si="7"/>
        <v>0</v>
      </c>
      <c r="AJ84" t="s">
        <v>1391</v>
      </c>
    </row>
    <row r="85" spans="1:36" x14ac:dyDescent="0.3">
      <c r="A85" t="s">
        <v>33</v>
      </c>
      <c r="B85">
        <v>57</v>
      </c>
      <c r="C85">
        <v>114.5</v>
      </c>
      <c r="D85">
        <v>1.83</v>
      </c>
      <c r="E85">
        <v>34.200000000000003</v>
      </c>
      <c r="F85">
        <f t="shared" si="5"/>
        <v>34.190331153513092</v>
      </c>
      <c r="G85">
        <f t="shared" si="8"/>
        <v>0</v>
      </c>
      <c r="H85" t="s">
        <v>1399</v>
      </c>
      <c r="I85">
        <v>93.8</v>
      </c>
      <c r="J85" t="s">
        <v>118</v>
      </c>
      <c r="K85" s="24">
        <v>114</v>
      </c>
      <c r="L85" s="24">
        <v>63</v>
      </c>
      <c r="M85">
        <v>204</v>
      </c>
      <c r="N85" t="s">
        <v>1432</v>
      </c>
      <c r="O85">
        <v>48</v>
      </c>
      <c r="P85">
        <v>140</v>
      </c>
      <c r="Q85" t="s">
        <v>24</v>
      </c>
      <c r="R85" t="s">
        <v>25</v>
      </c>
      <c r="S85" t="s">
        <v>39</v>
      </c>
      <c r="T85" t="s">
        <v>24</v>
      </c>
      <c r="U85">
        <f t="shared" si="6"/>
        <v>1</v>
      </c>
      <c r="V85">
        <v>183</v>
      </c>
      <c r="W85">
        <v>0.51300000000000001</v>
      </c>
      <c r="X85" t="s">
        <v>1406</v>
      </c>
      <c r="Y85">
        <v>114</v>
      </c>
      <c r="Z85">
        <v>63</v>
      </c>
      <c r="AA85" t="s">
        <v>35</v>
      </c>
      <c r="AB85">
        <v>126</v>
      </c>
      <c r="AC85" s="23">
        <v>2.63</v>
      </c>
      <c r="AD85" t="str">
        <f>IF(AND('CVD Dataset'!AA85="Normal",'CVD Dataset'!AB85&gt;AVERAGE('CVD Dataset'!AB:AB),'CVD Dataset'!AF85="High"),"High Lipid Category","Normal Category")</f>
        <v>High Lipid Category</v>
      </c>
      <c r="AE85">
        <v>18.62</v>
      </c>
      <c r="AF85" t="s">
        <v>32</v>
      </c>
      <c r="AG85">
        <v>0</v>
      </c>
      <c r="AH85" t="s">
        <v>1379</v>
      </c>
      <c r="AI85">
        <f t="shared" si="7"/>
        <v>1</v>
      </c>
      <c r="AJ85" t="s">
        <v>1391</v>
      </c>
    </row>
    <row r="86" spans="1:36" x14ac:dyDescent="0.3">
      <c r="A86" t="s">
        <v>33</v>
      </c>
      <c r="B86">
        <v>56</v>
      </c>
      <c r="C86">
        <v>81.8</v>
      </c>
      <c r="D86">
        <v>1.76</v>
      </c>
      <c r="E86">
        <v>26.4</v>
      </c>
      <c r="F86">
        <f t="shared" si="5"/>
        <v>26.407541322314049</v>
      </c>
      <c r="G86">
        <f t="shared" si="8"/>
        <v>0</v>
      </c>
      <c r="H86" t="s">
        <v>1400</v>
      </c>
      <c r="I86">
        <v>72.099999999999994</v>
      </c>
      <c r="J86" t="s">
        <v>119</v>
      </c>
      <c r="K86" s="24">
        <v>132</v>
      </c>
      <c r="L86" s="24">
        <v>97</v>
      </c>
      <c r="M86">
        <v>109</v>
      </c>
      <c r="N86" t="s">
        <v>1434</v>
      </c>
      <c r="O86">
        <v>78</v>
      </c>
      <c r="P86">
        <v>111</v>
      </c>
      <c r="Q86" t="s">
        <v>24</v>
      </c>
      <c r="R86" t="s">
        <v>24</v>
      </c>
      <c r="S86" t="s">
        <v>30</v>
      </c>
      <c r="T86" t="s">
        <v>25</v>
      </c>
      <c r="U86">
        <f t="shared" si="6"/>
        <v>1</v>
      </c>
      <c r="V86">
        <v>176</v>
      </c>
      <c r="W86">
        <v>0.41</v>
      </c>
      <c r="X86" t="s">
        <v>1408</v>
      </c>
      <c r="Y86">
        <v>132</v>
      </c>
      <c r="Z86">
        <v>97</v>
      </c>
      <c r="AA86" t="s">
        <v>31</v>
      </c>
      <c r="AB86">
        <v>1</v>
      </c>
      <c r="AC86" s="23">
        <v>0.01</v>
      </c>
      <c r="AD86" t="str">
        <f>IF(AND('CVD Dataset'!AA86="Normal",'CVD Dataset'!AB86&gt;AVERAGE('CVD Dataset'!AB:AB),'CVD Dataset'!AF86="High"),"High Lipid Category","Normal Category")</f>
        <v>Normal Category</v>
      </c>
      <c r="AE86">
        <v>14.06</v>
      </c>
      <c r="AF86" t="s">
        <v>28</v>
      </c>
      <c r="AG86">
        <v>0</v>
      </c>
      <c r="AH86" t="s">
        <v>1380</v>
      </c>
      <c r="AI86">
        <f t="shared" si="7"/>
        <v>0</v>
      </c>
      <c r="AJ86" t="s">
        <v>1391</v>
      </c>
    </row>
    <row r="87" spans="1:36" x14ac:dyDescent="0.3">
      <c r="A87" t="s">
        <v>33</v>
      </c>
      <c r="B87">
        <v>32</v>
      </c>
      <c r="C87">
        <v>85.5</v>
      </c>
      <c r="D87">
        <v>1.63</v>
      </c>
      <c r="E87">
        <v>32.200000000000003</v>
      </c>
      <c r="F87">
        <f t="shared" si="5"/>
        <v>32.180360570589791</v>
      </c>
      <c r="G87">
        <f t="shared" si="8"/>
        <v>0</v>
      </c>
      <c r="H87" t="s">
        <v>1399</v>
      </c>
      <c r="I87">
        <v>81.599999999999994</v>
      </c>
      <c r="J87" t="s">
        <v>120</v>
      </c>
      <c r="K87" s="24">
        <v>111</v>
      </c>
      <c r="L87" s="24">
        <v>68</v>
      </c>
      <c r="M87">
        <v>102</v>
      </c>
      <c r="N87" t="s">
        <v>1434</v>
      </c>
      <c r="O87">
        <v>79</v>
      </c>
      <c r="P87">
        <v>97</v>
      </c>
      <c r="Q87" t="s">
        <v>25</v>
      </c>
      <c r="R87" t="s">
        <v>24</v>
      </c>
      <c r="S87" t="s">
        <v>26</v>
      </c>
      <c r="T87" t="s">
        <v>24</v>
      </c>
      <c r="U87">
        <f t="shared" si="6"/>
        <v>2</v>
      </c>
      <c r="V87">
        <v>163</v>
      </c>
      <c r="W87">
        <v>0.501</v>
      </c>
      <c r="X87" t="s">
        <v>1406</v>
      </c>
      <c r="Y87">
        <v>111</v>
      </c>
      <c r="Z87">
        <v>68</v>
      </c>
      <c r="AA87" t="s">
        <v>35</v>
      </c>
      <c r="AC87" s="23">
        <v>0</v>
      </c>
      <c r="AD87" t="str">
        <f>IF(AND('CVD Dataset'!AA87="Normal",'CVD Dataset'!AB87&gt;AVERAGE('CVD Dataset'!AB:AB),'CVD Dataset'!AF87="High"),"High Lipid Category","Normal Category")</f>
        <v>Normal Category</v>
      </c>
      <c r="AE87">
        <v>14.03</v>
      </c>
      <c r="AF87" t="s">
        <v>28</v>
      </c>
      <c r="AG87">
        <v>0</v>
      </c>
      <c r="AH87" t="s">
        <v>1380</v>
      </c>
      <c r="AI87">
        <f t="shared" si="7"/>
        <v>0</v>
      </c>
      <c r="AJ87" t="s">
        <v>1391</v>
      </c>
    </row>
    <row r="88" spans="1:36" x14ac:dyDescent="0.3">
      <c r="A88" t="s">
        <v>22</v>
      </c>
      <c r="B88">
        <v>58</v>
      </c>
      <c r="C88">
        <v>82.1</v>
      </c>
      <c r="E88">
        <v>26.2</v>
      </c>
      <c r="F88" t="str">
        <f t="shared" si="5"/>
        <v/>
      </c>
      <c r="G88" t="str">
        <f t="shared" si="8"/>
        <v/>
      </c>
      <c r="H88" t="s">
        <v>1400</v>
      </c>
      <c r="I88">
        <v>82.6</v>
      </c>
      <c r="J88" t="s">
        <v>121</v>
      </c>
      <c r="K88" s="24">
        <v>97</v>
      </c>
      <c r="L88" s="24">
        <v>69</v>
      </c>
      <c r="M88">
        <v>133</v>
      </c>
      <c r="N88" t="s">
        <v>1434</v>
      </c>
      <c r="O88">
        <v>43</v>
      </c>
      <c r="Q88" t="s">
        <v>25</v>
      </c>
      <c r="R88" t="s">
        <v>24</v>
      </c>
      <c r="S88" t="s">
        <v>26</v>
      </c>
      <c r="T88" t="s">
        <v>24</v>
      </c>
      <c r="U88">
        <f t="shared" si="6"/>
        <v>2</v>
      </c>
      <c r="V88">
        <v>177</v>
      </c>
      <c r="W88">
        <v>0.46700000000000003</v>
      </c>
      <c r="X88" t="s">
        <v>1406</v>
      </c>
      <c r="Y88">
        <v>97</v>
      </c>
      <c r="Z88">
        <v>69</v>
      </c>
      <c r="AA88" t="s">
        <v>35</v>
      </c>
      <c r="AB88">
        <v>60</v>
      </c>
      <c r="AC88" s="23">
        <v>1.4</v>
      </c>
      <c r="AD88" t="str">
        <f>IF(AND('CVD Dataset'!AA88="Normal",'CVD Dataset'!AB88&gt;AVERAGE('CVD Dataset'!AB:AB),'CVD Dataset'!AF88="High"),"High Lipid Category","Normal Category")</f>
        <v>Normal Category</v>
      </c>
      <c r="AE88">
        <v>12.75</v>
      </c>
      <c r="AF88" t="s">
        <v>32</v>
      </c>
      <c r="AG88">
        <v>0</v>
      </c>
      <c r="AH88" t="s">
        <v>1379</v>
      </c>
      <c r="AI88">
        <f t="shared" si="7"/>
        <v>1</v>
      </c>
      <c r="AJ88" t="s">
        <v>1391</v>
      </c>
    </row>
    <row r="89" spans="1:36" x14ac:dyDescent="0.3">
      <c r="A89" t="s">
        <v>22</v>
      </c>
      <c r="B89">
        <v>37</v>
      </c>
      <c r="C89">
        <v>113.4</v>
      </c>
      <c r="D89">
        <v>1.68</v>
      </c>
      <c r="E89">
        <v>40.200000000000003</v>
      </c>
      <c r="F89">
        <f t="shared" si="5"/>
        <v>40.178571428571438</v>
      </c>
      <c r="G89">
        <f t="shared" si="8"/>
        <v>0</v>
      </c>
      <c r="H89" t="s">
        <v>1399</v>
      </c>
      <c r="I89">
        <v>109.2</v>
      </c>
      <c r="J89" t="s">
        <v>122</v>
      </c>
      <c r="K89" s="24">
        <v>120</v>
      </c>
      <c r="L89" s="24">
        <v>71</v>
      </c>
      <c r="M89">
        <v>281</v>
      </c>
      <c r="N89" t="s">
        <v>1432</v>
      </c>
      <c r="O89">
        <v>70</v>
      </c>
      <c r="P89">
        <v>140</v>
      </c>
      <c r="Q89" t="s">
        <v>24</v>
      </c>
      <c r="R89" t="s">
        <v>24</v>
      </c>
      <c r="S89" t="s">
        <v>30</v>
      </c>
      <c r="T89" t="s">
        <v>24</v>
      </c>
      <c r="U89">
        <f t="shared" si="6"/>
        <v>0</v>
      </c>
      <c r="V89">
        <v>168</v>
      </c>
      <c r="W89">
        <v>0.65</v>
      </c>
      <c r="X89" t="s">
        <v>1409</v>
      </c>
      <c r="Y89">
        <v>120</v>
      </c>
      <c r="Z89">
        <v>71</v>
      </c>
      <c r="AA89" t="s">
        <v>27</v>
      </c>
      <c r="AB89">
        <v>181</v>
      </c>
      <c r="AC89" s="23">
        <v>2.59</v>
      </c>
      <c r="AD89" t="str">
        <f>IF(AND('CVD Dataset'!AA89="Normal",'CVD Dataset'!AB89&gt;AVERAGE('CVD Dataset'!AB:AB),'CVD Dataset'!AF89="High"),"High Lipid Category","Normal Category")</f>
        <v>Normal Category</v>
      </c>
      <c r="AE89">
        <v>19.66</v>
      </c>
      <c r="AF89" t="s">
        <v>28</v>
      </c>
      <c r="AG89">
        <v>0</v>
      </c>
      <c r="AH89" t="s">
        <v>1380</v>
      </c>
      <c r="AI89">
        <f t="shared" si="7"/>
        <v>0</v>
      </c>
      <c r="AJ89" t="s">
        <v>1391</v>
      </c>
    </row>
    <row r="90" spans="1:36" x14ac:dyDescent="0.3">
      <c r="A90" t="s">
        <v>22</v>
      </c>
      <c r="B90">
        <v>40</v>
      </c>
      <c r="C90">
        <v>50.7</v>
      </c>
      <c r="D90">
        <v>1.65</v>
      </c>
      <c r="E90">
        <v>18.600000000000001</v>
      </c>
      <c r="F90">
        <f t="shared" si="5"/>
        <v>18.622589531680443</v>
      </c>
      <c r="G90">
        <f t="shared" si="8"/>
        <v>0</v>
      </c>
      <c r="H90" t="s">
        <v>1398</v>
      </c>
      <c r="I90">
        <v>80.900000000000006</v>
      </c>
      <c r="J90" t="s">
        <v>123</v>
      </c>
      <c r="K90" s="24">
        <v>130</v>
      </c>
      <c r="L90" s="24">
        <v>97</v>
      </c>
      <c r="M90">
        <v>228</v>
      </c>
      <c r="N90" t="s">
        <v>1432</v>
      </c>
      <c r="O90">
        <v>56</v>
      </c>
      <c r="P90">
        <v>76</v>
      </c>
      <c r="Q90" t="s">
        <v>25</v>
      </c>
      <c r="R90" t="s">
        <v>25</v>
      </c>
      <c r="S90" t="s">
        <v>26</v>
      </c>
      <c r="T90" t="s">
        <v>24</v>
      </c>
      <c r="U90">
        <f t="shared" si="6"/>
        <v>3</v>
      </c>
      <c r="V90">
        <v>165</v>
      </c>
      <c r="W90">
        <v>0.49</v>
      </c>
      <c r="X90" t="s">
        <v>1406</v>
      </c>
      <c r="Y90">
        <v>130</v>
      </c>
      <c r="Z90">
        <v>97</v>
      </c>
      <c r="AA90" t="s">
        <v>31</v>
      </c>
      <c r="AB90">
        <v>142</v>
      </c>
      <c r="AC90" s="23">
        <v>2.54</v>
      </c>
      <c r="AD90" t="str">
        <f>IF(AND('CVD Dataset'!AA90="Normal",'CVD Dataset'!AB90&gt;AVERAGE('CVD Dataset'!AB:AB),'CVD Dataset'!AF90="High"),"High Lipid Category","Normal Category")</f>
        <v>Normal Category</v>
      </c>
      <c r="AE90">
        <v>16.78</v>
      </c>
      <c r="AF90" t="s">
        <v>32</v>
      </c>
      <c r="AG90">
        <v>0</v>
      </c>
      <c r="AH90" t="s">
        <v>1379</v>
      </c>
      <c r="AI90">
        <f t="shared" si="7"/>
        <v>1</v>
      </c>
      <c r="AJ90" t="s">
        <v>1391</v>
      </c>
    </row>
    <row r="91" spans="1:36" x14ac:dyDescent="0.3">
      <c r="A91" t="s">
        <v>33</v>
      </c>
      <c r="B91">
        <v>58</v>
      </c>
      <c r="C91">
        <v>118.3</v>
      </c>
      <c r="D91">
        <v>1.66</v>
      </c>
      <c r="E91">
        <v>42.9</v>
      </c>
      <c r="F91">
        <f t="shared" si="5"/>
        <v>42.930759181303529</v>
      </c>
      <c r="G91">
        <f t="shared" si="8"/>
        <v>0</v>
      </c>
      <c r="H91" t="s">
        <v>1399</v>
      </c>
      <c r="J91" t="s">
        <v>124</v>
      </c>
      <c r="K91" s="24">
        <v>119</v>
      </c>
      <c r="L91" s="24">
        <v>65</v>
      </c>
      <c r="M91">
        <v>149</v>
      </c>
      <c r="N91" t="s">
        <v>1434</v>
      </c>
      <c r="O91">
        <v>66</v>
      </c>
      <c r="P91">
        <v>127</v>
      </c>
      <c r="Q91" t="s">
        <v>24</v>
      </c>
      <c r="R91" t="s">
        <v>25</v>
      </c>
      <c r="S91" t="s">
        <v>39</v>
      </c>
      <c r="T91" t="s">
        <v>24</v>
      </c>
      <c r="U91">
        <f t="shared" si="6"/>
        <v>1</v>
      </c>
      <c r="V91">
        <v>166</v>
      </c>
      <c r="W91">
        <v>0.622</v>
      </c>
      <c r="X91" t="s">
        <v>1409</v>
      </c>
      <c r="Y91">
        <v>119</v>
      </c>
      <c r="Z91">
        <v>65</v>
      </c>
      <c r="AA91" t="s">
        <v>35</v>
      </c>
      <c r="AB91">
        <v>53</v>
      </c>
      <c r="AC91" s="23">
        <v>0.8</v>
      </c>
      <c r="AD91" t="str">
        <f>IF(AND('CVD Dataset'!AA91="Normal",'CVD Dataset'!AB91&gt;AVERAGE('CVD Dataset'!AB:AB),'CVD Dataset'!AF91="High"),"High Lipid Category","Normal Category")</f>
        <v>Normal Category</v>
      </c>
      <c r="AF91" t="s">
        <v>28</v>
      </c>
      <c r="AG91">
        <v>0</v>
      </c>
      <c r="AH91" t="s">
        <v>1380</v>
      </c>
      <c r="AI91">
        <f t="shared" si="7"/>
        <v>0</v>
      </c>
      <c r="AJ91" t="s">
        <v>1391</v>
      </c>
    </row>
    <row r="92" spans="1:36" x14ac:dyDescent="0.3">
      <c r="A92" t="s">
        <v>22</v>
      </c>
      <c r="B92">
        <v>59</v>
      </c>
      <c r="C92">
        <v>85.7</v>
      </c>
      <c r="D92">
        <v>1.78</v>
      </c>
      <c r="E92">
        <v>27</v>
      </c>
      <c r="F92">
        <f t="shared" si="5"/>
        <v>27.048352480747379</v>
      </c>
      <c r="G92">
        <f t="shared" si="8"/>
        <v>0</v>
      </c>
      <c r="H92" t="s">
        <v>1400</v>
      </c>
      <c r="I92">
        <v>74.3</v>
      </c>
      <c r="J92" t="s">
        <v>125</v>
      </c>
      <c r="K92" s="24">
        <v>120</v>
      </c>
      <c r="L92" s="24">
        <v>96</v>
      </c>
      <c r="M92">
        <v>268</v>
      </c>
      <c r="N92" t="s">
        <v>1432</v>
      </c>
      <c r="O92">
        <v>73</v>
      </c>
      <c r="P92">
        <v>77</v>
      </c>
      <c r="Q92" t="s">
        <v>24</v>
      </c>
      <c r="R92" t="s">
        <v>24</v>
      </c>
      <c r="S92" t="s">
        <v>26</v>
      </c>
      <c r="T92" t="s">
        <v>24</v>
      </c>
      <c r="U92">
        <f t="shared" si="6"/>
        <v>1</v>
      </c>
      <c r="V92">
        <v>178</v>
      </c>
      <c r="W92">
        <v>0.41699999999999998</v>
      </c>
      <c r="X92" t="s">
        <v>1408</v>
      </c>
      <c r="Y92">
        <v>120</v>
      </c>
      <c r="Z92">
        <v>96</v>
      </c>
      <c r="AA92" t="s">
        <v>40</v>
      </c>
      <c r="AB92">
        <v>165</v>
      </c>
      <c r="AC92" s="23">
        <v>2.2599999999999998</v>
      </c>
      <c r="AD92" t="str">
        <f>IF(AND('CVD Dataset'!AA92="Normal",'CVD Dataset'!AB92&gt;AVERAGE('CVD Dataset'!AB:AB),'CVD Dataset'!AF92="High"),"High Lipid Category","Normal Category")</f>
        <v>Normal Category</v>
      </c>
      <c r="AE92">
        <v>16.760000000000002</v>
      </c>
      <c r="AF92" t="s">
        <v>32</v>
      </c>
      <c r="AG92">
        <v>1</v>
      </c>
      <c r="AH92" t="s">
        <v>1379</v>
      </c>
      <c r="AI92">
        <f t="shared" si="7"/>
        <v>1</v>
      </c>
      <c r="AJ92" t="s">
        <v>1391</v>
      </c>
    </row>
    <row r="93" spans="1:36" x14ac:dyDescent="0.3">
      <c r="A93" t="s">
        <v>22</v>
      </c>
      <c r="B93">
        <v>60</v>
      </c>
      <c r="C93">
        <v>110.1</v>
      </c>
      <c r="E93">
        <v>35.5</v>
      </c>
      <c r="F93" t="str">
        <f t="shared" si="5"/>
        <v/>
      </c>
      <c r="G93" t="str">
        <f t="shared" si="8"/>
        <v/>
      </c>
      <c r="H93" t="s">
        <v>1399</v>
      </c>
      <c r="I93">
        <v>95.6</v>
      </c>
      <c r="J93" t="s">
        <v>84</v>
      </c>
      <c r="K93" s="24">
        <v>145</v>
      </c>
      <c r="L93" s="24">
        <v>84</v>
      </c>
      <c r="M93">
        <v>108</v>
      </c>
      <c r="N93" t="s">
        <v>1434</v>
      </c>
      <c r="O93">
        <v>66</v>
      </c>
      <c r="P93">
        <v>78</v>
      </c>
      <c r="Q93" t="s">
        <v>24</v>
      </c>
      <c r="R93" t="s">
        <v>25</v>
      </c>
      <c r="S93" t="s">
        <v>39</v>
      </c>
      <c r="T93" t="s">
        <v>24</v>
      </c>
      <c r="U93">
        <f t="shared" si="6"/>
        <v>1</v>
      </c>
      <c r="V93">
        <v>176</v>
      </c>
      <c r="W93">
        <v>0.54300000000000004</v>
      </c>
      <c r="X93" t="s">
        <v>1407</v>
      </c>
      <c r="Y93">
        <v>145</v>
      </c>
      <c r="Z93">
        <v>84</v>
      </c>
      <c r="AA93" t="s">
        <v>31</v>
      </c>
      <c r="AB93">
        <v>12</v>
      </c>
      <c r="AC93" s="23">
        <v>0.18</v>
      </c>
      <c r="AD93" t="str">
        <f>IF(AND('CVD Dataset'!AA93="Normal",'CVD Dataset'!AB93&gt;AVERAGE('CVD Dataset'!AB:AB),'CVD Dataset'!AF93="High"),"High Lipid Category","Normal Category")</f>
        <v>Normal Category</v>
      </c>
      <c r="AE93">
        <v>18.510000000000002</v>
      </c>
      <c r="AF93" t="s">
        <v>28</v>
      </c>
      <c r="AG93">
        <v>0</v>
      </c>
      <c r="AH93" t="s">
        <v>1380</v>
      </c>
      <c r="AI93">
        <f t="shared" si="7"/>
        <v>0</v>
      </c>
      <c r="AJ93" t="s">
        <v>1392</v>
      </c>
    </row>
    <row r="94" spans="1:36" x14ac:dyDescent="0.3">
      <c r="A94" t="s">
        <v>22</v>
      </c>
      <c r="B94">
        <v>40</v>
      </c>
      <c r="C94">
        <v>70.5</v>
      </c>
      <c r="D94">
        <v>1.68</v>
      </c>
      <c r="E94">
        <v>25</v>
      </c>
      <c r="F94">
        <f t="shared" si="5"/>
        <v>24.978741496598644</v>
      </c>
      <c r="G94">
        <f t="shared" si="8"/>
        <v>0</v>
      </c>
      <c r="H94" t="s">
        <v>1400</v>
      </c>
      <c r="J94" t="s">
        <v>126</v>
      </c>
      <c r="K94" s="24">
        <v>111</v>
      </c>
      <c r="L94" s="24">
        <v>93</v>
      </c>
      <c r="M94">
        <v>154</v>
      </c>
      <c r="N94" t="s">
        <v>1433</v>
      </c>
      <c r="O94">
        <v>47</v>
      </c>
      <c r="P94">
        <v>119</v>
      </c>
      <c r="Q94" t="s">
        <v>25</v>
      </c>
      <c r="R94" t="s">
        <v>24</v>
      </c>
      <c r="S94" t="s">
        <v>26</v>
      </c>
      <c r="T94" t="s">
        <v>24</v>
      </c>
      <c r="U94">
        <f t="shared" si="6"/>
        <v>2</v>
      </c>
      <c r="V94">
        <v>168</v>
      </c>
      <c r="W94">
        <v>0.495</v>
      </c>
      <c r="X94" t="s">
        <v>1406</v>
      </c>
      <c r="Y94">
        <v>111</v>
      </c>
      <c r="Z94">
        <v>93</v>
      </c>
      <c r="AA94" t="s">
        <v>40</v>
      </c>
      <c r="AB94">
        <v>77</v>
      </c>
      <c r="AC94" s="23">
        <v>1.64</v>
      </c>
      <c r="AD94" t="str">
        <f>IF(AND('CVD Dataset'!AA94="Normal",'CVD Dataset'!AB94&gt;AVERAGE('CVD Dataset'!AB:AB),'CVD Dataset'!AF94="High"),"High Lipid Category","Normal Category")</f>
        <v>Normal Category</v>
      </c>
      <c r="AE94">
        <v>13.63</v>
      </c>
      <c r="AF94" t="s">
        <v>28</v>
      </c>
      <c r="AG94">
        <v>0</v>
      </c>
      <c r="AH94" t="s">
        <v>1380</v>
      </c>
      <c r="AI94">
        <f t="shared" si="7"/>
        <v>0</v>
      </c>
      <c r="AJ94" t="s">
        <v>1391</v>
      </c>
    </row>
    <row r="95" spans="1:36" x14ac:dyDescent="0.3">
      <c r="A95" t="s">
        <v>22</v>
      </c>
      <c r="B95">
        <v>48</v>
      </c>
      <c r="C95">
        <v>109.3</v>
      </c>
      <c r="D95">
        <v>1.81</v>
      </c>
      <c r="E95">
        <v>33.4</v>
      </c>
      <c r="F95">
        <f t="shared" si="5"/>
        <v>33.362839962150119</v>
      </c>
      <c r="G95">
        <f t="shared" si="8"/>
        <v>0</v>
      </c>
      <c r="H95" t="s">
        <v>1399</v>
      </c>
      <c r="I95">
        <v>83.2</v>
      </c>
      <c r="J95" t="s">
        <v>127</v>
      </c>
      <c r="K95" s="24">
        <v>105</v>
      </c>
      <c r="L95" s="24">
        <v>100</v>
      </c>
      <c r="M95">
        <v>135</v>
      </c>
      <c r="N95" t="s">
        <v>1434</v>
      </c>
      <c r="O95">
        <v>65</v>
      </c>
      <c r="P95">
        <v>119</v>
      </c>
      <c r="Q95" t="s">
        <v>25</v>
      </c>
      <c r="R95" t="s">
        <v>25</v>
      </c>
      <c r="S95" t="s">
        <v>30</v>
      </c>
      <c r="T95" t="s">
        <v>24</v>
      </c>
      <c r="U95">
        <f t="shared" si="6"/>
        <v>2</v>
      </c>
      <c r="V95">
        <v>181</v>
      </c>
      <c r="W95">
        <v>0.46</v>
      </c>
      <c r="X95" t="s">
        <v>1408</v>
      </c>
      <c r="Y95">
        <v>105</v>
      </c>
      <c r="Z95">
        <v>100</v>
      </c>
      <c r="AA95" t="s">
        <v>40</v>
      </c>
      <c r="AB95">
        <v>40</v>
      </c>
      <c r="AC95" s="23">
        <v>0.62</v>
      </c>
      <c r="AD95" t="str">
        <f>IF(AND('CVD Dataset'!AA95="Normal",'CVD Dataset'!AB95&gt;AVERAGE('CVD Dataset'!AB:AB),'CVD Dataset'!AF95="High"),"High Lipid Category","Normal Category")</f>
        <v>Normal Category</v>
      </c>
      <c r="AE95">
        <v>16.63</v>
      </c>
      <c r="AF95" t="s">
        <v>32</v>
      </c>
      <c r="AG95">
        <v>1</v>
      </c>
      <c r="AH95" t="s">
        <v>1379</v>
      </c>
      <c r="AI95">
        <f t="shared" si="7"/>
        <v>1</v>
      </c>
      <c r="AJ95" t="s">
        <v>1391</v>
      </c>
    </row>
    <row r="96" spans="1:36" x14ac:dyDescent="0.3">
      <c r="A96" t="s">
        <v>22</v>
      </c>
      <c r="B96">
        <v>40</v>
      </c>
      <c r="C96">
        <v>84.6</v>
      </c>
      <c r="D96">
        <v>1.81</v>
      </c>
      <c r="E96">
        <v>25.8</v>
      </c>
      <c r="F96">
        <f t="shared" si="5"/>
        <v>25.823387564482157</v>
      </c>
      <c r="G96">
        <f t="shared" si="8"/>
        <v>0</v>
      </c>
      <c r="H96" t="s">
        <v>1400</v>
      </c>
      <c r="I96">
        <v>74.5</v>
      </c>
      <c r="J96" t="s">
        <v>128</v>
      </c>
      <c r="K96" s="24">
        <v>100</v>
      </c>
      <c r="L96" s="24">
        <v>91</v>
      </c>
      <c r="M96">
        <v>220</v>
      </c>
      <c r="N96" t="s">
        <v>1432</v>
      </c>
      <c r="O96">
        <v>47</v>
      </c>
      <c r="P96">
        <v>77</v>
      </c>
      <c r="Q96" t="s">
        <v>24</v>
      </c>
      <c r="R96" t="s">
        <v>24</v>
      </c>
      <c r="S96" t="s">
        <v>30</v>
      </c>
      <c r="T96" t="s">
        <v>25</v>
      </c>
      <c r="U96">
        <f t="shared" si="6"/>
        <v>1</v>
      </c>
      <c r="V96">
        <v>181</v>
      </c>
      <c r="W96">
        <v>0.41199999999999998</v>
      </c>
      <c r="X96" t="s">
        <v>1408</v>
      </c>
      <c r="Y96">
        <v>100</v>
      </c>
      <c r="Z96">
        <v>91</v>
      </c>
      <c r="AA96" t="s">
        <v>40</v>
      </c>
      <c r="AB96">
        <v>143</v>
      </c>
      <c r="AC96" s="23">
        <v>3.04</v>
      </c>
      <c r="AD96" t="str">
        <f>IF(AND('CVD Dataset'!AA96="Normal",'CVD Dataset'!AB96&gt;AVERAGE('CVD Dataset'!AB:AB),'CVD Dataset'!AF96="High"),"High Lipid Category","Normal Category")</f>
        <v>Normal Category</v>
      </c>
      <c r="AE96">
        <v>14.56</v>
      </c>
      <c r="AF96" t="s">
        <v>28</v>
      </c>
      <c r="AG96">
        <v>0</v>
      </c>
      <c r="AH96" t="s">
        <v>1380</v>
      </c>
      <c r="AI96">
        <f t="shared" si="7"/>
        <v>0</v>
      </c>
      <c r="AJ96" t="s">
        <v>1391</v>
      </c>
    </row>
    <row r="97" spans="1:36" x14ac:dyDescent="0.3">
      <c r="A97" t="s">
        <v>33</v>
      </c>
      <c r="B97">
        <v>48</v>
      </c>
      <c r="C97">
        <v>111</v>
      </c>
      <c r="D97">
        <v>1.69</v>
      </c>
      <c r="E97">
        <v>38.9</v>
      </c>
      <c r="F97">
        <f t="shared" si="5"/>
        <v>38.864185427681107</v>
      </c>
      <c r="G97">
        <f t="shared" si="8"/>
        <v>0</v>
      </c>
      <c r="H97" t="s">
        <v>1399</v>
      </c>
      <c r="I97">
        <v>94.8</v>
      </c>
      <c r="J97" t="s">
        <v>129</v>
      </c>
      <c r="K97" s="24">
        <v>98</v>
      </c>
      <c r="L97" s="24">
        <v>64</v>
      </c>
      <c r="N97" t="s">
        <v>1434</v>
      </c>
      <c r="O97">
        <v>48</v>
      </c>
      <c r="P97">
        <v>119</v>
      </c>
      <c r="Q97" t="s">
        <v>25</v>
      </c>
      <c r="R97" t="s">
        <v>24</v>
      </c>
      <c r="S97" t="s">
        <v>39</v>
      </c>
      <c r="T97" t="s">
        <v>24</v>
      </c>
      <c r="U97">
        <f t="shared" si="6"/>
        <v>1</v>
      </c>
      <c r="V97">
        <v>169</v>
      </c>
      <c r="W97">
        <v>0.56100000000000005</v>
      </c>
      <c r="X97" t="s">
        <v>1407</v>
      </c>
      <c r="Y97">
        <v>98</v>
      </c>
      <c r="Z97">
        <v>64</v>
      </c>
      <c r="AA97" t="s">
        <v>35</v>
      </c>
      <c r="AB97">
        <v>178</v>
      </c>
      <c r="AC97" s="23">
        <v>3.71</v>
      </c>
      <c r="AD97" t="str">
        <f>IF(AND('CVD Dataset'!AA97="Normal",'CVD Dataset'!AB97&gt;AVERAGE('CVD Dataset'!AB:AB),'CVD Dataset'!AF97="High"),"High Lipid Category","Normal Category")</f>
        <v>High Lipid Category</v>
      </c>
      <c r="AE97">
        <v>17.8</v>
      </c>
      <c r="AF97" t="s">
        <v>32</v>
      </c>
      <c r="AG97">
        <v>0</v>
      </c>
      <c r="AH97" t="s">
        <v>1379</v>
      </c>
      <c r="AI97">
        <f t="shared" si="7"/>
        <v>1</v>
      </c>
      <c r="AJ97" t="s">
        <v>1391</v>
      </c>
    </row>
    <row r="98" spans="1:36" x14ac:dyDescent="0.3">
      <c r="A98" t="s">
        <v>33</v>
      </c>
      <c r="B98">
        <v>37</v>
      </c>
      <c r="C98">
        <v>78.8</v>
      </c>
      <c r="D98">
        <v>1.81</v>
      </c>
      <c r="E98">
        <v>24.1</v>
      </c>
      <c r="F98">
        <f t="shared" si="5"/>
        <v>24.052989835475106</v>
      </c>
      <c r="G98">
        <f t="shared" si="8"/>
        <v>0</v>
      </c>
      <c r="H98" t="s">
        <v>1398</v>
      </c>
      <c r="I98">
        <v>101.8</v>
      </c>
      <c r="J98" t="s">
        <v>130</v>
      </c>
      <c r="K98" s="24">
        <v>135</v>
      </c>
      <c r="L98" s="24">
        <v>80</v>
      </c>
      <c r="M98">
        <v>194</v>
      </c>
      <c r="N98" t="s">
        <v>1432</v>
      </c>
      <c r="O98">
        <v>73</v>
      </c>
      <c r="P98">
        <v>90</v>
      </c>
      <c r="Q98" t="s">
        <v>24</v>
      </c>
      <c r="R98" t="s">
        <v>24</v>
      </c>
      <c r="S98" t="s">
        <v>26</v>
      </c>
      <c r="T98" t="s">
        <v>25</v>
      </c>
      <c r="U98">
        <f t="shared" si="6"/>
        <v>2</v>
      </c>
      <c r="V98">
        <v>181</v>
      </c>
      <c r="W98">
        <v>0.56200000000000006</v>
      </c>
      <c r="X98" t="s">
        <v>1407</v>
      </c>
      <c r="Y98">
        <v>135</v>
      </c>
      <c r="Z98">
        <v>80</v>
      </c>
      <c r="AA98" t="s">
        <v>31</v>
      </c>
      <c r="AB98">
        <v>91</v>
      </c>
      <c r="AC98" s="23">
        <v>1.25</v>
      </c>
      <c r="AD98" t="str">
        <f>IF(AND('CVD Dataset'!AA98="Normal",'CVD Dataset'!AB98&gt;AVERAGE('CVD Dataset'!AB:AB),'CVD Dataset'!AF98="High"),"High Lipid Category","Normal Category")</f>
        <v>Normal Category</v>
      </c>
      <c r="AE98">
        <v>15.45</v>
      </c>
      <c r="AF98" t="s">
        <v>28</v>
      </c>
      <c r="AG98">
        <v>0</v>
      </c>
      <c r="AH98" t="s">
        <v>1380</v>
      </c>
      <c r="AI98">
        <f t="shared" si="7"/>
        <v>0</v>
      </c>
      <c r="AJ98" t="s">
        <v>1391</v>
      </c>
    </row>
    <row r="99" spans="1:36" x14ac:dyDescent="0.3">
      <c r="A99" t="s">
        <v>22</v>
      </c>
      <c r="B99">
        <v>40</v>
      </c>
      <c r="C99">
        <v>116.9</v>
      </c>
      <c r="D99">
        <v>1.66</v>
      </c>
      <c r="E99">
        <v>42.4</v>
      </c>
      <c r="F99">
        <f t="shared" si="5"/>
        <v>42.4227028596313</v>
      </c>
      <c r="G99">
        <f t="shared" si="8"/>
        <v>0</v>
      </c>
      <c r="H99" t="s">
        <v>1399</v>
      </c>
      <c r="I99">
        <v>78.099999999999994</v>
      </c>
      <c r="J99" t="s">
        <v>131</v>
      </c>
      <c r="K99" s="24">
        <v>124</v>
      </c>
      <c r="L99" s="24">
        <v>72</v>
      </c>
      <c r="M99">
        <v>211</v>
      </c>
      <c r="N99" t="s">
        <v>1432</v>
      </c>
      <c r="O99">
        <v>75</v>
      </c>
      <c r="P99">
        <v>117</v>
      </c>
      <c r="Q99" t="s">
        <v>25</v>
      </c>
      <c r="R99" t="s">
        <v>24</v>
      </c>
      <c r="S99" t="s">
        <v>30</v>
      </c>
      <c r="T99" t="s">
        <v>25</v>
      </c>
      <c r="U99">
        <f t="shared" si="6"/>
        <v>2</v>
      </c>
      <c r="V99">
        <v>166</v>
      </c>
      <c r="W99">
        <v>0.47</v>
      </c>
      <c r="X99" t="s">
        <v>1406</v>
      </c>
      <c r="Y99">
        <v>124</v>
      </c>
      <c r="Z99">
        <v>72</v>
      </c>
      <c r="AA99" t="s">
        <v>27</v>
      </c>
      <c r="AB99">
        <v>106</v>
      </c>
      <c r="AC99" s="23">
        <v>1.41</v>
      </c>
      <c r="AD99" t="str">
        <f>IF(AND('CVD Dataset'!AA99="Normal",'CVD Dataset'!AB99&gt;AVERAGE('CVD Dataset'!AB:AB),'CVD Dataset'!AF99="High"),"High Lipid Category","Normal Category")</f>
        <v>Normal Category</v>
      </c>
      <c r="AE99">
        <v>18.899999999999999</v>
      </c>
      <c r="AF99" t="s">
        <v>32</v>
      </c>
      <c r="AG99">
        <v>1</v>
      </c>
      <c r="AH99" t="s">
        <v>1379</v>
      </c>
      <c r="AI99">
        <f t="shared" si="7"/>
        <v>1</v>
      </c>
      <c r="AJ99" t="s">
        <v>1391</v>
      </c>
    </row>
    <row r="100" spans="1:36" x14ac:dyDescent="0.3">
      <c r="A100" t="s">
        <v>22</v>
      </c>
      <c r="B100">
        <v>32</v>
      </c>
      <c r="C100">
        <v>98.3</v>
      </c>
      <c r="D100">
        <v>1.78</v>
      </c>
      <c r="E100">
        <v>31</v>
      </c>
      <c r="F100">
        <f t="shared" si="5"/>
        <v>31.025123090518871</v>
      </c>
      <c r="G100">
        <f t="shared" si="8"/>
        <v>0</v>
      </c>
      <c r="H100" t="s">
        <v>1399</v>
      </c>
      <c r="I100">
        <v>93</v>
      </c>
      <c r="J100" t="s">
        <v>132</v>
      </c>
      <c r="K100" s="24">
        <v>127</v>
      </c>
      <c r="L100" s="24">
        <v>98</v>
      </c>
      <c r="M100">
        <v>261</v>
      </c>
      <c r="N100" t="s">
        <v>1432</v>
      </c>
      <c r="O100">
        <v>42</v>
      </c>
      <c r="P100">
        <v>94</v>
      </c>
      <c r="Q100" t="s">
        <v>25</v>
      </c>
      <c r="R100" t="s">
        <v>25</v>
      </c>
      <c r="S100" t="s">
        <v>30</v>
      </c>
      <c r="T100" t="s">
        <v>25</v>
      </c>
      <c r="U100">
        <f t="shared" si="6"/>
        <v>3</v>
      </c>
      <c r="V100">
        <v>178</v>
      </c>
      <c r="W100">
        <v>0.52200000000000002</v>
      </c>
      <c r="X100" t="s">
        <v>1406</v>
      </c>
      <c r="Y100">
        <v>127</v>
      </c>
      <c r="Z100">
        <v>98</v>
      </c>
      <c r="AA100" t="s">
        <v>40</v>
      </c>
      <c r="AB100">
        <v>189</v>
      </c>
      <c r="AC100" s="23">
        <v>4.5</v>
      </c>
      <c r="AD100" t="str">
        <f>IF(AND('CVD Dataset'!AA100="Normal",'CVD Dataset'!AB100&gt;AVERAGE('CVD Dataset'!AB:AB),'CVD Dataset'!AF100="High"),"High Lipid Category","Normal Category")</f>
        <v>Normal Category</v>
      </c>
      <c r="AE100">
        <v>19.77</v>
      </c>
      <c r="AF100" t="s">
        <v>32</v>
      </c>
      <c r="AG100">
        <v>0</v>
      </c>
      <c r="AH100" t="s">
        <v>1379</v>
      </c>
      <c r="AI100">
        <f t="shared" si="7"/>
        <v>1</v>
      </c>
      <c r="AJ100" t="s">
        <v>1391</v>
      </c>
    </row>
    <row r="101" spans="1:36" x14ac:dyDescent="0.3">
      <c r="A101" t="s">
        <v>33</v>
      </c>
      <c r="B101">
        <v>56</v>
      </c>
      <c r="C101">
        <v>84.1</v>
      </c>
      <c r="D101">
        <v>1.86</v>
      </c>
      <c r="F101">
        <f t="shared" si="5"/>
        <v>24.309168690021963</v>
      </c>
      <c r="G101">
        <f t="shared" si="8"/>
        <v>1</v>
      </c>
      <c r="H101" t="s">
        <v>1401</v>
      </c>
      <c r="I101">
        <v>74.599999999999994</v>
      </c>
      <c r="J101" t="s">
        <v>133</v>
      </c>
      <c r="K101" s="24">
        <v>90</v>
      </c>
      <c r="L101" s="24">
        <v>78</v>
      </c>
      <c r="M101">
        <v>249</v>
      </c>
      <c r="N101" t="s">
        <v>1432</v>
      </c>
      <c r="O101">
        <v>62</v>
      </c>
      <c r="P101">
        <v>118</v>
      </c>
      <c r="Q101" t="s">
        <v>24</v>
      </c>
      <c r="R101" t="s">
        <v>24</v>
      </c>
      <c r="S101" t="s">
        <v>39</v>
      </c>
      <c r="T101" t="s">
        <v>25</v>
      </c>
      <c r="U101">
        <f t="shared" si="6"/>
        <v>1</v>
      </c>
      <c r="V101">
        <v>186</v>
      </c>
      <c r="X101" t="s">
        <v>1410</v>
      </c>
      <c r="Y101">
        <v>90</v>
      </c>
      <c r="Z101">
        <v>78</v>
      </c>
      <c r="AA101" t="s">
        <v>35</v>
      </c>
      <c r="AB101">
        <v>157</v>
      </c>
      <c r="AC101" s="23">
        <v>2.5299999999999998</v>
      </c>
      <c r="AD101" t="str">
        <f>IF(AND('CVD Dataset'!AA101="Normal",'CVD Dataset'!AB101&gt;AVERAGE('CVD Dataset'!AB:AB),'CVD Dataset'!AF101="High"),"High Lipid Category","Normal Category")</f>
        <v>Normal Category</v>
      </c>
      <c r="AE101">
        <v>14.34</v>
      </c>
      <c r="AF101" t="s">
        <v>28</v>
      </c>
      <c r="AG101">
        <v>0</v>
      </c>
      <c r="AH101" t="s">
        <v>1380</v>
      </c>
      <c r="AI101">
        <f t="shared" si="7"/>
        <v>0</v>
      </c>
      <c r="AJ101" t="s">
        <v>1391</v>
      </c>
    </row>
    <row r="102" spans="1:36" x14ac:dyDescent="0.3">
      <c r="A102" t="s">
        <v>33</v>
      </c>
      <c r="B102">
        <v>57</v>
      </c>
      <c r="C102">
        <v>99.1</v>
      </c>
      <c r="D102">
        <v>1.6</v>
      </c>
      <c r="E102">
        <v>38.700000000000003</v>
      </c>
      <c r="F102">
        <f t="shared" si="5"/>
        <v>38.710937499999993</v>
      </c>
      <c r="G102">
        <f t="shared" si="8"/>
        <v>0</v>
      </c>
      <c r="H102" t="s">
        <v>1399</v>
      </c>
      <c r="J102" t="s">
        <v>134</v>
      </c>
      <c r="K102" s="24">
        <v>103</v>
      </c>
      <c r="L102" s="24">
        <v>96</v>
      </c>
      <c r="M102">
        <v>237</v>
      </c>
      <c r="N102" t="s">
        <v>1432</v>
      </c>
      <c r="O102">
        <v>58</v>
      </c>
      <c r="P102">
        <v>132</v>
      </c>
      <c r="Q102" t="s">
        <v>24</v>
      </c>
      <c r="R102" t="s">
        <v>25</v>
      </c>
      <c r="S102" t="s">
        <v>30</v>
      </c>
      <c r="T102" t="s">
        <v>24</v>
      </c>
      <c r="U102">
        <f t="shared" si="6"/>
        <v>1</v>
      </c>
      <c r="V102">
        <v>160</v>
      </c>
      <c r="W102">
        <v>0.66500000000000004</v>
      </c>
      <c r="X102" t="s">
        <v>1409</v>
      </c>
      <c r="Y102">
        <v>103</v>
      </c>
      <c r="Z102">
        <v>96</v>
      </c>
      <c r="AA102" t="s">
        <v>40</v>
      </c>
      <c r="AB102">
        <v>149</v>
      </c>
      <c r="AC102" s="23">
        <v>2.57</v>
      </c>
      <c r="AD102" t="str">
        <f>IF(AND('CVD Dataset'!AA102="Normal",'CVD Dataset'!AB102&gt;AVERAGE('CVD Dataset'!AB:AB),'CVD Dataset'!AF102="High"),"High Lipid Category","Normal Category")</f>
        <v>Normal Category</v>
      </c>
      <c r="AE102">
        <v>19.63</v>
      </c>
      <c r="AF102" t="s">
        <v>32</v>
      </c>
      <c r="AG102">
        <v>0</v>
      </c>
      <c r="AH102" t="s">
        <v>1379</v>
      </c>
      <c r="AI102">
        <f t="shared" si="7"/>
        <v>1</v>
      </c>
      <c r="AJ102" t="s">
        <v>1392</v>
      </c>
    </row>
    <row r="103" spans="1:36" x14ac:dyDescent="0.3">
      <c r="A103" t="s">
        <v>22</v>
      </c>
      <c r="B103">
        <v>51</v>
      </c>
      <c r="C103">
        <v>63.5</v>
      </c>
      <c r="D103">
        <v>1.8</v>
      </c>
      <c r="E103">
        <v>19.600000000000001</v>
      </c>
      <c r="F103">
        <f t="shared" si="5"/>
        <v>19.598765432098766</v>
      </c>
      <c r="G103">
        <f t="shared" si="8"/>
        <v>0</v>
      </c>
      <c r="H103" t="s">
        <v>1398</v>
      </c>
      <c r="I103">
        <v>75.099999999999994</v>
      </c>
      <c r="J103" t="s">
        <v>135</v>
      </c>
      <c r="K103" s="24">
        <v>103</v>
      </c>
      <c r="L103" s="24">
        <v>81</v>
      </c>
      <c r="M103">
        <v>154</v>
      </c>
      <c r="N103" t="s">
        <v>1433</v>
      </c>
      <c r="O103">
        <v>54</v>
      </c>
      <c r="P103">
        <v>102</v>
      </c>
      <c r="Q103" t="s">
        <v>24</v>
      </c>
      <c r="R103" t="s">
        <v>25</v>
      </c>
      <c r="S103" t="s">
        <v>30</v>
      </c>
      <c r="T103" t="s">
        <v>25</v>
      </c>
      <c r="U103">
        <f t="shared" si="6"/>
        <v>2</v>
      </c>
      <c r="V103">
        <v>180</v>
      </c>
      <c r="W103">
        <v>0.41699999999999998</v>
      </c>
      <c r="X103" t="s">
        <v>1408</v>
      </c>
      <c r="Y103">
        <v>103</v>
      </c>
      <c r="Z103">
        <v>81</v>
      </c>
      <c r="AA103" t="s">
        <v>31</v>
      </c>
      <c r="AB103">
        <v>70</v>
      </c>
      <c r="AC103" s="23">
        <v>1.3</v>
      </c>
      <c r="AD103" t="str">
        <f>IF(AND('CVD Dataset'!AA103="Normal",'CVD Dataset'!AB103&gt;AVERAGE('CVD Dataset'!AB:AB),'CVD Dataset'!AF103="High"),"High Lipid Category","Normal Category")</f>
        <v>Normal Category</v>
      </c>
      <c r="AE103">
        <v>14.15</v>
      </c>
      <c r="AF103" t="s">
        <v>28</v>
      </c>
      <c r="AG103">
        <v>0</v>
      </c>
      <c r="AH103" t="s">
        <v>1380</v>
      </c>
      <c r="AI103">
        <f t="shared" si="7"/>
        <v>0</v>
      </c>
      <c r="AJ103" t="s">
        <v>1392</v>
      </c>
    </row>
    <row r="104" spans="1:36" x14ac:dyDescent="0.3">
      <c r="A104" t="s">
        <v>33</v>
      </c>
      <c r="B104">
        <v>48</v>
      </c>
      <c r="C104">
        <v>113.6</v>
      </c>
      <c r="D104">
        <v>1.79</v>
      </c>
      <c r="E104">
        <v>35.5</v>
      </c>
      <c r="F104">
        <f t="shared" si="5"/>
        <v>35.454573827283788</v>
      </c>
      <c r="G104">
        <f t="shared" si="8"/>
        <v>0</v>
      </c>
      <c r="H104" t="s">
        <v>1399</v>
      </c>
      <c r="J104" t="s">
        <v>136</v>
      </c>
      <c r="K104" s="24">
        <v>111</v>
      </c>
      <c r="L104" s="24">
        <v>98</v>
      </c>
      <c r="M104">
        <v>286</v>
      </c>
      <c r="N104" t="s">
        <v>1432</v>
      </c>
      <c r="O104">
        <v>56</v>
      </c>
      <c r="P104">
        <v>133</v>
      </c>
      <c r="Q104" t="s">
        <v>25</v>
      </c>
      <c r="R104" t="s">
        <v>24</v>
      </c>
      <c r="S104" t="s">
        <v>39</v>
      </c>
      <c r="T104" t="s">
        <v>24</v>
      </c>
      <c r="U104">
        <f t="shared" si="6"/>
        <v>1</v>
      </c>
      <c r="V104">
        <v>179</v>
      </c>
      <c r="W104">
        <v>0.55800000000000005</v>
      </c>
      <c r="X104" t="s">
        <v>1407</v>
      </c>
      <c r="Y104">
        <v>111</v>
      </c>
      <c r="Z104">
        <v>98</v>
      </c>
      <c r="AA104" t="s">
        <v>40</v>
      </c>
      <c r="AB104">
        <v>200</v>
      </c>
      <c r="AC104" s="23">
        <v>3.57</v>
      </c>
      <c r="AD104" t="str">
        <f>IF(AND('CVD Dataset'!AA104="Normal",'CVD Dataset'!AB104&gt;AVERAGE('CVD Dataset'!AB:AB),'CVD Dataset'!AF104="High"),"High Lipid Category","Normal Category")</f>
        <v>Normal Category</v>
      </c>
      <c r="AE104">
        <v>18.37</v>
      </c>
      <c r="AF104" t="s">
        <v>32</v>
      </c>
      <c r="AG104">
        <v>0</v>
      </c>
      <c r="AH104" t="s">
        <v>1379</v>
      </c>
      <c r="AI104">
        <f t="shared" si="7"/>
        <v>1</v>
      </c>
      <c r="AJ104" t="s">
        <v>1391</v>
      </c>
    </row>
    <row r="105" spans="1:36" x14ac:dyDescent="0.3">
      <c r="A105" t="s">
        <v>22</v>
      </c>
      <c r="B105">
        <v>53</v>
      </c>
      <c r="C105">
        <v>70.3</v>
      </c>
      <c r="D105">
        <v>1.67</v>
      </c>
      <c r="F105">
        <f t="shared" si="5"/>
        <v>25.207070888163791</v>
      </c>
      <c r="G105">
        <f t="shared" si="8"/>
        <v>1</v>
      </c>
      <c r="H105" t="s">
        <v>1401</v>
      </c>
      <c r="I105">
        <v>88.8</v>
      </c>
      <c r="J105" t="s">
        <v>123</v>
      </c>
      <c r="K105" s="24">
        <v>130</v>
      </c>
      <c r="L105" s="24">
        <v>97</v>
      </c>
      <c r="M105">
        <v>277</v>
      </c>
      <c r="N105" t="s">
        <v>1432</v>
      </c>
      <c r="O105">
        <v>60</v>
      </c>
      <c r="P105">
        <v>113</v>
      </c>
      <c r="Q105" t="s">
        <v>24</v>
      </c>
      <c r="R105" t="s">
        <v>24</v>
      </c>
      <c r="S105" t="s">
        <v>26</v>
      </c>
      <c r="T105" t="s">
        <v>25</v>
      </c>
      <c r="U105">
        <f t="shared" si="6"/>
        <v>2</v>
      </c>
      <c r="V105">
        <v>167</v>
      </c>
      <c r="W105">
        <v>0.53200000000000003</v>
      </c>
      <c r="X105" t="s">
        <v>1407</v>
      </c>
      <c r="Y105">
        <v>130</v>
      </c>
      <c r="Z105">
        <v>97</v>
      </c>
      <c r="AA105" t="s">
        <v>31</v>
      </c>
      <c r="AB105">
        <v>187</v>
      </c>
      <c r="AC105" s="23">
        <v>3.12</v>
      </c>
      <c r="AD105" t="str">
        <f>IF(AND('CVD Dataset'!AA105="Normal",'CVD Dataset'!AB105&gt;AVERAGE('CVD Dataset'!AB:AB),'CVD Dataset'!AF105="High"),"High Lipid Category","Normal Category")</f>
        <v>Normal Category</v>
      </c>
      <c r="AE105">
        <v>17.079999999999998</v>
      </c>
      <c r="AF105" t="s">
        <v>32</v>
      </c>
      <c r="AG105">
        <v>1</v>
      </c>
      <c r="AH105" t="s">
        <v>1379</v>
      </c>
      <c r="AI105">
        <f t="shared" si="7"/>
        <v>1</v>
      </c>
      <c r="AJ105" t="s">
        <v>1391</v>
      </c>
    </row>
    <row r="106" spans="1:36" x14ac:dyDescent="0.3">
      <c r="A106" t="s">
        <v>22</v>
      </c>
      <c r="B106">
        <v>41</v>
      </c>
      <c r="C106">
        <v>54.8</v>
      </c>
      <c r="D106">
        <v>1.78</v>
      </c>
      <c r="E106">
        <v>17.3</v>
      </c>
      <c r="F106">
        <f t="shared" si="5"/>
        <v>17.295795985355383</v>
      </c>
      <c r="G106">
        <f t="shared" si="8"/>
        <v>0</v>
      </c>
      <c r="H106" t="s">
        <v>1401</v>
      </c>
      <c r="I106">
        <v>105.4</v>
      </c>
      <c r="J106" t="s">
        <v>137</v>
      </c>
      <c r="K106" s="24">
        <v>92</v>
      </c>
      <c r="L106" s="24">
        <v>73</v>
      </c>
      <c r="N106" t="s">
        <v>1434</v>
      </c>
      <c r="O106">
        <v>49</v>
      </c>
      <c r="P106">
        <v>83</v>
      </c>
      <c r="Q106" t="s">
        <v>24</v>
      </c>
      <c r="R106" t="s">
        <v>25</v>
      </c>
      <c r="S106" t="s">
        <v>26</v>
      </c>
      <c r="T106" t="s">
        <v>25</v>
      </c>
      <c r="U106">
        <f t="shared" si="6"/>
        <v>3</v>
      </c>
      <c r="W106">
        <v>0.59199999999999997</v>
      </c>
      <c r="X106" t="s">
        <v>1409</v>
      </c>
      <c r="Y106">
        <v>92</v>
      </c>
      <c r="Z106">
        <v>73</v>
      </c>
      <c r="AA106" t="s">
        <v>35</v>
      </c>
      <c r="AB106">
        <v>26</v>
      </c>
      <c r="AC106" s="23">
        <v>0.53</v>
      </c>
      <c r="AD106" t="str">
        <f>IF(AND('CVD Dataset'!AA106="Normal",'CVD Dataset'!AB106&gt;AVERAGE('CVD Dataset'!AB:AB),'CVD Dataset'!AF106="High"),"High Lipid Category","Normal Category")</f>
        <v>Normal Category</v>
      </c>
      <c r="AE106">
        <v>12.16</v>
      </c>
      <c r="AF106" t="s">
        <v>28</v>
      </c>
      <c r="AG106">
        <v>0</v>
      </c>
      <c r="AH106" t="s">
        <v>1380</v>
      </c>
      <c r="AI106">
        <f t="shared" si="7"/>
        <v>0</v>
      </c>
      <c r="AJ106" t="s">
        <v>1391</v>
      </c>
    </row>
    <row r="107" spans="1:36" x14ac:dyDescent="0.3">
      <c r="A107" t="s">
        <v>33</v>
      </c>
      <c r="B107">
        <v>33</v>
      </c>
      <c r="C107">
        <v>119.7</v>
      </c>
      <c r="D107">
        <v>1.74</v>
      </c>
      <c r="E107">
        <v>39.5</v>
      </c>
      <c r="F107">
        <f t="shared" si="5"/>
        <v>39.536266349583826</v>
      </c>
      <c r="G107">
        <f t="shared" si="8"/>
        <v>0</v>
      </c>
      <c r="H107" t="s">
        <v>1399</v>
      </c>
      <c r="I107">
        <v>96</v>
      </c>
      <c r="J107" t="s">
        <v>138</v>
      </c>
      <c r="K107" s="24">
        <v>99</v>
      </c>
      <c r="L107" s="24">
        <v>97</v>
      </c>
      <c r="M107">
        <v>163</v>
      </c>
      <c r="N107" t="s">
        <v>1433</v>
      </c>
      <c r="O107">
        <v>57</v>
      </c>
      <c r="P107">
        <v>116</v>
      </c>
      <c r="Q107" t="s">
        <v>25</v>
      </c>
      <c r="R107" t="s">
        <v>24</v>
      </c>
      <c r="S107" t="s">
        <v>39</v>
      </c>
      <c r="T107" t="s">
        <v>24</v>
      </c>
      <c r="U107">
        <f t="shared" si="6"/>
        <v>1</v>
      </c>
      <c r="V107">
        <v>174</v>
      </c>
      <c r="W107">
        <v>0.55200000000000005</v>
      </c>
      <c r="X107" t="s">
        <v>1407</v>
      </c>
      <c r="Y107">
        <v>99</v>
      </c>
      <c r="Z107">
        <v>97</v>
      </c>
      <c r="AA107" t="s">
        <v>40</v>
      </c>
      <c r="AB107">
        <v>76</v>
      </c>
      <c r="AC107" s="23">
        <v>1.33</v>
      </c>
      <c r="AD107" t="str">
        <f>IF(AND('CVD Dataset'!AA107="Normal",'CVD Dataset'!AB107&gt;AVERAGE('CVD Dataset'!AB:AB),'CVD Dataset'!AF107="High"),"High Lipid Category","Normal Category")</f>
        <v>Normal Category</v>
      </c>
      <c r="AE107">
        <v>16.11</v>
      </c>
      <c r="AF107" t="s">
        <v>28</v>
      </c>
      <c r="AG107">
        <v>0</v>
      </c>
      <c r="AH107" t="s">
        <v>1380</v>
      </c>
      <c r="AI107">
        <f t="shared" si="7"/>
        <v>0</v>
      </c>
      <c r="AJ107" t="s">
        <v>1391</v>
      </c>
    </row>
    <row r="108" spans="1:36" x14ac:dyDescent="0.3">
      <c r="A108" t="s">
        <v>22</v>
      </c>
      <c r="B108">
        <v>59</v>
      </c>
      <c r="C108">
        <v>89.5</v>
      </c>
      <c r="D108">
        <v>1.71</v>
      </c>
      <c r="E108">
        <v>30.6</v>
      </c>
      <c r="F108">
        <f t="shared" si="5"/>
        <v>30.607708354707434</v>
      </c>
      <c r="G108">
        <f t="shared" si="8"/>
        <v>0</v>
      </c>
      <c r="H108" t="s">
        <v>1399</v>
      </c>
      <c r="I108">
        <v>104.3</v>
      </c>
      <c r="J108" t="s">
        <v>139</v>
      </c>
      <c r="K108" s="24">
        <v>107</v>
      </c>
      <c r="L108" s="24">
        <v>67</v>
      </c>
      <c r="M108">
        <v>132</v>
      </c>
      <c r="N108" t="s">
        <v>1434</v>
      </c>
      <c r="O108">
        <v>69</v>
      </c>
      <c r="P108">
        <v>140</v>
      </c>
      <c r="Q108" t="s">
        <v>24</v>
      </c>
      <c r="R108" t="s">
        <v>25</v>
      </c>
      <c r="S108" t="s">
        <v>26</v>
      </c>
      <c r="T108" t="s">
        <v>25</v>
      </c>
      <c r="U108">
        <f t="shared" si="6"/>
        <v>3</v>
      </c>
      <c r="V108">
        <v>171</v>
      </c>
      <c r="W108">
        <v>0.61</v>
      </c>
      <c r="X108" t="s">
        <v>1409</v>
      </c>
      <c r="Y108">
        <v>107</v>
      </c>
      <c r="Z108">
        <v>67</v>
      </c>
      <c r="AA108" t="s">
        <v>35</v>
      </c>
      <c r="AB108">
        <v>33</v>
      </c>
      <c r="AC108" s="23">
        <v>0.48</v>
      </c>
      <c r="AD108" t="str">
        <f>IF(AND('CVD Dataset'!AA108="Normal",'CVD Dataset'!AB108&gt;AVERAGE('CVD Dataset'!AB:AB),'CVD Dataset'!AF108="High"),"High Lipid Category","Normal Category")</f>
        <v>Normal Category</v>
      </c>
      <c r="AE108">
        <v>16.11</v>
      </c>
      <c r="AF108" t="s">
        <v>32</v>
      </c>
      <c r="AG108">
        <v>1</v>
      </c>
      <c r="AH108" t="s">
        <v>1379</v>
      </c>
      <c r="AI108">
        <f t="shared" si="7"/>
        <v>1</v>
      </c>
      <c r="AJ108" t="s">
        <v>1391</v>
      </c>
    </row>
    <row r="109" spans="1:36" x14ac:dyDescent="0.3">
      <c r="A109" t="s">
        <v>22</v>
      </c>
      <c r="B109">
        <v>42</v>
      </c>
      <c r="C109">
        <v>59.2</v>
      </c>
      <c r="D109">
        <v>1.78</v>
      </c>
      <c r="E109">
        <v>18.7</v>
      </c>
      <c r="F109">
        <f t="shared" si="5"/>
        <v>18.684509531624794</v>
      </c>
      <c r="G109">
        <f t="shared" si="8"/>
        <v>0</v>
      </c>
      <c r="H109" t="s">
        <v>1398</v>
      </c>
      <c r="I109">
        <v>88.6</v>
      </c>
      <c r="J109" t="s">
        <v>140</v>
      </c>
      <c r="K109" s="24">
        <v>137</v>
      </c>
      <c r="L109" s="24">
        <v>68</v>
      </c>
      <c r="M109">
        <v>122</v>
      </c>
      <c r="N109" t="s">
        <v>1434</v>
      </c>
      <c r="O109">
        <v>80</v>
      </c>
      <c r="P109">
        <v>110</v>
      </c>
      <c r="Q109" t="s">
        <v>25</v>
      </c>
      <c r="R109" t="s">
        <v>24</v>
      </c>
      <c r="S109" t="s">
        <v>26</v>
      </c>
      <c r="T109" t="s">
        <v>25</v>
      </c>
      <c r="U109">
        <f t="shared" si="6"/>
        <v>3</v>
      </c>
      <c r="V109">
        <v>178</v>
      </c>
      <c r="W109">
        <v>0.498</v>
      </c>
      <c r="X109" t="s">
        <v>1406</v>
      </c>
      <c r="Y109">
        <v>137</v>
      </c>
      <c r="Z109">
        <v>68</v>
      </c>
      <c r="AA109" t="s">
        <v>31</v>
      </c>
      <c r="AB109">
        <v>12</v>
      </c>
      <c r="AC109" s="23">
        <v>0.15</v>
      </c>
      <c r="AD109" t="str">
        <f>IF(AND('CVD Dataset'!AA109="Normal",'CVD Dataset'!AB109&gt;AVERAGE('CVD Dataset'!AB:AB),'CVD Dataset'!AF109="High"),"High Lipid Category","Normal Category")</f>
        <v>Normal Category</v>
      </c>
      <c r="AE109">
        <v>13.03</v>
      </c>
      <c r="AF109" t="s">
        <v>28</v>
      </c>
      <c r="AG109">
        <v>0</v>
      </c>
      <c r="AH109" t="s">
        <v>1380</v>
      </c>
      <c r="AI109">
        <f t="shared" si="7"/>
        <v>0</v>
      </c>
      <c r="AJ109" t="s">
        <v>1391</v>
      </c>
    </row>
    <row r="110" spans="1:36" x14ac:dyDescent="0.3">
      <c r="A110" t="s">
        <v>22</v>
      </c>
      <c r="B110">
        <v>46</v>
      </c>
      <c r="C110">
        <v>77.7</v>
      </c>
      <c r="D110">
        <v>1.61</v>
      </c>
      <c r="E110">
        <v>30</v>
      </c>
      <c r="F110">
        <f t="shared" si="5"/>
        <v>29.975695382122602</v>
      </c>
      <c r="G110">
        <f t="shared" si="8"/>
        <v>0</v>
      </c>
      <c r="H110" t="s">
        <v>1399</v>
      </c>
      <c r="I110">
        <v>93.1</v>
      </c>
      <c r="J110" t="s">
        <v>141</v>
      </c>
      <c r="K110" s="24">
        <v>104</v>
      </c>
      <c r="L110" s="24">
        <v>81</v>
      </c>
      <c r="M110">
        <v>225</v>
      </c>
      <c r="N110" t="s">
        <v>1432</v>
      </c>
      <c r="O110">
        <v>43</v>
      </c>
      <c r="P110">
        <v>121</v>
      </c>
      <c r="Q110" t="s">
        <v>25</v>
      </c>
      <c r="R110" t="s">
        <v>25</v>
      </c>
      <c r="S110" t="s">
        <v>30</v>
      </c>
      <c r="T110" t="s">
        <v>25</v>
      </c>
      <c r="U110">
        <f t="shared" si="6"/>
        <v>3</v>
      </c>
      <c r="V110">
        <v>161</v>
      </c>
      <c r="W110">
        <v>0.57799999999999996</v>
      </c>
      <c r="X110" t="s">
        <v>1407</v>
      </c>
      <c r="Y110">
        <v>104</v>
      </c>
      <c r="Z110">
        <v>81</v>
      </c>
      <c r="AA110" t="s">
        <v>31</v>
      </c>
      <c r="AB110">
        <v>152</v>
      </c>
      <c r="AC110" s="23">
        <v>3.53</v>
      </c>
      <c r="AD110" t="str">
        <f>IF(AND('CVD Dataset'!AA110="Normal",'CVD Dataset'!AB110&gt;AVERAGE('CVD Dataset'!AB:AB),'CVD Dataset'!AF110="High"),"High Lipid Category","Normal Category")</f>
        <v>Normal Category</v>
      </c>
      <c r="AE110">
        <v>17.7</v>
      </c>
      <c r="AF110" t="s">
        <v>32</v>
      </c>
      <c r="AG110">
        <v>0</v>
      </c>
      <c r="AH110" t="s">
        <v>1379</v>
      </c>
      <c r="AI110">
        <f t="shared" si="7"/>
        <v>1</v>
      </c>
      <c r="AJ110" t="s">
        <v>1391</v>
      </c>
    </row>
    <row r="111" spans="1:36" x14ac:dyDescent="0.3">
      <c r="A111" t="s">
        <v>22</v>
      </c>
      <c r="C111">
        <v>100.9</v>
      </c>
      <c r="D111">
        <v>1.78</v>
      </c>
      <c r="E111">
        <v>31.8</v>
      </c>
      <c r="F111">
        <f t="shared" si="5"/>
        <v>31.845726549678073</v>
      </c>
      <c r="G111">
        <f t="shared" si="8"/>
        <v>0</v>
      </c>
      <c r="H111" t="s">
        <v>1399</v>
      </c>
      <c r="I111">
        <v>109.4</v>
      </c>
      <c r="J111" t="s">
        <v>142</v>
      </c>
      <c r="K111" s="24">
        <v>113</v>
      </c>
      <c r="L111" s="24">
        <v>99</v>
      </c>
      <c r="M111">
        <v>176</v>
      </c>
      <c r="N111" t="s">
        <v>1433</v>
      </c>
      <c r="O111">
        <v>35</v>
      </c>
      <c r="P111">
        <v>136</v>
      </c>
      <c r="Q111" t="s">
        <v>25</v>
      </c>
      <c r="R111" t="s">
        <v>24</v>
      </c>
      <c r="S111" t="s">
        <v>26</v>
      </c>
      <c r="T111" t="s">
        <v>25</v>
      </c>
      <c r="U111">
        <f t="shared" si="6"/>
        <v>3</v>
      </c>
      <c r="V111">
        <v>178</v>
      </c>
      <c r="W111">
        <v>0.61499999999999999</v>
      </c>
      <c r="X111" t="s">
        <v>1409</v>
      </c>
      <c r="Y111">
        <v>113</v>
      </c>
      <c r="Z111">
        <v>99</v>
      </c>
      <c r="AA111" t="s">
        <v>40</v>
      </c>
      <c r="AB111">
        <v>111</v>
      </c>
      <c r="AC111" s="23">
        <v>3.17</v>
      </c>
      <c r="AD111" t="str">
        <f>IF(AND('CVD Dataset'!AA111="Normal",'CVD Dataset'!AB111&gt;AVERAGE('CVD Dataset'!AB:AB),'CVD Dataset'!AF111="High"),"High Lipid Category","Normal Category")</f>
        <v>Normal Category</v>
      </c>
      <c r="AE111">
        <v>15.53</v>
      </c>
      <c r="AF111" t="s">
        <v>32</v>
      </c>
      <c r="AG111">
        <v>0</v>
      </c>
      <c r="AH111" t="s">
        <v>1379</v>
      </c>
      <c r="AI111">
        <f t="shared" si="7"/>
        <v>1</v>
      </c>
      <c r="AJ111" t="s">
        <v>1391</v>
      </c>
    </row>
    <row r="112" spans="1:36" x14ac:dyDescent="0.3">
      <c r="A112" t="s">
        <v>33</v>
      </c>
      <c r="B112">
        <v>40</v>
      </c>
      <c r="C112">
        <v>53.3</v>
      </c>
      <c r="D112">
        <v>1.63</v>
      </c>
      <c r="E112">
        <v>20.100000000000001</v>
      </c>
      <c r="F112">
        <f t="shared" si="5"/>
        <v>20.060973314765327</v>
      </c>
      <c r="G112">
        <f t="shared" si="8"/>
        <v>0</v>
      </c>
      <c r="H112" t="s">
        <v>1398</v>
      </c>
      <c r="J112" t="s">
        <v>143</v>
      </c>
      <c r="K112" s="24">
        <v>90</v>
      </c>
      <c r="L112" s="24">
        <v>67</v>
      </c>
      <c r="M112">
        <v>142</v>
      </c>
      <c r="N112" t="s">
        <v>1434</v>
      </c>
      <c r="O112">
        <v>40</v>
      </c>
      <c r="P112">
        <v>129</v>
      </c>
      <c r="Q112" t="s">
        <v>24</v>
      </c>
      <c r="R112" t="s">
        <v>25</v>
      </c>
      <c r="S112" t="s">
        <v>30</v>
      </c>
      <c r="T112" t="s">
        <v>24</v>
      </c>
      <c r="U112">
        <f t="shared" si="6"/>
        <v>1</v>
      </c>
      <c r="V112">
        <v>163</v>
      </c>
      <c r="W112">
        <v>0.65600000000000003</v>
      </c>
      <c r="X112" t="s">
        <v>1409</v>
      </c>
      <c r="Y112">
        <v>90</v>
      </c>
      <c r="Z112">
        <v>67</v>
      </c>
      <c r="AA112" t="s">
        <v>35</v>
      </c>
      <c r="AB112">
        <v>72</v>
      </c>
      <c r="AC112" s="23">
        <v>1.8</v>
      </c>
      <c r="AD112" t="str">
        <f>IF(AND('CVD Dataset'!AA112="Normal",'CVD Dataset'!AB112&gt;AVERAGE('CVD Dataset'!AB:AB),'CVD Dataset'!AF112="High"),"High Lipid Category","Normal Category")</f>
        <v>Normal Category</v>
      </c>
      <c r="AE112">
        <v>13.36</v>
      </c>
      <c r="AF112" t="s">
        <v>54</v>
      </c>
      <c r="AG112">
        <v>0</v>
      </c>
      <c r="AH112" t="s">
        <v>1380</v>
      </c>
      <c r="AI112">
        <f t="shared" si="7"/>
        <v>0</v>
      </c>
      <c r="AJ112" t="s">
        <v>1391</v>
      </c>
    </row>
    <row r="113" spans="1:36" x14ac:dyDescent="0.3">
      <c r="A113" t="s">
        <v>33</v>
      </c>
      <c r="B113">
        <v>49</v>
      </c>
      <c r="C113">
        <v>74.8</v>
      </c>
      <c r="D113">
        <v>1.84</v>
      </c>
      <c r="E113">
        <v>22.1</v>
      </c>
      <c r="F113">
        <f t="shared" si="5"/>
        <v>22.093572778827976</v>
      </c>
      <c r="G113">
        <f t="shared" si="8"/>
        <v>0</v>
      </c>
      <c r="H113" t="s">
        <v>1398</v>
      </c>
      <c r="I113">
        <v>103.4</v>
      </c>
      <c r="J113" t="s">
        <v>144</v>
      </c>
      <c r="K113" s="24">
        <v>122</v>
      </c>
      <c r="L113" s="24">
        <v>88</v>
      </c>
      <c r="M113">
        <v>228</v>
      </c>
      <c r="N113" t="s">
        <v>1432</v>
      </c>
      <c r="O113">
        <v>76</v>
      </c>
      <c r="P113">
        <v>99</v>
      </c>
      <c r="Q113" t="s">
        <v>25</v>
      </c>
      <c r="R113" t="s">
        <v>25</v>
      </c>
      <c r="S113" t="s">
        <v>26</v>
      </c>
      <c r="T113" t="s">
        <v>24</v>
      </c>
      <c r="U113">
        <f t="shared" si="6"/>
        <v>3</v>
      </c>
      <c r="W113">
        <v>0.56200000000000006</v>
      </c>
      <c r="X113" t="s">
        <v>1407</v>
      </c>
      <c r="Y113">
        <v>122</v>
      </c>
      <c r="Z113">
        <v>88</v>
      </c>
      <c r="AA113" t="s">
        <v>31</v>
      </c>
      <c r="AB113">
        <v>122</v>
      </c>
      <c r="AC113" s="23">
        <v>1.61</v>
      </c>
      <c r="AD113" t="str">
        <f>IF(AND('CVD Dataset'!AA113="Normal",'CVD Dataset'!AB113&gt;AVERAGE('CVD Dataset'!AB:AB),'CVD Dataset'!AF113="High"),"High Lipid Category","Normal Category")</f>
        <v>Normal Category</v>
      </c>
      <c r="AE113">
        <v>17.079999999999998</v>
      </c>
      <c r="AF113" t="s">
        <v>32</v>
      </c>
      <c r="AG113">
        <v>1</v>
      </c>
      <c r="AH113" t="s">
        <v>1379</v>
      </c>
      <c r="AI113">
        <f t="shared" si="7"/>
        <v>1</v>
      </c>
      <c r="AJ113" t="s">
        <v>1391</v>
      </c>
    </row>
    <row r="114" spans="1:36" x14ac:dyDescent="0.3">
      <c r="A114" t="s">
        <v>22</v>
      </c>
      <c r="B114">
        <v>30</v>
      </c>
      <c r="C114">
        <v>89.6</v>
      </c>
      <c r="D114">
        <v>1.78</v>
      </c>
      <c r="E114">
        <v>28.3</v>
      </c>
      <c r="F114">
        <f t="shared" si="5"/>
        <v>28.279257669486174</v>
      </c>
      <c r="G114">
        <f t="shared" si="8"/>
        <v>0</v>
      </c>
      <c r="H114" t="s">
        <v>1400</v>
      </c>
      <c r="I114">
        <v>70.099999999999994</v>
      </c>
      <c r="J114" t="s">
        <v>145</v>
      </c>
      <c r="K114" s="24">
        <v>133</v>
      </c>
      <c r="L114" s="24">
        <v>97</v>
      </c>
      <c r="M114">
        <v>239</v>
      </c>
      <c r="N114" t="s">
        <v>1432</v>
      </c>
      <c r="O114">
        <v>79</v>
      </c>
      <c r="P114">
        <v>121</v>
      </c>
      <c r="Q114" t="s">
        <v>24</v>
      </c>
      <c r="R114" t="s">
        <v>25</v>
      </c>
      <c r="S114" t="s">
        <v>26</v>
      </c>
      <c r="T114" t="s">
        <v>24</v>
      </c>
      <c r="U114">
        <f t="shared" si="6"/>
        <v>2</v>
      </c>
      <c r="W114">
        <v>0.39400000000000002</v>
      </c>
      <c r="X114" t="s">
        <v>1408</v>
      </c>
      <c r="Y114">
        <v>133</v>
      </c>
      <c r="Z114">
        <v>97</v>
      </c>
      <c r="AA114" t="s">
        <v>31</v>
      </c>
      <c r="AB114">
        <v>130</v>
      </c>
      <c r="AC114" s="23">
        <v>1.65</v>
      </c>
      <c r="AD114" t="str">
        <f>IF(AND('CVD Dataset'!AA114="Normal",'CVD Dataset'!AB114&gt;AVERAGE('CVD Dataset'!AB:AB),'CVD Dataset'!AF114="High"),"High Lipid Category","Normal Category")</f>
        <v>Normal Category</v>
      </c>
      <c r="AE114">
        <v>19.09</v>
      </c>
      <c r="AF114" t="s">
        <v>32</v>
      </c>
      <c r="AG114">
        <v>1</v>
      </c>
      <c r="AH114" t="s">
        <v>1379</v>
      </c>
      <c r="AI114">
        <f t="shared" si="7"/>
        <v>1</v>
      </c>
      <c r="AJ114" t="s">
        <v>1391</v>
      </c>
    </row>
    <row r="115" spans="1:36" x14ac:dyDescent="0.3">
      <c r="A115" t="s">
        <v>22</v>
      </c>
      <c r="B115">
        <v>39</v>
      </c>
      <c r="C115">
        <v>55.7</v>
      </c>
      <c r="D115">
        <v>1.68</v>
      </c>
      <c r="E115">
        <v>19.7</v>
      </c>
      <c r="F115">
        <f t="shared" si="5"/>
        <v>19.734977324263042</v>
      </c>
      <c r="G115">
        <f t="shared" si="8"/>
        <v>0</v>
      </c>
      <c r="H115" t="s">
        <v>1398</v>
      </c>
      <c r="I115">
        <v>78.900000000000006</v>
      </c>
      <c r="J115" t="s">
        <v>146</v>
      </c>
      <c r="K115" s="24">
        <v>135</v>
      </c>
      <c r="L115" s="24">
        <v>100</v>
      </c>
      <c r="M115">
        <v>252</v>
      </c>
      <c r="N115" t="s">
        <v>1432</v>
      </c>
      <c r="O115">
        <v>43</v>
      </c>
      <c r="P115">
        <v>123</v>
      </c>
      <c r="Q115" t="s">
        <v>25</v>
      </c>
      <c r="R115" t="s">
        <v>25</v>
      </c>
      <c r="S115" t="s">
        <v>26</v>
      </c>
      <c r="T115" t="s">
        <v>25</v>
      </c>
      <c r="U115">
        <f t="shared" si="6"/>
        <v>4</v>
      </c>
      <c r="V115">
        <v>168</v>
      </c>
      <c r="X115" t="s">
        <v>1410</v>
      </c>
      <c r="Y115">
        <v>135</v>
      </c>
      <c r="Z115">
        <v>100</v>
      </c>
      <c r="AA115" t="s">
        <v>31</v>
      </c>
      <c r="AB115">
        <v>179</v>
      </c>
      <c r="AC115" s="23">
        <v>4.16</v>
      </c>
      <c r="AD115" t="str">
        <f>IF(AND('CVD Dataset'!AA115="Normal",'CVD Dataset'!AB115&gt;AVERAGE('CVD Dataset'!AB:AB),'CVD Dataset'!AF115="High"),"High Lipid Category","Normal Category")</f>
        <v>Normal Category</v>
      </c>
      <c r="AF115" t="s">
        <v>32</v>
      </c>
      <c r="AG115">
        <v>0</v>
      </c>
      <c r="AH115" t="s">
        <v>1379</v>
      </c>
      <c r="AI115">
        <f t="shared" si="7"/>
        <v>1</v>
      </c>
      <c r="AJ115" t="s">
        <v>1391</v>
      </c>
    </row>
    <row r="116" spans="1:36" x14ac:dyDescent="0.3">
      <c r="A116" t="s">
        <v>22</v>
      </c>
      <c r="B116">
        <v>41</v>
      </c>
      <c r="C116">
        <v>93</v>
      </c>
      <c r="D116">
        <v>1.88</v>
      </c>
      <c r="E116">
        <v>26.3</v>
      </c>
      <c r="F116">
        <f t="shared" si="5"/>
        <v>26.312811226799457</v>
      </c>
      <c r="G116">
        <f t="shared" si="8"/>
        <v>0</v>
      </c>
      <c r="H116" t="s">
        <v>1400</v>
      </c>
      <c r="I116">
        <v>99.2</v>
      </c>
      <c r="J116" t="s">
        <v>147</v>
      </c>
      <c r="K116" s="24">
        <v>114</v>
      </c>
      <c r="L116" s="24">
        <v>96</v>
      </c>
      <c r="M116">
        <v>158</v>
      </c>
      <c r="N116" t="s">
        <v>1433</v>
      </c>
      <c r="O116">
        <v>58</v>
      </c>
      <c r="P116">
        <v>138</v>
      </c>
      <c r="Q116" t="s">
        <v>25</v>
      </c>
      <c r="R116" t="s">
        <v>24</v>
      </c>
      <c r="S116" t="s">
        <v>39</v>
      </c>
      <c r="T116" t="s">
        <v>25</v>
      </c>
      <c r="U116">
        <f t="shared" si="6"/>
        <v>2</v>
      </c>
      <c r="V116">
        <v>188</v>
      </c>
      <c r="W116">
        <v>0.52800000000000002</v>
      </c>
      <c r="X116" t="s">
        <v>1407</v>
      </c>
      <c r="Y116">
        <v>114</v>
      </c>
      <c r="AA116" t="s">
        <v>40</v>
      </c>
      <c r="AB116">
        <v>70</v>
      </c>
      <c r="AC116" s="23">
        <v>1.21</v>
      </c>
      <c r="AD116" t="str">
        <f>IF(AND('CVD Dataset'!AA116="Normal",'CVD Dataset'!AB116&gt;AVERAGE('CVD Dataset'!AB:AB),'CVD Dataset'!AF116="High"),"High Lipid Category","Normal Category")</f>
        <v>Normal Category</v>
      </c>
      <c r="AE116">
        <v>14.12</v>
      </c>
      <c r="AF116" t="s">
        <v>28</v>
      </c>
      <c r="AG116">
        <v>0</v>
      </c>
      <c r="AH116" t="s">
        <v>1380</v>
      </c>
      <c r="AI116">
        <f t="shared" si="7"/>
        <v>0</v>
      </c>
      <c r="AJ116" t="s">
        <v>1391</v>
      </c>
    </row>
    <row r="117" spans="1:36" x14ac:dyDescent="0.3">
      <c r="A117" t="s">
        <v>22</v>
      </c>
      <c r="B117">
        <v>50</v>
      </c>
      <c r="C117">
        <v>73</v>
      </c>
      <c r="D117">
        <v>1.79</v>
      </c>
      <c r="E117">
        <v>22.8</v>
      </c>
      <c r="F117">
        <f t="shared" si="5"/>
        <v>22.783308885490467</v>
      </c>
      <c r="G117">
        <f t="shared" si="8"/>
        <v>0</v>
      </c>
      <c r="H117" t="s">
        <v>1398</v>
      </c>
      <c r="I117">
        <v>77.400000000000006</v>
      </c>
      <c r="J117" t="s">
        <v>148</v>
      </c>
      <c r="K117" s="24">
        <v>117</v>
      </c>
      <c r="L117" s="24">
        <v>97</v>
      </c>
      <c r="M117">
        <v>183</v>
      </c>
      <c r="N117" t="s">
        <v>1432</v>
      </c>
      <c r="O117">
        <v>69</v>
      </c>
      <c r="P117">
        <v>119</v>
      </c>
      <c r="Q117" t="s">
        <v>25</v>
      </c>
      <c r="R117" t="s">
        <v>25</v>
      </c>
      <c r="S117" t="s">
        <v>26</v>
      </c>
      <c r="T117" t="s">
        <v>24</v>
      </c>
      <c r="U117">
        <f t="shared" si="6"/>
        <v>3</v>
      </c>
      <c r="V117">
        <v>179</v>
      </c>
      <c r="W117">
        <v>0.432</v>
      </c>
      <c r="X117" t="s">
        <v>1408</v>
      </c>
      <c r="Y117">
        <v>117</v>
      </c>
      <c r="Z117">
        <v>97</v>
      </c>
      <c r="AA117" t="s">
        <v>40</v>
      </c>
      <c r="AB117">
        <v>84</v>
      </c>
      <c r="AC117" s="23">
        <v>1.22</v>
      </c>
      <c r="AD117" t="str">
        <f>IF(AND('CVD Dataset'!AA117="Normal",'CVD Dataset'!AB117&gt;AVERAGE('CVD Dataset'!AB:AB),'CVD Dataset'!AF117="High"),"High Lipid Category","Normal Category")</f>
        <v>Normal Category</v>
      </c>
      <c r="AE117">
        <v>16.07</v>
      </c>
      <c r="AF117" t="s">
        <v>32</v>
      </c>
      <c r="AG117">
        <v>1</v>
      </c>
      <c r="AH117" t="s">
        <v>1379</v>
      </c>
      <c r="AI117">
        <f t="shared" si="7"/>
        <v>1</v>
      </c>
      <c r="AJ117" t="s">
        <v>1391</v>
      </c>
    </row>
    <row r="118" spans="1:36" x14ac:dyDescent="0.3">
      <c r="A118" t="s">
        <v>33</v>
      </c>
      <c r="B118">
        <v>50</v>
      </c>
      <c r="C118">
        <v>94.3</v>
      </c>
      <c r="D118">
        <v>1.68</v>
      </c>
      <c r="E118">
        <v>33.4</v>
      </c>
      <c r="F118">
        <f t="shared" si="5"/>
        <v>33.411281179138328</v>
      </c>
      <c r="G118">
        <f t="shared" si="8"/>
        <v>0</v>
      </c>
      <c r="H118" t="s">
        <v>1399</v>
      </c>
      <c r="I118">
        <v>96.3</v>
      </c>
      <c r="J118" t="s">
        <v>134</v>
      </c>
      <c r="K118" s="24">
        <v>103</v>
      </c>
      <c r="L118" s="24">
        <v>96</v>
      </c>
      <c r="M118">
        <v>106</v>
      </c>
      <c r="N118" t="s">
        <v>1434</v>
      </c>
      <c r="O118">
        <v>38</v>
      </c>
      <c r="P118">
        <v>118</v>
      </c>
      <c r="Q118" t="s">
        <v>24</v>
      </c>
      <c r="R118" t="s">
        <v>25</v>
      </c>
      <c r="S118" t="s">
        <v>26</v>
      </c>
      <c r="T118" t="s">
        <v>25</v>
      </c>
      <c r="U118">
        <f t="shared" si="6"/>
        <v>3</v>
      </c>
      <c r="V118">
        <v>168</v>
      </c>
      <c r="W118">
        <v>0.57299999999999995</v>
      </c>
      <c r="X118" t="s">
        <v>1407</v>
      </c>
      <c r="Y118">
        <v>103</v>
      </c>
      <c r="Z118">
        <v>96</v>
      </c>
      <c r="AA118" t="s">
        <v>40</v>
      </c>
      <c r="AB118">
        <v>38</v>
      </c>
      <c r="AC118" s="23">
        <v>1</v>
      </c>
      <c r="AD118" t="str">
        <f>IF(AND('CVD Dataset'!AA118="Normal",'CVD Dataset'!AB118&gt;AVERAGE('CVD Dataset'!AB:AB),'CVD Dataset'!AF118="High"),"High Lipid Category","Normal Category")</f>
        <v>Normal Category</v>
      </c>
      <c r="AE118">
        <v>15.95</v>
      </c>
      <c r="AF118" t="s">
        <v>32</v>
      </c>
      <c r="AG118">
        <v>0</v>
      </c>
      <c r="AH118" t="s">
        <v>1379</v>
      </c>
      <c r="AI118">
        <f t="shared" si="7"/>
        <v>1</v>
      </c>
      <c r="AJ118" t="s">
        <v>1391</v>
      </c>
    </row>
    <row r="119" spans="1:36" x14ac:dyDescent="0.3">
      <c r="A119" t="s">
        <v>22</v>
      </c>
      <c r="B119">
        <v>60</v>
      </c>
      <c r="D119">
        <v>1.64</v>
      </c>
      <c r="E119">
        <v>30</v>
      </c>
      <c r="F119">
        <f t="shared" si="5"/>
        <v>0</v>
      </c>
      <c r="G119">
        <f t="shared" si="8"/>
        <v>1</v>
      </c>
      <c r="H119" t="s">
        <v>1399</v>
      </c>
      <c r="I119">
        <v>95.9</v>
      </c>
      <c r="J119" t="s">
        <v>118</v>
      </c>
      <c r="K119" s="24">
        <v>114</v>
      </c>
      <c r="L119" s="24">
        <v>63</v>
      </c>
      <c r="M119">
        <v>178</v>
      </c>
      <c r="N119" t="s">
        <v>1433</v>
      </c>
      <c r="O119">
        <v>62</v>
      </c>
      <c r="P119">
        <v>90</v>
      </c>
      <c r="Q119" t="s">
        <v>25</v>
      </c>
      <c r="R119" t="s">
        <v>25</v>
      </c>
      <c r="S119" t="s">
        <v>26</v>
      </c>
      <c r="T119" t="s">
        <v>25</v>
      </c>
      <c r="U119">
        <f t="shared" si="6"/>
        <v>4</v>
      </c>
      <c r="V119">
        <v>164</v>
      </c>
      <c r="W119">
        <v>0.58499999999999996</v>
      </c>
      <c r="X119" t="s">
        <v>1409</v>
      </c>
      <c r="Z119">
        <v>63</v>
      </c>
      <c r="AA119" t="s">
        <v>35</v>
      </c>
      <c r="AB119">
        <v>86</v>
      </c>
      <c r="AC119" s="23">
        <v>1.39</v>
      </c>
      <c r="AD119" t="str">
        <f>IF(AND('CVD Dataset'!AA119="Normal",'CVD Dataset'!AB119&gt;AVERAGE('CVD Dataset'!AB:AB),'CVD Dataset'!AF119="High"),"High Lipid Category","Normal Category")</f>
        <v>Normal Category</v>
      </c>
      <c r="AE119">
        <v>17.260000000000002</v>
      </c>
      <c r="AF119" t="s">
        <v>32</v>
      </c>
      <c r="AG119">
        <v>1</v>
      </c>
      <c r="AH119" t="s">
        <v>1379</v>
      </c>
      <c r="AI119">
        <f t="shared" si="7"/>
        <v>1</v>
      </c>
      <c r="AJ119" t="s">
        <v>1391</v>
      </c>
    </row>
    <row r="120" spans="1:36" x14ac:dyDescent="0.3">
      <c r="A120" t="s">
        <v>33</v>
      </c>
      <c r="B120">
        <v>41</v>
      </c>
      <c r="C120">
        <v>71.3</v>
      </c>
      <c r="D120">
        <v>1.73</v>
      </c>
      <c r="E120">
        <v>23.8</v>
      </c>
      <c r="F120">
        <f t="shared" si="5"/>
        <v>23.823047879982624</v>
      </c>
      <c r="G120">
        <f t="shared" si="8"/>
        <v>0</v>
      </c>
      <c r="H120" t="s">
        <v>1398</v>
      </c>
      <c r="I120">
        <v>107.9</v>
      </c>
      <c r="J120" t="s">
        <v>149</v>
      </c>
      <c r="K120" s="24">
        <v>139</v>
      </c>
      <c r="L120" s="24">
        <v>61</v>
      </c>
      <c r="M120">
        <v>253</v>
      </c>
      <c r="N120" t="s">
        <v>1432</v>
      </c>
      <c r="O120">
        <v>77</v>
      </c>
      <c r="P120">
        <v>94</v>
      </c>
      <c r="Q120" t="s">
        <v>25</v>
      </c>
      <c r="R120" t="s">
        <v>24</v>
      </c>
      <c r="S120" t="s">
        <v>26</v>
      </c>
      <c r="T120" t="s">
        <v>25</v>
      </c>
      <c r="U120">
        <f t="shared" si="6"/>
        <v>3</v>
      </c>
      <c r="V120">
        <v>173</v>
      </c>
      <c r="X120" t="s">
        <v>1410</v>
      </c>
      <c r="Y120">
        <v>139</v>
      </c>
      <c r="AA120" t="s">
        <v>31</v>
      </c>
      <c r="AB120">
        <v>146</v>
      </c>
      <c r="AC120" s="23">
        <v>1.9</v>
      </c>
      <c r="AD120" t="str">
        <f>IF(AND('CVD Dataset'!AA120="Normal",'CVD Dataset'!AB120&gt;AVERAGE('CVD Dataset'!AB:AB),'CVD Dataset'!AF120="High"),"High Lipid Category","Normal Category")</f>
        <v>Normal Category</v>
      </c>
      <c r="AE120">
        <v>16.77</v>
      </c>
      <c r="AF120" t="s">
        <v>32</v>
      </c>
      <c r="AG120">
        <v>1</v>
      </c>
      <c r="AH120" t="s">
        <v>1379</v>
      </c>
      <c r="AI120">
        <f t="shared" si="7"/>
        <v>1</v>
      </c>
      <c r="AJ120" t="s">
        <v>1391</v>
      </c>
    </row>
    <row r="121" spans="1:36" x14ac:dyDescent="0.3">
      <c r="A121" t="s">
        <v>33</v>
      </c>
      <c r="B121">
        <v>59</v>
      </c>
      <c r="C121">
        <v>103.9</v>
      </c>
      <c r="D121">
        <v>1.66</v>
      </c>
      <c r="E121">
        <v>37.700000000000003</v>
      </c>
      <c r="F121">
        <f t="shared" si="5"/>
        <v>37.705037015532014</v>
      </c>
      <c r="G121">
        <f t="shared" si="8"/>
        <v>0</v>
      </c>
      <c r="H121" t="s">
        <v>1399</v>
      </c>
      <c r="I121">
        <v>87.1</v>
      </c>
      <c r="J121" t="s">
        <v>150</v>
      </c>
      <c r="K121" s="24">
        <v>117</v>
      </c>
      <c r="L121" s="24">
        <v>61</v>
      </c>
      <c r="M121">
        <v>272</v>
      </c>
      <c r="N121" t="s">
        <v>1432</v>
      </c>
      <c r="O121">
        <v>31</v>
      </c>
      <c r="P121">
        <v>117</v>
      </c>
      <c r="Q121" t="s">
        <v>24</v>
      </c>
      <c r="R121" t="s">
        <v>24</v>
      </c>
      <c r="S121" t="s">
        <v>26</v>
      </c>
      <c r="T121" t="s">
        <v>24</v>
      </c>
      <c r="U121">
        <f t="shared" si="6"/>
        <v>1</v>
      </c>
      <c r="V121">
        <v>166</v>
      </c>
      <c r="W121">
        <v>0.52500000000000002</v>
      </c>
      <c r="X121" t="s">
        <v>1407</v>
      </c>
      <c r="Y121">
        <v>117</v>
      </c>
      <c r="Z121">
        <v>61</v>
      </c>
      <c r="AA121" t="s">
        <v>35</v>
      </c>
      <c r="AB121">
        <v>211</v>
      </c>
      <c r="AC121" s="23">
        <v>6.81</v>
      </c>
      <c r="AD121" t="str">
        <f>IF(AND('CVD Dataset'!AA121="Normal",'CVD Dataset'!AB121&gt;AVERAGE('CVD Dataset'!AB:AB),'CVD Dataset'!AF121="High"),"High Lipid Category","Normal Category")</f>
        <v>High Lipid Category</v>
      </c>
      <c r="AE121">
        <v>18.829999999999998</v>
      </c>
      <c r="AF121" t="s">
        <v>32</v>
      </c>
      <c r="AG121">
        <v>0</v>
      </c>
      <c r="AH121" t="s">
        <v>1379</v>
      </c>
      <c r="AI121">
        <f t="shared" si="7"/>
        <v>1</v>
      </c>
      <c r="AJ121" t="s">
        <v>1391</v>
      </c>
    </row>
    <row r="122" spans="1:36" x14ac:dyDescent="0.3">
      <c r="A122" t="s">
        <v>22</v>
      </c>
      <c r="B122">
        <v>60</v>
      </c>
      <c r="C122">
        <v>54.8</v>
      </c>
      <c r="D122">
        <v>1.77</v>
      </c>
      <c r="E122">
        <v>17.5</v>
      </c>
      <c r="F122">
        <f t="shared" si="5"/>
        <v>17.491780778192727</v>
      </c>
      <c r="G122">
        <f t="shared" si="8"/>
        <v>0</v>
      </c>
      <c r="H122" t="s">
        <v>1401</v>
      </c>
      <c r="I122">
        <v>81.2</v>
      </c>
      <c r="J122" t="s">
        <v>151</v>
      </c>
      <c r="K122" s="24">
        <v>108</v>
      </c>
      <c r="L122" s="24">
        <v>81</v>
      </c>
      <c r="M122">
        <v>108</v>
      </c>
      <c r="N122" t="s">
        <v>1434</v>
      </c>
      <c r="O122">
        <v>80</v>
      </c>
      <c r="P122">
        <v>108</v>
      </c>
      <c r="Q122" t="s">
        <v>25</v>
      </c>
      <c r="R122" t="s">
        <v>24</v>
      </c>
      <c r="S122" t="s">
        <v>39</v>
      </c>
      <c r="T122" t="s">
        <v>24</v>
      </c>
      <c r="U122">
        <f t="shared" si="6"/>
        <v>1</v>
      </c>
      <c r="V122">
        <v>177</v>
      </c>
      <c r="W122">
        <v>0.45900000000000002</v>
      </c>
      <c r="X122" t="s">
        <v>1408</v>
      </c>
      <c r="Y122">
        <v>108</v>
      </c>
      <c r="Z122">
        <v>81</v>
      </c>
      <c r="AA122" t="s">
        <v>31</v>
      </c>
      <c r="AB122">
        <v>-2</v>
      </c>
      <c r="AC122" s="23">
        <v>-0.03</v>
      </c>
      <c r="AD122" t="str">
        <f>IF(AND('CVD Dataset'!AA122="Normal",'CVD Dataset'!AB122&gt;AVERAGE('CVD Dataset'!AB:AB),'CVD Dataset'!AF122="High"),"High Lipid Category","Normal Category")</f>
        <v>Normal Category</v>
      </c>
      <c r="AE122">
        <v>11.06</v>
      </c>
      <c r="AF122" t="s">
        <v>28</v>
      </c>
      <c r="AG122">
        <v>0</v>
      </c>
      <c r="AH122" t="s">
        <v>1380</v>
      </c>
      <c r="AI122">
        <f t="shared" si="7"/>
        <v>0</v>
      </c>
      <c r="AJ122" t="s">
        <v>1391</v>
      </c>
    </row>
    <row r="123" spans="1:36" x14ac:dyDescent="0.3">
      <c r="A123" t="s">
        <v>22</v>
      </c>
      <c r="B123">
        <v>40</v>
      </c>
      <c r="C123">
        <v>113.8</v>
      </c>
      <c r="D123">
        <v>1.84</v>
      </c>
      <c r="E123">
        <v>33.6</v>
      </c>
      <c r="F123">
        <f t="shared" si="5"/>
        <v>33.612948960302454</v>
      </c>
      <c r="G123">
        <f t="shared" si="8"/>
        <v>0</v>
      </c>
      <c r="H123" t="s">
        <v>1399</v>
      </c>
      <c r="I123">
        <v>96.9</v>
      </c>
      <c r="J123" t="s">
        <v>152</v>
      </c>
      <c r="K123" s="24">
        <v>94</v>
      </c>
      <c r="L123" s="24">
        <v>92</v>
      </c>
      <c r="M123">
        <v>203</v>
      </c>
      <c r="N123" t="s">
        <v>1432</v>
      </c>
      <c r="O123">
        <v>56</v>
      </c>
      <c r="P123">
        <v>109</v>
      </c>
      <c r="Q123" t="s">
        <v>25</v>
      </c>
      <c r="R123" t="s">
        <v>24</v>
      </c>
      <c r="S123" t="s">
        <v>39</v>
      </c>
      <c r="T123" t="s">
        <v>24</v>
      </c>
      <c r="U123">
        <f t="shared" si="6"/>
        <v>1</v>
      </c>
      <c r="V123">
        <v>184</v>
      </c>
      <c r="W123">
        <v>0.52700000000000002</v>
      </c>
      <c r="X123" t="s">
        <v>1407</v>
      </c>
      <c r="Y123">
        <v>94</v>
      </c>
      <c r="Z123">
        <v>92</v>
      </c>
      <c r="AA123" t="s">
        <v>40</v>
      </c>
      <c r="AB123">
        <v>117</v>
      </c>
      <c r="AC123" s="23">
        <v>2.09</v>
      </c>
      <c r="AD123" t="str">
        <f>IF(AND('CVD Dataset'!AA123="Normal",'CVD Dataset'!AB123&gt;AVERAGE('CVD Dataset'!AB:AB),'CVD Dataset'!AF123="High"),"High Lipid Category","Normal Category")</f>
        <v>Normal Category</v>
      </c>
      <c r="AE123">
        <v>15.48</v>
      </c>
      <c r="AF123" t="s">
        <v>28</v>
      </c>
      <c r="AG123">
        <v>0</v>
      </c>
      <c r="AH123" t="s">
        <v>1380</v>
      </c>
      <c r="AI123">
        <f t="shared" si="7"/>
        <v>0</v>
      </c>
      <c r="AJ123" t="s">
        <v>1391</v>
      </c>
    </row>
    <row r="124" spans="1:36" x14ac:dyDescent="0.3">
      <c r="A124" t="s">
        <v>22</v>
      </c>
      <c r="B124">
        <v>52</v>
      </c>
      <c r="C124">
        <v>117.7</v>
      </c>
      <c r="D124">
        <v>1.62</v>
      </c>
      <c r="E124">
        <v>44.8</v>
      </c>
      <c r="F124">
        <f t="shared" si="5"/>
        <v>44.848346288675501</v>
      </c>
      <c r="G124">
        <f t="shared" si="8"/>
        <v>0</v>
      </c>
      <c r="H124" t="s">
        <v>1399</v>
      </c>
      <c r="I124">
        <v>80.8</v>
      </c>
      <c r="J124" t="s">
        <v>153</v>
      </c>
      <c r="K124" s="24">
        <v>137</v>
      </c>
      <c r="L124" s="24">
        <v>82</v>
      </c>
      <c r="M124">
        <v>202</v>
      </c>
      <c r="N124" t="s">
        <v>1432</v>
      </c>
      <c r="O124">
        <v>77</v>
      </c>
      <c r="P124">
        <v>75</v>
      </c>
      <c r="Q124" t="s">
        <v>24</v>
      </c>
      <c r="R124" t="s">
        <v>25</v>
      </c>
      <c r="S124" t="s">
        <v>26</v>
      </c>
      <c r="T124" t="s">
        <v>24</v>
      </c>
      <c r="U124">
        <f t="shared" si="6"/>
        <v>2</v>
      </c>
      <c r="V124">
        <v>162</v>
      </c>
      <c r="W124">
        <v>0.499</v>
      </c>
      <c r="X124" t="s">
        <v>1406</v>
      </c>
      <c r="Y124">
        <v>137</v>
      </c>
      <c r="Z124">
        <v>82</v>
      </c>
      <c r="AA124" t="s">
        <v>31</v>
      </c>
      <c r="AB124">
        <v>95</v>
      </c>
      <c r="AC124" s="23">
        <v>1.23</v>
      </c>
      <c r="AD124" t="str">
        <f>IF(AND('CVD Dataset'!AA124="Normal",'CVD Dataset'!AB124&gt;AVERAGE('CVD Dataset'!AB:AB),'CVD Dataset'!AF124="High"),"High Lipid Category","Normal Category")</f>
        <v>Normal Category</v>
      </c>
      <c r="AE124">
        <v>21.85</v>
      </c>
      <c r="AF124" t="s">
        <v>32</v>
      </c>
      <c r="AG124">
        <v>1</v>
      </c>
      <c r="AH124" t="s">
        <v>1379</v>
      </c>
      <c r="AI124">
        <f t="shared" si="7"/>
        <v>1</v>
      </c>
      <c r="AJ124" t="s">
        <v>1392</v>
      </c>
    </row>
    <row r="125" spans="1:36" x14ac:dyDescent="0.3">
      <c r="A125" t="s">
        <v>33</v>
      </c>
      <c r="B125">
        <v>45</v>
      </c>
      <c r="C125">
        <v>100.4</v>
      </c>
      <c r="D125">
        <v>1.62</v>
      </c>
      <c r="E125">
        <v>38.299999999999997</v>
      </c>
      <c r="F125">
        <f t="shared" si="5"/>
        <v>38.256363359244013</v>
      </c>
      <c r="G125">
        <f t="shared" si="8"/>
        <v>0</v>
      </c>
      <c r="H125" t="s">
        <v>1399</v>
      </c>
      <c r="I125">
        <v>76.3</v>
      </c>
      <c r="J125" t="s">
        <v>154</v>
      </c>
      <c r="K125" s="24">
        <v>128</v>
      </c>
      <c r="L125" s="24">
        <v>91</v>
      </c>
      <c r="M125">
        <v>254</v>
      </c>
      <c r="N125" t="s">
        <v>1432</v>
      </c>
      <c r="O125">
        <v>31</v>
      </c>
      <c r="P125">
        <v>130</v>
      </c>
      <c r="Q125" t="s">
        <v>24</v>
      </c>
      <c r="R125" t="s">
        <v>25</v>
      </c>
      <c r="S125" t="s">
        <v>26</v>
      </c>
      <c r="T125" t="s">
        <v>24</v>
      </c>
      <c r="U125">
        <f t="shared" si="6"/>
        <v>2</v>
      </c>
      <c r="V125">
        <v>162</v>
      </c>
      <c r="W125">
        <v>0.47099999999999997</v>
      </c>
      <c r="X125" t="s">
        <v>1406</v>
      </c>
      <c r="Y125">
        <v>128</v>
      </c>
      <c r="Z125">
        <v>91</v>
      </c>
      <c r="AA125" t="s">
        <v>40</v>
      </c>
      <c r="AB125">
        <v>193</v>
      </c>
      <c r="AC125" s="23">
        <v>6.23</v>
      </c>
      <c r="AD125" t="str">
        <f>IF(AND('CVD Dataset'!AA125="Normal",'CVD Dataset'!AB125&gt;AVERAGE('CVD Dataset'!AB:AB),'CVD Dataset'!AF125="High"),"High Lipid Category","Normal Category")</f>
        <v>Normal Category</v>
      </c>
      <c r="AE125">
        <v>21.14</v>
      </c>
      <c r="AF125" t="s">
        <v>32</v>
      </c>
      <c r="AG125">
        <v>0</v>
      </c>
      <c r="AH125" t="s">
        <v>1379</v>
      </c>
      <c r="AI125">
        <f t="shared" si="7"/>
        <v>1</v>
      </c>
      <c r="AJ125" t="s">
        <v>1391</v>
      </c>
    </row>
    <row r="126" spans="1:36" x14ac:dyDescent="0.3">
      <c r="A126" t="s">
        <v>22</v>
      </c>
      <c r="B126">
        <v>49</v>
      </c>
      <c r="C126">
        <v>101</v>
      </c>
      <c r="D126">
        <v>1.74</v>
      </c>
      <c r="E126">
        <v>33.4</v>
      </c>
      <c r="F126">
        <f t="shared" si="5"/>
        <v>33.359756903157617</v>
      </c>
      <c r="G126">
        <f t="shared" si="8"/>
        <v>0</v>
      </c>
      <c r="H126" t="s">
        <v>1399</v>
      </c>
      <c r="I126">
        <v>80.599999999999994</v>
      </c>
      <c r="J126" t="s">
        <v>155</v>
      </c>
      <c r="K126" s="24">
        <v>94</v>
      </c>
      <c r="L126" s="24">
        <v>79</v>
      </c>
      <c r="M126">
        <v>172</v>
      </c>
      <c r="N126" t="s">
        <v>1433</v>
      </c>
      <c r="O126">
        <v>50</v>
      </c>
      <c r="P126">
        <v>128</v>
      </c>
      <c r="Q126" t="s">
        <v>24</v>
      </c>
      <c r="R126" t="s">
        <v>25</v>
      </c>
      <c r="S126" t="s">
        <v>39</v>
      </c>
      <c r="T126" t="s">
        <v>25</v>
      </c>
      <c r="U126">
        <f t="shared" si="6"/>
        <v>2</v>
      </c>
      <c r="V126">
        <v>174</v>
      </c>
      <c r="W126">
        <v>0.46300000000000002</v>
      </c>
      <c r="X126" t="s">
        <v>1406</v>
      </c>
      <c r="Y126">
        <v>94</v>
      </c>
      <c r="Z126">
        <v>79</v>
      </c>
      <c r="AA126" t="s">
        <v>35</v>
      </c>
      <c r="AB126">
        <v>92</v>
      </c>
      <c r="AC126" s="23">
        <v>1.84</v>
      </c>
      <c r="AD126" t="str">
        <f>IF(AND('CVD Dataset'!AA126="Normal",'CVD Dataset'!AB126&gt;AVERAGE('CVD Dataset'!AB:AB),'CVD Dataset'!AF126="High"),"High Lipid Category","Normal Category")</f>
        <v>Normal Category</v>
      </c>
      <c r="AE126">
        <v>16.82</v>
      </c>
      <c r="AF126" t="s">
        <v>32</v>
      </c>
      <c r="AG126">
        <v>0</v>
      </c>
      <c r="AH126" t="s">
        <v>1379</v>
      </c>
      <c r="AI126">
        <f t="shared" si="7"/>
        <v>1</v>
      </c>
      <c r="AJ126" t="s">
        <v>1391</v>
      </c>
    </row>
    <row r="127" spans="1:36" x14ac:dyDescent="0.3">
      <c r="A127" t="s">
        <v>33</v>
      </c>
      <c r="B127">
        <v>45</v>
      </c>
      <c r="C127">
        <v>67.5</v>
      </c>
      <c r="D127">
        <v>1.83</v>
      </c>
      <c r="E127">
        <v>20.2</v>
      </c>
      <c r="F127">
        <f t="shared" si="5"/>
        <v>20.155872077398545</v>
      </c>
      <c r="G127">
        <f t="shared" si="8"/>
        <v>0</v>
      </c>
      <c r="H127" t="s">
        <v>1398</v>
      </c>
      <c r="I127">
        <v>91.3</v>
      </c>
      <c r="J127" t="s">
        <v>156</v>
      </c>
      <c r="K127" s="24">
        <v>149</v>
      </c>
      <c r="L127" s="24">
        <v>66</v>
      </c>
      <c r="M127">
        <v>166</v>
      </c>
      <c r="N127" t="s">
        <v>1433</v>
      </c>
      <c r="O127">
        <v>59</v>
      </c>
      <c r="P127">
        <v>98</v>
      </c>
      <c r="Q127" t="s">
        <v>24</v>
      </c>
      <c r="R127" t="s">
        <v>24</v>
      </c>
      <c r="S127" t="s">
        <v>39</v>
      </c>
      <c r="T127" t="s">
        <v>24</v>
      </c>
      <c r="U127">
        <f t="shared" si="6"/>
        <v>0</v>
      </c>
      <c r="V127">
        <v>183</v>
      </c>
      <c r="W127">
        <v>0.499</v>
      </c>
      <c r="X127" t="s">
        <v>1406</v>
      </c>
      <c r="Y127">
        <v>149</v>
      </c>
      <c r="Z127">
        <v>66</v>
      </c>
      <c r="AA127" t="s">
        <v>40</v>
      </c>
      <c r="AB127">
        <v>77</v>
      </c>
      <c r="AC127" s="23">
        <v>1.31</v>
      </c>
      <c r="AD127" t="str">
        <f>IF(AND('CVD Dataset'!AA127="Normal",'CVD Dataset'!AB127&gt;AVERAGE('CVD Dataset'!AB:AB),'CVD Dataset'!AF127="High"),"High Lipid Category","Normal Category")</f>
        <v>Normal Category</v>
      </c>
      <c r="AE127">
        <v>14.81</v>
      </c>
      <c r="AF127" t="s">
        <v>54</v>
      </c>
      <c r="AG127">
        <v>0</v>
      </c>
      <c r="AH127" t="s">
        <v>1380</v>
      </c>
      <c r="AI127">
        <f t="shared" si="7"/>
        <v>0</v>
      </c>
      <c r="AJ127" t="s">
        <v>1391</v>
      </c>
    </row>
    <row r="128" spans="1:36" x14ac:dyDescent="0.3">
      <c r="A128" t="s">
        <v>22</v>
      </c>
      <c r="B128">
        <v>37</v>
      </c>
      <c r="C128">
        <v>117.3</v>
      </c>
      <c r="D128">
        <v>1.78</v>
      </c>
      <c r="E128">
        <v>37</v>
      </c>
      <c r="F128">
        <f t="shared" si="5"/>
        <v>37.021840676682238</v>
      </c>
      <c r="G128">
        <f t="shared" si="8"/>
        <v>0</v>
      </c>
      <c r="H128" t="s">
        <v>1399</v>
      </c>
      <c r="I128">
        <v>84.6</v>
      </c>
      <c r="J128" t="s">
        <v>157</v>
      </c>
      <c r="K128" s="24">
        <v>135</v>
      </c>
      <c r="L128" s="24">
        <v>77</v>
      </c>
      <c r="M128">
        <v>206</v>
      </c>
      <c r="N128" t="s">
        <v>1432</v>
      </c>
      <c r="O128">
        <v>51</v>
      </c>
      <c r="P128">
        <v>120</v>
      </c>
      <c r="Q128" t="s">
        <v>24</v>
      </c>
      <c r="R128" t="s">
        <v>25</v>
      </c>
      <c r="S128" t="s">
        <v>30</v>
      </c>
      <c r="T128" t="s">
        <v>24</v>
      </c>
      <c r="U128">
        <f t="shared" si="6"/>
        <v>1</v>
      </c>
      <c r="V128">
        <v>178</v>
      </c>
      <c r="W128">
        <v>0.47499999999999998</v>
      </c>
      <c r="X128" t="s">
        <v>1406</v>
      </c>
      <c r="Y128">
        <v>135</v>
      </c>
      <c r="Z128">
        <v>77</v>
      </c>
      <c r="AA128" t="s">
        <v>31</v>
      </c>
      <c r="AB128">
        <v>125</v>
      </c>
      <c r="AC128" s="23">
        <v>2.4500000000000002</v>
      </c>
      <c r="AD128" t="str">
        <f>IF(AND('CVD Dataset'!AA128="Normal",'CVD Dataset'!AB128&gt;AVERAGE('CVD Dataset'!AB:AB),'CVD Dataset'!AF128="High"),"High Lipid Category","Normal Category")</f>
        <v>Normal Category</v>
      </c>
      <c r="AE128">
        <v>20.27</v>
      </c>
      <c r="AF128" t="s">
        <v>28</v>
      </c>
      <c r="AG128">
        <v>0</v>
      </c>
      <c r="AH128" t="s">
        <v>1380</v>
      </c>
      <c r="AI128">
        <f t="shared" si="7"/>
        <v>0</v>
      </c>
      <c r="AJ128" t="s">
        <v>1391</v>
      </c>
    </row>
    <row r="129" spans="1:36" x14ac:dyDescent="0.3">
      <c r="A129" t="s">
        <v>22</v>
      </c>
      <c r="B129">
        <v>34</v>
      </c>
      <c r="C129">
        <v>94.4</v>
      </c>
      <c r="D129">
        <v>1.8</v>
      </c>
      <c r="E129">
        <v>29.1</v>
      </c>
      <c r="F129">
        <f t="shared" si="5"/>
        <v>29.135802469135804</v>
      </c>
      <c r="G129">
        <f t="shared" si="8"/>
        <v>0</v>
      </c>
      <c r="H129" t="s">
        <v>1400</v>
      </c>
      <c r="I129">
        <v>90.9</v>
      </c>
      <c r="J129" t="s">
        <v>158</v>
      </c>
      <c r="K129" s="24">
        <v>100</v>
      </c>
      <c r="L129" s="24">
        <v>76</v>
      </c>
      <c r="N129" t="s">
        <v>1434</v>
      </c>
      <c r="P129">
        <v>89</v>
      </c>
      <c r="Q129" t="s">
        <v>24</v>
      </c>
      <c r="R129" t="s">
        <v>24</v>
      </c>
      <c r="S129" t="s">
        <v>26</v>
      </c>
      <c r="T129" t="s">
        <v>24</v>
      </c>
      <c r="U129">
        <f t="shared" si="6"/>
        <v>1</v>
      </c>
      <c r="V129">
        <v>180</v>
      </c>
      <c r="W129">
        <v>0.505</v>
      </c>
      <c r="X129" t="s">
        <v>1406</v>
      </c>
      <c r="Y129">
        <v>100</v>
      </c>
      <c r="Z129">
        <v>76</v>
      </c>
      <c r="AA129" t="s">
        <v>35</v>
      </c>
      <c r="AB129">
        <v>139</v>
      </c>
      <c r="AC129" s="23" t="s">
        <v>1410</v>
      </c>
      <c r="AD129" t="str">
        <f>IF(AND('CVD Dataset'!AA129="Normal",'CVD Dataset'!AB129&gt;AVERAGE('CVD Dataset'!AB:AB),'CVD Dataset'!AF129="High"),"High Lipid Category","Normal Category")</f>
        <v>Normal Category</v>
      </c>
      <c r="AE129">
        <v>15.54</v>
      </c>
      <c r="AF129" t="s">
        <v>28</v>
      </c>
      <c r="AG129">
        <v>0</v>
      </c>
      <c r="AH129" t="s">
        <v>1380</v>
      </c>
      <c r="AI129">
        <f t="shared" si="7"/>
        <v>0</v>
      </c>
      <c r="AJ129" t="s">
        <v>1391</v>
      </c>
    </row>
    <row r="130" spans="1:36" x14ac:dyDescent="0.3">
      <c r="A130" t="s">
        <v>33</v>
      </c>
      <c r="B130">
        <v>31</v>
      </c>
      <c r="C130">
        <v>104.1</v>
      </c>
      <c r="D130">
        <v>1.69</v>
      </c>
      <c r="E130">
        <v>36.4</v>
      </c>
      <c r="F130">
        <f t="shared" si="5"/>
        <v>36.448303630825251</v>
      </c>
      <c r="G130">
        <f t="shared" si="8"/>
        <v>0</v>
      </c>
      <c r="H130" t="s">
        <v>1399</v>
      </c>
      <c r="I130">
        <v>74.099999999999994</v>
      </c>
      <c r="J130" t="s">
        <v>159</v>
      </c>
      <c r="K130" s="24">
        <v>95</v>
      </c>
      <c r="L130" s="24">
        <v>84</v>
      </c>
      <c r="M130">
        <v>143</v>
      </c>
      <c r="N130" t="s">
        <v>1434</v>
      </c>
      <c r="O130">
        <v>50</v>
      </c>
      <c r="P130">
        <v>73</v>
      </c>
      <c r="Q130" t="s">
        <v>24</v>
      </c>
      <c r="R130" t="s">
        <v>24</v>
      </c>
      <c r="S130" t="s">
        <v>30</v>
      </c>
      <c r="T130" t="s">
        <v>24</v>
      </c>
      <c r="U130">
        <f t="shared" si="6"/>
        <v>0</v>
      </c>
      <c r="V130">
        <v>169</v>
      </c>
      <c r="W130">
        <v>0.438</v>
      </c>
      <c r="X130" t="s">
        <v>1408</v>
      </c>
      <c r="Y130">
        <v>95</v>
      </c>
      <c r="Z130">
        <v>84</v>
      </c>
      <c r="AA130" t="s">
        <v>31</v>
      </c>
      <c r="AB130">
        <v>63</v>
      </c>
      <c r="AC130" s="23">
        <v>1.26</v>
      </c>
      <c r="AD130" t="str">
        <f>IF(AND('CVD Dataset'!AA130="Normal",'CVD Dataset'!AB130&gt;AVERAGE('CVD Dataset'!AB:AB),'CVD Dataset'!AF130="High"),"High Lipid Category","Normal Category")</f>
        <v>Normal Category</v>
      </c>
      <c r="AE130">
        <v>14.89</v>
      </c>
      <c r="AF130" t="s">
        <v>54</v>
      </c>
      <c r="AG130">
        <v>0</v>
      </c>
      <c r="AH130" t="s">
        <v>1380</v>
      </c>
      <c r="AI130">
        <f t="shared" si="7"/>
        <v>0</v>
      </c>
      <c r="AJ130" t="s">
        <v>1391</v>
      </c>
    </row>
    <row r="131" spans="1:36" x14ac:dyDescent="0.3">
      <c r="A131" t="s">
        <v>22</v>
      </c>
      <c r="B131">
        <v>31</v>
      </c>
      <c r="C131">
        <v>113.4</v>
      </c>
      <c r="D131">
        <v>1.76</v>
      </c>
      <c r="E131">
        <v>36.6</v>
      </c>
      <c r="F131">
        <f t="shared" ref="F131:F194" si="9">IFERROR(C131/POWER(D131,2),"")</f>
        <v>36.608987603305785</v>
      </c>
      <c r="G131">
        <f t="shared" si="8"/>
        <v>0</v>
      </c>
      <c r="H131" t="s">
        <v>1399</v>
      </c>
      <c r="I131">
        <v>101</v>
      </c>
      <c r="J131" t="s">
        <v>160</v>
      </c>
      <c r="K131" s="24">
        <v>110</v>
      </c>
      <c r="L131" s="24">
        <v>83</v>
      </c>
      <c r="M131">
        <v>101</v>
      </c>
      <c r="N131" t="s">
        <v>1434</v>
      </c>
      <c r="O131">
        <v>31</v>
      </c>
      <c r="P131">
        <v>98</v>
      </c>
      <c r="Q131" t="s">
        <v>25</v>
      </c>
      <c r="R131" t="s">
        <v>24</v>
      </c>
      <c r="S131" t="s">
        <v>30</v>
      </c>
      <c r="T131" t="s">
        <v>24</v>
      </c>
      <c r="U131">
        <f t="shared" ref="U131:U194" si="10">SUM(IF(Q131="Y",1,0),IF(R131="Y",1,0),IF(S131="Low",1,0),IF(T131="Y",1,0))</f>
        <v>1</v>
      </c>
      <c r="V131">
        <v>176</v>
      </c>
      <c r="W131">
        <v>0.57399999999999995</v>
      </c>
      <c r="X131" t="s">
        <v>1407</v>
      </c>
      <c r="Y131">
        <v>110</v>
      </c>
      <c r="Z131">
        <v>83</v>
      </c>
      <c r="AA131" t="s">
        <v>31</v>
      </c>
      <c r="AB131">
        <v>40</v>
      </c>
      <c r="AC131" s="23">
        <v>1.29</v>
      </c>
      <c r="AD131" t="str">
        <f>IF(AND('CVD Dataset'!AA131="Normal",'CVD Dataset'!AB131&gt;AVERAGE('CVD Dataset'!AB:AB),'CVD Dataset'!AF131="High"),"High Lipid Category","Normal Category")</f>
        <v>Normal Category</v>
      </c>
      <c r="AE131">
        <v>14.84</v>
      </c>
      <c r="AF131" t="s">
        <v>28</v>
      </c>
      <c r="AG131">
        <v>0</v>
      </c>
      <c r="AH131" t="s">
        <v>1380</v>
      </c>
      <c r="AI131">
        <f t="shared" ref="AI131:AI194" si="11">IF(AF131="HIGH",1,0)</f>
        <v>0</v>
      </c>
      <c r="AJ131" t="s">
        <v>1391</v>
      </c>
    </row>
    <row r="132" spans="1:36" x14ac:dyDescent="0.3">
      <c r="A132" t="s">
        <v>33</v>
      </c>
      <c r="B132">
        <v>59</v>
      </c>
      <c r="C132">
        <v>97.1</v>
      </c>
      <c r="D132">
        <v>1.61</v>
      </c>
      <c r="E132">
        <v>37.5</v>
      </c>
      <c r="F132">
        <f t="shared" si="9"/>
        <v>37.45997453801936</v>
      </c>
      <c r="G132">
        <f t="shared" si="8"/>
        <v>0</v>
      </c>
      <c r="H132" t="s">
        <v>1399</v>
      </c>
      <c r="J132" t="s">
        <v>161</v>
      </c>
      <c r="K132" s="24">
        <v>92</v>
      </c>
      <c r="L132" s="24">
        <v>90</v>
      </c>
      <c r="M132">
        <v>120</v>
      </c>
      <c r="N132" t="s">
        <v>1434</v>
      </c>
      <c r="O132">
        <v>45</v>
      </c>
      <c r="P132">
        <v>90</v>
      </c>
      <c r="Q132" t="s">
        <v>25</v>
      </c>
      <c r="R132" t="s">
        <v>24</v>
      </c>
      <c r="S132" t="s">
        <v>30</v>
      </c>
      <c r="T132" t="s">
        <v>25</v>
      </c>
      <c r="U132">
        <f t="shared" si="10"/>
        <v>2</v>
      </c>
      <c r="V132">
        <v>161</v>
      </c>
      <c r="W132">
        <v>0.50900000000000001</v>
      </c>
      <c r="X132" t="s">
        <v>1406</v>
      </c>
      <c r="Y132">
        <v>92</v>
      </c>
      <c r="Z132">
        <v>90</v>
      </c>
      <c r="AA132" t="s">
        <v>40</v>
      </c>
      <c r="AC132" s="23">
        <v>0</v>
      </c>
      <c r="AD132" t="str">
        <f>IF(AND('CVD Dataset'!AA132="Normal",'CVD Dataset'!AB132&gt;AVERAGE('CVD Dataset'!AB:AB),'CVD Dataset'!AF132="High"),"High Lipid Category","Normal Category")</f>
        <v>Normal Category</v>
      </c>
      <c r="AE132">
        <v>14.5</v>
      </c>
      <c r="AF132" t="s">
        <v>32</v>
      </c>
      <c r="AG132">
        <v>0</v>
      </c>
      <c r="AH132" t="s">
        <v>1379</v>
      </c>
      <c r="AI132">
        <f t="shared" si="11"/>
        <v>1</v>
      </c>
      <c r="AJ132" t="s">
        <v>1391</v>
      </c>
    </row>
    <row r="133" spans="1:36" x14ac:dyDescent="0.3">
      <c r="A133" t="s">
        <v>33</v>
      </c>
      <c r="B133">
        <v>54</v>
      </c>
      <c r="D133">
        <v>1.7</v>
      </c>
      <c r="E133">
        <v>27.8</v>
      </c>
      <c r="F133">
        <f t="shared" si="9"/>
        <v>0</v>
      </c>
      <c r="G133">
        <f t="shared" si="8"/>
        <v>1</v>
      </c>
      <c r="H133" t="s">
        <v>1400</v>
      </c>
      <c r="I133">
        <v>70.400000000000006</v>
      </c>
      <c r="J133" t="s">
        <v>162</v>
      </c>
      <c r="K133" s="24">
        <v>111</v>
      </c>
      <c r="L133" s="24">
        <v>94</v>
      </c>
      <c r="N133" t="s">
        <v>1434</v>
      </c>
      <c r="O133">
        <v>41</v>
      </c>
      <c r="P133">
        <v>110</v>
      </c>
      <c r="Q133" t="s">
        <v>25</v>
      </c>
      <c r="R133" t="s">
        <v>25</v>
      </c>
      <c r="S133" t="s">
        <v>30</v>
      </c>
      <c r="T133" t="s">
        <v>24</v>
      </c>
      <c r="U133">
        <f t="shared" si="10"/>
        <v>2</v>
      </c>
      <c r="V133">
        <v>170</v>
      </c>
      <c r="W133">
        <v>0.41399999999999998</v>
      </c>
      <c r="X133" t="s">
        <v>1408</v>
      </c>
      <c r="Y133">
        <v>111</v>
      </c>
      <c r="Z133">
        <v>94</v>
      </c>
      <c r="AA133" t="s">
        <v>40</v>
      </c>
      <c r="AB133">
        <v>150</v>
      </c>
      <c r="AC133" s="23">
        <v>3.66</v>
      </c>
      <c r="AD133" t="str">
        <f>IF(AND('CVD Dataset'!AA133="Normal",'CVD Dataset'!AB133&gt;AVERAGE('CVD Dataset'!AB:AB),'CVD Dataset'!AF133="High"),"High Lipid Category","Normal Category")</f>
        <v>Normal Category</v>
      </c>
      <c r="AE133">
        <v>17.53</v>
      </c>
      <c r="AF133" t="s">
        <v>32</v>
      </c>
      <c r="AG133">
        <v>0</v>
      </c>
      <c r="AH133" t="s">
        <v>1379</v>
      </c>
      <c r="AI133">
        <f t="shared" si="11"/>
        <v>1</v>
      </c>
      <c r="AJ133" t="s">
        <v>1392</v>
      </c>
    </row>
    <row r="134" spans="1:36" x14ac:dyDescent="0.3">
      <c r="A134" t="s">
        <v>22</v>
      </c>
      <c r="B134">
        <v>34</v>
      </c>
      <c r="C134">
        <v>116.1</v>
      </c>
      <c r="D134">
        <v>1.79</v>
      </c>
      <c r="E134">
        <v>36.200000000000003</v>
      </c>
      <c r="F134">
        <f t="shared" si="9"/>
        <v>36.234824131581412</v>
      </c>
      <c r="G134">
        <f t="shared" si="8"/>
        <v>0</v>
      </c>
      <c r="H134" t="s">
        <v>1399</v>
      </c>
      <c r="I134">
        <v>78.599999999999994</v>
      </c>
      <c r="J134" t="s">
        <v>163</v>
      </c>
      <c r="K134" s="24">
        <v>107</v>
      </c>
      <c r="L134" s="24">
        <v>66</v>
      </c>
      <c r="M134">
        <v>167</v>
      </c>
      <c r="N134" t="s">
        <v>1433</v>
      </c>
      <c r="O134">
        <v>62</v>
      </c>
      <c r="P134">
        <v>140</v>
      </c>
      <c r="Q134" t="s">
        <v>25</v>
      </c>
      <c r="R134" t="s">
        <v>25</v>
      </c>
      <c r="S134" t="s">
        <v>30</v>
      </c>
      <c r="T134" t="s">
        <v>24</v>
      </c>
      <c r="U134">
        <f t="shared" si="10"/>
        <v>2</v>
      </c>
      <c r="V134">
        <v>179</v>
      </c>
      <c r="W134">
        <v>0.439</v>
      </c>
      <c r="X134" t="s">
        <v>1408</v>
      </c>
      <c r="Y134">
        <v>107</v>
      </c>
      <c r="Z134">
        <v>66</v>
      </c>
      <c r="AA134" t="s">
        <v>35</v>
      </c>
      <c r="AB134">
        <v>75</v>
      </c>
      <c r="AC134" s="23">
        <v>1.21</v>
      </c>
      <c r="AD134" t="str">
        <f>IF(AND('CVD Dataset'!AA134="Normal",'CVD Dataset'!AB134&gt;AVERAGE('CVD Dataset'!AB:AB),'CVD Dataset'!AF134="High"),"High Lipid Category","Normal Category")</f>
        <v>Normal Category</v>
      </c>
      <c r="AE134">
        <v>17.93</v>
      </c>
      <c r="AF134" t="s">
        <v>28</v>
      </c>
      <c r="AG134">
        <v>0</v>
      </c>
      <c r="AH134" t="s">
        <v>1380</v>
      </c>
      <c r="AI134">
        <f t="shared" si="11"/>
        <v>0</v>
      </c>
      <c r="AJ134" t="s">
        <v>1391</v>
      </c>
    </row>
    <row r="135" spans="1:36" x14ac:dyDescent="0.3">
      <c r="A135" t="s">
        <v>33</v>
      </c>
      <c r="B135">
        <v>35</v>
      </c>
      <c r="C135">
        <v>75.3</v>
      </c>
      <c r="D135">
        <v>1.72</v>
      </c>
      <c r="E135">
        <v>25.5</v>
      </c>
      <c r="F135">
        <f t="shared" si="9"/>
        <v>25.452947539210385</v>
      </c>
      <c r="G135">
        <f t="shared" si="8"/>
        <v>0</v>
      </c>
      <c r="H135" t="s">
        <v>1400</v>
      </c>
      <c r="I135">
        <v>95.4</v>
      </c>
      <c r="J135" t="s">
        <v>164</v>
      </c>
      <c r="K135" s="24">
        <v>98</v>
      </c>
      <c r="L135" s="24">
        <v>72</v>
      </c>
      <c r="M135">
        <v>137</v>
      </c>
      <c r="N135" t="s">
        <v>1434</v>
      </c>
      <c r="O135">
        <v>53</v>
      </c>
      <c r="P135">
        <v>73</v>
      </c>
      <c r="Q135" t="s">
        <v>25</v>
      </c>
      <c r="R135" t="s">
        <v>25</v>
      </c>
      <c r="S135" t="s">
        <v>30</v>
      </c>
      <c r="T135" t="s">
        <v>24</v>
      </c>
      <c r="U135">
        <f t="shared" si="10"/>
        <v>2</v>
      </c>
      <c r="V135">
        <v>172</v>
      </c>
      <c r="W135">
        <v>0.55500000000000005</v>
      </c>
      <c r="X135" t="s">
        <v>1407</v>
      </c>
      <c r="Y135">
        <v>98</v>
      </c>
      <c r="Z135">
        <v>72</v>
      </c>
      <c r="AA135" t="s">
        <v>35</v>
      </c>
      <c r="AB135">
        <v>54</v>
      </c>
      <c r="AC135" s="23">
        <v>1.02</v>
      </c>
      <c r="AD135" t="str">
        <f>IF(AND('CVD Dataset'!AA135="Normal",'CVD Dataset'!AB135&gt;AVERAGE('CVD Dataset'!AB:AB),'CVD Dataset'!AF135="High"),"High Lipid Category","Normal Category")</f>
        <v>Normal Category</v>
      </c>
      <c r="AE135">
        <v>14.74</v>
      </c>
      <c r="AF135" t="s">
        <v>28</v>
      </c>
      <c r="AG135">
        <v>0</v>
      </c>
      <c r="AH135" t="s">
        <v>1380</v>
      </c>
      <c r="AI135">
        <f t="shared" si="11"/>
        <v>0</v>
      </c>
      <c r="AJ135" t="s">
        <v>1391</v>
      </c>
    </row>
    <row r="136" spans="1:36" x14ac:dyDescent="0.3">
      <c r="A136" t="s">
        <v>22</v>
      </c>
      <c r="B136">
        <v>31</v>
      </c>
      <c r="C136">
        <v>113.5</v>
      </c>
      <c r="D136">
        <v>1.74</v>
      </c>
      <c r="E136">
        <v>37.5</v>
      </c>
      <c r="F136">
        <f t="shared" si="9"/>
        <v>37.488439688201872</v>
      </c>
      <c r="G136">
        <f t="shared" si="8"/>
        <v>0</v>
      </c>
      <c r="H136" t="s">
        <v>1399</v>
      </c>
      <c r="I136">
        <v>85.8</v>
      </c>
      <c r="J136" t="s">
        <v>165</v>
      </c>
      <c r="K136" s="24">
        <v>150</v>
      </c>
      <c r="L136" s="24">
        <v>96</v>
      </c>
      <c r="M136">
        <v>290</v>
      </c>
      <c r="N136" t="s">
        <v>1432</v>
      </c>
      <c r="O136">
        <v>64</v>
      </c>
      <c r="P136">
        <v>118</v>
      </c>
      <c r="Q136" t="s">
        <v>25</v>
      </c>
      <c r="R136" t="s">
        <v>24</v>
      </c>
      <c r="S136" t="s">
        <v>39</v>
      </c>
      <c r="T136" t="s">
        <v>25</v>
      </c>
      <c r="U136">
        <f t="shared" si="10"/>
        <v>2</v>
      </c>
      <c r="V136">
        <v>174</v>
      </c>
      <c r="W136">
        <v>0.49299999999999999</v>
      </c>
      <c r="X136" t="s">
        <v>1406</v>
      </c>
      <c r="Y136">
        <v>150</v>
      </c>
      <c r="Z136">
        <v>96</v>
      </c>
      <c r="AA136" t="s">
        <v>40</v>
      </c>
      <c r="AB136">
        <v>196</v>
      </c>
      <c r="AC136" s="23">
        <v>3.06</v>
      </c>
      <c r="AD136" t="str">
        <f>IF(AND('CVD Dataset'!AA136="Normal",'CVD Dataset'!AB136&gt;AVERAGE('CVD Dataset'!AB:AB),'CVD Dataset'!AF136="High"),"High Lipid Category","Normal Category")</f>
        <v>Normal Category</v>
      </c>
      <c r="AE136">
        <v>20.8</v>
      </c>
      <c r="AF136" t="s">
        <v>32</v>
      </c>
      <c r="AG136">
        <v>1</v>
      </c>
      <c r="AH136" t="s">
        <v>1379</v>
      </c>
      <c r="AI136">
        <f t="shared" si="11"/>
        <v>1</v>
      </c>
      <c r="AJ136" t="s">
        <v>1391</v>
      </c>
    </row>
    <row r="137" spans="1:36" x14ac:dyDescent="0.3">
      <c r="A137" t="s">
        <v>33</v>
      </c>
      <c r="B137">
        <v>31</v>
      </c>
      <c r="C137">
        <v>75.599999999999994</v>
      </c>
      <c r="D137">
        <v>1.73</v>
      </c>
      <c r="E137">
        <v>25.3</v>
      </c>
      <c r="F137">
        <f t="shared" si="9"/>
        <v>25.259781482842726</v>
      </c>
      <c r="G137">
        <f t="shared" si="8"/>
        <v>0</v>
      </c>
      <c r="H137" t="s">
        <v>1400</v>
      </c>
      <c r="I137">
        <v>74.5</v>
      </c>
      <c r="J137" t="s">
        <v>166</v>
      </c>
      <c r="K137" s="24">
        <v>96</v>
      </c>
      <c r="L137" s="24">
        <v>69</v>
      </c>
      <c r="M137">
        <v>182</v>
      </c>
      <c r="N137" t="s">
        <v>1432</v>
      </c>
      <c r="O137">
        <v>67</v>
      </c>
      <c r="P137">
        <v>148</v>
      </c>
      <c r="Q137" t="s">
        <v>25</v>
      </c>
      <c r="R137" t="s">
        <v>24</v>
      </c>
      <c r="S137" t="s">
        <v>30</v>
      </c>
      <c r="T137" t="s">
        <v>24</v>
      </c>
      <c r="U137">
        <f t="shared" si="10"/>
        <v>1</v>
      </c>
      <c r="V137">
        <v>173</v>
      </c>
      <c r="W137">
        <v>0.43099999999999999</v>
      </c>
      <c r="X137" t="s">
        <v>1408</v>
      </c>
      <c r="Y137">
        <v>96</v>
      </c>
      <c r="Z137">
        <v>69</v>
      </c>
      <c r="AA137" t="s">
        <v>35</v>
      </c>
      <c r="AB137">
        <v>85</v>
      </c>
      <c r="AC137" s="23">
        <v>1.27</v>
      </c>
      <c r="AD137" t="str">
        <f>IF(AND('CVD Dataset'!AA137="Normal",'CVD Dataset'!AB137&gt;AVERAGE('CVD Dataset'!AB:AB),'CVD Dataset'!AF137="High"),"High Lipid Category","Normal Category")</f>
        <v>Normal Category</v>
      </c>
      <c r="AE137">
        <v>13.5</v>
      </c>
      <c r="AF137" t="s">
        <v>28</v>
      </c>
      <c r="AG137">
        <v>0</v>
      </c>
      <c r="AH137" t="s">
        <v>1380</v>
      </c>
      <c r="AI137">
        <f t="shared" si="11"/>
        <v>0</v>
      </c>
      <c r="AJ137" t="s">
        <v>1391</v>
      </c>
    </row>
    <row r="138" spans="1:36" x14ac:dyDescent="0.3">
      <c r="A138" t="s">
        <v>22</v>
      </c>
      <c r="B138">
        <v>59</v>
      </c>
      <c r="C138">
        <v>66.099999999999994</v>
      </c>
      <c r="D138">
        <v>1.67</v>
      </c>
      <c r="E138">
        <v>23.7</v>
      </c>
      <c r="F138">
        <f t="shared" si="9"/>
        <v>23.70110079242712</v>
      </c>
      <c r="G138">
        <f t="shared" si="8"/>
        <v>0</v>
      </c>
      <c r="H138" t="s">
        <v>1398</v>
      </c>
      <c r="I138">
        <v>85.2</v>
      </c>
      <c r="J138" t="s">
        <v>167</v>
      </c>
      <c r="K138" s="24">
        <v>130</v>
      </c>
      <c r="L138" s="24">
        <v>95</v>
      </c>
      <c r="M138">
        <v>169</v>
      </c>
      <c r="N138" t="s">
        <v>1433</v>
      </c>
      <c r="O138">
        <v>52</v>
      </c>
      <c r="P138">
        <v>75</v>
      </c>
      <c r="Q138" t="s">
        <v>24</v>
      </c>
      <c r="R138" t="s">
        <v>24</v>
      </c>
      <c r="S138" t="s">
        <v>26</v>
      </c>
      <c r="T138" t="s">
        <v>24</v>
      </c>
      <c r="U138">
        <f t="shared" si="10"/>
        <v>1</v>
      </c>
      <c r="V138">
        <v>167</v>
      </c>
      <c r="W138">
        <v>0.51</v>
      </c>
      <c r="X138" t="s">
        <v>1406</v>
      </c>
      <c r="Y138">
        <v>130</v>
      </c>
      <c r="Z138">
        <v>95</v>
      </c>
      <c r="AA138" t="s">
        <v>31</v>
      </c>
      <c r="AB138">
        <v>87</v>
      </c>
      <c r="AC138" s="23">
        <v>1.67</v>
      </c>
      <c r="AD138" t="str">
        <f>IF(AND('CVD Dataset'!AA138="Normal",'CVD Dataset'!AB138&gt;AVERAGE('CVD Dataset'!AB:AB),'CVD Dataset'!AF138="High"),"High Lipid Category","Normal Category")</f>
        <v>Normal Category</v>
      </c>
      <c r="AE138">
        <v>14.62</v>
      </c>
      <c r="AF138" t="s">
        <v>28</v>
      </c>
      <c r="AG138">
        <v>0</v>
      </c>
      <c r="AH138" t="s">
        <v>1380</v>
      </c>
      <c r="AI138">
        <f t="shared" si="11"/>
        <v>0</v>
      </c>
      <c r="AJ138" t="s">
        <v>1391</v>
      </c>
    </row>
    <row r="139" spans="1:36" x14ac:dyDescent="0.3">
      <c r="A139" t="s">
        <v>33</v>
      </c>
      <c r="B139">
        <v>33</v>
      </c>
      <c r="C139">
        <v>108.4</v>
      </c>
      <c r="D139">
        <v>1.9</v>
      </c>
      <c r="E139">
        <v>30</v>
      </c>
      <c r="F139">
        <f t="shared" si="9"/>
        <v>30.027700831024934</v>
      </c>
      <c r="G139">
        <f t="shared" si="8"/>
        <v>0</v>
      </c>
      <c r="H139" t="s">
        <v>1399</v>
      </c>
      <c r="I139">
        <v>84.8</v>
      </c>
      <c r="J139" t="s">
        <v>168</v>
      </c>
      <c r="K139" s="24">
        <v>140</v>
      </c>
      <c r="L139" s="24">
        <v>85</v>
      </c>
      <c r="M139">
        <v>132</v>
      </c>
      <c r="N139" t="s">
        <v>1434</v>
      </c>
      <c r="O139">
        <v>54</v>
      </c>
      <c r="P139">
        <v>130</v>
      </c>
      <c r="Q139" t="s">
        <v>24</v>
      </c>
      <c r="R139" t="s">
        <v>24</v>
      </c>
      <c r="S139" t="s">
        <v>39</v>
      </c>
      <c r="T139" t="s">
        <v>25</v>
      </c>
      <c r="U139">
        <f t="shared" si="10"/>
        <v>1</v>
      </c>
      <c r="V139">
        <v>190</v>
      </c>
      <c r="W139">
        <v>0.44600000000000001</v>
      </c>
      <c r="X139" t="s">
        <v>1408</v>
      </c>
      <c r="Y139">
        <v>140</v>
      </c>
      <c r="Z139">
        <v>85</v>
      </c>
      <c r="AA139" t="s">
        <v>31</v>
      </c>
      <c r="AB139">
        <v>48</v>
      </c>
      <c r="AC139" s="23">
        <v>0.89</v>
      </c>
      <c r="AD139" t="str">
        <f>IF(AND('CVD Dataset'!AA139="Normal",'CVD Dataset'!AB139&gt;AVERAGE('CVD Dataset'!AB:AB),'CVD Dataset'!AF139="High"),"High Lipid Category","Normal Category")</f>
        <v>Normal Category</v>
      </c>
      <c r="AE139">
        <v>15.64</v>
      </c>
      <c r="AF139" t="s">
        <v>28</v>
      </c>
      <c r="AG139">
        <v>0</v>
      </c>
      <c r="AH139" t="s">
        <v>1380</v>
      </c>
      <c r="AI139">
        <f t="shared" si="11"/>
        <v>0</v>
      </c>
      <c r="AJ139" t="s">
        <v>1391</v>
      </c>
    </row>
    <row r="140" spans="1:36" x14ac:dyDescent="0.3">
      <c r="A140" t="s">
        <v>22</v>
      </c>
      <c r="B140">
        <v>54</v>
      </c>
      <c r="C140">
        <v>74.099999999999994</v>
      </c>
      <c r="D140">
        <v>1.87</v>
      </c>
      <c r="E140">
        <v>21.2</v>
      </c>
      <c r="F140">
        <f t="shared" si="9"/>
        <v>21.190197031656606</v>
      </c>
      <c r="G140">
        <f t="shared" si="8"/>
        <v>0</v>
      </c>
      <c r="H140" t="s">
        <v>1398</v>
      </c>
      <c r="I140">
        <v>105.8</v>
      </c>
      <c r="J140" t="s">
        <v>169</v>
      </c>
      <c r="K140" s="24">
        <v>138</v>
      </c>
      <c r="L140" s="24">
        <v>73</v>
      </c>
      <c r="M140">
        <v>171</v>
      </c>
      <c r="N140" t="s">
        <v>1433</v>
      </c>
      <c r="O140">
        <v>37</v>
      </c>
      <c r="P140">
        <v>84</v>
      </c>
      <c r="Q140" t="s">
        <v>25</v>
      </c>
      <c r="R140" t="s">
        <v>24</v>
      </c>
      <c r="S140" t="s">
        <v>26</v>
      </c>
      <c r="T140" t="s">
        <v>24</v>
      </c>
      <c r="U140">
        <f t="shared" si="10"/>
        <v>2</v>
      </c>
      <c r="V140">
        <v>187</v>
      </c>
      <c r="W140">
        <v>0.56599999999999995</v>
      </c>
      <c r="X140" t="s">
        <v>1407</v>
      </c>
      <c r="Y140">
        <v>138</v>
      </c>
      <c r="Z140">
        <v>73</v>
      </c>
      <c r="AA140" t="s">
        <v>31</v>
      </c>
      <c r="AB140">
        <v>104</v>
      </c>
      <c r="AC140" s="23">
        <v>2.81</v>
      </c>
      <c r="AD140" t="str">
        <f>IF(AND('CVD Dataset'!AA140="Normal",'CVD Dataset'!AB140&gt;AVERAGE('CVD Dataset'!AB:AB),'CVD Dataset'!AF140="High"),"High Lipid Category","Normal Category")</f>
        <v>Normal Category</v>
      </c>
      <c r="AE140">
        <v>14.56</v>
      </c>
      <c r="AF140" t="s">
        <v>32</v>
      </c>
      <c r="AG140">
        <v>0</v>
      </c>
      <c r="AH140" t="s">
        <v>1379</v>
      </c>
      <c r="AI140">
        <f t="shared" si="11"/>
        <v>1</v>
      </c>
      <c r="AJ140" t="s">
        <v>1391</v>
      </c>
    </row>
    <row r="141" spans="1:36" x14ac:dyDescent="0.3">
      <c r="A141" t="s">
        <v>22</v>
      </c>
      <c r="B141">
        <v>52</v>
      </c>
      <c r="C141">
        <v>102.6</v>
      </c>
      <c r="E141">
        <v>40.1</v>
      </c>
      <c r="F141" t="str">
        <f t="shared" si="9"/>
        <v/>
      </c>
      <c r="G141" t="str">
        <f t="shared" si="8"/>
        <v/>
      </c>
      <c r="H141" t="s">
        <v>1399</v>
      </c>
      <c r="I141">
        <v>103.2</v>
      </c>
      <c r="J141" t="s">
        <v>170</v>
      </c>
      <c r="K141" s="24">
        <v>101</v>
      </c>
      <c r="L141" s="24">
        <v>82</v>
      </c>
      <c r="M141">
        <v>144</v>
      </c>
      <c r="N141" t="s">
        <v>1434</v>
      </c>
      <c r="O141">
        <v>63</v>
      </c>
      <c r="P141">
        <v>148</v>
      </c>
      <c r="Q141" t="s">
        <v>25</v>
      </c>
      <c r="R141" t="s">
        <v>25</v>
      </c>
      <c r="S141" t="s">
        <v>39</v>
      </c>
      <c r="T141" t="s">
        <v>25</v>
      </c>
      <c r="U141">
        <f t="shared" si="10"/>
        <v>3</v>
      </c>
      <c r="V141">
        <v>160</v>
      </c>
      <c r="W141">
        <v>0.64500000000000002</v>
      </c>
      <c r="X141" t="s">
        <v>1409</v>
      </c>
      <c r="Y141">
        <v>101</v>
      </c>
      <c r="Z141">
        <v>82</v>
      </c>
      <c r="AA141" t="s">
        <v>31</v>
      </c>
      <c r="AB141">
        <v>51</v>
      </c>
      <c r="AC141" s="23">
        <v>0.81</v>
      </c>
      <c r="AD141" t="str">
        <f>IF(AND('CVD Dataset'!AA141="Normal",'CVD Dataset'!AB141&gt;AVERAGE('CVD Dataset'!AB:AB),'CVD Dataset'!AF141="High"),"High Lipid Category","Normal Category")</f>
        <v>Normal Category</v>
      </c>
      <c r="AE141">
        <v>17.95</v>
      </c>
      <c r="AF141" t="s">
        <v>32</v>
      </c>
      <c r="AG141">
        <v>1</v>
      </c>
      <c r="AH141" t="s">
        <v>1379</v>
      </c>
      <c r="AI141">
        <f t="shared" si="11"/>
        <v>1</v>
      </c>
      <c r="AJ141" t="s">
        <v>1392</v>
      </c>
    </row>
    <row r="142" spans="1:36" x14ac:dyDescent="0.3">
      <c r="A142" t="s">
        <v>33</v>
      </c>
      <c r="B142">
        <v>54</v>
      </c>
      <c r="C142">
        <v>69.5</v>
      </c>
      <c r="D142">
        <v>1.71</v>
      </c>
      <c r="E142">
        <v>23.8</v>
      </c>
      <c r="F142">
        <f t="shared" si="9"/>
        <v>23.767996990527003</v>
      </c>
      <c r="G142">
        <f t="shared" si="8"/>
        <v>0</v>
      </c>
      <c r="H142" t="s">
        <v>1398</v>
      </c>
      <c r="I142">
        <v>77.400000000000006</v>
      </c>
      <c r="J142" t="s">
        <v>171</v>
      </c>
      <c r="K142" s="24">
        <v>126</v>
      </c>
      <c r="L142" s="24">
        <v>64</v>
      </c>
      <c r="M142">
        <v>151</v>
      </c>
      <c r="N142" t="s">
        <v>1433</v>
      </c>
      <c r="O142">
        <v>74</v>
      </c>
      <c r="P142">
        <v>116</v>
      </c>
      <c r="Q142" t="s">
        <v>25</v>
      </c>
      <c r="R142" t="s">
        <v>25</v>
      </c>
      <c r="S142" t="s">
        <v>30</v>
      </c>
      <c r="T142" t="s">
        <v>24</v>
      </c>
      <c r="U142">
        <f t="shared" si="10"/>
        <v>2</v>
      </c>
      <c r="V142">
        <v>171</v>
      </c>
      <c r="W142">
        <v>0.45300000000000001</v>
      </c>
      <c r="X142" t="s">
        <v>1408</v>
      </c>
      <c r="Y142">
        <v>126</v>
      </c>
      <c r="Z142">
        <v>64</v>
      </c>
      <c r="AA142" t="s">
        <v>27</v>
      </c>
      <c r="AB142">
        <v>47</v>
      </c>
      <c r="AC142" s="23">
        <v>0.64</v>
      </c>
      <c r="AD142" t="str">
        <f>IF(AND('CVD Dataset'!AA142="Normal",'CVD Dataset'!AB142&gt;AVERAGE('CVD Dataset'!AB:AB),'CVD Dataset'!AF142="High"),"High Lipid Category","Normal Category")</f>
        <v>Normal Category</v>
      </c>
      <c r="AE142">
        <v>16.079999999999998</v>
      </c>
      <c r="AF142" t="s">
        <v>28</v>
      </c>
      <c r="AG142">
        <v>0</v>
      </c>
      <c r="AH142" t="s">
        <v>1380</v>
      </c>
      <c r="AI142">
        <f t="shared" si="11"/>
        <v>0</v>
      </c>
      <c r="AJ142" t="s">
        <v>1391</v>
      </c>
    </row>
    <row r="143" spans="1:36" x14ac:dyDescent="0.3">
      <c r="A143" t="s">
        <v>22</v>
      </c>
      <c r="B143">
        <v>53</v>
      </c>
      <c r="C143">
        <v>119.5</v>
      </c>
      <c r="D143">
        <v>1.82</v>
      </c>
      <c r="E143">
        <v>36.1</v>
      </c>
      <c r="F143">
        <f t="shared" si="9"/>
        <v>36.076560801835527</v>
      </c>
      <c r="G143">
        <f t="shared" ref="G143:G206" si="12">IFERROR(IF(ABS(E143 - F143) &lt;= 0.1, 0, 1),"")</f>
        <v>0</v>
      </c>
      <c r="H143" t="s">
        <v>1399</v>
      </c>
      <c r="I143">
        <v>102.5</v>
      </c>
      <c r="J143" t="s">
        <v>172</v>
      </c>
      <c r="K143" s="24">
        <v>135</v>
      </c>
      <c r="L143" s="24">
        <v>82</v>
      </c>
      <c r="M143">
        <v>256</v>
      </c>
      <c r="N143" t="s">
        <v>1432</v>
      </c>
      <c r="O143">
        <v>33</v>
      </c>
      <c r="P143">
        <v>125</v>
      </c>
      <c r="Q143" t="s">
        <v>24</v>
      </c>
      <c r="R143" t="s">
        <v>25</v>
      </c>
      <c r="S143" t="s">
        <v>39</v>
      </c>
      <c r="T143" t="s">
        <v>25</v>
      </c>
      <c r="U143">
        <f t="shared" si="10"/>
        <v>2</v>
      </c>
      <c r="V143">
        <v>182</v>
      </c>
      <c r="W143">
        <v>0.56299999999999994</v>
      </c>
      <c r="X143" t="s">
        <v>1407</v>
      </c>
      <c r="Y143">
        <v>135</v>
      </c>
      <c r="Z143">
        <v>82</v>
      </c>
      <c r="AA143" t="s">
        <v>31</v>
      </c>
      <c r="AB143">
        <v>193</v>
      </c>
      <c r="AC143" s="23">
        <v>5.85</v>
      </c>
      <c r="AD143" t="str">
        <f>IF(AND('CVD Dataset'!AA143="Normal",'CVD Dataset'!AB143&gt;AVERAGE('CVD Dataset'!AB:AB),'CVD Dataset'!AF143="High"),"High Lipid Category","Normal Category")</f>
        <v>Normal Category</v>
      </c>
      <c r="AE143">
        <v>21.09</v>
      </c>
      <c r="AF143" t="s">
        <v>32</v>
      </c>
      <c r="AG143">
        <v>0</v>
      </c>
      <c r="AH143" t="s">
        <v>1379</v>
      </c>
      <c r="AI143">
        <f t="shared" si="11"/>
        <v>1</v>
      </c>
      <c r="AJ143" t="s">
        <v>1392</v>
      </c>
    </row>
    <row r="144" spans="1:36" x14ac:dyDescent="0.3">
      <c r="A144" t="s">
        <v>33</v>
      </c>
      <c r="B144">
        <v>57</v>
      </c>
      <c r="C144">
        <v>108.7</v>
      </c>
      <c r="D144">
        <v>1.81</v>
      </c>
      <c r="E144">
        <v>33.200000000000003</v>
      </c>
      <c r="F144">
        <f t="shared" si="9"/>
        <v>33.179695369494219</v>
      </c>
      <c r="G144">
        <f t="shared" si="12"/>
        <v>0</v>
      </c>
      <c r="H144" t="s">
        <v>1399</v>
      </c>
      <c r="I144">
        <v>84</v>
      </c>
      <c r="J144" t="s">
        <v>173</v>
      </c>
      <c r="K144" s="24">
        <v>150</v>
      </c>
      <c r="L144" s="24">
        <v>71</v>
      </c>
      <c r="M144">
        <v>158</v>
      </c>
      <c r="N144" t="s">
        <v>1433</v>
      </c>
      <c r="O144">
        <v>33</v>
      </c>
      <c r="P144">
        <v>114</v>
      </c>
      <c r="Q144" t="s">
        <v>25</v>
      </c>
      <c r="R144" t="s">
        <v>25</v>
      </c>
      <c r="S144" t="s">
        <v>30</v>
      </c>
      <c r="T144" t="s">
        <v>24</v>
      </c>
      <c r="U144">
        <f t="shared" si="10"/>
        <v>2</v>
      </c>
      <c r="V144">
        <v>181</v>
      </c>
      <c r="W144">
        <v>0.46400000000000002</v>
      </c>
      <c r="X144" t="s">
        <v>1406</v>
      </c>
      <c r="Z144">
        <v>71</v>
      </c>
      <c r="AA144" t="s">
        <v>40</v>
      </c>
      <c r="AB144">
        <v>95</v>
      </c>
      <c r="AC144" s="23">
        <v>2.88</v>
      </c>
      <c r="AD144" t="str">
        <f>IF(AND('CVD Dataset'!AA144="Normal",'CVD Dataset'!AB144&gt;AVERAGE('CVD Dataset'!AB:AB),'CVD Dataset'!AF144="High"),"High Lipid Category","Normal Category")</f>
        <v>Normal Category</v>
      </c>
      <c r="AE144">
        <v>19.3</v>
      </c>
      <c r="AF144" t="s">
        <v>32</v>
      </c>
      <c r="AG144">
        <v>0</v>
      </c>
      <c r="AH144" t="s">
        <v>1379</v>
      </c>
      <c r="AI144">
        <f t="shared" si="11"/>
        <v>1</v>
      </c>
      <c r="AJ144" t="s">
        <v>1392</v>
      </c>
    </row>
    <row r="145" spans="1:36" x14ac:dyDescent="0.3">
      <c r="A145" t="s">
        <v>33</v>
      </c>
      <c r="B145">
        <v>33</v>
      </c>
      <c r="C145">
        <v>118.3</v>
      </c>
      <c r="D145">
        <v>1.69</v>
      </c>
      <c r="E145">
        <v>41.4</v>
      </c>
      <c r="F145">
        <f t="shared" si="9"/>
        <v>41.42011834319527</v>
      </c>
      <c r="G145">
        <f t="shared" si="12"/>
        <v>0</v>
      </c>
      <c r="H145" t="s">
        <v>1399</v>
      </c>
      <c r="I145">
        <v>72.099999999999994</v>
      </c>
      <c r="J145" t="s">
        <v>174</v>
      </c>
      <c r="K145" s="24">
        <v>116</v>
      </c>
      <c r="L145" s="24">
        <v>93</v>
      </c>
      <c r="M145">
        <v>171</v>
      </c>
      <c r="N145" t="s">
        <v>1433</v>
      </c>
      <c r="O145">
        <v>44</v>
      </c>
      <c r="P145">
        <v>145</v>
      </c>
      <c r="Q145" t="s">
        <v>24</v>
      </c>
      <c r="R145" t="s">
        <v>24</v>
      </c>
      <c r="S145" t="s">
        <v>39</v>
      </c>
      <c r="T145" t="s">
        <v>24</v>
      </c>
      <c r="U145">
        <f t="shared" si="10"/>
        <v>0</v>
      </c>
      <c r="W145">
        <v>0.42699999999999999</v>
      </c>
      <c r="X145" t="s">
        <v>1408</v>
      </c>
      <c r="Y145">
        <v>116</v>
      </c>
      <c r="Z145">
        <v>93</v>
      </c>
      <c r="AA145" t="s">
        <v>40</v>
      </c>
      <c r="AB145">
        <v>97</v>
      </c>
      <c r="AC145" s="23">
        <v>2.2000000000000002</v>
      </c>
      <c r="AD145" t="str">
        <f>IF(AND('CVD Dataset'!AA145="Normal",'CVD Dataset'!AB145&gt;AVERAGE('CVD Dataset'!AB:AB),'CVD Dataset'!AF145="High"),"High Lipid Category","Normal Category")</f>
        <v>Normal Category</v>
      </c>
      <c r="AE145">
        <v>17.5</v>
      </c>
      <c r="AF145" t="s">
        <v>54</v>
      </c>
      <c r="AG145">
        <v>0</v>
      </c>
      <c r="AH145" t="s">
        <v>1380</v>
      </c>
      <c r="AI145">
        <f t="shared" si="11"/>
        <v>0</v>
      </c>
      <c r="AJ145" t="s">
        <v>1391</v>
      </c>
    </row>
    <row r="146" spans="1:36" x14ac:dyDescent="0.3">
      <c r="A146" t="s">
        <v>22</v>
      </c>
      <c r="B146">
        <v>54</v>
      </c>
      <c r="C146">
        <v>67.2</v>
      </c>
      <c r="D146">
        <v>1.88</v>
      </c>
      <c r="E146">
        <v>19</v>
      </c>
      <c r="F146">
        <f t="shared" si="9"/>
        <v>19.013128112267996</v>
      </c>
      <c r="G146">
        <f t="shared" si="12"/>
        <v>0</v>
      </c>
      <c r="H146" t="s">
        <v>1398</v>
      </c>
      <c r="I146">
        <v>71.400000000000006</v>
      </c>
      <c r="J146" t="s">
        <v>175</v>
      </c>
      <c r="K146" s="24">
        <v>96</v>
      </c>
      <c r="L146" s="24">
        <v>90</v>
      </c>
      <c r="M146">
        <v>128</v>
      </c>
      <c r="N146" t="s">
        <v>1434</v>
      </c>
      <c r="P146">
        <v>133</v>
      </c>
      <c r="Q146" t="s">
        <v>24</v>
      </c>
      <c r="R146" t="s">
        <v>25</v>
      </c>
      <c r="S146" t="s">
        <v>39</v>
      </c>
      <c r="T146" t="s">
        <v>24</v>
      </c>
      <c r="U146">
        <f t="shared" si="10"/>
        <v>1</v>
      </c>
      <c r="V146">
        <v>188</v>
      </c>
      <c r="W146">
        <v>0.38</v>
      </c>
      <c r="X146" t="s">
        <v>1408</v>
      </c>
      <c r="Z146">
        <v>90</v>
      </c>
      <c r="AA146" t="s">
        <v>40</v>
      </c>
      <c r="AB146">
        <v>55</v>
      </c>
      <c r="AC146" s="23" t="s">
        <v>1410</v>
      </c>
      <c r="AD146" t="str">
        <f>IF(AND('CVD Dataset'!AA146="Normal",'CVD Dataset'!AB146&gt;AVERAGE('CVD Dataset'!AB:AB),'CVD Dataset'!AF146="High"),"High Lipid Category","Normal Category")</f>
        <v>Normal Category</v>
      </c>
      <c r="AE146">
        <v>13.16</v>
      </c>
      <c r="AF146" t="s">
        <v>28</v>
      </c>
      <c r="AG146">
        <v>0</v>
      </c>
      <c r="AH146" t="s">
        <v>1380</v>
      </c>
      <c r="AI146">
        <f t="shared" si="11"/>
        <v>0</v>
      </c>
      <c r="AJ146" t="s">
        <v>1392</v>
      </c>
    </row>
    <row r="147" spans="1:36" x14ac:dyDescent="0.3">
      <c r="A147" t="s">
        <v>22</v>
      </c>
      <c r="B147">
        <v>38</v>
      </c>
      <c r="C147">
        <v>111.4</v>
      </c>
      <c r="D147">
        <v>1.76</v>
      </c>
      <c r="E147">
        <v>36</v>
      </c>
      <c r="F147">
        <f t="shared" si="9"/>
        <v>35.963326446280995</v>
      </c>
      <c r="G147">
        <f t="shared" si="12"/>
        <v>0</v>
      </c>
      <c r="H147" t="s">
        <v>1399</v>
      </c>
      <c r="I147">
        <v>98.7</v>
      </c>
      <c r="J147" t="s">
        <v>176</v>
      </c>
      <c r="K147" s="24">
        <v>117</v>
      </c>
      <c r="L147" s="24">
        <v>93</v>
      </c>
      <c r="M147">
        <v>263</v>
      </c>
      <c r="N147" t="s">
        <v>1432</v>
      </c>
      <c r="O147">
        <v>45</v>
      </c>
      <c r="P147">
        <v>98</v>
      </c>
      <c r="Q147" t="s">
        <v>24</v>
      </c>
      <c r="R147" t="s">
        <v>25</v>
      </c>
      <c r="S147" t="s">
        <v>30</v>
      </c>
      <c r="T147" t="s">
        <v>24</v>
      </c>
      <c r="U147">
        <f t="shared" si="10"/>
        <v>1</v>
      </c>
      <c r="V147">
        <v>176</v>
      </c>
      <c r="W147">
        <v>0.56100000000000005</v>
      </c>
      <c r="X147" t="s">
        <v>1407</v>
      </c>
      <c r="Y147">
        <v>117</v>
      </c>
      <c r="Z147">
        <v>93</v>
      </c>
      <c r="AA147" t="s">
        <v>40</v>
      </c>
      <c r="AB147">
        <v>188</v>
      </c>
      <c r="AC147" s="23">
        <v>4.18</v>
      </c>
      <c r="AD147" t="str">
        <f>IF(AND('CVD Dataset'!AA147="Normal",'CVD Dataset'!AB147&gt;AVERAGE('CVD Dataset'!AB:AB),'CVD Dataset'!AF147="High"),"High Lipid Category","Normal Category")</f>
        <v>Normal Category</v>
      </c>
      <c r="AE147">
        <v>20.309999999999999</v>
      </c>
      <c r="AF147" t="s">
        <v>28</v>
      </c>
      <c r="AG147">
        <v>0</v>
      </c>
      <c r="AH147" t="s">
        <v>1380</v>
      </c>
      <c r="AI147">
        <f t="shared" si="11"/>
        <v>0</v>
      </c>
      <c r="AJ147" t="s">
        <v>1391</v>
      </c>
    </row>
    <row r="148" spans="1:36" x14ac:dyDescent="0.3">
      <c r="A148" t="s">
        <v>33</v>
      </c>
      <c r="B148">
        <v>51</v>
      </c>
      <c r="C148">
        <v>57.5</v>
      </c>
      <c r="D148">
        <v>1.69</v>
      </c>
      <c r="E148">
        <v>20.100000000000001</v>
      </c>
      <c r="F148">
        <f t="shared" si="9"/>
        <v>20.132348307132105</v>
      </c>
      <c r="G148">
        <f t="shared" si="12"/>
        <v>0</v>
      </c>
      <c r="H148" t="s">
        <v>1398</v>
      </c>
      <c r="I148">
        <v>99.1</v>
      </c>
      <c r="J148" t="s">
        <v>78</v>
      </c>
      <c r="K148" s="24">
        <v>105</v>
      </c>
      <c r="L148" s="24">
        <v>64</v>
      </c>
      <c r="M148">
        <v>137</v>
      </c>
      <c r="N148" t="s">
        <v>1434</v>
      </c>
      <c r="O148">
        <v>57</v>
      </c>
      <c r="P148">
        <v>84</v>
      </c>
      <c r="Q148" t="s">
        <v>25</v>
      </c>
      <c r="R148" t="s">
        <v>25</v>
      </c>
      <c r="S148" t="s">
        <v>26</v>
      </c>
      <c r="T148" t="s">
        <v>25</v>
      </c>
      <c r="U148">
        <f t="shared" si="10"/>
        <v>4</v>
      </c>
      <c r="V148">
        <v>169</v>
      </c>
      <c r="W148">
        <v>0.58599999999999997</v>
      </c>
      <c r="X148" t="s">
        <v>1409</v>
      </c>
      <c r="Y148">
        <v>105</v>
      </c>
      <c r="Z148">
        <v>64</v>
      </c>
      <c r="AA148" t="s">
        <v>35</v>
      </c>
      <c r="AB148">
        <v>50</v>
      </c>
      <c r="AC148" s="23">
        <v>0.88</v>
      </c>
      <c r="AD148" t="str">
        <f>IF(AND('CVD Dataset'!AA148="Normal",'CVD Dataset'!AB148&gt;AVERAGE('CVD Dataset'!AB:AB),'CVD Dataset'!AF148="High"),"High Lipid Category","Normal Category")</f>
        <v>Normal Category</v>
      </c>
      <c r="AE148">
        <v>14.01</v>
      </c>
      <c r="AF148" t="s">
        <v>32</v>
      </c>
      <c r="AG148">
        <v>0</v>
      </c>
      <c r="AH148" t="s">
        <v>1379</v>
      </c>
      <c r="AI148">
        <f t="shared" si="11"/>
        <v>1</v>
      </c>
      <c r="AJ148" t="s">
        <v>1391</v>
      </c>
    </row>
    <row r="149" spans="1:36" x14ac:dyDescent="0.3">
      <c r="A149" t="s">
        <v>33</v>
      </c>
      <c r="B149">
        <v>51</v>
      </c>
      <c r="C149">
        <v>57.6</v>
      </c>
      <c r="D149">
        <v>1.81</v>
      </c>
      <c r="E149">
        <v>17.600000000000001</v>
      </c>
      <c r="F149">
        <f t="shared" si="9"/>
        <v>17.581880894966577</v>
      </c>
      <c r="G149">
        <f t="shared" si="12"/>
        <v>0</v>
      </c>
      <c r="H149" t="s">
        <v>1401</v>
      </c>
      <c r="I149">
        <v>100</v>
      </c>
      <c r="J149" t="s">
        <v>177</v>
      </c>
      <c r="K149" s="24">
        <v>97</v>
      </c>
      <c r="L149" s="24">
        <v>84</v>
      </c>
      <c r="M149">
        <v>137</v>
      </c>
      <c r="N149" t="s">
        <v>1434</v>
      </c>
      <c r="O149">
        <v>48</v>
      </c>
      <c r="P149">
        <v>113</v>
      </c>
      <c r="Q149" t="s">
        <v>25</v>
      </c>
      <c r="R149" t="s">
        <v>24</v>
      </c>
      <c r="S149" t="s">
        <v>30</v>
      </c>
      <c r="T149" t="s">
        <v>24</v>
      </c>
      <c r="U149">
        <f t="shared" si="10"/>
        <v>1</v>
      </c>
      <c r="V149">
        <v>181</v>
      </c>
      <c r="W149">
        <v>0.55200000000000005</v>
      </c>
      <c r="X149" t="s">
        <v>1407</v>
      </c>
      <c r="Y149">
        <v>97</v>
      </c>
      <c r="Z149">
        <v>84</v>
      </c>
      <c r="AA149" t="s">
        <v>31</v>
      </c>
      <c r="AB149">
        <v>59</v>
      </c>
      <c r="AC149" s="23">
        <v>1.23</v>
      </c>
      <c r="AD149" t="str">
        <f>IF(AND('CVD Dataset'!AA149="Normal",'CVD Dataset'!AB149&gt;AVERAGE('CVD Dataset'!AB:AB),'CVD Dataset'!AF149="High"),"High Lipid Category","Normal Category")</f>
        <v>Normal Category</v>
      </c>
      <c r="AE149">
        <v>11.11</v>
      </c>
      <c r="AF149" t="s">
        <v>28</v>
      </c>
      <c r="AG149">
        <v>0</v>
      </c>
      <c r="AH149" t="s">
        <v>1380</v>
      </c>
      <c r="AI149">
        <f t="shared" si="11"/>
        <v>0</v>
      </c>
      <c r="AJ149" t="s">
        <v>1391</v>
      </c>
    </row>
    <row r="150" spans="1:36" x14ac:dyDescent="0.3">
      <c r="A150" t="s">
        <v>22</v>
      </c>
      <c r="B150">
        <v>54</v>
      </c>
      <c r="C150">
        <v>98.8</v>
      </c>
      <c r="D150">
        <v>1.69</v>
      </c>
      <c r="E150">
        <v>34.6</v>
      </c>
      <c r="F150">
        <f t="shared" si="9"/>
        <v>34.592626308602647</v>
      </c>
      <c r="G150">
        <f t="shared" si="12"/>
        <v>0</v>
      </c>
      <c r="H150" t="s">
        <v>1399</v>
      </c>
      <c r="I150">
        <v>108.6</v>
      </c>
      <c r="J150" t="s">
        <v>178</v>
      </c>
      <c r="K150" s="24">
        <v>145</v>
      </c>
      <c r="L150" s="24">
        <v>96</v>
      </c>
      <c r="M150">
        <v>258</v>
      </c>
      <c r="N150" t="s">
        <v>1432</v>
      </c>
      <c r="O150">
        <v>44</v>
      </c>
      <c r="P150">
        <v>83</v>
      </c>
      <c r="Q150" t="s">
        <v>24</v>
      </c>
      <c r="R150" t="s">
        <v>24</v>
      </c>
      <c r="S150" t="s">
        <v>26</v>
      </c>
      <c r="T150" t="s">
        <v>24</v>
      </c>
      <c r="U150">
        <f t="shared" si="10"/>
        <v>1</v>
      </c>
      <c r="V150">
        <v>169</v>
      </c>
      <c r="W150">
        <v>0.64300000000000002</v>
      </c>
      <c r="X150" t="s">
        <v>1409</v>
      </c>
      <c r="Y150">
        <v>145</v>
      </c>
      <c r="Z150">
        <v>96</v>
      </c>
      <c r="AA150" t="s">
        <v>40</v>
      </c>
      <c r="AB150">
        <v>184</v>
      </c>
      <c r="AC150" s="23">
        <v>4.18</v>
      </c>
      <c r="AD150" t="str">
        <f>IF(AND('CVD Dataset'!AA150="Normal",'CVD Dataset'!AB150&gt;AVERAGE('CVD Dataset'!AB:AB),'CVD Dataset'!AF150="High"),"High Lipid Category","Normal Category")</f>
        <v>Normal Category</v>
      </c>
      <c r="AE150">
        <v>19.329999999999998</v>
      </c>
      <c r="AF150" t="s">
        <v>32</v>
      </c>
      <c r="AG150">
        <v>0</v>
      </c>
      <c r="AH150" t="s">
        <v>1379</v>
      </c>
      <c r="AI150">
        <f t="shared" si="11"/>
        <v>1</v>
      </c>
      <c r="AJ150" t="s">
        <v>1391</v>
      </c>
    </row>
    <row r="151" spans="1:36" x14ac:dyDescent="0.3">
      <c r="A151" t="s">
        <v>33</v>
      </c>
      <c r="B151">
        <v>49</v>
      </c>
      <c r="C151">
        <v>50.6</v>
      </c>
      <c r="D151">
        <v>1.81</v>
      </c>
      <c r="E151">
        <v>15.4</v>
      </c>
      <c r="F151">
        <f t="shared" si="9"/>
        <v>15.445193980647721</v>
      </c>
      <c r="G151">
        <f t="shared" si="12"/>
        <v>0</v>
      </c>
      <c r="H151" t="s">
        <v>1401</v>
      </c>
      <c r="J151" t="s">
        <v>179</v>
      </c>
      <c r="K151" s="24">
        <v>127</v>
      </c>
      <c r="L151" s="24">
        <v>77</v>
      </c>
      <c r="M151">
        <v>227</v>
      </c>
      <c r="N151" t="s">
        <v>1432</v>
      </c>
      <c r="O151">
        <v>32</v>
      </c>
      <c r="P151">
        <v>88</v>
      </c>
      <c r="Q151" t="s">
        <v>25</v>
      </c>
      <c r="R151" t="s">
        <v>24</v>
      </c>
      <c r="S151" t="s">
        <v>26</v>
      </c>
      <c r="T151" t="s">
        <v>24</v>
      </c>
      <c r="U151">
        <f t="shared" si="10"/>
        <v>2</v>
      </c>
      <c r="V151">
        <v>181</v>
      </c>
      <c r="W151">
        <v>0.40200000000000002</v>
      </c>
      <c r="X151" t="s">
        <v>1408</v>
      </c>
      <c r="Z151">
        <v>77</v>
      </c>
      <c r="AA151" t="s">
        <v>27</v>
      </c>
      <c r="AB151">
        <v>165</v>
      </c>
      <c r="AC151" s="23">
        <v>5.16</v>
      </c>
      <c r="AD151" t="str">
        <f>IF(AND('CVD Dataset'!AA151="Normal",'CVD Dataset'!AB151&gt;AVERAGE('CVD Dataset'!AB:AB),'CVD Dataset'!AF151="High"),"High Lipid Category","Normal Category")</f>
        <v>Normal Category</v>
      </c>
      <c r="AE151">
        <v>13.97</v>
      </c>
      <c r="AF151" t="s">
        <v>32</v>
      </c>
      <c r="AG151">
        <v>0</v>
      </c>
      <c r="AH151" t="s">
        <v>1379</v>
      </c>
      <c r="AI151">
        <f t="shared" si="11"/>
        <v>1</v>
      </c>
      <c r="AJ151" t="s">
        <v>1391</v>
      </c>
    </row>
    <row r="152" spans="1:36" x14ac:dyDescent="0.3">
      <c r="A152" t="s">
        <v>33</v>
      </c>
      <c r="B152">
        <v>45</v>
      </c>
      <c r="C152">
        <v>110.9</v>
      </c>
      <c r="D152">
        <v>1.62</v>
      </c>
      <c r="E152">
        <v>42.3</v>
      </c>
      <c r="F152">
        <f t="shared" si="9"/>
        <v>42.25727785398567</v>
      </c>
      <c r="G152">
        <f t="shared" si="12"/>
        <v>0</v>
      </c>
      <c r="H152" t="s">
        <v>1399</v>
      </c>
      <c r="I152">
        <v>109.5</v>
      </c>
      <c r="J152" t="s">
        <v>180</v>
      </c>
      <c r="K152" s="24">
        <v>98</v>
      </c>
      <c r="L152" s="24">
        <v>60</v>
      </c>
      <c r="M152">
        <v>199</v>
      </c>
      <c r="N152" t="s">
        <v>1432</v>
      </c>
      <c r="O152">
        <v>30</v>
      </c>
      <c r="P152">
        <v>150</v>
      </c>
      <c r="Q152" t="s">
        <v>25</v>
      </c>
      <c r="R152" t="s">
        <v>24</v>
      </c>
      <c r="S152" t="s">
        <v>39</v>
      </c>
      <c r="T152" t="s">
        <v>25</v>
      </c>
      <c r="U152">
        <f t="shared" si="10"/>
        <v>2</v>
      </c>
      <c r="V152">
        <v>162</v>
      </c>
      <c r="W152">
        <v>0.67600000000000005</v>
      </c>
      <c r="X152" t="s">
        <v>1409</v>
      </c>
      <c r="Y152">
        <v>98</v>
      </c>
      <c r="Z152">
        <v>60</v>
      </c>
      <c r="AA152" t="s">
        <v>35</v>
      </c>
      <c r="AB152">
        <v>139</v>
      </c>
      <c r="AC152" s="23">
        <v>4.63</v>
      </c>
      <c r="AD152" t="str">
        <f>IF(AND('CVD Dataset'!AA152="Normal",'CVD Dataset'!AB152&gt;AVERAGE('CVD Dataset'!AB:AB),'CVD Dataset'!AF152="High"),"High Lipid Category","Normal Category")</f>
        <v>High Lipid Category</v>
      </c>
      <c r="AE152">
        <v>17.34</v>
      </c>
      <c r="AF152" t="s">
        <v>32</v>
      </c>
      <c r="AG152">
        <v>0</v>
      </c>
      <c r="AH152" t="s">
        <v>1379</v>
      </c>
      <c r="AI152">
        <f t="shared" si="11"/>
        <v>1</v>
      </c>
      <c r="AJ152" t="s">
        <v>1391</v>
      </c>
    </row>
    <row r="153" spans="1:36" x14ac:dyDescent="0.3">
      <c r="A153" t="s">
        <v>33</v>
      </c>
      <c r="B153">
        <v>50</v>
      </c>
      <c r="C153">
        <v>90.7</v>
      </c>
      <c r="D153">
        <v>1.75</v>
      </c>
      <c r="E153">
        <v>29.6</v>
      </c>
      <c r="F153">
        <f t="shared" si="9"/>
        <v>29.616326530612245</v>
      </c>
      <c r="G153">
        <f t="shared" si="12"/>
        <v>0</v>
      </c>
      <c r="H153" t="s">
        <v>1400</v>
      </c>
      <c r="I153">
        <v>97.6</v>
      </c>
      <c r="J153" t="s">
        <v>181</v>
      </c>
      <c r="K153" s="24">
        <v>91</v>
      </c>
      <c r="L153" s="24">
        <v>79</v>
      </c>
      <c r="M153">
        <v>264</v>
      </c>
      <c r="N153" t="s">
        <v>1432</v>
      </c>
      <c r="O153">
        <v>36</v>
      </c>
      <c r="P153">
        <v>138</v>
      </c>
      <c r="Q153" t="s">
        <v>25</v>
      </c>
      <c r="R153" t="s">
        <v>25</v>
      </c>
      <c r="S153" t="s">
        <v>39</v>
      </c>
      <c r="T153" t="s">
        <v>25</v>
      </c>
      <c r="U153">
        <f t="shared" si="10"/>
        <v>3</v>
      </c>
      <c r="V153">
        <v>175</v>
      </c>
      <c r="W153">
        <v>0.55800000000000005</v>
      </c>
      <c r="X153" t="s">
        <v>1407</v>
      </c>
      <c r="Y153">
        <v>91</v>
      </c>
      <c r="Z153">
        <v>79</v>
      </c>
      <c r="AA153" t="s">
        <v>35</v>
      </c>
      <c r="AB153">
        <v>198</v>
      </c>
      <c r="AC153" s="23">
        <v>5.5</v>
      </c>
      <c r="AD153" t="str">
        <f>IF(AND('CVD Dataset'!AA153="Normal",'CVD Dataset'!AB153&gt;AVERAGE('CVD Dataset'!AB:AB),'CVD Dataset'!AF153="High"),"High Lipid Category","Normal Category")</f>
        <v>High Lipid Category</v>
      </c>
      <c r="AE153">
        <v>17.75</v>
      </c>
      <c r="AF153" t="s">
        <v>32</v>
      </c>
      <c r="AG153">
        <v>0</v>
      </c>
      <c r="AH153" t="s">
        <v>1379</v>
      </c>
      <c r="AI153">
        <f t="shared" si="11"/>
        <v>1</v>
      </c>
      <c r="AJ153" t="s">
        <v>1391</v>
      </c>
    </row>
    <row r="154" spans="1:36" x14ac:dyDescent="0.3">
      <c r="A154" t="s">
        <v>22</v>
      </c>
      <c r="B154">
        <v>59</v>
      </c>
      <c r="C154">
        <v>66.7</v>
      </c>
      <c r="D154">
        <v>1.67</v>
      </c>
      <c r="E154">
        <v>23.9</v>
      </c>
      <c r="F154">
        <f t="shared" si="9"/>
        <v>23.916239377532364</v>
      </c>
      <c r="G154">
        <f t="shared" si="12"/>
        <v>0</v>
      </c>
      <c r="H154" t="s">
        <v>1398</v>
      </c>
      <c r="I154">
        <v>90.1</v>
      </c>
      <c r="J154" t="s">
        <v>182</v>
      </c>
      <c r="K154" s="24">
        <v>147</v>
      </c>
      <c r="L154" s="24">
        <v>82</v>
      </c>
      <c r="M154">
        <v>116</v>
      </c>
      <c r="N154" t="s">
        <v>1434</v>
      </c>
      <c r="O154">
        <v>35</v>
      </c>
      <c r="P154">
        <v>104</v>
      </c>
      <c r="Q154" t="s">
        <v>25</v>
      </c>
      <c r="R154" t="s">
        <v>24</v>
      </c>
      <c r="S154" t="s">
        <v>30</v>
      </c>
      <c r="T154" t="s">
        <v>25</v>
      </c>
      <c r="U154">
        <f t="shared" si="10"/>
        <v>2</v>
      </c>
      <c r="W154">
        <v>0.54</v>
      </c>
      <c r="X154" t="s">
        <v>1407</v>
      </c>
      <c r="Y154">
        <v>147</v>
      </c>
      <c r="Z154">
        <v>82</v>
      </c>
      <c r="AA154" t="s">
        <v>31</v>
      </c>
      <c r="AB154">
        <v>51</v>
      </c>
      <c r="AC154" s="23">
        <v>1.46</v>
      </c>
      <c r="AD154" t="str">
        <f>IF(AND('CVD Dataset'!AA154="Normal",'CVD Dataset'!AB154&gt;AVERAGE('CVD Dataset'!AB:AB),'CVD Dataset'!AF154="High"),"High Lipid Category","Normal Category")</f>
        <v>Normal Category</v>
      </c>
      <c r="AE154">
        <v>14.45</v>
      </c>
      <c r="AF154" t="s">
        <v>32</v>
      </c>
      <c r="AG154">
        <v>0</v>
      </c>
      <c r="AH154" t="s">
        <v>1379</v>
      </c>
      <c r="AI154">
        <f t="shared" si="11"/>
        <v>1</v>
      </c>
      <c r="AJ154" t="s">
        <v>1391</v>
      </c>
    </row>
    <row r="155" spans="1:36" x14ac:dyDescent="0.3">
      <c r="A155" t="s">
        <v>33</v>
      </c>
      <c r="B155">
        <v>57</v>
      </c>
      <c r="C155">
        <v>95.9</v>
      </c>
      <c r="D155">
        <v>1.62</v>
      </c>
      <c r="E155">
        <v>36.5</v>
      </c>
      <c r="F155">
        <f t="shared" si="9"/>
        <v>36.541685718640444</v>
      </c>
      <c r="G155">
        <f t="shared" si="12"/>
        <v>0</v>
      </c>
      <c r="H155" t="s">
        <v>1399</v>
      </c>
      <c r="I155">
        <v>81.7</v>
      </c>
      <c r="J155" t="s">
        <v>183</v>
      </c>
      <c r="K155" s="24">
        <v>117</v>
      </c>
      <c r="L155" s="24">
        <v>91</v>
      </c>
      <c r="M155">
        <v>281</v>
      </c>
      <c r="N155" t="s">
        <v>1432</v>
      </c>
      <c r="O155">
        <v>40</v>
      </c>
      <c r="P155">
        <v>150</v>
      </c>
      <c r="Q155" t="s">
        <v>24</v>
      </c>
      <c r="R155" t="s">
        <v>24</v>
      </c>
      <c r="S155" t="s">
        <v>26</v>
      </c>
      <c r="T155" t="s">
        <v>25</v>
      </c>
      <c r="U155">
        <f t="shared" si="10"/>
        <v>2</v>
      </c>
      <c r="V155">
        <v>162</v>
      </c>
      <c r="W155">
        <v>0.504</v>
      </c>
      <c r="X155" t="s">
        <v>1406</v>
      </c>
      <c r="Z155">
        <v>91</v>
      </c>
      <c r="AA155" t="s">
        <v>40</v>
      </c>
      <c r="AB155">
        <v>211</v>
      </c>
      <c r="AC155" s="23">
        <v>5.28</v>
      </c>
      <c r="AD155" t="str">
        <f>IF(AND('CVD Dataset'!AA155="Normal",'CVD Dataset'!AB155&gt;AVERAGE('CVD Dataset'!AB:AB),'CVD Dataset'!AF155="High"),"High Lipid Category","Normal Category")</f>
        <v>Normal Category</v>
      </c>
      <c r="AE155">
        <v>18.77</v>
      </c>
      <c r="AF155" t="s">
        <v>32</v>
      </c>
      <c r="AG155">
        <v>0</v>
      </c>
      <c r="AH155" t="s">
        <v>1379</v>
      </c>
      <c r="AI155">
        <f t="shared" si="11"/>
        <v>1</v>
      </c>
      <c r="AJ155" t="s">
        <v>1391</v>
      </c>
    </row>
    <row r="156" spans="1:36" x14ac:dyDescent="0.3">
      <c r="A156" t="s">
        <v>33</v>
      </c>
      <c r="B156">
        <v>48</v>
      </c>
      <c r="C156">
        <v>73.099999999999994</v>
      </c>
      <c r="D156">
        <v>1.76</v>
      </c>
      <c r="E156">
        <v>23.6</v>
      </c>
      <c r="F156">
        <f t="shared" si="9"/>
        <v>23.598915289256198</v>
      </c>
      <c r="G156">
        <f t="shared" si="12"/>
        <v>0</v>
      </c>
      <c r="H156" t="s">
        <v>1398</v>
      </c>
      <c r="I156">
        <v>87.8</v>
      </c>
      <c r="J156" t="s">
        <v>184</v>
      </c>
      <c r="K156" s="24">
        <v>119</v>
      </c>
      <c r="L156" s="24">
        <v>81</v>
      </c>
      <c r="M156">
        <v>294</v>
      </c>
      <c r="N156" t="s">
        <v>1432</v>
      </c>
      <c r="O156">
        <v>40</v>
      </c>
      <c r="P156">
        <v>113</v>
      </c>
      <c r="Q156" t="s">
        <v>24</v>
      </c>
      <c r="R156" t="s">
        <v>25</v>
      </c>
      <c r="S156" t="s">
        <v>26</v>
      </c>
      <c r="T156" t="s">
        <v>24</v>
      </c>
      <c r="U156">
        <f t="shared" si="10"/>
        <v>2</v>
      </c>
      <c r="V156">
        <v>176</v>
      </c>
      <c r="W156">
        <v>0.499</v>
      </c>
      <c r="X156" t="s">
        <v>1406</v>
      </c>
      <c r="Y156">
        <v>119</v>
      </c>
      <c r="Z156">
        <v>81</v>
      </c>
      <c r="AA156" t="s">
        <v>31</v>
      </c>
      <c r="AB156">
        <v>224</v>
      </c>
      <c r="AC156" s="23">
        <v>5.6</v>
      </c>
      <c r="AD156" t="str">
        <f>IF(AND('CVD Dataset'!AA156="Normal",'CVD Dataset'!AB156&gt;AVERAGE('CVD Dataset'!AB:AB),'CVD Dataset'!AF156="High"),"High Lipid Category","Normal Category")</f>
        <v>Normal Category</v>
      </c>
      <c r="AE156">
        <v>18.55</v>
      </c>
      <c r="AF156" t="s">
        <v>32</v>
      </c>
      <c r="AG156">
        <v>0</v>
      </c>
      <c r="AH156" t="s">
        <v>1379</v>
      </c>
      <c r="AI156">
        <f t="shared" si="11"/>
        <v>1</v>
      </c>
      <c r="AJ156" t="s">
        <v>1391</v>
      </c>
    </row>
    <row r="157" spans="1:36" x14ac:dyDescent="0.3">
      <c r="A157" t="s">
        <v>22</v>
      </c>
      <c r="B157">
        <v>45</v>
      </c>
      <c r="C157">
        <v>94.5</v>
      </c>
      <c r="D157">
        <v>1.85</v>
      </c>
      <c r="E157">
        <v>27.6</v>
      </c>
      <c r="F157">
        <f t="shared" si="9"/>
        <v>27.611395178962745</v>
      </c>
      <c r="G157">
        <f t="shared" si="12"/>
        <v>0</v>
      </c>
      <c r="H157" t="s">
        <v>1400</v>
      </c>
      <c r="I157">
        <v>78.5</v>
      </c>
      <c r="J157" t="s">
        <v>185</v>
      </c>
      <c r="K157" s="24">
        <v>136</v>
      </c>
      <c r="L157" s="24">
        <v>61</v>
      </c>
      <c r="M157">
        <v>177</v>
      </c>
      <c r="N157" t="s">
        <v>1433</v>
      </c>
      <c r="O157">
        <v>38</v>
      </c>
      <c r="P157">
        <v>145</v>
      </c>
      <c r="Q157" t="s">
        <v>25</v>
      </c>
      <c r="R157" t="s">
        <v>25</v>
      </c>
      <c r="S157" t="s">
        <v>39</v>
      </c>
      <c r="T157" t="s">
        <v>25</v>
      </c>
      <c r="U157">
        <f t="shared" si="10"/>
        <v>3</v>
      </c>
      <c r="V157">
        <v>185</v>
      </c>
      <c r="W157">
        <v>0.42399999999999999</v>
      </c>
      <c r="X157" t="s">
        <v>1408</v>
      </c>
      <c r="Y157">
        <v>136</v>
      </c>
      <c r="Z157">
        <v>61</v>
      </c>
      <c r="AA157" t="s">
        <v>31</v>
      </c>
      <c r="AB157">
        <v>109</v>
      </c>
      <c r="AC157" s="23">
        <v>2.87</v>
      </c>
      <c r="AD157" t="str">
        <f>IF(AND('CVD Dataset'!AA157="Normal",'CVD Dataset'!AB157&gt;AVERAGE('CVD Dataset'!AB:AB),'CVD Dataset'!AF157="High"),"High Lipid Category","Normal Category")</f>
        <v>Normal Category</v>
      </c>
      <c r="AE157">
        <v>17.86</v>
      </c>
      <c r="AF157" t="s">
        <v>32</v>
      </c>
      <c r="AG157">
        <v>0</v>
      </c>
      <c r="AH157" t="s">
        <v>1379</v>
      </c>
      <c r="AI157">
        <f t="shared" si="11"/>
        <v>1</v>
      </c>
      <c r="AJ157" t="s">
        <v>1391</v>
      </c>
    </row>
    <row r="158" spans="1:36" x14ac:dyDescent="0.3">
      <c r="A158" t="s">
        <v>33</v>
      </c>
      <c r="B158">
        <v>48</v>
      </c>
      <c r="C158">
        <v>81.400000000000006</v>
      </c>
      <c r="D158">
        <v>1.63</v>
      </c>
      <c r="E158">
        <v>30.6</v>
      </c>
      <c r="F158">
        <f t="shared" si="9"/>
        <v>30.637208777146302</v>
      </c>
      <c r="G158">
        <f t="shared" si="12"/>
        <v>0</v>
      </c>
      <c r="H158" t="s">
        <v>1399</v>
      </c>
      <c r="I158">
        <v>106.7</v>
      </c>
      <c r="J158" t="s">
        <v>186</v>
      </c>
      <c r="K158" s="24">
        <v>149</v>
      </c>
      <c r="L158" s="24">
        <v>81</v>
      </c>
      <c r="M158">
        <v>191</v>
      </c>
      <c r="N158" t="s">
        <v>1432</v>
      </c>
      <c r="O158">
        <v>41</v>
      </c>
      <c r="P158">
        <v>71</v>
      </c>
      <c r="Q158" t="s">
        <v>25</v>
      </c>
      <c r="R158" t="s">
        <v>25</v>
      </c>
      <c r="S158" t="s">
        <v>39</v>
      </c>
      <c r="T158" t="s">
        <v>24</v>
      </c>
      <c r="U158">
        <f t="shared" si="10"/>
        <v>2</v>
      </c>
      <c r="V158">
        <v>163</v>
      </c>
      <c r="W158">
        <v>0.65500000000000003</v>
      </c>
      <c r="X158" t="s">
        <v>1409</v>
      </c>
      <c r="Y158">
        <v>149</v>
      </c>
      <c r="AA158" t="s">
        <v>31</v>
      </c>
      <c r="AC158" s="23">
        <v>0</v>
      </c>
      <c r="AD158" t="str">
        <f>IF(AND('CVD Dataset'!AA158="Normal",'CVD Dataset'!AB158&gt;AVERAGE('CVD Dataset'!AB:AB),'CVD Dataset'!AF158="High"),"High Lipid Category","Normal Category")</f>
        <v>Normal Category</v>
      </c>
      <c r="AE158">
        <v>19.39</v>
      </c>
      <c r="AF158" t="s">
        <v>32</v>
      </c>
      <c r="AG158">
        <v>0</v>
      </c>
      <c r="AH158" t="s">
        <v>1379</v>
      </c>
      <c r="AI158">
        <f t="shared" si="11"/>
        <v>1</v>
      </c>
      <c r="AJ158" t="s">
        <v>1391</v>
      </c>
    </row>
    <row r="159" spans="1:36" x14ac:dyDescent="0.3">
      <c r="A159" t="s">
        <v>33</v>
      </c>
      <c r="B159">
        <v>35</v>
      </c>
      <c r="C159">
        <v>85.2</v>
      </c>
      <c r="D159">
        <v>1.79</v>
      </c>
      <c r="E159">
        <v>26.6</v>
      </c>
      <c r="F159">
        <f t="shared" si="9"/>
        <v>26.590930370462846</v>
      </c>
      <c r="G159">
        <f t="shared" si="12"/>
        <v>0</v>
      </c>
      <c r="H159" t="s">
        <v>1400</v>
      </c>
      <c r="I159">
        <v>73.5</v>
      </c>
      <c r="J159" t="s">
        <v>187</v>
      </c>
      <c r="K159" s="24">
        <v>97</v>
      </c>
      <c r="L159" s="24">
        <v>79</v>
      </c>
      <c r="M159">
        <v>262</v>
      </c>
      <c r="N159" t="s">
        <v>1432</v>
      </c>
      <c r="O159">
        <v>39</v>
      </c>
      <c r="P159">
        <v>70</v>
      </c>
      <c r="Q159" t="s">
        <v>24</v>
      </c>
      <c r="R159" t="s">
        <v>25</v>
      </c>
      <c r="S159" t="s">
        <v>30</v>
      </c>
      <c r="T159" t="s">
        <v>24</v>
      </c>
      <c r="U159">
        <f t="shared" si="10"/>
        <v>1</v>
      </c>
      <c r="V159">
        <v>179</v>
      </c>
      <c r="W159">
        <v>0.41099999999999998</v>
      </c>
      <c r="X159" t="s">
        <v>1408</v>
      </c>
      <c r="Y159">
        <v>97</v>
      </c>
      <c r="Z159">
        <v>79</v>
      </c>
      <c r="AA159" t="s">
        <v>35</v>
      </c>
      <c r="AB159">
        <v>193</v>
      </c>
      <c r="AC159" s="23">
        <v>4.95</v>
      </c>
      <c r="AD159" t="str">
        <f>IF(AND('CVD Dataset'!AA159="Normal",'CVD Dataset'!AB159&gt;AVERAGE('CVD Dataset'!AB:AB),'CVD Dataset'!AF159="High"),"High Lipid Category","Normal Category")</f>
        <v>High Lipid Category</v>
      </c>
      <c r="AE159">
        <v>17.41</v>
      </c>
      <c r="AF159" t="s">
        <v>32</v>
      </c>
      <c r="AG159">
        <v>0</v>
      </c>
      <c r="AH159" t="s">
        <v>1379</v>
      </c>
      <c r="AI159">
        <f t="shared" si="11"/>
        <v>1</v>
      </c>
      <c r="AJ159" t="s">
        <v>1391</v>
      </c>
    </row>
    <row r="160" spans="1:36" x14ac:dyDescent="0.3">
      <c r="A160" t="s">
        <v>33</v>
      </c>
      <c r="B160">
        <v>53</v>
      </c>
      <c r="C160">
        <v>118.8</v>
      </c>
      <c r="D160">
        <v>1.68</v>
      </c>
      <c r="E160">
        <v>42.1</v>
      </c>
      <c r="F160">
        <f t="shared" si="9"/>
        <v>42.091836734693885</v>
      </c>
      <c r="G160">
        <f t="shared" si="12"/>
        <v>0</v>
      </c>
      <c r="H160" t="s">
        <v>1399</v>
      </c>
      <c r="I160">
        <v>88.2</v>
      </c>
      <c r="J160" t="s">
        <v>188</v>
      </c>
      <c r="K160" s="24">
        <v>140</v>
      </c>
      <c r="L160" s="24">
        <v>86</v>
      </c>
      <c r="M160">
        <v>233</v>
      </c>
      <c r="N160" t="s">
        <v>1432</v>
      </c>
      <c r="O160">
        <v>63</v>
      </c>
      <c r="P160">
        <v>73</v>
      </c>
      <c r="Q160" t="s">
        <v>25</v>
      </c>
      <c r="R160" t="s">
        <v>24</v>
      </c>
      <c r="S160" t="s">
        <v>26</v>
      </c>
      <c r="T160" t="s">
        <v>25</v>
      </c>
      <c r="U160">
        <f t="shared" si="10"/>
        <v>3</v>
      </c>
      <c r="V160">
        <v>168</v>
      </c>
      <c r="W160">
        <v>0.52500000000000002</v>
      </c>
      <c r="X160" t="s">
        <v>1407</v>
      </c>
      <c r="Y160">
        <v>140</v>
      </c>
      <c r="Z160">
        <v>86</v>
      </c>
      <c r="AA160" t="s">
        <v>31</v>
      </c>
      <c r="AB160">
        <v>140</v>
      </c>
      <c r="AC160" s="23">
        <v>2.2200000000000002</v>
      </c>
      <c r="AD160" t="str">
        <f>IF(AND('CVD Dataset'!AA160="Normal",'CVD Dataset'!AB160&gt;AVERAGE('CVD Dataset'!AB:AB),'CVD Dataset'!AF160="High"),"High Lipid Category","Normal Category")</f>
        <v>Normal Category</v>
      </c>
      <c r="AE160">
        <v>20.079999999999998</v>
      </c>
      <c r="AF160" t="s">
        <v>32</v>
      </c>
      <c r="AG160">
        <v>1</v>
      </c>
      <c r="AH160" t="s">
        <v>1379</v>
      </c>
      <c r="AI160">
        <f t="shared" si="11"/>
        <v>1</v>
      </c>
      <c r="AJ160" t="s">
        <v>1391</v>
      </c>
    </row>
    <row r="161" spans="1:36" x14ac:dyDescent="0.3">
      <c r="A161" t="s">
        <v>33</v>
      </c>
      <c r="B161">
        <v>33</v>
      </c>
      <c r="C161">
        <v>99.4</v>
      </c>
      <c r="D161">
        <v>1.88</v>
      </c>
      <c r="E161">
        <v>28.1</v>
      </c>
      <c r="F161">
        <f t="shared" si="9"/>
        <v>28.123585332729746</v>
      </c>
      <c r="G161">
        <f t="shared" si="12"/>
        <v>0</v>
      </c>
      <c r="H161" t="s">
        <v>1400</v>
      </c>
      <c r="I161">
        <v>75.599999999999994</v>
      </c>
      <c r="J161" t="s">
        <v>189</v>
      </c>
      <c r="K161" s="24">
        <v>121</v>
      </c>
      <c r="L161" s="24">
        <v>67</v>
      </c>
      <c r="M161">
        <v>182</v>
      </c>
      <c r="N161" t="s">
        <v>1432</v>
      </c>
      <c r="O161">
        <v>35</v>
      </c>
      <c r="P161">
        <v>126</v>
      </c>
      <c r="Q161" t="s">
        <v>24</v>
      </c>
      <c r="R161" t="s">
        <v>25</v>
      </c>
      <c r="S161" t="s">
        <v>39</v>
      </c>
      <c r="T161" t="s">
        <v>24</v>
      </c>
      <c r="U161">
        <f t="shared" si="10"/>
        <v>1</v>
      </c>
      <c r="V161">
        <v>188</v>
      </c>
      <c r="W161">
        <v>0.40200000000000002</v>
      </c>
      <c r="X161" t="s">
        <v>1408</v>
      </c>
      <c r="Y161">
        <v>121</v>
      </c>
      <c r="Z161">
        <v>67</v>
      </c>
      <c r="AA161" t="s">
        <v>27</v>
      </c>
      <c r="AB161">
        <v>117</v>
      </c>
      <c r="AC161" s="23">
        <v>3.34</v>
      </c>
      <c r="AD161" t="str">
        <f>IF(AND('CVD Dataset'!AA161="Normal",'CVD Dataset'!AB161&gt;AVERAGE('CVD Dataset'!AB:AB),'CVD Dataset'!AF161="High"),"High Lipid Category","Normal Category")</f>
        <v>Normal Category</v>
      </c>
      <c r="AE161">
        <v>17.309999999999999</v>
      </c>
      <c r="AF161" t="s">
        <v>28</v>
      </c>
      <c r="AG161">
        <v>0</v>
      </c>
      <c r="AH161" t="s">
        <v>1380</v>
      </c>
      <c r="AI161">
        <f t="shared" si="11"/>
        <v>0</v>
      </c>
      <c r="AJ161" t="s">
        <v>1391</v>
      </c>
    </row>
    <row r="162" spans="1:36" x14ac:dyDescent="0.3">
      <c r="A162" t="s">
        <v>22</v>
      </c>
      <c r="B162">
        <v>32</v>
      </c>
      <c r="C162">
        <v>71.7</v>
      </c>
      <c r="D162">
        <v>1.72</v>
      </c>
      <c r="E162">
        <v>24.2</v>
      </c>
      <c r="F162">
        <f t="shared" si="9"/>
        <v>24.236073553272043</v>
      </c>
      <c r="G162">
        <f t="shared" si="12"/>
        <v>0</v>
      </c>
      <c r="H162" t="s">
        <v>1398</v>
      </c>
      <c r="I162">
        <v>109.9</v>
      </c>
      <c r="J162" t="s">
        <v>190</v>
      </c>
      <c r="K162" s="24">
        <v>150</v>
      </c>
      <c r="L162" s="24">
        <v>84</v>
      </c>
      <c r="M162">
        <v>170</v>
      </c>
      <c r="N162" t="s">
        <v>1433</v>
      </c>
      <c r="O162">
        <v>38</v>
      </c>
      <c r="P162">
        <v>92</v>
      </c>
      <c r="Q162" t="s">
        <v>25</v>
      </c>
      <c r="R162" t="s">
        <v>24</v>
      </c>
      <c r="S162" t="s">
        <v>39</v>
      </c>
      <c r="T162" t="s">
        <v>25</v>
      </c>
      <c r="U162">
        <f t="shared" si="10"/>
        <v>2</v>
      </c>
      <c r="V162">
        <v>172</v>
      </c>
      <c r="W162">
        <v>0.63900000000000001</v>
      </c>
      <c r="X162" t="s">
        <v>1409</v>
      </c>
      <c r="Y162">
        <v>150</v>
      </c>
      <c r="Z162">
        <v>84</v>
      </c>
      <c r="AA162" t="s">
        <v>31</v>
      </c>
      <c r="AB162">
        <v>102</v>
      </c>
      <c r="AC162" s="23">
        <v>2.68</v>
      </c>
      <c r="AD162" t="str">
        <f>IF(AND('CVD Dataset'!AA162="Normal",'CVD Dataset'!AB162&gt;AVERAGE('CVD Dataset'!AB:AB),'CVD Dataset'!AF162="High"),"High Lipid Category","Normal Category")</f>
        <v>Normal Category</v>
      </c>
      <c r="AE162">
        <v>15.74</v>
      </c>
      <c r="AF162" t="s">
        <v>28</v>
      </c>
      <c r="AG162">
        <v>0</v>
      </c>
      <c r="AH162" t="s">
        <v>1380</v>
      </c>
      <c r="AI162">
        <f t="shared" si="11"/>
        <v>0</v>
      </c>
      <c r="AJ162" t="s">
        <v>1391</v>
      </c>
    </row>
    <row r="163" spans="1:36" x14ac:dyDescent="0.3">
      <c r="A163" t="s">
        <v>33</v>
      </c>
      <c r="B163">
        <v>30</v>
      </c>
      <c r="C163">
        <v>78.5</v>
      </c>
      <c r="D163">
        <v>1.77</v>
      </c>
      <c r="E163">
        <v>25.1</v>
      </c>
      <c r="F163">
        <f t="shared" si="9"/>
        <v>25.056656771681187</v>
      </c>
      <c r="G163">
        <f t="shared" si="12"/>
        <v>0</v>
      </c>
      <c r="H163" t="s">
        <v>1400</v>
      </c>
      <c r="I163">
        <v>100.6</v>
      </c>
      <c r="J163" t="s">
        <v>191</v>
      </c>
      <c r="K163" s="24">
        <v>131</v>
      </c>
      <c r="L163" s="24">
        <v>79</v>
      </c>
      <c r="M163">
        <v>162</v>
      </c>
      <c r="N163" t="s">
        <v>1433</v>
      </c>
      <c r="O163">
        <v>42</v>
      </c>
      <c r="P163">
        <v>126</v>
      </c>
      <c r="Q163" t="s">
        <v>25</v>
      </c>
      <c r="R163" t="s">
        <v>24</v>
      </c>
      <c r="S163" t="s">
        <v>26</v>
      </c>
      <c r="T163" t="s">
        <v>25</v>
      </c>
      <c r="U163">
        <f t="shared" si="10"/>
        <v>3</v>
      </c>
      <c r="V163">
        <v>177</v>
      </c>
      <c r="W163">
        <v>0.56799999999999995</v>
      </c>
      <c r="X163" t="s">
        <v>1407</v>
      </c>
      <c r="Y163">
        <v>131</v>
      </c>
      <c r="AA163" t="s">
        <v>31</v>
      </c>
      <c r="AB163">
        <v>90</v>
      </c>
      <c r="AC163" s="23">
        <v>2.14</v>
      </c>
      <c r="AD163" t="str">
        <f>IF(AND('CVD Dataset'!AA163="Normal",'CVD Dataset'!AB163&gt;AVERAGE('CVD Dataset'!AB:AB),'CVD Dataset'!AF163="High"),"High Lipid Category","Normal Category")</f>
        <v>Normal Category</v>
      </c>
      <c r="AE163">
        <v>14.81</v>
      </c>
      <c r="AF163" t="s">
        <v>32</v>
      </c>
      <c r="AG163">
        <v>0</v>
      </c>
      <c r="AH163" t="s">
        <v>1379</v>
      </c>
      <c r="AI163">
        <f t="shared" si="11"/>
        <v>1</v>
      </c>
      <c r="AJ163" t="s">
        <v>1391</v>
      </c>
    </row>
    <row r="164" spans="1:36" x14ac:dyDescent="0.3">
      <c r="A164" t="s">
        <v>22</v>
      </c>
      <c r="B164">
        <v>48</v>
      </c>
      <c r="C164">
        <v>57.4</v>
      </c>
      <c r="D164">
        <v>1.76</v>
      </c>
      <c r="E164">
        <v>18.5</v>
      </c>
      <c r="F164">
        <f t="shared" si="9"/>
        <v>18.53047520661157</v>
      </c>
      <c r="G164">
        <f t="shared" si="12"/>
        <v>0</v>
      </c>
      <c r="H164" t="s">
        <v>1398</v>
      </c>
      <c r="I164">
        <v>96.6</v>
      </c>
      <c r="J164" t="s">
        <v>192</v>
      </c>
      <c r="K164" s="24">
        <v>119</v>
      </c>
      <c r="L164" s="24">
        <v>92</v>
      </c>
      <c r="M164">
        <v>212</v>
      </c>
      <c r="N164" t="s">
        <v>1432</v>
      </c>
      <c r="O164">
        <v>58</v>
      </c>
      <c r="P164">
        <v>76</v>
      </c>
      <c r="Q164" t="s">
        <v>25</v>
      </c>
      <c r="R164" t="s">
        <v>24</v>
      </c>
      <c r="S164" t="s">
        <v>30</v>
      </c>
      <c r="T164" t="s">
        <v>24</v>
      </c>
      <c r="U164">
        <f t="shared" si="10"/>
        <v>1</v>
      </c>
      <c r="V164">
        <v>176</v>
      </c>
      <c r="W164">
        <v>0.54900000000000004</v>
      </c>
      <c r="X164" t="s">
        <v>1407</v>
      </c>
      <c r="Y164">
        <v>119</v>
      </c>
      <c r="Z164">
        <v>92</v>
      </c>
      <c r="AA164" t="s">
        <v>40</v>
      </c>
      <c r="AB164">
        <v>124</v>
      </c>
      <c r="AC164" s="23">
        <v>2.14</v>
      </c>
      <c r="AD164" t="str">
        <f>IF(AND('CVD Dataset'!AA164="Normal",'CVD Dataset'!AB164&gt;AVERAGE('CVD Dataset'!AB:AB),'CVD Dataset'!AF164="High"),"High Lipid Category","Normal Category")</f>
        <v>Normal Category</v>
      </c>
      <c r="AE164">
        <v>13.89</v>
      </c>
      <c r="AF164" t="s">
        <v>28</v>
      </c>
      <c r="AG164">
        <v>0</v>
      </c>
      <c r="AH164" t="s">
        <v>1380</v>
      </c>
      <c r="AI164">
        <f t="shared" si="11"/>
        <v>0</v>
      </c>
      <c r="AJ164" t="s">
        <v>1391</v>
      </c>
    </row>
    <row r="165" spans="1:36" x14ac:dyDescent="0.3">
      <c r="A165" t="s">
        <v>22</v>
      </c>
      <c r="B165">
        <v>55</v>
      </c>
      <c r="C165">
        <v>73.5</v>
      </c>
      <c r="D165">
        <v>1.88</v>
      </c>
      <c r="E165">
        <v>20.8</v>
      </c>
      <c r="F165">
        <f t="shared" si="9"/>
        <v>20.795608872793121</v>
      </c>
      <c r="G165">
        <f t="shared" si="12"/>
        <v>0</v>
      </c>
      <c r="H165" t="s">
        <v>1398</v>
      </c>
      <c r="I165">
        <v>82.7</v>
      </c>
      <c r="J165" t="s">
        <v>193</v>
      </c>
      <c r="K165" s="24">
        <v>144</v>
      </c>
      <c r="L165" s="24">
        <v>72</v>
      </c>
      <c r="N165" t="s">
        <v>1434</v>
      </c>
      <c r="O165">
        <v>36</v>
      </c>
      <c r="P165">
        <v>116</v>
      </c>
      <c r="Q165" t="s">
        <v>24</v>
      </c>
      <c r="R165" t="s">
        <v>25</v>
      </c>
      <c r="S165" t="s">
        <v>26</v>
      </c>
      <c r="T165" t="s">
        <v>25</v>
      </c>
      <c r="U165">
        <f t="shared" si="10"/>
        <v>3</v>
      </c>
      <c r="V165">
        <v>188</v>
      </c>
      <c r="W165">
        <v>0.44</v>
      </c>
      <c r="X165" t="s">
        <v>1408</v>
      </c>
      <c r="Y165">
        <v>144</v>
      </c>
      <c r="Z165">
        <v>72</v>
      </c>
      <c r="AA165" t="s">
        <v>40</v>
      </c>
      <c r="AB165">
        <v>100</v>
      </c>
      <c r="AC165" s="23">
        <v>2.78</v>
      </c>
      <c r="AD165" t="str">
        <f>IF(AND('CVD Dataset'!AA165="Normal",'CVD Dataset'!AB165&gt;AVERAGE('CVD Dataset'!AB:AB),'CVD Dataset'!AF165="High"),"High Lipid Category","Normal Category")</f>
        <v>Normal Category</v>
      </c>
      <c r="AE165">
        <v>16.68</v>
      </c>
      <c r="AF165" t="s">
        <v>32</v>
      </c>
      <c r="AG165">
        <v>0</v>
      </c>
      <c r="AH165" t="s">
        <v>1379</v>
      </c>
      <c r="AI165">
        <f t="shared" si="11"/>
        <v>1</v>
      </c>
      <c r="AJ165" t="s">
        <v>1392</v>
      </c>
    </row>
    <row r="166" spans="1:36" x14ac:dyDescent="0.3">
      <c r="A166" t="s">
        <v>33</v>
      </c>
      <c r="B166">
        <v>31</v>
      </c>
      <c r="C166">
        <v>56.8</v>
      </c>
      <c r="D166">
        <v>1.85</v>
      </c>
      <c r="E166">
        <v>16.600000000000001</v>
      </c>
      <c r="F166">
        <f t="shared" si="9"/>
        <v>16.596055514974431</v>
      </c>
      <c r="G166">
        <f t="shared" si="12"/>
        <v>0</v>
      </c>
      <c r="H166" t="s">
        <v>1401</v>
      </c>
      <c r="I166">
        <v>86.8</v>
      </c>
      <c r="J166" t="s">
        <v>194</v>
      </c>
      <c r="K166" s="24">
        <v>144</v>
      </c>
      <c r="L166" s="24">
        <v>70</v>
      </c>
      <c r="M166">
        <v>193</v>
      </c>
      <c r="N166" t="s">
        <v>1432</v>
      </c>
      <c r="O166">
        <v>50</v>
      </c>
      <c r="P166">
        <v>112</v>
      </c>
      <c r="Q166" t="s">
        <v>25</v>
      </c>
      <c r="R166" t="s">
        <v>24</v>
      </c>
      <c r="S166" t="s">
        <v>26</v>
      </c>
      <c r="T166" t="s">
        <v>24</v>
      </c>
      <c r="U166">
        <f t="shared" si="10"/>
        <v>2</v>
      </c>
      <c r="V166">
        <v>185</v>
      </c>
      <c r="W166">
        <v>0.46899999999999997</v>
      </c>
      <c r="X166" t="s">
        <v>1406</v>
      </c>
      <c r="Y166">
        <v>144</v>
      </c>
      <c r="Z166">
        <v>70</v>
      </c>
      <c r="AA166" t="s">
        <v>40</v>
      </c>
      <c r="AB166">
        <v>113</v>
      </c>
      <c r="AC166" s="23">
        <v>2.2599999999999998</v>
      </c>
      <c r="AD166" t="str">
        <f>IF(AND('CVD Dataset'!AA166="Normal",'CVD Dataset'!AB166&gt;AVERAGE('CVD Dataset'!AB:AB),'CVD Dataset'!AF166="High"),"High Lipid Category","Normal Category")</f>
        <v>Normal Category</v>
      </c>
      <c r="AE166">
        <v>14.38</v>
      </c>
      <c r="AF166" t="s">
        <v>28</v>
      </c>
      <c r="AG166">
        <v>0</v>
      </c>
      <c r="AH166" t="s">
        <v>1380</v>
      </c>
      <c r="AI166">
        <f t="shared" si="11"/>
        <v>0</v>
      </c>
      <c r="AJ166" t="s">
        <v>1391</v>
      </c>
    </row>
    <row r="167" spans="1:36" x14ac:dyDescent="0.3">
      <c r="A167" t="s">
        <v>22</v>
      </c>
      <c r="B167">
        <v>33</v>
      </c>
      <c r="C167">
        <v>72.8</v>
      </c>
      <c r="D167">
        <v>1.64</v>
      </c>
      <c r="E167">
        <v>27.1</v>
      </c>
      <c r="F167">
        <f t="shared" si="9"/>
        <v>27.067221891731116</v>
      </c>
      <c r="G167">
        <f t="shared" si="12"/>
        <v>0</v>
      </c>
      <c r="H167" t="s">
        <v>1400</v>
      </c>
      <c r="I167">
        <v>96.6</v>
      </c>
      <c r="J167" t="s">
        <v>195</v>
      </c>
      <c r="K167" s="24">
        <v>137</v>
      </c>
      <c r="L167" s="24">
        <v>64</v>
      </c>
      <c r="M167">
        <v>214</v>
      </c>
      <c r="N167" t="s">
        <v>1432</v>
      </c>
      <c r="O167">
        <v>69</v>
      </c>
      <c r="P167">
        <v>73</v>
      </c>
      <c r="Q167" t="s">
        <v>24</v>
      </c>
      <c r="R167" t="s">
        <v>25</v>
      </c>
      <c r="S167" t="s">
        <v>26</v>
      </c>
      <c r="T167" t="s">
        <v>24</v>
      </c>
      <c r="U167">
        <f t="shared" si="10"/>
        <v>2</v>
      </c>
      <c r="V167">
        <v>164</v>
      </c>
      <c r="W167">
        <v>0.58899999999999997</v>
      </c>
      <c r="X167" t="s">
        <v>1409</v>
      </c>
      <c r="Y167">
        <v>137</v>
      </c>
      <c r="Z167">
        <v>64</v>
      </c>
      <c r="AA167" t="s">
        <v>31</v>
      </c>
      <c r="AB167">
        <v>115</v>
      </c>
      <c r="AC167" s="23">
        <v>1.67</v>
      </c>
      <c r="AD167" t="str">
        <f>IF(AND('CVD Dataset'!AA167="Normal",'CVD Dataset'!AB167&gt;AVERAGE('CVD Dataset'!AB:AB),'CVD Dataset'!AF167="High"),"High Lipid Category","Normal Category")</f>
        <v>Normal Category</v>
      </c>
      <c r="AE167">
        <v>18.55</v>
      </c>
      <c r="AF167" t="s">
        <v>32</v>
      </c>
      <c r="AG167">
        <v>1</v>
      </c>
      <c r="AH167" t="s">
        <v>1379</v>
      </c>
      <c r="AI167">
        <f t="shared" si="11"/>
        <v>1</v>
      </c>
      <c r="AJ167" t="s">
        <v>1391</v>
      </c>
    </row>
    <row r="168" spans="1:36" x14ac:dyDescent="0.3">
      <c r="A168" t="s">
        <v>22</v>
      </c>
      <c r="B168">
        <v>30</v>
      </c>
      <c r="C168">
        <v>60.2</v>
      </c>
      <c r="D168">
        <v>1.76</v>
      </c>
      <c r="E168">
        <v>19.399999999999999</v>
      </c>
      <c r="F168">
        <f t="shared" si="9"/>
        <v>19.434400826446282</v>
      </c>
      <c r="G168">
        <f t="shared" si="12"/>
        <v>0</v>
      </c>
      <c r="H168" t="s">
        <v>1398</v>
      </c>
      <c r="I168">
        <v>83.6</v>
      </c>
      <c r="J168" t="s">
        <v>196</v>
      </c>
      <c r="K168" s="24">
        <v>124</v>
      </c>
      <c r="L168" s="24">
        <v>76</v>
      </c>
      <c r="M168">
        <v>118</v>
      </c>
      <c r="N168" t="s">
        <v>1434</v>
      </c>
      <c r="O168">
        <v>36</v>
      </c>
      <c r="P168">
        <v>101</v>
      </c>
      <c r="Q168" t="s">
        <v>25</v>
      </c>
      <c r="R168" t="s">
        <v>24</v>
      </c>
      <c r="S168" t="s">
        <v>30</v>
      </c>
      <c r="T168" t="s">
        <v>25</v>
      </c>
      <c r="U168">
        <f t="shared" si="10"/>
        <v>2</v>
      </c>
      <c r="V168">
        <v>176</v>
      </c>
      <c r="W168">
        <v>0.47499999999999998</v>
      </c>
      <c r="X168" t="s">
        <v>1406</v>
      </c>
      <c r="Y168">
        <v>124</v>
      </c>
      <c r="Z168">
        <v>76</v>
      </c>
      <c r="AA168" t="s">
        <v>27</v>
      </c>
      <c r="AB168">
        <v>52</v>
      </c>
      <c r="AC168" s="23">
        <v>1.44</v>
      </c>
      <c r="AD168" t="str">
        <f>IF(AND('CVD Dataset'!AA168="Normal",'CVD Dataset'!AB168&gt;AVERAGE('CVD Dataset'!AB:AB),'CVD Dataset'!AF168="High"),"High Lipid Category","Normal Category")</f>
        <v>Normal Category</v>
      </c>
      <c r="AE168">
        <v>12.44</v>
      </c>
      <c r="AF168" t="s">
        <v>28</v>
      </c>
      <c r="AG168">
        <v>0</v>
      </c>
      <c r="AH168" t="s">
        <v>1380</v>
      </c>
      <c r="AI168">
        <f t="shared" si="11"/>
        <v>0</v>
      </c>
      <c r="AJ168" t="s">
        <v>1391</v>
      </c>
    </row>
    <row r="169" spans="1:36" x14ac:dyDescent="0.3">
      <c r="A169" t="s">
        <v>22</v>
      </c>
      <c r="B169">
        <v>48</v>
      </c>
      <c r="C169">
        <v>57.5</v>
      </c>
      <c r="D169">
        <v>1.76</v>
      </c>
      <c r="E169">
        <v>18.600000000000001</v>
      </c>
      <c r="F169">
        <f t="shared" si="9"/>
        <v>18.562758264462811</v>
      </c>
      <c r="G169">
        <f t="shared" si="12"/>
        <v>0</v>
      </c>
      <c r="H169" t="s">
        <v>1398</v>
      </c>
      <c r="I169">
        <v>82.1</v>
      </c>
      <c r="J169" t="s">
        <v>197</v>
      </c>
      <c r="K169" s="24">
        <v>142</v>
      </c>
      <c r="L169" s="24">
        <v>79</v>
      </c>
      <c r="M169">
        <v>181</v>
      </c>
      <c r="N169" t="s">
        <v>1432</v>
      </c>
      <c r="O169">
        <v>72</v>
      </c>
      <c r="P169">
        <v>118</v>
      </c>
      <c r="Q169" t="s">
        <v>24</v>
      </c>
      <c r="R169" t="s">
        <v>25</v>
      </c>
      <c r="S169" t="s">
        <v>30</v>
      </c>
      <c r="T169" t="s">
        <v>24</v>
      </c>
      <c r="U169">
        <f t="shared" si="10"/>
        <v>1</v>
      </c>
      <c r="V169">
        <v>176</v>
      </c>
      <c r="W169">
        <v>0.46600000000000003</v>
      </c>
      <c r="X169" t="s">
        <v>1406</v>
      </c>
      <c r="Y169">
        <v>142</v>
      </c>
      <c r="Z169">
        <v>79</v>
      </c>
      <c r="AA169" t="s">
        <v>40</v>
      </c>
      <c r="AB169">
        <v>79</v>
      </c>
      <c r="AC169" s="23">
        <v>1.1000000000000001</v>
      </c>
      <c r="AD169" t="str">
        <f>IF(AND('CVD Dataset'!AA169="Normal",'CVD Dataset'!AB169&gt;AVERAGE('CVD Dataset'!AB:AB),'CVD Dataset'!AF169="High"),"High Lipid Category","Normal Category")</f>
        <v>Normal Category</v>
      </c>
      <c r="AE169">
        <v>16.440000000000001</v>
      </c>
      <c r="AF169" t="s">
        <v>28</v>
      </c>
      <c r="AG169">
        <v>0</v>
      </c>
      <c r="AH169" t="s">
        <v>1380</v>
      </c>
      <c r="AI169">
        <f t="shared" si="11"/>
        <v>0</v>
      </c>
      <c r="AJ169" t="s">
        <v>1391</v>
      </c>
    </row>
    <row r="170" spans="1:36" x14ac:dyDescent="0.3">
      <c r="A170" t="s">
        <v>22</v>
      </c>
      <c r="B170">
        <v>51</v>
      </c>
      <c r="C170">
        <v>67.3</v>
      </c>
      <c r="D170">
        <v>1.67</v>
      </c>
      <c r="E170">
        <v>24.1</v>
      </c>
      <c r="F170">
        <f t="shared" si="9"/>
        <v>24.1313779626376</v>
      </c>
      <c r="G170">
        <f t="shared" si="12"/>
        <v>0</v>
      </c>
      <c r="H170" t="s">
        <v>1398</v>
      </c>
      <c r="I170">
        <v>93.5</v>
      </c>
      <c r="J170" t="s">
        <v>105</v>
      </c>
      <c r="K170" s="24">
        <v>102</v>
      </c>
      <c r="L170" s="24">
        <v>79</v>
      </c>
      <c r="M170">
        <v>217</v>
      </c>
      <c r="N170" t="s">
        <v>1432</v>
      </c>
      <c r="O170">
        <v>30</v>
      </c>
      <c r="P170">
        <v>99</v>
      </c>
      <c r="Q170" t="s">
        <v>24</v>
      </c>
      <c r="R170" t="s">
        <v>24</v>
      </c>
      <c r="S170" t="s">
        <v>30</v>
      </c>
      <c r="T170" t="s">
        <v>25</v>
      </c>
      <c r="U170">
        <f t="shared" si="10"/>
        <v>1</v>
      </c>
      <c r="V170">
        <v>167</v>
      </c>
      <c r="W170">
        <v>0.56000000000000005</v>
      </c>
      <c r="X170" t="s">
        <v>1407</v>
      </c>
      <c r="Y170">
        <v>102</v>
      </c>
      <c r="AA170" t="s">
        <v>35</v>
      </c>
      <c r="AB170">
        <v>157</v>
      </c>
      <c r="AC170" s="23">
        <v>5.23</v>
      </c>
      <c r="AD170" t="str">
        <f>IF(AND('CVD Dataset'!AA170="Normal",'CVD Dataset'!AB170&gt;AVERAGE('CVD Dataset'!AB:AB),'CVD Dataset'!AF170="High"),"High Lipid Category","Normal Category")</f>
        <v>High Lipid Category</v>
      </c>
      <c r="AE170">
        <v>14.26</v>
      </c>
      <c r="AF170" t="s">
        <v>32</v>
      </c>
      <c r="AG170">
        <v>0</v>
      </c>
      <c r="AH170" t="s">
        <v>1379</v>
      </c>
      <c r="AI170">
        <f t="shared" si="11"/>
        <v>1</v>
      </c>
      <c r="AJ170" t="s">
        <v>1391</v>
      </c>
    </row>
    <row r="171" spans="1:36" x14ac:dyDescent="0.3">
      <c r="A171" t="s">
        <v>22</v>
      </c>
      <c r="B171">
        <v>53</v>
      </c>
      <c r="C171">
        <v>58.4</v>
      </c>
      <c r="D171">
        <v>1.78</v>
      </c>
      <c r="E171">
        <v>18.399999999999999</v>
      </c>
      <c r="F171">
        <f t="shared" si="9"/>
        <v>18.432016159575809</v>
      </c>
      <c r="G171">
        <f t="shared" si="12"/>
        <v>0</v>
      </c>
      <c r="H171" t="s">
        <v>1401</v>
      </c>
      <c r="I171">
        <v>90.7</v>
      </c>
      <c r="J171" t="s">
        <v>198</v>
      </c>
      <c r="K171" s="24">
        <v>92</v>
      </c>
      <c r="L171" s="24">
        <v>84</v>
      </c>
      <c r="M171">
        <v>166</v>
      </c>
      <c r="N171" t="s">
        <v>1433</v>
      </c>
      <c r="O171">
        <v>40</v>
      </c>
      <c r="P171">
        <v>76</v>
      </c>
      <c r="Q171" t="s">
        <v>25</v>
      </c>
      <c r="R171" t="s">
        <v>24</v>
      </c>
      <c r="S171" t="s">
        <v>30</v>
      </c>
      <c r="T171" t="s">
        <v>25</v>
      </c>
      <c r="U171">
        <f t="shared" si="10"/>
        <v>2</v>
      </c>
      <c r="V171">
        <v>178</v>
      </c>
      <c r="X171" t="s">
        <v>1410</v>
      </c>
      <c r="Y171">
        <v>92</v>
      </c>
      <c r="Z171">
        <v>84</v>
      </c>
      <c r="AA171" t="s">
        <v>31</v>
      </c>
      <c r="AB171">
        <v>96</v>
      </c>
      <c r="AC171" s="23">
        <v>2.4</v>
      </c>
      <c r="AD171" t="str">
        <f>IF(AND('CVD Dataset'!AA171="Normal",'CVD Dataset'!AB171&gt;AVERAGE('CVD Dataset'!AB:AB),'CVD Dataset'!AF171="High"),"High Lipid Category","Normal Category")</f>
        <v>Normal Category</v>
      </c>
      <c r="AE171">
        <v>11.6</v>
      </c>
      <c r="AF171" t="s">
        <v>28</v>
      </c>
      <c r="AG171">
        <v>0</v>
      </c>
      <c r="AH171" t="s">
        <v>1380</v>
      </c>
      <c r="AI171">
        <f t="shared" si="11"/>
        <v>0</v>
      </c>
      <c r="AJ171" t="s">
        <v>1391</v>
      </c>
    </row>
    <row r="172" spans="1:36" x14ac:dyDescent="0.3">
      <c r="A172" t="s">
        <v>33</v>
      </c>
      <c r="C172">
        <v>102.1</v>
      </c>
      <c r="D172">
        <v>1.66</v>
      </c>
      <c r="E172">
        <v>37.1</v>
      </c>
      <c r="F172">
        <f t="shared" si="9"/>
        <v>37.051821744810567</v>
      </c>
      <c r="G172">
        <f t="shared" si="12"/>
        <v>0</v>
      </c>
      <c r="H172" t="s">
        <v>1399</v>
      </c>
      <c r="I172">
        <v>71.3</v>
      </c>
      <c r="J172" t="s">
        <v>199</v>
      </c>
      <c r="K172" s="24">
        <v>133</v>
      </c>
      <c r="L172" s="24">
        <v>75</v>
      </c>
      <c r="M172">
        <v>288</v>
      </c>
      <c r="N172" t="s">
        <v>1432</v>
      </c>
      <c r="P172">
        <v>149</v>
      </c>
      <c r="Q172" t="s">
        <v>25</v>
      </c>
      <c r="R172" t="s">
        <v>25</v>
      </c>
      <c r="S172" t="s">
        <v>30</v>
      </c>
      <c r="T172" t="s">
        <v>24</v>
      </c>
      <c r="U172">
        <f t="shared" si="10"/>
        <v>2</v>
      </c>
      <c r="W172">
        <v>0.43</v>
      </c>
      <c r="X172" t="s">
        <v>1408</v>
      </c>
      <c r="Y172">
        <v>133</v>
      </c>
      <c r="Z172">
        <v>75</v>
      </c>
      <c r="AA172" t="s">
        <v>31</v>
      </c>
      <c r="AB172">
        <v>207</v>
      </c>
      <c r="AC172" s="23" t="s">
        <v>1410</v>
      </c>
      <c r="AD172" t="str">
        <f>IF(AND('CVD Dataset'!AA172="Normal",'CVD Dataset'!AB172&gt;AVERAGE('CVD Dataset'!AB:AB),'CVD Dataset'!AF172="High"),"High Lipid Category","Normal Category")</f>
        <v>Normal Category</v>
      </c>
      <c r="AE172">
        <v>21.83</v>
      </c>
      <c r="AF172" t="s">
        <v>32</v>
      </c>
      <c r="AG172">
        <v>0</v>
      </c>
      <c r="AH172" t="s">
        <v>1379</v>
      </c>
      <c r="AI172">
        <f t="shared" si="11"/>
        <v>1</v>
      </c>
      <c r="AJ172" t="s">
        <v>1391</v>
      </c>
    </row>
    <row r="173" spans="1:36" x14ac:dyDescent="0.3">
      <c r="A173" t="s">
        <v>22</v>
      </c>
      <c r="B173">
        <v>33</v>
      </c>
      <c r="C173">
        <v>74.599999999999994</v>
      </c>
      <c r="D173">
        <v>1.7</v>
      </c>
      <c r="E173">
        <v>25.8</v>
      </c>
      <c r="F173">
        <f t="shared" si="9"/>
        <v>25.813148788927336</v>
      </c>
      <c r="G173">
        <f t="shared" si="12"/>
        <v>0</v>
      </c>
      <c r="H173" t="s">
        <v>1400</v>
      </c>
      <c r="I173">
        <v>84.4</v>
      </c>
      <c r="J173" t="s">
        <v>200</v>
      </c>
      <c r="K173" s="24">
        <v>125</v>
      </c>
      <c r="L173" s="24">
        <v>73</v>
      </c>
      <c r="M173">
        <v>294</v>
      </c>
      <c r="N173" t="s">
        <v>1432</v>
      </c>
      <c r="O173">
        <v>74</v>
      </c>
      <c r="P173">
        <v>76</v>
      </c>
      <c r="Q173" t="s">
        <v>25</v>
      </c>
      <c r="R173" t="s">
        <v>25</v>
      </c>
      <c r="S173" t="s">
        <v>39</v>
      </c>
      <c r="T173" t="s">
        <v>25</v>
      </c>
      <c r="U173">
        <f t="shared" si="10"/>
        <v>3</v>
      </c>
      <c r="V173">
        <v>170</v>
      </c>
      <c r="W173">
        <v>0.496</v>
      </c>
      <c r="X173" t="s">
        <v>1406</v>
      </c>
      <c r="Y173">
        <v>125</v>
      </c>
      <c r="Z173">
        <v>73</v>
      </c>
      <c r="AA173" t="s">
        <v>27</v>
      </c>
      <c r="AB173">
        <v>190</v>
      </c>
      <c r="AC173" s="23">
        <v>2.57</v>
      </c>
      <c r="AD173" t="str">
        <f>IF(AND('CVD Dataset'!AA173="Normal",'CVD Dataset'!AB173&gt;AVERAGE('CVD Dataset'!AB:AB),'CVD Dataset'!AF173="High"),"High Lipid Category","Normal Category")</f>
        <v>Normal Category</v>
      </c>
      <c r="AE173">
        <v>19.29</v>
      </c>
      <c r="AF173" t="s">
        <v>32</v>
      </c>
      <c r="AG173">
        <v>1</v>
      </c>
      <c r="AH173" t="s">
        <v>1379</v>
      </c>
      <c r="AI173">
        <f t="shared" si="11"/>
        <v>1</v>
      </c>
      <c r="AJ173" t="s">
        <v>1391</v>
      </c>
    </row>
    <row r="174" spans="1:36" x14ac:dyDescent="0.3">
      <c r="A174" t="s">
        <v>22</v>
      </c>
      <c r="C174">
        <v>77</v>
      </c>
      <c r="D174">
        <v>1.65</v>
      </c>
      <c r="E174">
        <v>28.3</v>
      </c>
      <c r="F174">
        <f t="shared" si="9"/>
        <v>28.282828282828287</v>
      </c>
      <c r="G174">
        <f t="shared" si="12"/>
        <v>0</v>
      </c>
      <c r="H174" t="s">
        <v>1400</v>
      </c>
      <c r="I174">
        <v>88.8</v>
      </c>
      <c r="J174" t="s">
        <v>201</v>
      </c>
      <c r="K174" s="24">
        <v>97</v>
      </c>
      <c r="L174" s="24">
        <v>74</v>
      </c>
      <c r="M174">
        <v>101</v>
      </c>
      <c r="N174" t="s">
        <v>1434</v>
      </c>
      <c r="O174">
        <v>40</v>
      </c>
      <c r="P174">
        <v>138</v>
      </c>
      <c r="Q174" t="s">
        <v>24</v>
      </c>
      <c r="R174" t="s">
        <v>25</v>
      </c>
      <c r="S174" t="s">
        <v>30</v>
      </c>
      <c r="T174" t="s">
        <v>24</v>
      </c>
      <c r="U174">
        <f t="shared" si="10"/>
        <v>1</v>
      </c>
      <c r="V174">
        <v>165</v>
      </c>
      <c r="W174">
        <v>0.53800000000000003</v>
      </c>
      <c r="X174" t="s">
        <v>1407</v>
      </c>
      <c r="Z174">
        <v>74</v>
      </c>
      <c r="AA174" t="s">
        <v>35</v>
      </c>
      <c r="AB174">
        <v>31</v>
      </c>
      <c r="AC174" s="23">
        <v>0.78</v>
      </c>
      <c r="AD174" t="str">
        <f>IF(AND('CVD Dataset'!AA174="Normal",'CVD Dataset'!AB174&gt;AVERAGE('CVD Dataset'!AB:AB),'CVD Dataset'!AF174="High"),"High Lipid Category","Normal Category")</f>
        <v>Normal Category</v>
      </c>
      <c r="AE174">
        <v>14.53</v>
      </c>
      <c r="AF174" t="s">
        <v>28</v>
      </c>
      <c r="AG174">
        <v>0</v>
      </c>
      <c r="AH174" t="s">
        <v>1380</v>
      </c>
      <c r="AI174">
        <f t="shared" si="11"/>
        <v>0</v>
      </c>
      <c r="AJ174" t="s">
        <v>1391</v>
      </c>
    </row>
    <row r="175" spans="1:36" x14ac:dyDescent="0.3">
      <c r="A175" t="s">
        <v>33</v>
      </c>
      <c r="B175">
        <v>38</v>
      </c>
      <c r="C175">
        <v>100.4</v>
      </c>
      <c r="D175">
        <v>1.68</v>
      </c>
      <c r="E175">
        <v>35.6</v>
      </c>
      <c r="F175">
        <f t="shared" si="9"/>
        <v>35.572562358276649</v>
      </c>
      <c r="G175">
        <f t="shared" si="12"/>
        <v>0</v>
      </c>
      <c r="H175" t="s">
        <v>1399</v>
      </c>
      <c r="I175">
        <v>102</v>
      </c>
      <c r="J175" t="s">
        <v>202</v>
      </c>
      <c r="K175" s="24">
        <v>146</v>
      </c>
      <c r="L175" s="24">
        <v>73</v>
      </c>
      <c r="M175">
        <v>109</v>
      </c>
      <c r="N175" t="s">
        <v>1434</v>
      </c>
      <c r="O175">
        <v>55</v>
      </c>
      <c r="P175">
        <v>150</v>
      </c>
      <c r="Q175" t="s">
        <v>25</v>
      </c>
      <c r="R175" t="s">
        <v>25</v>
      </c>
      <c r="S175" t="s">
        <v>30</v>
      </c>
      <c r="T175" t="s">
        <v>25</v>
      </c>
      <c r="U175">
        <f t="shared" si="10"/>
        <v>3</v>
      </c>
      <c r="V175">
        <v>168</v>
      </c>
      <c r="W175">
        <v>0.60699999999999998</v>
      </c>
      <c r="X175" t="s">
        <v>1409</v>
      </c>
      <c r="Y175">
        <v>146</v>
      </c>
      <c r="Z175">
        <v>73</v>
      </c>
      <c r="AA175" t="s">
        <v>40</v>
      </c>
      <c r="AB175">
        <v>24</v>
      </c>
      <c r="AC175" s="23">
        <v>0.44</v>
      </c>
      <c r="AD175" t="str">
        <f>IF(AND('CVD Dataset'!AA175="Normal",'CVD Dataset'!AB175&gt;AVERAGE('CVD Dataset'!AB:AB),'CVD Dataset'!AF175="High"),"High Lipid Category","Normal Category")</f>
        <v>Normal Category</v>
      </c>
      <c r="AE175">
        <v>18.600000000000001</v>
      </c>
      <c r="AF175" t="s">
        <v>32</v>
      </c>
      <c r="AG175">
        <v>0</v>
      </c>
      <c r="AH175" t="s">
        <v>1379</v>
      </c>
      <c r="AI175">
        <f t="shared" si="11"/>
        <v>1</v>
      </c>
      <c r="AJ175" t="s">
        <v>1391</v>
      </c>
    </row>
    <row r="176" spans="1:36" x14ac:dyDescent="0.3">
      <c r="A176" t="s">
        <v>33</v>
      </c>
      <c r="B176">
        <v>30</v>
      </c>
      <c r="C176">
        <v>85.2</v>
      </c>
      <c r="D176">
        <v>1.69</v>
      </c>
      <c r="E176">
        <v>29.8</v>
      </c>
      <c r="F176">
        <f t="shared" si="9"/>
        <v>29.830888274220094</v>
      </c>
      <c r="G176">
        <f t="shared" si="12"/>
        <v>0</v>
      </c>
      <c r="H176" t="s">
        <v>1400</v>
      </c>
      <c r="I176">
        <v>96.3</v>
      </c>
      <c r="J176" t="s">
        <v>203</v>
      </c>
      <c r="K176" s="24">
        <v>91</v>
      </c>
      <c r="L176" s="24">
        <v>61</v>
      </c>
      <c r="M176">
        <v>247</v>
      </c>
      <c r="N176" t="s">
        <v>1432</v>
      </c>
      <c r="P176">
        <v>129</v>
      </c>
      <c r="Q176" t="s">
        <v>25</v>
      </c>
      <c r="R176" t="s">
        <v>25</v>
      </c>
      <c r="S176" t="s">
        <v>30</v>
      </c>
      <c r="T176" t="s">
        <v>25</v>
      </c>
      <c r="U176">
        <f t="shared" si="10"/>
        <v>3</v>
      </c>
      <c r="V176">
        <v>169</v>
      </c>
      <c r="W176">
        <v>0.56999999999999995</v>
      </c>
      <c r="X176" t="s">
        <v>1407</v>
      </c>
      <c r="Y176">
        <v>91</v>
      </c>
      <c r="AA176" t="s">
        <v>35</v>
      </c>
      <c r="AB176">
        <v>138</v>
      </c>
      <c r="AC176" s="23" t="s">
        <v>1410</v>
      </c>
      <c r="AD176" t="str">
        <f>IF(AND('CVD Dataset'!AA176="Normal",'CVD Dataset'!AB176&gt;AVERAGE('CVD Dataset'!AB:AB),'CVD Dataset'!AF176="High"),"High Lipid Category","Normal Category")</f>
        <v>High Lipid Category</v>
      </c>
      <c r="AF176" t="s">
        <v>32</v>
      </c>
      <c r="AG176">
        <v>0</v>
      </c>
      <c r="AH176" t="s">
        <v>1379</v>
      </c>
      <c r="AI176">
        <f t="shared" si="11"/>
        <v>1</v>
      </c>
      <c r="AJ176" t="s">
        <v>1391</v>
      </c>
    </row>
    <row r="177" spans="1:36" x14ac:dyDescent="0.3">
      <c r="A177" t="s">
        <v>22</v>
      </c>
      <c r="B177">
        <v>54</v>
      </c>
      <c r="C177">
        <v>106</v>
      </c>
      <c r="D177">
        <v>1.78</v>
      </c>
      <c r="E177">
        <v>33.5</v>
      </c>
      <c r="F177">
        <f t="shared" si="9"/>
        <v>33.45537179649034</v>
      </c>
      <c r="G177">
        <f t="shared" si="12"/>
        <v>0</v>
      </c>
      <c r="H177" t="s">
        <v>1399</v>
      </c>
      <c r="I177">
        <v>82.9</v>
      </c>
      <c r="J177" t="s">
        <v>204</v>
      </c>
      <c r="K177" s="24">
        <v>119</v>
      </c>
      <c r="L177" s="24">
        <v>89</v>
      </c>
      <c r="M177">
        <v>117</v>
      </c>
      <c r="N177" t="s">
        <v>1434</v>
      </c>
      <c r="O177">
        <v>36</v>
      </c>
      <c r="P177">
        <v>95</v>
      </c>
      <c r="Q177" t="s">
        <v>25</v>
      </c>
      <c r="R177" t="s">
        <v>24</v>
      </c>
      <c r="S177" t="s">
        <v>39</v>
      </c>
      <c r="T177" t="s">
        <v>24</v>
      </c>
      <c r="U177">
        <f t="shared" si="10"/>
        <v>1</v>
      </c>
      <c r="V177">
        <v>178</v>
      </c>
      <c r="W177">
        <v>0.46600000000000003</v>
      </c>
      <c r="X177" t="s">
        <v>1406</v>
      </c>
      <c r="Y177">
        <v>119</v>
      </c>
      <c r="Z177">
        <v>89</v>
      </c>
      <c r="AA177" t="s">
        <v>31</v>
      </c>
      <c r="AB177">
        <v>51</v>
      </c>
      <c r="AC177" s="23">
        <v>1.42</v>
      </c>
      <c r="AD177" t="str">
        <f>IF(AND('CVD Dataset'!AA177="Normal",'CVD Dataset'!AB177&gt;AVERAGE('CVD Dataset'!AB:AB),'CVD Dataset'!AF177="High"),"High Lipid Category","Normal Category")</f>
        <v>Normal Category</v>
      </c>
      <c r="AE177">
        <v>14.99</v>
      </c>
      <c r="AF177" t="s">
        <v>32</v>
      </c>
      <c r="AG177">
        <v>0</v>
      </c>
      <c r="AH177" t="s">
        <v>1379</v>
      </c>
      <c r="AI177">
        <f t="shared" si="11"/>
        <v>1</v>
      </c>
      <c r="AJ177" t="s">
        <v>1391</v>
      </c>
    </row>
    <row r="178" spans="1:36" x14ac:dyDescent="0.3">
      <c r="A178" t="s">
        <v>33</v>
      </c>
      <c r="B178">
        <v>56</v>
      </c>
      <c r="C178">
        <v>117.9</v>
      </c>
      <c r="D178">
        <v>1.66</v>
      </c>
      <c r="E178">
        <v>42.8</v>
      </c>
      <c r="F178">
        <f t="shared" si="9"/>
        <v>42.785600232254325</v>
      </c>
      <c r="G178">
        <f t="shared" si="12"/>
        <v>0</v>
      </c>
      <c r="H178" t="s">
        <v>1399</v>
      </c>
      <c r="I178">
        <v>108.6</v>
      </c>
      <c r="J178" t="s">
        <v>205</v>
      </c>
      <c r="K178" s="24">
        <v>133</v>
      </c>
      <c r="L178" s="24">
        <v>65</v>
      </c>
      <c r="M178">
        <v>120</v>
      </c>
      <c r="N178" t="s">
        <v>1434</v>
      </c>
      <c r="O178">
        <v>64</v>
      </c>
      <c r="P178">
        <v>132</v>
      </c>
      <c r="Q178" t="s">
        <v>24</v>
      </c>
      <c r="R178" t="s">
        <v>25</v>
      </c>
      <c r="S178" t="s">
        <v>39</v>
      </c>
      <c r="T178" t="s">
        <v>25</v>
      </c>
      <c r="U178">
        <f t="shared" si="10"/>
        <v>2</v>
      </c>
      <c r="V178">
        <v>166</v>
      </c>
      <c r="W178">
        <v>0.65400000000000003</v>
      </c>
      <c r="X178" t="s">
        <v>1409</v>
      </c>
      <c r="Y178">
        <v>133</v>
      </c>
      <c r="Z178">
        <v>65</v>
      </c>
      <c r="AA178" t="s">
        <v>31</v>
      </c>
      <c r="AB178">
        <v>26</v>
      </c>
      <c r="AC178" s="23">
        <v>0.41</v>
      </c>
      <c r="AD178" t="str">
        <f>IF(AND('CVD Dataset'!AA178="Normal",'CVD Dataset'!AB178&gt;AVERAGE('CVD Dataset'!AB:AB),'CVD Dataset'!AF178="High"),"High Lipid Category","Normal Category")</f>
        <v>Normal Category</v>
      </c>
      <c r="AE178">
        <v>19.61</v>
      </c>
      <c r="AF178" t="s">
        <v>32</v>
      </c>
      <c r="AG178">
        <v>1</v>
      </c>
      <c r="AH178" t="s">
        <v>1379</v>
      </c>
      <c r="AI178">
        <f t="shared" si="11"/>
        <v>1</v>
      </c>
      <c r="AJ178" t="s">
        <v>1392</v>
      </c>
    </row>
    <row r="179" spans="1:36" x14ac:dyDescent="0.3">
      <c r="A179" t="s">
        <v>33</v>
      </c>
      <c r="B179">
        <v>37</v>
      </c>
      <c r="C179">
        <v>79.3</v>
      </c>
      <c r="D179">
        <v>1.86</v>
      </c>
      <c r="E179">
        <v>22.9</v>
      </c>
      <c r="F179">
        <f t="shared" si="9"/>
        <v>22.921725054919641</v>
      </c>
      <c r="G179">
        <f t="shared" si="12"/>
        <v>0</v>
      </c>
      <c r="H179" t="s">
        <v>1398</v>
      </c>
      <c r="I179">
        <v>73.8</v>
      </c>
      <c r="J179" t="s">
        <v>206</v>
      </c>
      <c r="K179" s="24">
        <v>118</v>
      </c>
      <c r="L179" s="24">
        <v>89</v>
      </c>
      <c r="M179">
        <v>286</v>
      </c>
      <c r="N179" t="s">
        <v>1432</v>
      </c>
      <c r="O179">
        <v>36</v>
      </c>
      <c r="P179">
        <v>142</v>
      </c>
      <c r="Q179" t="s">
        <v>25</v>
      </c>
      <c r="R179" t="s">
        <v>25</v>
      </c>
      <c r="S179" t="s">
        <v>26</v>
      </c>
      <c r="T179" t="s">
        <v>24</v>
      </c>
      <c r="U179">
        <f t="shared" si="10"/>
        <v>3</v>
      </c>
      <c r="V179">
        <v>186</v>
      </c>
      <c r="W179">
        <v>0.39700000000000002</v>
      </c>
      <c r="X179" t="s">
        <v>1408</v>
      </c>
      <c r="Y179">
        <v>118</v>
      </c>
      <c r="Z179">
        <v>89</v>
      </c>
      <c r="AA179" t="s">
        <v>31</v>
      </c>
      <c r="AC179" s="23">
        <v>0</v>
      </c>
      <c r="AD179" t="str">
        <f>IF(AND('CVD Dataset'!AA179="Normal",'CVD Dataset'!AB179&gt;AVERAGE('CVD Dataset'!AB:AB),'CVD Dataset'!AF179="High"),"High Lipid Category","Normal Category")</f>
        <v>Normal Category</v>
      </c>
      <c r="AE179">
        <v>18.2</v>
      </c>
      <c r="AF179" t="s">
        <v>32</v>
      </c>
      <c r="AG179">
        <v>0</v>
      </c>
      <c r="AH179" t="s">
        <v>1379</v>
      </c>
      <c r="AI179">
        <f t="shared" si="11"/>
        <v>1</v>
      </c>
      <c r="AJ179" t="s">
        <v>1391</v>
      </c>
    </row>
    <row r="180" spans="1:36" x14ac:dyDescent="0.3">
      <c r="A180" t="s">
        <v>22</v>
      </c>
      <c r="B180">
        <v>59</v>
      </c>
      <c r="C180">
        <v>89.4</v>
      </c>
      <c r="D180">
        <v>1.67</v>
      </c>
      <c r="E180">
        <v>32.1</v>
      </c>
      <c r="F180">
        <f t="shared" si="9"/>
        <v>32.055649180680561</v>
      </c>
      <c r="G180">
        <f t="shared" si="12"/>
        <v>0</v>
      </c>
      <c r="H180" t="s">
        <v>1399</v>
      </c>
      <c r="I180">
        <v>107.2</v>
      </c>
      <c r="J180" t="s">
        <v>206</v>
      </c>
      <c r="K180" s="24">
        <v>118</v>
      </c>
      <c r="L180" s="24">
        <v>89</v>
      </c>
      <c r="M180">
        <v>206</v>
      </c>
      <c r="N180" t="s">
        <v>1432</v>
      </c>
      <c r="O180">
        <v>54</v>
      </c>
      <c r="P180">
        <v>140</v>
      </c>
      <c r="Q180" t="s">
        <v>25</v>
      </c>
      <c r="R180" t="s">
        <v>25</v>
      </c>
      <c r="S180" t="s">
        <v>26</v>
      </c>
      <c r="T180" t="s">
        <v>25</v>
      </c>
      <c r="U180">
        <f t="shared" si="10"/>
        <v>4</v>
      </c>
      <c r="V180">
        <v>167</v>
      </c>
      <c r="W180">
        <v>0.64200000000000002</v>
      </c>
      <c r="X180" t="s">
        <v>1409</v>
      </c>
      <c r="Y180">
        <v>118</v>
      </c>
      <c r="Z180">
        <v>89</v>
      </c>
      <c r="AA180" t="s">
        <v>31</v>
      </c>
      <c r="AB180">
        <v>122</v>
      </c>
      <c r="AC180" s="23">
        <v>2.2599999999999998</v>
      </c>
      <c r="AD180" t="str">
        <f>IF(AND('CVD Dataset'!AA180="Normal",'CVD Dataset'!AB180&gt;AVERAGE('CVD Dataset'!AB:AB),'CVD Dataset'!AF180="High"),"High Lipid Category","Normal Category")</f>
        <v>Normal Category</v>
      </c>
      <c r="AE180">
        <v>18.440000000000001</v>
      </c>
      <c r="AF180" t="s">
        <v>32</v>
      </c>
      <c r="AG180">
        <v>0</v>
      </c>
      <c r="AH180" t="s">
        <v>1379</v>
      </c>
      <c r="AI180">
        <f t="shared" si="11"/>
        <v>1</v>
      </c>
      <c r="AJ180" t="s">
        <v>1392</v>
      </c>
    </row>
    <row r="181" spans="1:36" x14ac:dyDescent="0.3">
      <c r="A181" t="s">
        <v>33</v>
      </c>
      <c r="B181">
        <v>30</v>
      </c>
      <c r="C181">
        <v>105.3</v>
      </c>
      <c r="D181">
        <v>1.62</v>
      </c>
      <c r="E181">
        <v>40.1</v>
      </c>
      <c r="F181">
        <f t="shared" si="9"/>
        <v>40.123456790123448</v>
      </c>
      <c r="G181">
        <f t="shared" si="12"/>
        <v>0</v>
      </c>
      <c r="H181" t="s">
        <v>1399</v>
      </c>
      <c r="I181">
        <v>88.2</v>
      </c>
      <c r="J181" t="s">
        <v>207</v>
      </c>
      <c r="K181" s="24">
        <v>121</v>
      </c>
      <c r="L181" s="24">
        <v>94</v>
      </c>
      <c r="M181">
        <v>162</v>
      </c>
      <c r="N181" t="s">
        <v>1433</v>
      </c>
      <c r="O181">
        <v>43</v>
      </c>
      <c r="P181">
        <v>79</v>
      </c>
      <c r="Q181" t="s">
        <v>25</v>
      </c>
      <c r="R181" t="s">
        <v>24</v>
      </c>
      <c r="S181" t="s">
        <v>30</v>
      </c>
      <c r="T181" t="s">
        <v>24</v>
      </c>
      <c r="U181">
        <f t="shared" si="10"/>
        <v>1</v>
      </c>
      <c r="V181">
        <v>162</v>
      </c>
      <c r="W181">
        <v>0.54400000000000004</v>
      </c>
      <c r="X181" t="s">
        <v>1407</v>
      </c>
      <c r="Y181">
        <v>121</v>
      </c>
      <c r="AA181" t="s">
        <v>40</v>
      </c>
      <c r="AB181">
        <v>89</v>
      </c>
      <c r="AC181" s="23">
        <v>2.0699999999999998</v>
      </c>
      <c r="AD181" t="str">
        <f>IF(AND('CVD Dataset'!AA181="Normal",'CVD Dataset'!AB181&gt;AVERAGE('CVD Dataset'!AB:AB),'CVD Dataset'!AF181="High"),"High Lipid Category","Normal Category")</f>
        <v>Normal Category</v>
      </c>
      <c r="AE181">
        <v>17.309999999999999</v>
      </c>
      <c r="AF181" t="s">
        <v>28</v>
      </c>
      <c r="AG181">
        <v>0</v>
      </c>
      <c r="AH181" t="s">
        <v>1380</v>
      </c>
      <c r="AI181">
        <f t="shared" si="11"/>
        <v>0</v>
      </c>
      <c r="AJ181" t="s">
        <v>1391</v>
      </c>
    </row>
    <row r="182" spans="1:36" x14ac:dyDescent="0.3">
      <c r="A182" t="s">
        <v>22</v>
      </c>
      <c r="B182">
        <v>39</v>
      </c>
      <c r="D182">
        <v>1.66</v>
      </c>
      <c r="E182">
        <v>19</v>
      </c>
      <c r="F182">
        <f t="shared" si="9"/>
        <v>0</v>
      </c>
      <c r="G182">
        <f t="shared" si="12"/>
        <v>1</v>
      </c>
      <c r="H182" t="s">
        <v>1398</v>
      </c>
      <c r="I182">
        <v>98.1</v>
      </c>
      <c r="J182" t="s">
        <v>208</v>
      </c>
      <c r="K182" s="24">
        <v>141</v>
      </c>
      <c r="L182" s="24">
        <v>69</v>
      </c>
      <c r="M182">
        <v>149</v>
      </c>
      <c r="N182" t="s">
        <v>1434</v>
      </c>
      <c r="O182">
        <v>70</v>
      </c>
      <c r="P182">
        <v>137</v>
      </c>
      <c r="Q182" t="s">
        <v>25</v>
      </c>
      <c r="R182" t="s">
        <v>25</v>
      </c>
      <c r="S182" t="s">
        <v>39</v>
      </c>
      <c r="T182" t="s">
        <v>25</v>
      </c>
      <c r="U182">
        <f t="shared" si="10"/>
        <v>3</v>
      </c>
      <c r="V182">
        <v>166</v>
      </c>
      <c r="W182">
        <v>0.59099999999999997</v>
      </c>
      <c r="X182" t="s">
        <v>1409</v>
      </c>
      <c r="Y182">
        <v>141</v>
      </c>
      <c r="Z182">
        <v>69</v>
      </c>
      <c r="AA182" t="s">
        <v>40</v>
      </c>
      <c r="AB182">
        <v>49</v>
      </c>
      <c r="AC182" s="23">
        <v>0.7</v>
      </c>
      <c r="AD182" t="str">
        <f>IF(AND('CVD Dataset'!AA182="Normal",'CVD Dataset'!AB182&gt;AVERAGE('CVD Dataset'!AB:AB),'CVD Dataset'!AF182="High"),"High Lipid Category","Normal Category")</f>
        <v>Normal Category</v>
      </c>
      <c r="AE182">
        <v>15.83</v>
      </c>
      <c r="AF182" t="s">
        <v>28</v>
      </c>
      <c r="AG182">
        <v>0</v>
      </c>
      <c r="AH182" t="s">
        <v>1380</v>
      </c>
      <c r="AI182">
        <f t="shared" si="11"/>
        <v>0</v>
      </c>
      <c r="AJ182" t="s">
        <v>1391</v>
      </c>
    </row>
    <row r="183" spans="1:36" x14ac:dyDescent="0.3">
      <c r="A183" t="s">
        <v>22</v>
      </c>
      <c r="B183">
        <v>49</v>
      </c>
      <c r="C183">
        <v>113.1</v>
      </c>
      <c r="D183">
        <v>1.67</v>
      </c>
      <c r="E183">
        <v>40.6</v>
      </c>
      <c r="F183">
        <f t="shared" si="9"/>
        <v>40.553623292337477</v>
      </c>
      <c r="G183">
        <f t="shared" si="12"/>
        <v>0</v>
      </c>
      <c r="H183" t="s">
        <v>1399</v>
      </c>
      <c r="I183">
        <v>89.7</v>
      </c>
      <c r="J183" t="s">
        <v>47</v>
      </c>
      <c r="K183" s="24">
        <v>102</v>
      </c>
      <c r="L183" s="24">
        <v>63</v>
      </c>
      <c r="M183">
        <v>124</v>
      </c>
      <c r="N183" t="s">
        <v>1434</v>
      </c>
      <c r="O183">
        <v>48</v>
      </c>
      <c r="P183">
        <v>90</v>
      </c>
      <c r="Q183" t="s">
        <v>24</v>
      </c>
      <c r="R183" t="s">
        <v>25</v>
      </c>
      <c r="S183" t="s">
        <v>30</v>
      </c>
      <c r="T183" t="s">
        <v>25</v>
      </c>
      <c r="U183">
        <f t="shared" si="10"/>
        <v>2</v>
      </c>
      <c r="W183">
        <v>0.53700000000000003</v>
      </c>
      <c r="X183" t="s">
        <v>1407</v>
      </c>
      <c r="Y183">
        <v>102</v>
      </c>
      <c r="Z183">
        <v>63</v>
      </c>
      <c r="AA183" t="s">
        <v>35</v>
      </c>
      <c r="AB183">
        <v>46</v>
      </c>
      <c r="AC183" s="23">
        <v>0.96</v>
      </c>
      <c r="AD183" t="str">
        <f>IF(AND('CVD Dataset'!AA183="Normal",'CVD Dataset'!AB183&gt;AVERAGE('CVD Dataset'!AB:AB),'CVD Dataset'!AF183="High"),"High Lipid Category","Normal Category")</f>
        <v>Normal Category</v>
      </c>
      <c r="AE183">
        <v>17.7</v>
      </c>
      <c r="AF183" t="s">
        <v>32</v>
      </c>
      <c r="AG183">
        <v>0</v>
      </c>
      <c r="AH183" t="s">
        <v>1379</v>
      </c>
      <c r="AI183">
        <f t="shared" si="11"/>
        <v>1</v>
      </c>
      <c r="AJ183" t="s">
        <v>1391</v>
      </c>
    </row>
    <row r="184" spans="1:36" x14ac:dyDescent="0.3">
      <c r="A184" t="s">
        <v>33</v>
      </c>
      <c r="B184">
        <v>36</v>
      </c>
      <c r="C184">
        <v>74.8</v>
      </c>
      <c r="D184">
        <v>1.88</v>
      </c>
      <c r="E184">
        <v>21.2</v>
      </c>
      <c r="F184">
        <f t="shared" si="9"/>
        <v>21.16342236306021</v>
      </c>
      <c r="G184">
        <f t="shared" si="12"/>
        <v>0</v>
      </c>
      <c r="H184" t="s">
        <v>1398</v>
      </c>
      <c r="I184">
        <v>73</v>
      </c>
      <c r="J184" t="s">
        <v>209</v>
      </c>
      <c r="K184" s="24">
        <v>130</v>
      </c>
      <c r="L184" s="24">
        <v>71</v>
      </c>
      <c r="N184" t="s">
        <v>1434</v>
      </c>
      <c r="O184">
        <v>49</v>
      </c>
      <c r="P184">
        <v>107</v>
      </c>
      <c r="Q184" t="s">
        <v>25</v>
      </c>
      <c r="R184" t="s">
        <v>24</v>
      </c>
      <c r="S184" t="s">
        <v>30</v>
      </c>
      <c r="T184" t="s">
        <v>25</v>
      </c>
      <c r="U184">
        <f t="shared" si="10"/>
        <v>2</v>
      </c>
      <c r="V184">
        <v>188</v>
      </c>
      <c r="W184">
        <v>0.38800000000000001</v>
      </c>
      <c r="X184" t="s">
        <v>1408</v>
      </c>
      <c r="Y184">
        <v>130</v>
      </c>
      <c r="Z184">
        <v>71</v>
      </c>
      <c r="AA184" t="s">
        <v>31</v>
      </c>
      <c r="AB184">
        <v>76</v>
      </c>
      <c r="AC184" s="23">
        <v>1.55</v>
      </c>
      <c r="AD184" t="str">
        <f>IF(AND('CVD Dataset'!AA184="Normal",'CVD Dataset'!AB184&gt;AVERAGE('CVD Dataset'!AB:AB),'CVD Dataset'!AF184="High"),"High Lipid Category","Normal Category")</f>
        <v>Normal Category</v>
      </c>
      <c r="AE184">
        <v>13.84</v>
      </c>
      <c r="AF184" t="s">
        <v>28</v>
      </c>
      <c r="AG184">
        <v>0</v>
      </c>
      <c r="AH184" t="s">
        <v>1380</v>
      </c>
      <c r="AI184">
        <f t="shared" si="11"/>
        <v>0</v>
      </c>
      <c r="AJ184" t="s">
        <v>1391</v>
      </c>
    </row>
    <row r="185" spans="1:36" x14ac:dyDescent="0.3">
      <c r="A185" t="s">
        <v>33</v>
      </c>
      <c r="B185">
        <v>39</v>
      </c>
      <c r="C185">
        <v>73.3</v>
      </c>
      <c r="D185">
        <v>1.74</v>
      </c>
      <c r="E185">
        <v>24.2</v>
      </c>
      <c r="F185">
        <f t="shared" si="9"/>
        <v>24.210595851499537</v>
      </c>
      <c r="G185">
        <f t="shared" si="12"/>
        <v>0</v>
      </c>
      <c r="H185" t="s">
        <v>1398</v>
      </c>
      <c r="I185">
        <v>95</v>
      </c>
      <c r="J185" t="s">
        <v>210</v>
      </c>
      <c r="K185" s="24">
        <v>111</v>
      </c>
      <c r="L185" s="24">
        <v>84</v>
      </c>
      <c r="M185">
        <v>158</v>
      </c>
      <c r="N185" t="s">
        <v>1433</v>
      </c>
      <c r="O185">
        <v>37</v>
      </c>
      <c r="P185">
        <v>81</v>
      </c>
      <c r="Q185" t="s">
        <v>24</v>
      </c>
      <c r="R185" t="s">
        <v>25</v>
      </c>
      <c r="S185" t="s">
        <v>30</v>
      </c>
      <c r="T185" t="s">
        <v>25</v>
      </c>
      <c r="U185">
        <f t="shared" si="10"/>
        <v>2</v>
      </c>
      <c r="V185">
        <v>174</v>
      </c>
      <c r="W185">
        <v>0.54600000000000004</v>
      </c>
      <c r="X185" t="s">
        <v>1407</v>
      </c>
      <c r="Y185">
        <v>111</v>
      </c>
      <c r="Z185">
        <v>84</v>
      </c>
      <c r="AA185" t="s">
        <v>31</v>
      </c>
      <c r="AB185">
        <v>91</v>
      </c>
      <c r="AC185" s="23">
        <v>2.46</v>
      </c>
      <c r="AD185" t="str">
        <f>IF(AND('CVD Dataset'!AA185="Normal",'CVD Dataset'!AB185&gt;AVERAGE('CVD Dataset'!AB:AB),'CVD Dataset'!AF185="High"),"High Lipid Category","Normal Category")</f>
        <v>Normal Category</v>
      </c>
      <c r="AE185">
        <v>15.55</v>
      </c>
      <c r="AF185" t="s">
        <v>28</v>
      </c>
      <c r="AG185">
        <v>0</v>
      </c>
      <c r="AH185" t="s">
        <v>1380</v>
      </c>
      <c r="AI185">
        <f t="shared" si="11"/>
        <v>0</v>
      </c>
      <c r="AJ185" t="s">
        <v>1391</v>
      </c>
    </row>
    <row r="186" spans="1:36" x14ac:dyDescent="0.3">
      <c r="A186" t="s">
        <v>33</v>
      </c>
      <c r="B186">
        <v>50</v>
      </c>
      <c r="C186">
        <v>57.9</v>
      </c>
      <c r="D186">
        <v>1.87</v>
      </c>
      <c r="E186">
        <v>16.600000000000001</v>
      </c>
      <c r="F186">
        <f t="shared" si="9"/>
        <v>16.557522376962449</v>
      </c>
      <c r="G186">
        <f t="shared" si="12"/>
        <v>0</v>
      </c>
      <c r="H186" t="s">
        <v>1401</v>
      </c>
      <c r="I186">
        <v>78.3</v>
      </c>
      <c r="J186" t="s">
        <v>211</v>
      </c>
      <c r="K186" s="24">
        <v>102</v>
      </c>
      <c r="L186" s="24">
        <v>60</v>
      </c>
      <c r="M186">
        <v>215</v>
      </c>
      <c r="N186" t="s">
        <v>1432</v>
      </c>
      <c r="O186">
        <v>68</v>
      </c>
      <c r="P186">
        <v>90</v>
      </c>
      <c r="Q186" t="s">
        <v>24</v>
      </c>
      <c r="R186" t="s">
        <v>25</v>
      </c>
      <c r="S186" t="s">
        <v>39</v>
      </c>
      <c r="T186" t="s">
        <v>24</v>
      </c>
      <c r="U186">
        <f t="shared" si="10"/>
        <v>1</v>
      </c>
      <c r="V186">
        <v>187</v>
      </c>
      <c r="W186">
        <v>0.41899999999999998</v>
      </c>
      <c r="X186" t="s">
        <v>1408</v>
      </c>
      <c r="Z186">
        <v>60</v>
      </c>
      <c r="AA186" t="s">
        <v>35</v>
      </c>
      <c r="AB186">
        <v>117</v>
      </c>
      <c r="AC186" s="23">
        <v>1.72</v>
      </c>
      <c r="AD186" t="str">
        <f>IF(AND('CVD Dataset'!AA186="Normal",'CVD Dataset'!AB186&gt;AVERAGE('CVD Dataset'!AB:AB),'CVD Dataset'!AF186="High"),"High Lipid Category","Normal Category")</f>
        <v>Normal Category</v>
      </c>
      <c r="AE186">
        <v>14.72</v>
      </c>
      <c r="AF186" t="s">
        <v>28</v>
      </c>
      <c r="AG186">
        <v>0</v>
      </c>
      <c r="AH186" t="s">
        <v>1380</v>
      </c>
      <c r="AI186">
        <f t="shared" si="11"/>
        <v>0</v>
      </c>
      <c r="AJ186" t="s">
        <v>1391</v>
      </c>
    </row>
    <row r="187" spans="1:36" x14ac:dyDescent="0.3">
      <c r="A187" t="s">
        <v>33</v>
      </c>
      <c r="B187">
        <v>43</v>
      </c>
      <c r="C187">
        <v>52.7</v>
      </c>
      <c r="D187">
        <v>1.85</v>
      </c>
      <c r="E187">
        <v>15.4</v>
      </c>
      <c r="F187">
        <f t="shared" si="9"/>
        <v>15.398100803506209</v>
      </c>
      <c r="G187">
        <f t="shared" si="12"/>
        <v>0</v>
      </c>
      <c r="H187" t="s">
        <v>1401</v>
      </c>
      <c r="I187">
        <v>107.7</v>
      </c>
      <c r="J187" t="s">
        <v>212</v>
      </c>
      <c r="K187" s="24">
        <v>107</v>
      </c>
      <c r="L187" s="24">
        <v>61</v>
      </c>
      <c r="M187">
        <v>105</v>
      </c>
      <c r="N187" t="s">
        <v>1434</v>
      </c>
      <c r="O187">
        <v>32</v>
      </c>
      <c r="P187">
        <v>70</v>
      </c>
      <c r="Q187" t="s">
        <v>25</v>
      </c>
      <c r="R187" t="s">
        <v>24</v>
      </c>
      <c r="S187" t="s">
        <v>30</v>
      </c>
      <c r="T187" t="s">
        <v>24</v>
      </c>
      <c r="U187">
        <f t="shared" si="10"/>
        <v>1</v>
      </c>
      <c r="V187">
        <v>185</v>
      </c>
      <c r="W187">
        <v>0.58199999999999996</v>
      </c>
      <c r="X187" t="s">
        <v>1407</v>
      </c>
      <c r="Y187">
        <v>107</v>
      </c>
      <c r="Z187">
        <v>61</v>
      </c>
      <c r="AA187" t="s">
        <v>35</v>
      </c>
      <c r="AB187">
        <v>43</v>
      </c>
      <c r="AC187" s="23">
        <v>1.34</v>
      </c>
      <c r="AD187" t="str">
        <f>IF(AND('CVD Dataset'!AA187="Normal",'CVD Dataset'!AB187&gt;AVERAGE('CVD Dataset'!AB:AB),'CVD Dataset'!AF187="High"),"High Lipid Category","Normal Category")</f>
        <v>Normal Category</v>
      </c>
      <c r="AE187">
        <v>10.53</v>
      </c>
      <c r="AF187" t="s">
        <v>28</v>
      </c>
      <c r="AG187">
        <v>0</v>
      </c>
      <c r="AH187" t="s">
        <v>1380</v>
      </c>
      <c r="AI187">
        <f t="shared" si="11"/>
        <v>0</v>
      </c>
      <c r="AJ187" t="s">
        <v>1391</v>
      </c>
    </row>
    <row r="188" spans="1:36" x14ac:dyDescent="0.3">
      <c r="A188" t="s">
        <v>33</v>
      </c>
      <c r="B188">
        <v>44</v>
      </c>
      <c r="C188">
        <v>56.8</v>
      </c>
      <c r="D188">
        <v>1.77</v>
      </c>
      <c r="E188">
        <v>18.100000000000001</v>
      </c>
      <c r="F188">
        <f t="shared" si="9"/>
        <v>18.130166937980782</v>
      </c>
      <c r="G188">
        <f t="shared" si="12"/>
        <v>0</v>
      </c>
      <c r="H188" t="s">
        <v>1401</v>
      </c>
      <c r="I188">
        <v>90.8</v>
      </c>
      <c r="J188" t="s">
        <v>213</v>
      </c>
      <c r="K188" s="24">
        <v>133</v>
      </c>
      <c r="L188" s="24">
        <v>77</v>
      </c>
      <c r="M188">
        <v>131</v>
      </c>
      <c r="N188" t="s">
        <v>1434</v>
      </c>
      <c r="O188">
        <v>37</v>
      </c>
      <c r="P188">
        <v>109</v>
      </c>
      <c r="Q188" t="s">
        <v>25</v>
      </c>
      <c r="R188" t="s">
        <v>25</v>
      </c>
      <c r="S188" t="s">
        <v>30</v>
      </c>
      <c r="T188" t="s">
        <v>24</v>
      </c>
      <c r="U188">
        <f t="shared" si="10"/>
        <v>2</v>
      </c>
      <c r="V188">
        <v>177</v>
      </c>
      <c r="W188">
        <v>0.51300000000000001</v>
      </c>
      <c r="X188" t="s">
        <v>1406</v>
      </c>
      <c r="Y188">
        <v>133</v>
      </c>
      <c r="Z188">
        <v>77</v>
      </c>
      <c r="AA188" t="s">
        <v>31</v>
      </c>
      <c r="AB188">
        <v>64</v>
      </c>
      <c r="AC188" s="23">
        <v>1.73</v>
      </c>
      <c r="AD188" t="str">
        <f>IF(AND('CVD Dataset'!AA188="Normal",'CVD Dataset'!AB188&gt;AVERAGE('CVD Dataset'!AB:AB),'CVD Dataset'!AF188="High"),"High Lipid Category","Normal Category")</f>
        <v>Normal Category</v>
      </c>
      <c r="AE188">
        <v>14.89</v>
      </c>
      <c r="AF188" t="s">
        <v>28</v>
      </c>
      <c r="AG188">
        <v>0</v>
      </c>
      <c r="AH188" t="s">
        <v>1380</v>
      </c>
      <c r="AI188">
        <f t="shared" si="11"/>
        <v>0</v>
      </c>
      <c r="AJ188" t="s">
        <v>1391</v>
      </c>
    </row>
    <row r="189" spans="1:36" x14ac:dyDescent="0.3">
      <c r="A189" t="s">
        <v>33</v>
      </c>
      <c r="B189">
        <v>60</v>
      </c>
      <c r="C189">
        <v>84.4</v>
      </c>
      <c r="D189">
        <v>1.9</v>
      </c>
      <c r="E189">
        <v>23.4</v>
      </c>
      <c r="F189">
        <f t="shared" si="9"/>
        <v>23.379501385041554</v>
      </c>
      <c r="G189">
        <f t="shared" si="12"/>
        <v>0</v>
      </c>
      <c r="H189" t="s">
        <v>1398</v>
      </c>
      <c r="I189">
        <v>77.099999999999994</v>
      </c>
      <c r="J189" t="s">
        <v>214</v>
      </c>
      <c r="K189" s="24">
        <v>112</v>
      </c>
      <c r="L189" s="24">
        <v>91</v>
      </c>
      <c r="M189">
        <v>134</v>
      </c>
      <c r="N189" t="s">
        <v>1434</v>
      </c>
      <c r="O189">
        <v>31</v>
      </c>
      <c r="P189">
        <v>95</v>
      </c>
      <c r="Q189" t="s">
        <v>24</v>
      </c>
      <c r="R189" t="s">
        <v>24</v>
      </c>
      <c r="S189" t="s">
        <v>39</v>
      </c>
      <c r="T189" t="s">
        <v>24</v>
      </c>
      <c r="U189">
        <f t="shared" si="10"/>
        <v>0</v>
      </c>
      <c r="V189">
        <v>190</v>
      </c>
      <c r="W189">
        <v>0.40600000000000003</v>
      </c>
      <c r="X189" t="s">
        <v>1408</v>
      </c>
      <c r="Y189">
        <v>112</v>
      </c>
      <c r="Z189">
        <v>91</v>
      </c>
      <c r="AA189" t="s">
        <v>40</v>
      </c>
      <c r="AB189">
        <v>73</v>
      </c>
      <c r="AC189" s="23">
        <v>2.35</v>
      </c>
      <c r="AD189" t="str">
        <f>IF(AND('CVD Dataset'!AA189="Normal",'CVD Dataset'!AB189&gt;AVERAGE('CVD Dataset'!AB:AB),'CVD Dataset'!AF189="High"),"High Lipid Category","Normal Category")</f>
        <v>Normal Category</v>
      </c>
      <c r="AE189">
        <v>12.96</v>
      </c>
      <c r="AF189" t="s">
        <v>28</v>
      </c>
      <c r="AG189">
        <v>0</v>
      </c>
      <c r="AH189" t="s">
        <v>1380</v>
      </c>
      <c r="AI189">
        <f t="shared" si="11"/>
        <v>0</v>
      </c>
      <c r="AJ189" t="s">
        <v>1391</v>
      </c>
    </row>
    <row r="190" spans="1:36" x14ac:dyDescent="0.3">
      <c r="A190" t="s">
        <v>22</v>
      </c>
      <c r="B190">
        <v>37</v>
      </c>
      <c r="C190">
        <v>103.5</v>
      </c>
      <c r="D190">
        <v>1.81</v>
      </c>
      <c r="E190">
        <v>31.6</v>
      </c>
      <c r="F190">
        <f t="shared" si="9"/>
        <v>31.592442233143068</v>
      </c>
      <c r="G190">
        <f t="shared" si="12"/>
        <v>0</v>
      </c>
      <c r="H190" t="s">
        <v>1399</v>
      </c>
      <c r="I190">
        <v>84.6</v>
      </c>
      <c r="J190" t="s">
        <v>215</v>
      </c>
      <c r="K190" s="24">
        <v>122</v>
      </c>
      <c r="L190" s="24">
        <v>65</v>
      </c>
      <c r="M190">
        <v>114</v>
      </c>
      <c r="N190" t="s">
        <v>1434</v>
      </c>
      <c r="O190">
        <v>55</v>
      </c>
      <c r="P190">
        <v>138</v>
      </c>
      <c r="Q190" t="s">
        <v>24</v>
      </c>
      <c r="R190" t="s">
        <v>25</v>
      </c>
      <c r="S190" t="s">
        <v>30</v>
      </c>
      <c r="T190" t="s">
        <v>24</v>
      </c>
      <c r="U190">
        <f t="shared" si="10"/>
        <v>1</v>
      </c>
      <c r="V190">
        <v>181</v>
      </c>
      <c r="W190">
        <v>0.46700000000000003</v>
      </c>
      <c r="X190" t="s">
        <v>1406</v>
      </c>
      <c r="Z190">
        <v>65</v>
      </c>
      <c r="AA190" t="s">
        <v>27</v>
      </c>
      <c r="AB190">
        <v>29</v>
      </c>
      <c r="AC190" s="23">
        <v>0.53</v>
      </c>
      <c r="AD190" t="str">
        <f>IF(AND('CVD Dataset'!AA190="Normal",'CVD Dataset'!AB190&gt;AVERAGE('CVD Dataset'!AB:AB),'CVD Dataset'!AF190="High"),"High Lipid Category","Normal Category")</f>
        <v>Normal Category</v>
      </c>
      <c r="AE190">
        <v>16.7</v>
      </c>
      <c r="AF190" t="s">
        <v>28</v>
      </c>
      <c r="AG190">
        <v>0</v>
      </c>
      <c r="AH190" t="s">
        <v>1380</v>
      </c>
      <c r="AI190">
        <f t="shared" si="11"/>
        <v>0</v>
      </c>
      <c r="AJ190" t="s">
        <v>1391</v>
      </c>
    </row>
    <row r="191" spans="1:36" x14ac:dyDescent="0.3">
      <c r="A191" t="s">
        <v>33</v>
      </c>
      <c r="B191">
        <v>47</v>
      </c>
      <c r="C191">
        <v>87.6</v>
      </c>
      <c r="D191">
        <v>1.81</v>
      </c>
      <c r="E191">
        <v>26.7</v>
      </c>
      <c r="F191">
        <f t="shared" si="9"/>
        <v>26.739110527761667</v>
      </c>
      <c r="G191">
        <f t="shared" si="12"/>
        <v>0</v>
      </c>
      <c r="H191" t="s">
        <v>1400</v>
      </c>
      <c r="I191">
        <v>91.3</v>
      </c>
      <c r="J191" t="s">
        <v>216</v>
      </c>
      <c r="K191" s="24">
        <v>90</v>
      </c>
      <c r="L191" s="24">
        <v>92</v>
      </c>
      <c r="M191">
        <v>271</v>
      </c>
      <c r="N191" t="s">
        <v>1432</v>
      </c>
      <c r="O191">
        <v>42</v>
      </c>
      <c r="P191">
        <v>108</v>
      </c>
      <c r="Q191" t="s">
        <v>25</v>
      </c>
      <c r="R191" t="s">
        <v>24</v>
      </c>
      <c r="S191" t="s">
        <v>39</v>
      </c>
      <c r="T191" t="s">
        <v>25</v>
      </c>
      <c r="U191">
        <f t="shared" si="10"/>
        <v>2</v>
      </c>
      <c r="W191">
        <v>0.504</v>
      </c>
      <c r="X191" t="s">
        <v>1406</v>
      </c>
      <c r="Y191">
        <v>90</v>
      </c>
      <c r="Z191">
        <v>92</v>
      </c>
      <c r="AA191" t="s">
        <v>40</v>
      </c>
      <c r="AB191">
        <v>199</v>
      </c>
      <c r="AC191" s="23">
        <v>4.74</v>
      </c>
      <c r="AD191" t="str">
        <f>IF(AND('CVD Dataset'!AA191="Normal",'CVD Dataset'!AB191&gt;AVERAGE('CVD Dataset'!AB:AB),'CVD Dataset'!AF191="High"),"High Lipid Category","Normal Category")</f>
        <v>Normal Category</v>
      </c>
      <c r="AE191">
        <v>15.26</v>
      </c>
      <c r="AF191" t="s">
        <v>32</v>
      </c>
      <c r="AG191">
        <v>0</v>
      </c>
      <c r="AH191" t="s">
        <v>1379</v>
      </c>
      <c r="AI191">
        <f t="shared" si="11"/>
        <v>1</v>
      </c>
      <c r="AJ191" t="s">
        <v>1391</v>
      </c>
    </row>
    <row r="192" spans="1:36" x14ac:dyDescent="0.3">
      <c r="A192" t="s">
        <v>33</v>
      </c>
      <c r="B192">
        <v>32</v>
      </c>
      <c r="C192">
        <v>84.8</v>
      </c>
      <c r="D192">
        <v>1.66</v>
      </c>
      <c r="E192">
        <v>30.8</v>
      </c>
      <c r="F192">
        <f t="shared" si="9"/>
        <v>30.773697198432284</v>
      </c>
      <c r="G192">
        <f t="shared" si="12"/>
        <v>0</v>
      </c>
      <c r="H192" t="s">
        <v>1399</v>
      </c>
      <c r="I192">
        <v>100.4</v>
      </c>
      <c r="J192" t="s">
        <v>217</v>
      </c>
      <c r="K192" s="24">
        <v>133</v>
      </c>
      <c r="L192" s="24">
        <v>70</v>
      </c>
      <c r="M192">
        <v>284</v>
      </c>
      <c r="N192" t="s">
        <v>1432</v>
      </c>
      <c r="O192">
        <v>76</v>
      </c>
      <c r="P192">
        <v>70</v>
      </c>
      <c r="Q192" t="s">
        <v>24</v>
      </c>
      <c r="R192" t="s">
        <v>25</v>
      </c>
      <c r="S192" t="s">
        <v>26</v>
      </c>
      <c r="T192" t="s">
        <v>25</v>
      </c>
      <c r="U192">
        <f t="shared" si="10"/>
        <v>3</v>
      </c>
      <c r="V192">
        <v>166</v>
      </c>
      <c r="W192">
        <v>0.60499999999999998</v>
      </c>
      <c r="X192" t="s">
        <v>1409</v>
      </c>
      <c r="Y192">
        <v>133</v>
      </c>
      <c r="Z192">
        <v>70</v>
      </c>
      <c r="AA192" t="s">
        <v>31</v>
      </c>
      <c r="AB192">
        <v>178</v>
      </c>
      <c r="AC192" s="23">
        <v>2.34</v>
      </c>
      <c r="AD192" t="str">
        <f>IF(AND('CVD Dataset'!AA192="Normal",'CVD Dataset'!AB192&gt;AVERAGE('CVD Dataset'!AB:AB),'CVD Dataset'!AF192="High"),"High Lipid Category","Normal Category")</f>
        <v>Normal Category</v>
      </c>
      <c r="AE192">
        <v>20.49</v>
      </c>
      <c r="AF192" t="s">
        <v>32</v>
      </c>
      <c r="AG192">
        <v>1</v>
      </c>
      <c r="AH192" t="s">
        <v>1379</v>
      </c>
      <c r="AI192">
        <f t="shared" si="11"/>
        <v>1</v>
      </c>
      <c r="AJ192" t="s">
        <v>1391</v>
      </c>
    </row>
    <row r="193" spans="1:36" x14ac:dyDescent="0.3">
      <c r="A193" t="s">
        <v>33</v>
      </c>
      <c r="C193">
        <v>115.4</v>
      </c>
      <c r="E193">
        <v>36.799999999999997</v>
      </c>
      <c r="F193" t="str">
        <f t="shared" si="9"/>
        <v/>
      </c>
      <c r="G193" t="str">
        <f t="shared" si="12"/>
        <v/>
      </c>
      <c r="H193" t="s">
        <v>1399</v>
      </c>
      <c r="I193">
        <v>91.9</v>
      </c>
      <c r="J193" t="s">
        <v>218</v>
      </c>
      <c r="K193" s="24">
        <v>142</v>
      </c>
      <c r="L193" s="24">
        <v>64</v>
      </c>
      <c r="N193" t="s">
        <v>1434</v>
      </c>
      <c r="O193">
        <v>39</v>
      </c>
      <c r="P193">
        <v>118</v>
      </c>
      <c r="Q193" t="s">
        <v>25</v>
      </c>
      <c r="R193" t="s">
        <v>25</v>
      </c>
      <c r="S193" t="s">
        <v>30</v>
      </c>
      <c r="T193" t="s">
        <v>24</v>
      </c>
      <c r="U193">
        <f t="shared" si="10"/>
        <v>2</v>
      </c>
      <c r="V193">
        <v>177</v>
      </c>
      <c r="W193">
        <v>0.51900000000000002</v>
      </c>
      <c r="X193" t="s">
        <v>1406</v>
      </c>
      <c r="Y193">
        <v>142</v>
      </c>
      <c r="Z193">
        <v>64</v>
      </c>
      <c r="AA193" t="s">
        <v>40</v>
      </c>
      <c r="AB193">
        <v>67</v>
      </c>
      <c r="AC193" s="23">
        <v>1.72</v>
      </c>
      <c r="AD193" t="str">
        <f>IF(AND('CVD Dataset'!AA193="Normal",'CVD Dataset'!AB193&gt;AVERAGE('CVD Dataset'!AB:AB),'CVD Dataset'!AF193="High"),"High Lipid Category","Normal Category")</f>
        <v>Normal Category</v>
      </c>
      <c r="AE193">
        <v>19.18</v>
      </c>
      <c r="AF193" t="s">
        <v>32</v>
      </c>
      <c r="AG193">
        <v>0</v>
      </c>
      <c r="AH193" t="s">
        <v>1379</v>
      </c>
      <c r="AI193">
        <f t="shared" si="11"/>
        <v>1</v>
      </c>
      <c r="AJ193" t="s">
        <v>1391</v>
      </c>
    </row>
    <row r="194" spans="1:36" x14ac:dyDescent="0.3">
      <c r="A194" t="s">
        <v>22</v>
      </c>
      <c r="B194">
        <v>30</v>
      </c>
      <c r="C194">
        <v>70.7</v>
      </c>
      <c r="D194">
        <v>1.82</v>
      </c>
      <c r="E194">
        <v>21.3</v>
      </c>
      <c r="F194">
        <f t="shared" si="9"/>
        <v>21.344040574809807</v>
      </c>
      <c r="G194">
        <f t="shared" si="12"/>
        <v>0</v>
      </c>
      <c r="H194" t="s">
        <v>1398</v>
      </c>
      <c r="I194">
        <v>109.7</v>
      </c>
      <c r="J194" t="s">
        <v>219</v>
      </c>
      <c r="K194" s="24">
        <v>117</v>
      </c>
      <c r="L194" s="24">
        <v>62</v>
      </c>
      <c r="M194">
        <v>157</v>
      </c>
      <c r="N194" t="s">
        <v>1433</v>
      </c>
      <c r="O194">
        <v>37</v>
      </c>
      <c r="P194">
        <v>105</v>
      </c>
      <c r="Q194" t="s">
        <v>24</v>
      </c>
      <c r="R194" t="s">
        <v>25</v>
      </c>
      <c r="S194" t="s">
        <v>39</v>
      </c>
      <c r="T194" t="s">
        <v>24</v>
      </c>
      <c r="U194">
        <f t="shared" si="10"/>
        <v>1</v>
      </c>
      <c r="V194">
        <v>182</v>
      </c>
      <c r="W194">
        <v>0.60299999999999998</v>
      </c>
      <c r="X194" t="s">
        <v>1409</v>
      </c>
      <c r="Y194">
        <v>117</v>
      </c>
      <c r="Z194">
        <v>62</v>
      </c>
      <c r="AA194" t="s">
        <v>35</v>
      </c>
      <c r="AB194">
        <v>90</v>
      </c>
      <c r="AC194" s="23">
        <v>2.4300000000000002</v>
      </c>
      <c r="AD194" t="str">
        <f>IF(AND('CVD Dataset'!AA194="Normal",'CVD Dataset'!AB194&gt;AVERAGE('CVD Dataset'!AB:AB),'CVD Dataset'!AF194="High"),"High Lipid Category","Normal Category")</f>
        <v>Normal Category</v>
      </c>
      <c r="AE194">
        <v>15.25</v>
      </c>
      <c r="AF194" t="s">
        <v>28</v>
      </c>
      <c r="AG194">
        <v>0</v>
      </c>
      <c r="AH194" t="s">
        <v>1380</v>
      </c>
      <c r="AI194">
        <f t="shared" si="11"/>
        <v>0</v>
      </c>
      <c r="AJ194" t="s">
        <v>1391</v>
      </c>
    </row>
    <row r="195" spans="1:36" x14ac:dyDescent="0.3">
      <c r="A195" t="s">
        <v>33</v>
      </c>
      <c r="B195">
        <v>43</v>
      </c>
      <c r="C195">
        <v>79.8</v>
      </c>
      <c r="D195">
        <v>1.86</v>
      </c>
      <c r="E195">
        <v>23.1</v>
      </c>
      <c r="F195">
        <f t="shared" ref="F195:F258" si="13">IFERROR(C195/POWER(D195,2),"")</f>
        <v>23.066250433576133</v>
      </c>
      <c r="G195">
        <f t="shared" si="12"/>
        <v>0</v>
      </c>
      <c r="H195" t="s">
        <v>1398</v>
      </c>
      <c r="I195">
        <v>82.2</v>
      </c>
      <c r="J195" t="s">
        <v>220</v>
      </c>
      <c r="K195" s="24">
        <v>141</v>
      </c>
      <c r="L195" s="24">
        <v>65</v>
      </c>
      <c r="M195">
        <v>160</v>
      </c>
      <c r="N195" t="s">
        <v>1433</v>
      </c>
      <c r="O195">
        <v>72</v>
      </c>
      <c r="P195">
        <v>70</v>
      </c>
      <c r="Q195" t="s">
        <v>24</v>
      </c>
      <c r="R195" t="s">
        <v>24</v>
      </c>
      <c r="S195" t="s">
        <v>26</v>
      </c>
      <c r="T195" t="s">
        <v>25</v>
      </c>
      <c r="U195">
        <f t="shared" ref="U195:U258" si="14">SUM(IF(Q195="Y",1,0),IF(R195="Y",1,0),IF(S195="Low",1,0),IF(T195="Y",1,0))</f>
        <v>2</v>
      </c>
      <c r="V195">
        <v>186</v>
      </c>
      <c r="W195">
        <v>0.442</v>
      </c>
      <c r="X195" t="s">
        <v>1408</v>
      </c>
      <c r="Y195">
        <v>141</v>
      </c>
      <c r="Z195">
        <v>65</v>
      </c>
      <c r="AA195" t="s">
        <v>40</v>
      </c>
      <c r="AB195">
        <v>58</v>
      </c>
      <c r="AC195" s="23">
        <v>0.81</v>
      </c>
      <c r="AD195" t="str">
        <f>IF(AND('CVD Dataset'!AA195="Normal",'CVD Dataset'!AB195&gt;AVERAGE('CVD Dataset'!AB:AB),'CVD Dataset'!AF195="High"),"High Lipid Category","Normal Category")</f>
        <v>Normal Category</v>
      </c>
      <c r="AE195">
        <v>14.87</v>
      </c>
      <c r="AF195" t="s">
        <v>28</v>
      </c>
      <c r="AG195">
        <v>0</v>
      </c>
      <c r="AH195" t="s">
        <v>1380</v>
      </c>
      <c r="AI195">
        <f t="shared" ref="AI195:AI258" si="15">IF(AF195="HIGH",1,0)</f>
        <v>0</v>
      </c>
      <c r="AJ195" t="s">
        <v>1391</v>
      </c>
    </row>
    <row r="196" spans="1:36" x14ac:dyDescent="0.3">
      <c r="A196" t="s">
        <v>33</v>
      </c>
      <c r="B196">
        <v>42</v>
      </c>
      <c r="C196">
        <v>95.7</v>
      </c>
      <c r="D196">
        <v>1.89</v>
      </c>
      <c r="E196">
        <v>26.8</v>
      </c>
      <c r="F196">
        <f t="shared" si="13"/>
        <v>26.790963298899808</v>
      </c>
      <c r="G196">
        <f t="shared" si="12"/>
        <v>0</v>
      </c>
      <c r="H196" t="s">
        <v>1400</v>
      </c>
      <c r="I196">
        <v>96.8</v>
      </c>
      <c r="J196" t="s">
        <v>221</v>
      </c>
      <c r="K196" s="24">
        <v>113</v>
      </c>
      <c r="L196" s="24">
        <v>94</v>
      </c>
      <c r="M196">
        <v>186</v>
      </c>
      <c r="N196" t="s">
        <v>1432</v>
      </c>
      <c r="P196">
        <v>112</v>
      </c>
      <c r="Q196" t="s">
        <v>25</v>
      </c>
      <c r="R196" t="s">
        <v>25</v>
      </c>
      <c r="S196" t="s">
        <v>30</v>
      </c>
      <c r="T196" t="s">
        <v>24</v>
      </c>
      <c r="U196">
        <f t="shared" si="14"/>
        <v>2</v>
      </c>
      <c r="V196">
        <v>189</v>
      </c>
      <c r="W196">
        <v>0.51200000000000001</v>
      </c>
      <c r="X196" t="s">
        <v>1406</v>
      </c>
      <c r="Y196">
        <v>113</v>
      </c>
      <c r="Z196">
        <v>94</v>
      </c>
      <c r="AA196" t="s">
        <v>40</v>
      </c>
      <c r="AB196">
        <v>84</v>
      </c>
      <c r="AC196" s="23" t="s">
        <v>1410</v>
      </c>
      <c r="AD196" t="str">
        <f>IF(AND('CVD Dataset'!AA196="Normal",'CVD Dataset'!AB196&gt;AVERAGE('CVD Dataset'!AB:AB),'CVD Dataset'!AF196="High"),"High Lipid Category","Normal Category")</f>
        <v>Normal Category</v>
      </c>
      <c r="AE196">
        <v>16.73</v>
      </c>
      <c r="AF196" t="s">
        <v>28</v>
      </c>
      <c r="AG196">
        <v>0</v>
      </c>
      <c r="AH196" t="s">
        <v>1380</v>
      </c>
      <c r="AI196">
        <f t="shared" si="15"/>
        <v>0</v>
      </c>
      <c r="AJ196" t="s">
        <v>1391</v>
      </c>
    </row>
    <row r="197" spans="1:36" x14ac:dyDescent="0.3">
      <c r="A197" t="s">
        <v>22</v>
      </c>
      <c r="B197">
        <v>46</v>
      </c>
      <c r="C197">
        <v>71.400000000000006</v>
      </c>
      <c r="D197">
        <v>1.79</v>
      </c>
      <c r="E197">
        <v>22.3</v>
      </c>
      <c r="F197">
        <f t="shared" si="13"/>
        <v>22.28394869073999</v>
      </c>
      <c r="G197">
        <f t="shared" si="12"/>
        <v>0</v>
      </c>
      <c r="H197" t="s">
        <v>1398</v>
      </c>
      <c r="I197">
        <v>104.4</v>
      </c>
      <c r="J197" t="s">
        <v>222</v>
      </c>
      <c r="K197" s="24">
        <v>122</v>
      </c>
      <c r="L197" s="24">
        <v>80</v>
      </c>
      <c r="N197" t="s">
        <v>1434</v>
      </c>
      <c r="O197">
        <v>64</v>
      </c>
      <c r="P197">
        <v>88</v>
      </c>
      <c r="Q197" t="s">
        <v>25</v>
      </c>
      <c r="R197" t="s">
        <v>25</v>
      </c>
      <c r="S197" t="s">
        <v>26</v>
      </c>
      <c r="T197" t="s">
        <v>24</v>
      </c>
      <c r="U197">
        <f t="shared" si="14"/>
        <v>3</v>
      </c>
      <c r="V197">
        <v>179</v>
      </c>
      <c r="W197">
        <v>0.58299999999999996</v>
      </c>
      <c r="X197" t="s">
        <v>1407</v>
      </c>
      <c r="Y197">
        <v>122</v>
      </c>
      <c r="Z197">
        <v>80</v>
      </c>
      <c r="AA197" t="s">
        <v>31</v>
      </c>
      <c r="AB197">
        <v>67</v>
      </c>
      <c r="AC197" s="23">
        <v>1.05</v>
      </c>
      <c r="AD197" t="str">
        <f>IF(AND('CVD Dataset'!AA197="Normal",'CVD Dataset'!AB197&gt;AVERAGE('CVD Dataset'!AB:AB),'CVD Dataset'!AF197="High"),"High Lipid Category","Normal Category")</f>
        <v>Normal Category</v>
      </c>
      <c r="AE197">
        <v>15.78</v>
      </c>
      <c r="AF197" t="s">
        <v>32</v>
      </c>
      <c r="AG197">
        <v>1</v>
      </c>
      <c r="AH197" t="s">
        <v>1379</v>
      </c>
      <c r="AI197">
        <f t="shared" si="15"/>
        <v>1</v>
      </c>
      <c r="AJ197" t="s">
        <v>1391</v>
      </c>
    </row>
    <row r="198" spans="1:36" x14ac:dyDescent="0.3">
      <c r="A198" t="s">
        <v>33</v>
      </c>
      <c r="B198">
        <v>35</v>
      </c>
      <c r="C198">
        <v>99.6</v>
      </c>
      <c r="D198">
        <v>1.81</v>
      </c>
      <c r="F198">
        <f t="shared" si="13"/>
        <v>30.402002380879704</v>
      </c>
      <c r="G198">
        <f t="shared" si="12"/>
        <v>1</v>
      </c>
      <c r="H198" t="s">
        <v>1401</v>
      </c>
      <c r="I198">
        <v>77.8</v>
      </c>
      <c r="J198" t="s">
        <v>223</v>
      </c>
      <c r="K198" s="24">
        <v>97</v>
      </c>
      <c r="L198" s="24">
        <v>64</v>
      </c>
      <c r="M198">
        <v>152</v>
      </c>
      <c r="N198" t="s">
        <v>1433</v>
      </c>
      <c r="O198">
        <v>79</v>
      </c>
      <c r="P198">
        <v>124</v>
      </c>
      <c r="Q198" t="s">
        <v>25</v>
      </c>
      <c r="R198" t="s">
        <v>24</v>
      </c>
      <c r="S198" t="s">
        <v>39</v>
      </c>
      <c r="T198" t="s">
        <v>24</v>
      </c>
      <c r="U198">
        <f t="shared" si="14"/>
        <v>1</v>
      </c>
      <c r="V198">
        <v>181</v>
      </c>
      <c r="W198">
        <v>0.43</v>
      </c>
      <c r="X198" t="s">
        <v>1408</v>
      </c>
      <c r="Y198">
        <v>97</v>
      </c>
      <c r="Z198">
        <v>64</v>
      </c>
      <c r="AA198" t="s">
        <v>35</v>
      </c>
      <c r="AB198">
        <v>43</v>
      </c>
      <c r="AC198" s="23">
        <v>0.54</v>
      </c>
      <c r="AD198" t="str">
        <f>IF(AND('CVD Dataset'!AA198="Normal",'CVD Dataset'!AB198&gt;AVERAGE('CVD Dataset'!AB:AB),'CVD Dataset'!AF198="High"),"High Lipid Category","Normal Category")</f>
        <v>Normal Category</v>
      </c>
      <c r="AE198">
        <v>13.97</v>
      </c>
      <c r="AF198" t="s">
        <v>28</v>
      </c>
      <c r="AG198">
        <v>0</v>
      </c>
      <c r="AH198" t="s">
        <v>1380</v>
      </c>
      <c r="AI198">
        <f t="shared" si="15"/>
        <v>0</v>
      </c>
      <c r="AJ198" t="s">
        <v>1391</v>
      </c>
    </row>
    <row r="199" spans="1:36" x14ac:dyDescent="0.3">
      <c r="A199" t="s">
        <v>33</v>
      </c>
      <c r="B199">
        <v>31</v>
      </c>
      <c r="C199">
        <v>56.3</v>
      </c>
      <c r="D199">
        <v>1.81</v>
      </c>
      <c r="E199">
        <v>17.2</v>
      </c>
      <c r="F199">
        <f t="shared" si="13"/>
        <v>17.185067610878789</v>
      </c>
      <c r="G199">
        <f t="shared" si="12"/>
        <v>0</v>
      </c>
      <c r="H199" t="s">
        <v>1401</v>
      </c>
      <c r="I199">
        <v>73</v>
      </c>
      <c r="J199" t="s">
        <v>224</v>
      </c>
      <c r="K199" s="24">
        <v>144</v>
      </c>
      <c r="L199" s="24">
        <v>74</v>
      </c>
      <c r="M199">
        <v>170</v>
      </c>
      <c r="N199" t="s">
        <v>1433</v>
      </c>
      <c r="O199">
        <v>73</v>
      </c>
      <c r="P199">
        <v>84</v>
      </c>
      <c r="Q199" t="s">
        <v>25</v>
      </c>
      <c r="R199" t="s">
        <v>24</v>
      </c>
      <c r="S199" t="s">
        <v>39</v>
      </c>
      <c r="T199" t="s">
        <v>24</v>
      </c>
      <c r="U199">
        <f t="shared" si="14"/>
        <v>1</v>
      </c>
      <c r="V199">
        <v>181</v>
      </c>
      <c r="W199">
        <v>0.40300000000000002</v>
      </c>
      <c r="X199" t="s">
        <v>1408</v>
      </c>
      <c r="Y199">
        <v>144</v>
      </c>
      <c r="Z199">
        <v>74</v>
      </c>
      <c r="AA199" t="s">
        <v>40</v>
      </c>
      <c r="AB199">
        <v>67</v>
      </c>
      <c r="AC199" s="23">
        <v>0.92</v>
      </c>
      <c r="AD199" t="str">
        <f>IF(AND('CVD Dataset'!AA199="Normal",'CVD Dataset'!AB199&gt;AVERAGE('CVD Dataset'!AB:AB),'CVD Dataset'!AF199="High"),"High Lipid Category","Normal Category")</f>
        <v>Normal Category</v>
      </c>
      <c r="AE199">
        <v>14.04</v>
      </c>
      <c r="AF199" t="s">
        <v>54</v>
      </c>
      <c r="AG199">
        <v>0</v>
      </c>
      <c r="AH199" t="s">
        <v>1380</v>
      </c>
      <c r="AI199">
        <f t="shared" si="15"/>
        <v>0</v>
      </c>
      <c r="AJ199" t="s">
        <v>1391</v>
      </c>
    </row>
    <row r="200" spans="1:36" x14ac:dyDescent="0.3">
      <c r="A200" t="s">
        <v>33</v>
      </c>
      <c r="B200">
        <v>43</v>
      </c>
      <c r="C200">
        <v>106</v>
      </c>
      <c r="D200">
        <v>1.66</v>
      </c>
      <c r="E200">
        <v>38.5</v>
      </c>
      <c r="F200">
        <f t="shared" si="13"/>
        <v>38.467121498040356</v>
      </c>
      <c r="G200">
        <f t="shared" si="12"/>
        <v>0</v>
      </c>
      <c r="H200" t="s">
        <v>1399</v>
      </c>
      <c r="I200">
        <v>92.5</v>
      </c>
      <c r="J200" t="s">
        <v>225</v>
      </c>
      <c r="K200" s="24">
        <v>130</v>
      </c>
      <c r="L200" s="24">
        <v>73</v>
      </c>
      <c r="M200">
        <v>195</v>
      </c>
      <c r="N200" t="s">
        <v>1432</v>
      </c>
      <c r="O200">
        <v>31</v>
      </c>
      <c r="P200">
        <v>136</v>
      </c>
      <c r="Q200" t="s">
        <v>25</v>
      </c>
      <c r="R200" t="s">
        <v>24</v>
      </c>
      <c r="S200" t="s">
        <v>39</v>
      </c>
      <c r="T200" t="s">
        <v>24</v>
      </c>
      <c r="U200">
        <f t="shared" si="14"/>
        <v>1</v>
      </c>
      <c r="V200">
        <v>166</v>
      </c>
      <c r="W200">
        <v>0.55700000000000005</v>
      </c>
      <c r="X200" t="s">
        <v>1407</v>
      </c>
      <c r="Y200">
        <v>130</v>
      </c>
      <c r="Z200">
        <v>73</v>
      </c>
      <c r="AA200" t="s">
        <v>31</v>
      </c>
      <c r="AB200">
        <v>134</v>
      </c>
      <c r="AC200" s="23">
        <v>4.32</v>
      </c>
      <c r="AD200" t="str">
        <f>IF(AND('CVD Dataset'!AA200="Normal",'CVD Dataset'!AB200&gt;AVERAGE('CVD Dataset'!AB:AB),'CVD Dataset'!AF200="High"),"High Lipid Category","Normal Category")</f>
        <v>Normal Category</v>
      </c>
      <c r="AE200">
        <v>18.100000000000001</v>
      </c>
      <c r="AF200" t="s">
        <v>28</v>
      </c>
      <c r="AG200">
        <v>0</v>
      </c>
      <c r="AH200" t="s">
        <v>1380</v>
      </c>
      <c r="AI200">
        <f t="shared" si="15"/>
        <v>0</v>
      </c>
      <c r="AJ200" t="s">
        <v>1391</v>
      </c>
    </row>
    <row r="201" spans="1:36" x14ac:dyDescent="0.3">
      <c r="A201" t="s">
        <v>33</v>
      </c>
      <c r="B201">
        <v>56</v>
      </c>
      <c r="C201">
        <v>114.6</v>
      </c>
      <c r="D201">
        <v>1.88</v>
      </c>
      <c r="F201">
        <f t="shared" si="13"/>
        <v>32.424173834314168</v>
      </c>
      <c r="G201">
        <f t="shared" si="12"/>
        <v>1</v>
      </c>
      <c r="H201" t="s">
        <v>1401</v>
      </c>
      <c r="I201">
        <v>109.8</v>
      </c>
      <c r="J201" t="s">
        <v>226</v>
      </c>
      <c r="K201" s="24">
        <v>95</v>
      </c>
      <c r="L201" s="24">
        <v>62</v>
      </c>
      <c r="M201">
        <v>174</v>
      </c>
      <c r="N201" t="s">
        <v>1433</v>
      </c>
      <c r="O201">
        <v>52</v>
      </c>
      <c r="P201">
        <v>106</v>
      </c>
      <c r="Q201" t="s">
        <v>25</v>
      </c>
      <c r="R201" t="s">
        <v>24</v>
      </c>
      <c r="S201" t="s">
        <v>30</v>
      </c>
      <c r="T201" t="s">
        <v>24</v>
      </c>
      <c r="U201">
        <f t="shared" si="14"/>
        <v>1</v>
      </c>
      <c r="V201">
        <v>188</v>
      </c>
      <c r="W201">
        <v>0.58399999999999996</v>
      </c>
      <c r="X201" t="s">
        <v>1407</v>
      </c>
      <c r="Z201">
        <v>62</v>
      </c>
      <c r="AA201" t="s">
        <v>35</v>
      </c>
      <c r="AB201">
        <v>92</v>
      </c>
      <c r="AC201" s="23">
        <v>1.77</v>
      </c>
      <c r="AD201" t="str">
        <f>IF(AND('CVD Dataset'!AA201="Normal",'CVD Dataset'!AB201&gt;AVERAGE('CVD Dataset'!AB:AB),'CVD Dataset'!AF201="High"),"High Lipid Category","Normal Category")</f>
        <v>Normal Category</v>
      </c>
      <c r="AE201">
        <v>14.71</v>
      </c>
      <c r="AF201" t="s">
        <v>28</v>
      </c>
      <c r="AG201">
        <v>0</v>
      </c>
      <c r="AH201" t="s">
        <v>1380</v>
      </c>
      <c r="AI201">
        <f t="shared" si="15"/>
        <v>0</v>
      </c>
      <c r="AJ201" t="s">
        <v>1391</v>
      </c>
    </row>
    <row r="202" spans="1:36" x14ac:dyDescent="0.3">
      <c r="A202" t="s">
        <v>33</v>
      </c>
      <c r="B202">
        <v>40</v>
      </c>
      <c r="C202">
        <v>97</v>
      </c>
      <c r="D202">
        <v>1.78</v>
      </c>
      <c r="E202">
        <v>30.6</v>
      </c>
      <c r="F202">
        <f t="shared" si="13"/>
        <v>30.614821360939274</v>
      </c>
      <c r="G202">
        <f t="shared" si="12"/>
        <v>0</v>
      </c>
      <c r="H202" t="s">
        <v>1399</v>
      </c>
      <c r="I202">
        <v>76.900000000000006</v>
      </c>
      <c r="J202" t="s">
        <v>227</v>
      </c>
      <c r="K202" s="24">
        <v>121</v>
      </c>
      <c r="L202" s="24">
        <v>83</v>
      </c>
      <c r="M202">
        <v>170</v>
      </c>
      <c r="N202" t="s">
        <v>1433</v>
      </c>
      <c r="O202">
        <v>44</v>
      </c>
      <c r="P202">
        <v>105</v>
      </c>
      <c r="Q202" t="s">
        <v>24</v>
      </c>
      <c r="R202" t="s">
        <v>24</v>
      </c>
      <c r="S202" t="s">
        <v>39</v>
      </c>
      <c r="T202" t="s">
        <v>25</v>
      </c>
      <c r="U202">
        <f t="shared" si="14"/>
        <v>1</v>
      </c>
      <c r="V202">
        <v>178</v>
      </c>
      <c r="W202">
        <v>0.432</v>
      </c>
      <c r="X202" t="s">
        <v>1408</v>
      </c>
      <c r="Y202">
        <v>121</v>
      </c>
      <c r="Z202">
        <v>83</v>
      </c>
      <c r="AA202" t="s">
        <v>31</v>
      </c>
      <c r="AB202">
        <v>96</v>
      </c>
      <c r="AC202" s="23">
        <v>2.1800000000000002</v>
      </c>
      <c r="AD202" t="str">
        <f>IF(AND('CVD Dataset'!AA202="Normal",'CVD Dataset'!AB202&gt;AVERAGE('CVD Dataset'!AB:AB),'CVD Dataset'!AF202="High"),"High Lipid Category","Normal Category")</f>
        <v>Normal Category</v>
      </c>
      <c r="AE202">
        <v>15.57</v>
      </c>
      <c r="AF202" t="s">
        <v>28</v>
      </c>
      <c r="AG202">
        <v>0</v>
      </c>
      <c r="AH202" t="s">
        <v>1380</v>
      </c>
      <c r="AI202">
        <f t="shared" si="15"/>
        <v>0</v>
      </c>
      <c r="AJ202" t="s">
        <v>1391</v>
      </c>
    </row>
    <row r="203" spans="1:36" x14ac:dyDescent="0.3">
      <c r="A203" t="s">
        <v>33</v>
      </c>
      <c r="B203">
        <v>42</v>
      </c>
      <c r="D203">
        <v>1.81</v>
      </c>
      <c r="E203">
        <v>18</v>
      </c>
      <c r="F203">
        <f t="shared" si="13"/>
        <v>0</v>
      </c>
      <c r="G203">
        <f t="shared" si="12"/>
        <v>1</v>
      </c>
      <c r="H203" t="s">
        <v>1401</v>
      </c>
      <c r="I203">
        <v>87.8</v>
      </c>
      <c r="J203" t="s">
        <v>228</v>
      </c>
      <c r="K203" s="24">
        <v>118</v>
      </c>
      <c r="L203" s="24">
        <v>84</v>
      </c>
      <c r="M203">
        <v>159</v>
      </c>
      <c r="N203" t="s">
        <v>1433</v>
      </c>
      <c r="O203">
        <v>41</v>
      </c>
      <c r="P203">
        <v>150</v>
      </c>
      <c r="Q203" t="s">
        <v>24</v>
      </c>
      <c r="R203" t="s">
        <v>24</v>
      </c>
      <c r="S203" t="s">
        <v>39</v>
      </c>
      <c r="T203" t="s">
        <v>24</v>
      </c>
      <c r="U203">
        <f t="shared" si="14"/>
        <v>0</v>
      </c>
      <c r="V203">
        <v>181</v>
      </c>
      <c r="W203">
        <v>0.48499999999999999</v>
      </c>
      <c r="X203" t="s">
        <v>1406</v>
      </c>
      <c r="Y203">
        <v>118</v>
      </c>
      <c r="Z203">
        <v>84</v>
      </c>
      <c r="AA203" t="s">
        <v>31</v>
      </c>
      <c r="AB203">
        <v>88</v>
      </c>
      <c r="AC203" s="23">
        <v>2.15</v>
      </c>
      <c r="AD203" t="str">
        <f>IF(AND('CVD Dataset'!AA203="Normal",'CVD Dataset'!AB203&gt;AVERAGE('CVD Dataset'!AB:AB),'CVD Dataset'!AF203="High"),"High Lipid Category","Normal Category")</f>
        <v>Normal Category</v>
      </c>
      <c r="AE203">
        <v>12.68</v>
      </c>
      <c r="AF203" t="s">
        <v>54</v>
      </c>
      <c r="AG203">
        <v>0</v>
      </c>
      <c r="AH203" t="s">
        <v>1380</v>
      </c>
      <c r="AI203">
        <f t="shared" si="15"/>
        <v>0</v>
      </c>
      <c r="AJ203" t="s">
        <v>1391</v>
      </c>
    </row>
    <row r="204" spans="1:36" x14ac:dyDescent="0.3">
      <c r="A204" t="s">
        <v>22</v>
      </c>
      <c r="B204">
        <v>51</v>
      </c>
      <c r="C204">
        <v>52.7</v>
      </c>
      <c r="D204">
        <v>1.69</v>
      </c>
      <c r="E204">
        <v>18.5</v>
      </c>
      <c r="F204">
        <f t="shared" si="13"/>
        <v>18.451734883232383</v>
      </c>
      <c r="G204">
        <f t="shared" si="12"/>
        <v>0</v>
      </c>
      <c r="H204" t="s">
        <v>1398</v>
      </c>
      <c r="I204">
        <v>102.3</v>
      </c>
      <c r="J204" t="s">
        <v>229</v>
      </c>
      <c r="K204" s="24">
        <v>143</v>
      </c>
      <c r="L204" s="24">
        <v>89</v>
      </c>
      <c r="M204">
        <v>140</v>
      </c>
      <c r="N204" t="s">
        <v>1434</v>
      </c>
      <c r="O204">
        <v>31</v>
      </c>
      <c r="P204">
        <v>127</v>
      </c>
      <c r="Q204" t="s">
        <v>25</v>
      </c>
      <c r="R204" t="s">
        <v>24</v>
      </c>
      <c r="S204" t="s">
        <v>26</v>
      </c>
      <c r="T204" t="s">
        <v>24</v>
      </c>
      <c r="U204">
        <f t="shared" si="14"/>
        <v>2</v>
      </c>
      <c r="V204">
        <v>169</v>
      </c>
      <c r="W204">
        <v>0.60499999999999998</v>
      </c>
      <c r="X204" t="s">
        <v>1409</v>
      </c>
      <c r="Y204">
        <v>143</v>
      </c>
      <c r="AA204" t="s">
        <v>31</v>
      </c>
      <c r="AB204">
        <v>79</v>
      </c>
      <c r="AC204" s="23">
        <v>2.5499999999999998</v>
      </c>
      <c r="AD204" t="str">
        <f>IF(AND('CVD Dataset'!AA204="Normal",'CVD Dataset'!AB204&gt;AVERAGE('CVD Dataset'!AB:AB),'CVD Dataset'!AF204="High"),"High Lipid Category","Normal Category")</f>
        <v>Normal Category</v>
      </c>
      <c r="AE204">
        <v>13.65</v>
      </c>
      <c r="AF204" t="s">
        <v>32</v>
      </c>
      <c r="AG204">
        <v>0</v>
      </c>
      <c r="AH204" t="s">
        <v>1379</v>
      </c>
      <c r="AI204">
        <f t="shared" si="15"/>
        <v>1</v>
      </c>
      <c r="AJ204" t="s">
        <v>1391</v>
      </c>
    </row>
    <row r="205" spans="1:36" x14ac:dyDescent="0.3">
      <c r="A205" t="s">
        <v>33</v>
      </c>
      <c r="B205">
        <v>30</v>
      </c>
      <c r="C205">
        <v>58.3</v>
      </c>
      <c r="D205">
        <v>1.64</v>
      </c>
      <c r="F205">
        <f t="shared" si="13"/>
        <v>21.676085663295659</v>
      </c>
      <c r="G205">
        <f t="shared" si="12"/>
        <v>1</v>
      </c>
      <c r="H205" t="s">
        <v>1401</v>
      </c>
      <c r="I205">
        <v>93.5</v>
      </c>
      <c r="J205" t="s">
        <v>230</v>
      </c>
      <c r="K205" s="24">
        <v>139</v>
      </c>
      <c r="L205" s="24">
        <v>76</v>
      </c>
      <c r="M205">
        <v>113</v>
      </c>
      <c r="N205" t="s">
        <v>1434</v>
      </c>
      <c r="O205">
        <v>53</v>
      </c>
      <c r="P205">
        <v>146</v>
      </c>
      <c r="Q205" t="s">
        <v>25</v>
      </c>
      <c r="R205" t="s">
        <v>24</v>
      </c>
      <c r="S205" t="s">
        <v>39</v>
      </c>
      <c r="T205" t="s">
        <v>24</v>
      </c>
      <c r="U205">
        <f t="shared" si="14"/>
        <v>1</v>
      </c>
      <c r="V205">
        <v>164</v>
      </c>
      <c r="W205">
        <v>0.56999999999999995</v>
      </c>
      <c r="X205" t="s">
        <v>1407</v>
      </c>
      <c r="Y205">
        <v>139</v>
      </c>
      <c r="Z205">
        <v>76</v>
      </c>
      <c r="AA205" t="s">
        <v>31</v>
      </c>
      <c r="AB205">
        <v>30</v>
      </c>
      <c r="AC205" s="23">
        <v>0.56999999999999995</v>
      </c>
      <c r="AD205" t="str">
        <f>IF(AND('CVD Dataset'!AA205="Normal",'CVD Dataset'!AB205&gt;AVERAGE('CVD Dataset'!AB:AB),'CVD Dataset'!AF205="High"),"High Lipid Category","Normal Category")</f>
        <v>Normal Category</v>
      </c>
      <c r="AE205">
        <v>13.55</v>
      </c>
      <c r="AF205" t="s">
        <v>54</v>
      </c>
      <c r="AG205">
        <v>0</v>
      </c>
      <c r="AH205" t="s">
        <v>1380</v>
      </c>
      <c r="AI205">
        <f t="shared" si="15"/>
        <v>0</v>
      </c>
      <c r="AJ205" t="s">
        <v>1391</v>
      </c>
    </row>
    <row r="206" spans="1:36" x14ac:dyDescent="0.3">
      <c r="A206" t="s">
        <v>33</v>
      </c>
      <c r="C206">
        <v>104.3</v>
      </c>
      <c r="D206">
        <v>1.6</v>
      </c>
      <c r="E206">
        <v>40.700000000000003</v>
      </c>
      <c r="F206">
        <f t="shared" si="13"/>
        <v>40.742187499999993</v>
      </c>
      <c r="G206">
        <f t="shared" si="12"/>
        <v>0</v>
      </c>
      <c r="H206" t="s">
        <v>1399</v>
      </c>
      <c r="I206">
        <v>108.2</v>
      </c>
      <c r="J206" t="s">
        <v>231</v>
      </c>
      <c r="K206" s="24">
        <v>97</v>
      </c>
      <c r="L206" s="24">
        <v>89</v>
      </c>
      <c r="M206">
        <v>192</v>
      </c>
      <c r="N206" t="s">
        <v>1432</v>
      </c>
      <c r="O206">
        <v>30</v>
      </c>
      <c r="P206">
        <v>132</v>
      </c>
      <c r="Q206" t="s">
        <v>24</v>
      </c>
      <c r="R206" t="s">
        <v>24</v>
      </c>
      <c r="S206" t="s">
        <v>30</v>
      </c>
      <c r="T206" t="s">
        <v>24</v>
      </c>
      <c r="U206">
        <f t="shared" si="14"/>
        <v>0</v>
      </c>
      <c r="V206">
        <v>160</v>
      </c>
      <c r="W206">
        <v>0.67600000000000005</v>
      </c>
      <c r="X206" t="s">
        <v>1409</v>
      </c>
      <c r="Y206">
        <v>97</v>
      </c>
      <c r="Z206">
        <v>89</v>
      </c>
      <c r="AA206" t="s">
        <v>31</v>
      </c>
      <c r="AB206">
        <v>132</v>
      </c>
      <c r="AC206" s="23">
        <v>4.4000000000000004</v>
      </c>
      <c r="AD206" t="str">
        <f>IF(AND('CVD Dataset'!AA206="Normal",'CVD Dataset'!AB206&gt;AVERAGE('CVD Dataset'!AB:AB),'CVD Dataset'!AF206="High"),"High Lipid Category","Normal Category")</f>
        <v>Normal Category</v>
      </c>
      <c r="AE206">
        <v>16.829999999999998</v>
      </c>
      <c r="AF206" t="s">
        <v>28</v>
      </c>
      <c r="AG206">
        <v>0</v>
      </c>
      <c r="AH206" t="s">
        <v>1380</v>
      </c>
      <c r="AI206">
        <f t="shared" si="15"/>
        <v>0</v>
      </c>
      <c r="AJ206" t="s">
        <v>1391</v>
      </c>
    </row>
    <row r="207" spans="1:36" x14ac:dyDescent="0.3">
      <c r="A207" t="s">
        <v>33</v>
      </c>
      <c r="B207">
        <v>51</v>
      </c>
      <c r="C207">
        <v>117.1</v>
      </c>
      <c r="E207">
        <v>36.5</v>
      </c>
      <c r="F207" t="str">
        <f t="shared" si="13"/>
        <v/>
      </c>
      <c r="G207" t="str">
        <f t="shared" ref="G207:G270" si="16">IFERROR(IF(ABS(E207 - F207) &lt;= 0.1, 0, 1),"")</f>
        <v/>
      </c>
      <c r="H207" t="s">
        <v>1399</v>
      </c>
      <c r="I207">
        <v>103.2</v>
      </c>
      <c r="J207" t="s">
        <v>232</v>
      </c>
      <c r="K207" s="24">
        <v>118</v>
      </c>
      <c r="L207" s="24">
        <v>61</v>
      </c>
      <c r="M207">
        <v>106</v>
      </c>
      <c r="N207" t="s">
        <v>1434</v>
      </c>
      <c r="O207">
        <v>37</v>
      </c>
      <c r="P207">
        <v>130</v>
      </c>
      <c r="Q207" t="s">
        <v>24</v>
      </c>
      <c r="R207" t="s">
        <v>24</v>
      </c>
      <c r="S207" t="s">
        <v>39</v>
      </c>
      <c r="T207" t="s">
        <v>25</v>
      </c>
      <c r="U207">
        <f t="shared" si="14"/>
        <v>1</v>
      </c>
      <c r="V207">
        <v>179</v>
      </c>
      <c r="W207">
        <v>0.57699999999999996</v>
      </c>
      <c r="X207" t="s">
        <v>1407</v>
      </c>
      <c r="Y207">
        <v>118</v>
      </c>
      <c r="Z207">
        <v>61</v>
      </c>
      <c r="AA207" t="s">
        <v>35</v>
      </c>
      <c r="AB207">
        <v>39</v>
      </c>
      <c r="AC207" s="23">
        <v>1.05</v>
      </c>
      <c r="AD207" t="str">
        <f>IF(AND('CVD Dataset'!AA207="Normal",'CVD Dataset'!AB207&gt;AVERAGE('CVD Dataset'!AB:AB),'CVD Dataset'!AF207="High"),"High Lipid Category","Normal Category")</f>
        <v>Normal Category</v>
      </c>
      <c r="AE207">
        <v>15.32</v>
      </c>
      <c r="AF207" t="s">
        <v>32</v>
      </c>
      <c r="AG207">
        <v>0</v>
      </c>
      <c r="AH207" t="s">
        <v>1379</v>
      </c>
      <c r="AI207">
        <f t="shared" si="15"/>
        <v>1</v>
      </c>
      <c r="AJ207" t="s">
        <v>1391</v>
      </c>
    </row>
    <row r="208" spans="1:36" x14ac:dyDescent="0.3">
      <c r="A208" t="s">
        <v>22</v>
      </c>
      <c r="B208">
        <v>51</v>
      </c>
      <c r="C208">
        <v>83.2</v>
      </c>
      <c r="D208">
        <v>1.66</v>
      </c>
      <c r="E208">
        <v>30.2</v>
      </c>
      <c r="F208">
        <f t="shared" si="13"/>
        <v>30.19306140223545</v>
      </c>
      <c r="G208">
        <f t="shared" si="16"/>
        <v>0</v>
      </c>
      <c r="H208" t="s">
        <v>1399</v>
      </c>
      <c r="J208" t="s">
        <v>233</v>
      </c>
      <c r="K208" s="24">
        <v>91</v>
      </c>
      <c r="L208" s="24">
        <v>64</v>
      </c>
      <c r="M208">
        <v>148</v>
      </c>
      <c r="N208" t="s">
        <v>1434</v>
      </c>
      <c r="O208">
        <v>69</v>
      </c>
      <c r="P208">
        <v>138</v>
      </c>
      <c r="Q208" t="s">
        <v>25</v>
      </c>
      <c r="R208" t="s">
        <v>25</v>
      </c>
      <c r="S208" t="s">
        <v>26</v>
      </c>
      <c r="T208" t="s">
        <v>24</v>
      </c>
      <c r="U208">
        <f t="shared" si="14"/>
        <v>3</v>
      </c>
      <c r="V208">
        <v>166</v>
      </c>
      <c r="W208">
        <v>0.48099999999999998</v>
      </c>
      <c r="X208" t="s">
        <v>1406</v>
      </c>
      <c r="Y208">
        <v>91</v>
      </c>
      <c r="Z208">
        <v>64</v>
      </c>
      <c r="AA208" t="s">
        <v>35</v>
      </c>
      <c r="AB208">
        <v>49</v>
      </c>
      <c r="AC208" s="23">
        <v>0.71</v>
      </c>
      <c r="AD208" t="str">
        <f>IF(AND('CVD Dataset'!AA208="Normal",'CVD Dataset'!AB208&gt;AVERAGE('CVD Dataset'!AB:AB),'CVD Dataset'!AF208="High"),"High Lipid Category","Normal Category")</f>
        <v>Normal Category</v>
      </c>
      <c r="AE208">
        <v>15.55</v>
      </c>
      <c r="AF208" t="s">
        <v>32</v>
      </c>
      <c r="AG208">
        <v>1</v>
      </c>
      <c r="AH208" t="s">
        <v>1379</v>
      </c>
      <c r="AI208">
        <f t="shared" si="15"/>
        <v>1</v>
      </c>
      <c r="AJ208" t="s">
        <v>1391</v>
      </c>
    </row>
    <row r="209" spans="1:36" x14ac:dyDescent="0.3">
      <c r="A209" t="s">
        <v>22</v>
      </c>
      <c r="C209">
        <v>69.400000000000006</v>
      </c>
      <c r="D209">
        <v>1.86</v>
      </c>
      <c r="E209">
        <v>20.100000000000001</v>
      </c>
      <c r="F209">
        <f t="shared" si="13"/>
        <v>20.060122557521101</v>
      </c>
      <c r="G209">
        <f t="shared" si="16"/>
        <v>0</v>
      </c>
      <c r="H209" t="s">
        <v>1398</v>
      </c>
      <c r="I209">
        <v>76.099999999999994</v>
      </c>
      <c r="J209" t="s">
        <v>234</v>
      </c>
      <c r="K209" s="24">
        <v>98</v>
      </c>
      <c r="L209" s="24">
        <v>94</v>
      </c>
      <c r="M209">
        <v>185</v>
      </c>
      <c r="N209" t="s">
        <v>1432</v>
      </c>
      <c r="O209">
        <v>40</v>
      </c>
      <c r="P209">
        <v>119</v>
      </c>
      <c r="Q209" t="s">
        <v>24</v>
      </c>
      <c r="R209" t="s">
        <v>25</v>
      </c>
      <c r="S209" t="s">
        <v>39</v>
      </c>
      <c r="T209" t="s">
        <v>24</v>
      </c>
      <c r="U209">
        <f t="shared" si="14"/>
        <v>1</v>
      </c>
      <c r="V209">
        <v>186</v>
      </c>
      <c r="W209">
        <v>0.40899999999999997</v>
      </c>
      <c r="X209" t="s">
        <v>1408</v>
      </c>
      <c r="Y209">
        <v>98</v>
      </c>
      <c r="AA209" t="s">
        <v>40</v>
      </c>
      <c r="AB209">
        <v>115</v>
      </c>
      <c r="AC209" s="23">
        <v>2.88</v>
      </c>
      <c r="AD209" t="str">
        <f>IF(AND('CVD Dataset'!AA209="Normal",'CVD Dataset'!AB209&gt;AVERAGE('CVD Dataset'!AB:AB),'CVD Dataset'!AF209="High"),"High Lipid Category","Normal Category")</f>
        <v>Normal Category</v>
      </c>
      <c r="AE209">
        <v>14.62</v>
      </c>
      <c r="AF209" t="s">
        <v>28</v>
      </c>
      <c r="AG209">
        <v>0</v>
      </c>
      <c r="AH209" t="s">
        <v>1380</v>
      </c>
      <c r="AI209">
        <f t="shared" si="15"/>
        <v>0</v>
      </c>
      <c r="AJ209" t="s">
        <v>1391</v>
      </c>
    </row>
    <row r="210" spans="1:36" x14ac:dyDescent="0.3">
      <c r="A210" t="s">
        <v>33</v>
      </c>
      <c r="B210">
        <v>31</v>
      </c>
      <c r="C210">
        <v>77.599999999999994</v>
      </c>
      <c r="D210">
        <v>1.85</v>
      </c>
      <c r="E210">
        <v>22.7</v>
      </c>
      <c r="F210">
        <f t="shared" si="13"/>
        <v>22.673484295105911</v>
      </c>
      <c r="G210">
        <f t="shared" si="16"/>
        <v>0</v>
      </c>
      <c r="H210" t="s">
        <v>1398</v>
      </c>
      <c r="I210">
        <v>101.1</v>
      </c>
      <c r="J210" t="s">
        <v>235</v>
      </c>
      <c r="K210" s="24">
        <v>114</v>
      </c>
      <c r="L210" s="24">
        <v>92</v>
      </c>
      <c r="M210">
        <v>147</v>
      </c>
      <c r="N210" t="s">
        <v>1434</v>
      </c>
      <c r="O210">
        <v>59</v>
      </c>
      <c r="P210">
        <v>122</v>
      </c>
      <c r="Q210" t="s">
        <v>24</v>
      </c>
      <c r="R210" t="s">
        <v>25</v>
      </c>
      <c r="S210" t="s">
        <v>39</v>
      </c>
      <c r="T210" t="s">
        <v>25</v>
      </c>
      <c r="U210">
        <f t="shared" si="14"/>
        <v>2</v>
      </c>
      <c r="V210">
        <v>185</v>
      </c>
      <c r="W210">
        <v>0.54600000000000004</v>
      </c>
      <c r="X210" t="s">
        <v>1407</v>
      </c>
      <c r="Y210">
        <v>114</v>
      </c>
      <c r="Z210">
        <v>92</v>
      </c>
      <c r="AA210" t="s">
        <v>40</v>
      </c>
      <c r="AB210">
        <v>58</v>
      </c>
      <c r="AC210" s="23">
        <v>0.98</v>
      </c>
      <c r="AD210" t="str">
        <f>IF(AND('CVD Dataset'!AA210="Normal",'CVD Dataset'!AB210&gt;AVERAGE('CVD Dataset'!AB:AB),'CVD Dataset'!AF210="High"),"High Lipid Category","Normal Category")</f>
        <v>Normal Category</v>
      </c>
      <c r="AE210">
        <v>15.18</v>
      </c>
      <c r="AF210" t="s">
        <v>28</v>
      </c>
      <c r="AG210">
        <v>0</v>
      </c>
      <c r="AH210" t="s">
        <v>1380</v>
      </c>
      <c r="AI210">
        <f t="shared" si="15"/>
        <v>0</v>
      </c>
      <c r="AJ210" t="s">
        <v>1391</v>
      </c>
    </row>
    <row r="211" spans="1:36" x14ac:dyDescent="0.3">
      <c r="A211" t="s">
        <v>33</v>
      </c>
      <c r="B211">
        <v>38</v>
      </c>
      <c r="D211">
        <v>1.72</v>
      </c>
      <c r="F211">
        <f t="shared" si="13"/>
        <v>0</v>
      </c>
      <c r="G211">
        <f t="shared" si="16"/>
        <v>0</v>
      </c>
      <c r="H211" t="s">
        <v>1401</v>
      </c>
      <c r="I211">
        <v>107.2</v>
      </c>
      <c r="J211" t="s">
        <v>236</v>
      </c>
      <c r="K211" s="24">
        <v>110</v>
      </c>
      <c r="L211" s="24">
        <v>81</v>
      </c>
      <c r="M211">
        <v>237</v>
      </c>
      <c r="N211" t="s">
        <v>1432</v>
      </c>
      <c r="O211">
        <v>46</v>
      </c>
      <c r="P211">
        <v>144</v>
      </c>
      <c r="Q211" t="s">
        <v>25</v>
      </c>
      <c r="R211" t="s">
        <v>24</v>
      </c>
      <c r="S211" t="s">
        <v>39</v>
      </c>
      <c r="T211" t="s">
        <v>24</v>
      </c>
      <c r="U211">
        <f t="shared" si="14"/>
        <v>1</v>
      </c>
      <c r="V211">
        <v>172</v>
      </c>
      <c r="W211">
        <v>0.623</v>
      </c>
      <c r="X211" t="s">
        <v>1409</v>
      </c>
      <c r="Y211">
        <v>110</v>
      </c>
      <c r="Z211">
        <v>81</v>
      </c>
      <c r="AA211" t="s">
        <v>31</v>
      </c>
      <c r="AB211">
        <v>161</v>
      </c>
      <c r="AC211" s="23">
        <v>3.5</v>
      </c>
      <c r="AD211" t="str">
        <f>IF(AND('CVD Dataset'!AA211="Normal",'CVD Dataset'!AB211&gt;AVERAGE('CVD Dataset'!AB:AB),'CVD Dataset'!AF211="High"),"High Lipid Category","Normal Category")</f>
        <v>Normal Category</v>
      </c>
      <c r="AE211">
        <v>15.48</v>
      </c>
      <c r="AF211" t="s">
        <v>28</v>
      </c>
      <c r="AG211">
        <v>0</v>
      </c>
      <c r="AH211" t="s">
        <v>1380</v>
      </c>
      <c r="AI211">
        <f t="shared" si="15"/>
        <v>0</v>
      </c>
      <c r="AJ211" t="s">
        <v>1391</v>
      </c>
    </row>
    <row r="212" spans="1:36" x14ac:dyDescent="0.3">
      <c r="A212" t="s">
        <v>33</v>
      </c>
      <c r="B212">
        <v>42</v>
      </c>
      <c r="C212">
        <v>99.5</v>
      </c>
      <c r="D212">
        <v>1.7</v>
      </c>
      <c r="E212">
        <v>34.4</v>
      </c>
      <c r="F212">
        <f t="shared" si="13"/>
        <v>34.429065743944641</v>
      </c>
      <c r="G212">
        <f t="shared" si="16"/>
        <v>0</v>
      </c>
      <c r="H212" t="s">
        <v>1399</v>
      </c>
      <c r="I212">
        <v>93.1</v>
      </c>
      <c r="J212" t="s">
        <v>237</v>
      </c>
      <c r="K212" s="24">
        <v>98</v>
      </c>
      <c r="L212" s="24">
        <v>87</v>
      </c>
      <c r="M212">
        <v>150</v>
      </c>
      <c r="N212" t="s">
        <v>1433</v>
      </c>
      <c r="O212">
        <v>30</v>
      </c>
      <c r="P212">
        <v>76</v>
      </c>
      <c r="Q212" t="s">
        <v>25</v>
      </c>
      <c r="R212" t="s">
        <v>24</v>
      </c>
      <c r="S212" t="s">
        <v>30</v>
      </c>
      <c r="T212" t="s">
        <v>25</v>
      </c>
      <c r="U212">
        <f t="shared" si="14"/>
        <v>2</v>
      </c>
      <c r="V212">
        <v>170</v>
      </c>
      <c r="W212">
        <v>0.54800000000000004</v>
      </c>
      <c r="X212" t="s">
        <v>1407</v>
      </c>
      <c r="Z212">
        <v>87</v>
      </c>
      <c r="AA212" t="s">
        <v>31</v>
      </c>
      <c r="AB212">
        <v>90</v>
      </c>
      <c r="AC212" s="23">
        <v>3</v>
      </c>
      <c r="AD212" t="str">
        <f>IF(AND('CVD Dataset'!AA212="Normal",'CVD Dataset'!AB212&gt;AVERAGE('CVD Dataset'!AB:AB),'CVD Dataset'!AF212="High"),"High Lipid Category","Normal Category")</f>
        <v>Normal Category</v>
      </c>
      <c r="AE212">
        <v>14.78</v>
      </c>
      <c r="AF212" t="s">
        <v>32</v>
      </c>
      <c r="AG212">
        <v>0</v>
      </c>
      <c r="AH212" t="s">
        <v>1379</v>
      </c>
      <c r="AI212">
        <f t="shared" si="15"/>
        <v>1</v>
      </c>
      <c r="AJ212" t="s">
        <v>1391</v>
      </c>
    </row>
    <row r="213" spans="1:36" x14ac:dyDescent="0.3">
      <c r="A213" t="s">
        <v>22</v>
      </c>
      <c r="B213">
        <v>58</v>
      </c>
      <c r="C213">
        <v>69</v>
      </c>
      <c r="D213">
        <v>1.87</v>
      </c>
      <c r="E213">
        <v>19.7</v>
      </c>
      <c r="F213">
        <f t="shared" si="13"/>
        <v>19.731762418141781</v>
      </c>
      <c r="G213">
        <f t="shared" si="16"/>
        <v>0</v>
      </c>
      <c r="H213" t="s">
        <v>1398</v>
      </c>
      <c r="I213">
        <v>77.5</v>
      </c>
      <c r="J213" t="s">
        <v>238</v>
      </c>
      <c r="K213" s="24">
        <v>107</v>
      </c>
      <c r="L213" s="24">
        <v>88</v>
      </c>
      <c r="M213">
        <v>184</v>
      </c>
      <c r="N213" t="s">
        <v>1432</v>
      </c>
      <c r="O213">
        <v>45</v>
      </c>
      <c r="P213">
        <v>75</v>
      </c>
      <c r="Q213" t="s">
        <v>24</v>
      </c>
      <c r="R213" t="s">
        <v>25</v>
      </c>
      <c r="S213" t="s">
        <v>26</v>
      </c>
      <c r="T213" t="s">
        <v>25</v>
      </c>
      <c r="U213">
        <f t="shared" si="14"/>
        <v>3</v>
      </c>
      <c r="W213">
        <v>0.41399999999999998</v>
      </c>
      <c r="X213" t="s">
        <v>1408</v>
      </c>
      <c r="Y213">
        <v>107</v>
      </c>
      <c r="Z213">
        <v>88</v>
      </c>
      <c r="AA213" t="s">
        <v>31</v>
      </c>
      <c r="AB213">
        <v>109</v>
      </c>
      <c r="AC213" s="23">
        <v>2.42</v>
      </c>
      <c r="AD213" t="str">
        <f>IF(AND('CVD Dataset'!AA213="Normal",'CVD Dataset'!AB213&gt;AVERAGE('CVD Dataset'!AB:AB),'CVD Dataset'!AF213="High"),"High Lipid Category","Normal Category")</f>
        <v>Normal Category</v>
      </c>
      <c r="AE213">
        <v>14.97</v>
      </c>
      <c r="AF213" t="s">
        <v>32</v>
      </c>
      <c r="AG213">
        <v>0</v>
      </c>
      <c r="AH213" t="s">
        <v>1379</v>
      </c>
      <c r="AI213">
        <f t="shared" si="15"/>
        <v>1</v>
      </c>
      <c r="AJ213" t="s">
        <v>1392</v>
      </c>
    </row>
    <row r="214" spans="1:36" x14ac:dyDescent="0.3">
      <c r="A214" t="s">
        <v>33</v>
      </c>
      <c r="B214">
        <v>40</v>
      </c>
      <c r="D214">
        <v>1.9</v>
      </c>
      <c r="E214">
        <v>24.3</v>
      </c>
      <c r="F214">
        <f t="shared" si="13"/>
        <v>0</v>
      </c>
      <c r="G214">
        <f t="shared" si="16"/>
        <v>1</v>
      </c>
      <c r="H214" t="s">
        <v>1398</v>
      </c>
      <c r="J214" t="s">
        <v>239</v>
      </c>
      <c r="K214" s="24">
        <v>90</v>
      </c>
      <c r="L214" s="24">
        <v>72</v>
      </c>
      <c r="M214">
        <v>216</v>
      </c>
      <c r="N214" t="s">
        <v>1432</v>
      </c>
      <c r="O214">
        <v>61</v>
      </c>
      <c r="P214">
        <v>146</v>
      </c>
      <c r="Q214" t="s">
        <v>24</v>
      </c>
      <c r="R214" t="s">
        <v>24</v>
      </c>
      <c r="S214" t="s">
        <v>30</v>
      </c>
      <c r="T214" t="s">
        <v>24</v>
      </c>
      <c r="U214">
        <f t="shared" si="14"/>
        <v>0</v>
      </c>
      <c r="V214">
        <v>190</v>
      </c>
      <c r="W214">
        <v>0.38</v>
      </c>
      <c r="X214" t="s">
        <v>1408</v>
      </c>
      <c r="Y214">
        <v>90</v>
      </c>
      <c r="Z214">
        <v>72</v>
      </c>
      <c r="AA214" t="s">
        <v>35</v>
      </c>
      <c r="AB214">
        <v>125</v>
      </c>
      <c r="AC214" s="23">
        <v>2.0499999999999998</v>
      </c>
      <c r="AD214" t="str">
        <f>IF(AND('CVD Dataset'!AA214="Normal",'CVD Dataset'!AB214&gt;AVERAGE('CVD Dataset'!AB:AB),'CVD Dataset'!AF214="High"),"High Lipid Category","Normal Category")</f>
        <v>Normal Category</v>
      </c>
      <c r="AE214">
        <v>13.68</v>
      </c>
      <c r="AF214" t="s">
        <v>54</v>
      </c>
      <c r="AG214">
        <v>0</v>
      </c>
      <c r="AH214" t="s">
        <v>1380</v>
      </c>
      <c r="AI214">
        <f t="shared" si="15"/>
        <v>0</v>
      </c>
      <c r="AJ214" t="s">
        <v>1391</v>
      </c>
    </row>
    <row r="215" spans="1:36" x14ac:dyDescent="0.3">
      <c r="A215" t="s">
        <v>33</v>
      </c>
      <c r="B215">
        <v>46</v>
      </c>
      <c r="C215">
        <v>53.9</v>
      </c>
      <c r="D215">
        <v>1.61</v>
      </c>
      <c r="E215">
        <v>20.8</v>
      </c>
      <c r="F215">
        <f t="shared" si="13"/>
        <v>20.793950850661624</v>
      </c>
      <c r="G215">
        <f t="shared" si="16"/>
        <v>0</v>
      </c>
      <c r="H215" t="s">
        <v>1398</v>
      </c>
      <c r="I215">
        <v>99.5</v>
      </c>
      <c r="J215" t="s">
        <v>165</v>
      </c>
      <c r="K215" s="24">
        <v>150</v>
      </c>
      <c r="L215" s="24">
        <v>96</v>
      </c>
      <c r="M215">
        <v>205</v>
      </c>
      <c r="N215" t="s">
        <v>1432</v>
      </c>
      <c r="O215">
        <v>63</v>
      </c>
      <c r="P215">
        <v>75</v>
      </c>
      <c r="Q215" t="s">
        <v>24</v>
      </c>
      <c r="R215" t="s">
        <v>24</v>
      </c>
      <c r="S215" t="s">
        <v>39</v>
      </c>
      <c r="T215" t="s">
        <v>24</v>
      </c>
      <c r="U215">
        <f t="shared" si="14"/>
        <v>0</v>
      </c>
      <c r="V215">
        <v>161</v>
      </c>
      <c r="W215">
        <v>0.61799999999999999</v>
      </c>
      <c r="X215" t="s">
        <v>1409</v>
      </c>
      <c r="Z215">
        <v>96</v>
      </c>
      <c r="AA215" t="s">
        <v>40</v>
      </c>
      <c r="AB215">
        <v>112</v>
      </c>
      <c r="AC215" s="23">
        <v>1.78</v>
      </c>
      <c r="AD215" t="str">
        <f>IF(AND('CVD Dataset'!AA215="Normal",'CVD Dataset'!AB215&gt;AVERAGE('CVD Dataset'!AB:AB),'CVD Dataset'!AF215="High"),"High Lipid Category","Normal Category")</f>
        <v>Normal Category</v>
      </c>
      <c r="AE215">
        <v>15.76</v>
      </c>
      <c r="AF215" t="s">
        <v>28</v>
      </c>
      <c r="AG215">
        <v>0</v>
      </c>
      <c r="AH215" t="s">
        <v>1380</v>
      </c>
      <c r="AI215">
        <f t="shared" si="15"/>
        <v>0</v>
      </c>
      <c r="AJ215" t="s">
        <v>1391</v>
      </c>
    </row>
    <row r="216" spans="1:36" x14ac:dyDescent="0.3">
      <c r="A216" t="s">
        <v>22</v>
      </c>
      <c r="B216">
        <v>35</v>
      </c>
      <c r="C216">
        <v>51.1</v>
      </c>
      <c r="D216">
        <v>1.73</v>
      </c>
      <c r="E216">
        <v>17.100000000000001</v>
      </c>
      <c r="F216">
        <f t="shared" si="13"/>
        <v>17.07374118747703</v>
      </c>
      <c r="G216">
        <f t="shared" si="16"/>
        <v>0</v>
      </c>
      <c r="H216" t="s">
        <v>1401</v>
      </c>
      <c r="I216">
        <v>106.2</v>
      </c>
      <c r="J216" t="s">
        <v>240</v>
      </c>
      <c r="K216" s="24">
        <v>149</v>
      </c>
      <c r="L216" s="24">
        <v>68</v>
      </c>
      <c r="M216">
        <v>215</v>
      </c>
      <c r="N216" t="s">
        <v>1432</v>
      </c>
      <c r="O216">
        <v>65</v>
      </c>
      <c r="P216">
        <v>79</v>
      </c>
      <c r="Q216" t="s">
        <v>25</v>
      </c>
      <c r="R216" t="s">
        <v>24</v>
      </c>
      <c r="S216" t="s">
        <v>26</v>
      </c>
      <c r="T216" t="s">
        <v>24</v>
      </c>
      <c r="U216">
        <f t="shared" si="14"/>
        <v>2</v>
      </c>
      <c r="V216">
        <v>173</v>
      </c>
      <c r="W216">
        <v>0.61399999999999999</v>
      </c>
      <c r="X216" t="s">
        <v>1409</v>
      </c>
      <c r="Y216">
        <v>149</v>
      </c>
      <c r="Z216">
        <v>68</v>
      </c>
      <c r="AA216" t="s">
        <v>40</v>
      </c>
      <c r="AB216">
        <v>120</v>
      </c>
      <c r="AC216" s="23">
        <v>1.85</v>
      </c>
      <c r="AD216" t="str">
        <f>IF(AND('CVD Dataset'!AA216="Normal",'CVD Dataset'!AB216&gt;AVERAGE('CVD Dataset'!AB:AB),'CVD Dataset'!AF216="High"),"High Lipid Category","Normal Category")</f>
        <v>Normal Category</v>
      </c>
      <c r="AE216">
        <v>15.17</v>
      </c>
      <c r="AF216" t="s">
        <v>28</v>
      </c>
      <c r="AG216">
        <v>0</v>
      </c>
      <c r="AH216" t="s">
        <v>1380</v>
      </c>
      <c r="AI216">
        <f t="shared" si="15"/>
        <v>0</v>
      </c>
      <c r="AJ216" t="s">
        <v>1391</v>
      </c>
    </row>
    <row r="217" spans="1:36" x14ac:dyDescent="0.3">
      <c r="A217" t="s">
        <v>33</v>
      </c>
      <c r="B217">
        <v>43</v>
      </c>
      <c r="D217">
        <v>1.62</v>
      </c>
      <c r="E217">
        <v>28.3</v>
      </c>
      <c r="F217">
        <f t="shared" si="13"/>
        <v>0</v>
      </c>
      <c r="G217">
        <f t="shared" si="16"/>
        <v>1</v>
      </c>
      <c r="H217" t="s">
        <v>1400</v>
      </c>
      <c r="I217">
        <v>91.6</v>
      </c>
      <c r="J217" t="s">
        <v>241</v>
      </c>
      <c r="K217" s="24">
        <v>90</v>
      </c>
      <c r="L217" s="24">
        <v>80</v>
      </c>
      <c r="M217">
        <v>195</v>
      </c>
      <c r="N217" t="s">
        <v>1432</v>
      </c>
      <c r="O217">
        <v>43</v>
      </c>
      <c r="P217">
        <v>90</v>
      </c>
      <c r="Q217" t="s">
        <v>25</v>
      </c>
      <c r="R217" t="s">
        <v>25</v>
      </c>
      <c r="S217" t="s">
        <v>30</v>
      </c>
      <c r="T217" t="s">
        <v>25</v>
      </c>
      <c r="U217">
        <f t="shared" si="14"/>
        <v>3</v>
      </c>
      <c r="V217">
        <v>162</v>
      </c>
      <c r="W217">
        <v>0.56499999999999995</v>
      </c>
      <c r="X217" t="s">
        <v>1407</v>
      </c>
      <c r="Y217">
        <v>90</v>
      </c>
      <c r="Z217">
        <v>80</v>
      </c>
      <c r="AA217" t="s">
        <v>31</v>
      </c>
      <c r="AB217">
        <v>122</v>
      </c>
      <c r="AC217" s="23">
        <v>2.84</v>
      </c>
      <c r="AD217" t="str">
        <f>IF(AND('CVD Dataset'!AA217="Normal",'CVD Dataset'!AB217&gt;AVERAGE('CVD Dataset'!AB:AB),'CVD Dataset'!AF217="High"),"High Lipid Category","Normal Category")</f>
        <v>Normal Category</v>
      </c>
      <c r="AE217">
        <v>16.059999999999999</v>
      </c>
      <c r="AF217" t="s">
        <v>32</v>
      </c>
      <c r="AG217">
        <v>0</v>
      </c>
      <c r="AH217" t="s">
        <v>1379</v>
      </c>
      <c r="AI217">
        <f t="shared" si="15"/>
        <v>1</v>
      </c>
      <c r="AJ217" t="s">
        <v>1391</v>
      </c>
    </row>
    <row r="218" spans="1:36" x14ac:dyDescent="0.3">
      <c r="A218" t="s">
        <v>22</v>
      </c>
      <c r="B218">
        <v>56</v>
      </c>
      <c r="C218">
        <v>70.8</v>
      </c>
      <c r="D218">
        <v>1.66</v>
      </c>
      <c r="E218">
        <v>25.7</v>
      </c>
      <c r="F218">
        <f t="shared" si="13"/>
        <v>25.693133981709973</v>
      </c>
      <c r="G218">
        <f t="shared" si="16"/>
        <v>0</v>
      </c>
      <c r="H218" t="s">
        <v>1400</v>
      </c>
      <c r="I218">
        <v>85.8</v>
      </c>
      <c r="J218" t="s">
        <v>242</v>
      </c>
      <c r="K218" s="24">
        <v>135</v>
      </c>
      <c r="L218" s="24">
        <v>61</v>
      </c>
      <c r="M218">
        <v>248</v>
      </c>
      <c r="N218" t="s">
        <v>1432</v>
      </c>
      <c r="O218">
        <v>67</v>
      </c>
      <c r="P218">
        <v>102</v>
      </c>
      <c r="Q218" t="s">
        <v>25</v>
      </c>
      <c r="R218" t="s">
        <v>24</v>
      </c>
      <c r="S218" t="s">
        <v>39</v>
      </c>
      <c r="T218" t="s">
        <v>24</v>
      </c>
      <c r="U218">
        <f t="shared" si="14"/>
        <v>1</v>
      </c>
      <c r="V218">
        <v>166</v>
      </c>
      <c r="W218">
        <v>0.51700000000000002</v>
      </c>
      <c r="X218" t="s">
        <v>1406</v>
      </c>
      <c r="Y218">
        <v>135</v>
      </c>
      <c r="Z218">
        <v>61</v>
      </c>
      <c r="AA218" t="s">
        <v>31</v>
      </c>
      <c r="AB218">
        <v>151</v>
      </c>
      <c r="AC218" s="23">
        <v>2.25</v>
      </c>
      <c r="AD218" t="str">
        <f>IF(AND('CVD Dataset'!AA218="Normal",'CVD Dataset'!AB218&gt;AVERAGE('CVD Dataset'!AB:AB),'CVD Dataset'!AF218="High"),"High Lipid Category","Normal Category")</f>
        <v>Normal Category</v>
      </c>
      <c r="AE218">
        <v>16.850000000000001</v>
      </c>
      <c r="AF218" t="s">
        <v>32</v>
      </c>
      <c r="AG218">
        <v>1</v>
      </c>
      <c r="AH218" t="s">
        <v>1379</v>
      </c>
      <c r="AI218">
        <f t="shared" si="15"/>
        <v>1</v>
      </c>
      <c r="AJ218" t="s">
        <v>1391</v>
      </c>
    </row>
    <row r="219" spans="1:36" x14ac:dyDescent="0.3">
      <c r="A219" t="s">
        <v>33</v>
      </c>
      <c r="B219">
        <v>48</v>
      </c>
      <c r="C219">
        <v>71.900000000000006</v>
      </c>
      <c r="D219">
        <v>1.74</v>
      </c>
      <c r="E219">
        <v>23.7</v>
      </c>
      <c r="F219">
        <f t="shared" si="13"/>
        <v>23.748183379574581</v>
      </c>
      <c r="G219">
        <f t="shared" si="16"/>
        <v>0</v>
      </c>
      <c r="H219" t="s">
        <v>1398</v>
      </c>
      <c r="I219">
        <v>90.9</v>
      </c>
      <c r="J219" t="s">
        <v>243</v>
      </c>
      <c r="K219" s="24">
        <v>127</v>
      </c>
      <c r="L219" s="24">
        <v>71</v>
      </c>
      <c r="M219">
        <v>116</v>
      </c>
      <c r="N219" t="s">
        <v>1434</v>
      </c>
      <c r="O219">
        <v>44</v>
      </c>
      <c r="P219">
        <v>131</v>
      </c>
      <c r="Q219" t="s">
        <v>25</v>
      </c>
      <c r="R219" t="s">
        <v>25</v>
      </c>
      <c r="S219" t="s">
        <v>26</v>
      </c>
      <c r="T219" t="s">
        <v>25</v>
      </c>
      <c r="U219">
        <f t="shared" si="14"/>
        <v>4</v>
      </c>
      <c r="V219">
        <v>174</v>
      </c>
      <c r="W219">
        <v>0.52200000000000002</v>
      </c>
      <c r="X219" t="s">
        <v>1406</v>
      </c>
      <c r="Y219">
        <v>127</v>
      </c>
      <c r="Z219">
        <v>71</v>
      </c>
      <c r="AA219" t="s">
        <v>27</v>
      </c>
      <c r="AB219">
        <v>42</v>
      </c>
      <c r="AC219" s="23">
        <v>0.95</v>
      </c>
      <c r="AD219" t="str">
        <f>IF(AND('CVD Dataset'!AA219="Normal",'CVD Dataset'!AB219&gt;AVERAGE('CVD Dataset'!AB:AB),'CVD Dataset'!AF219="High"),"High Lipid Category","Normal Category")</f>
        <v>Normal Category</v>
      </c>
      <c r="AE219">
        <v>15.41</v>
      </c>
      <c r="AF219" t="s">
        <v>32</v>
      </c>
      <c r="AG219">
        <v>0</v>
      </c>
      <c r="AH219" t="s">
        <v>1379</v>
      </c>
      <c r="AI219">
        <f t="shared" si="15"/>
        <v>1</v>
      </c>
      <c r="AJ219" t="s">
        <v>1391</v>
      </c>
    </row>
    <row r="220" spans="1:36" x14ac:dyDescent="0.3">
      <c r="A220" t="s">
        <v>22</v>
      </c>
      <c r="B220">
        <v>37</v>
      </c>
      <c r="C220">
        <v>54.5</v>
      </c>
      <c r="D220">
        <v>1.65</v>
      </c>
      <c r="E220">
        <v>20</v>
      </c>
      <c r="F220">
        <f t="shared" si="13"/>
        <v>20.018365472910929</v>
      </c>
      <c r="G220">
        <f t="shared" si="16"/>
        <v>0</v>
      </c>
      <c r="H220" t="s">
        <v>1398</v>
      </c>
      <c r="I220">
        <v>83.1</v>
      </c>
      <c r="J220" t="s">
        <v>66</v>
      </c>
      <c r="K220" s="24">
        <v>97</v>
      </c>
      <c r="L220" s="24">
        <v>75</v>
      </c>
      <c r="M220">
        <v>113</v>
      </c>
      <c r="N220" t="s">
        <v>1434</v>
      </c>
      <c r="O220">
        <v>33</v>
      </c>
      <c r="P220">
        <v>76</v>
      </c>
      <c r="Q220" t="s">
        <v>25</v>
      </c>
      <c r="R220" t="s">
        <v>24</v>
      </c>
      <c r="S220" t="s">
        <v>39</v>
      </c>
      <c r="T220" t="s">
        <v>25</v>
      </c>
      <c r="U220">
        <f t="shared" si="14"/>
        <v>2</v>
      </c>
      <c r="V220">
        <v>165</v>
      </c>
      <c r="W220">
        <v>0.504</v>
      </c>
      <c r="X220" t="s">
        <v>1406</v>
      </c>
      <c r="Y220">
        <v>97</v>
      </c>
      <c r="Z220">
        <v>75</v>
      </c>
      <c r="AA220" t="s">
        <v>35</v>
      </c>
      <c r="AB220">
        <v>50</v>
      </c>
      <c r="AC220" s="23">
        <v>1.52</v>
      </c>
      <c r="AD220" t="str">
        <f>IF(AND('CVD Dataset'!AA220="Normal",'CVD Dataset'!AB220&gt;AVERAGE('CVD Dataset'!AB:AB),'CVD Dataset'!AF220="High"),"High Lipid Category","Normal Category")</f>
        <v>Normal Category</v>
      </c>
      <c r="AE220">
        <v>11.11</v>
      </c>
      <c r="AF220" t="s">
        <v>28</v>
      </c>
      <c r="AG220">
        <v>0</v>
      </c>
      <c r="AH220" t="s">
        <v>1380</v>
      </c>
      <c r="AI220">
        <f t="shared" si="15"/>
        <v>0</v>
      </c>
      <c r="AJ220" t="s">
        <v>1391</v>
      </c>
    </row>
    <row r="221" spans="1:36" x14ac:dyDescent="0.3">
      <c r="A221" t="s">
        <v>22</v>
      </c>
      <c r="B221">
        <v>40</v>
      </c>
      <c r="C221">
        <v>102</v>
      </c>
      <c r="D221">
        <v>1.63</v>
      </c>
      <c r="E221">
        <v>38.4</v>
      </c>
      <c r="F221">
        <f t="shared" si="13"/>
        <v>38.390605592984308</v>
      </c>
      <c r="G221">
        <f t="shared" si="16"/>
        <v>0</v>
      </c>
      <c r="H221" t="s">
        <v>1399</v>
      </c>
      <c r="I221">
        <v>97.1</v>
      </c>
      <c r="J221" t="s">
        <v>244</v>
      </c>
      <c r="K221" s="24">
        <v>111</v>
      </c>
      <c r="L221" s="24">
        <v>86</v>
      </c>
      <c r="M221">
        <v>215</v>
      </c>
      <c r="N221" t="s">
        <v>1432</v>
      </c>
      <c r="O221">
        <v>38</v>
      </c>
      <c r="P221">
        <v>98</v>
      </c>
      <c r="Q221" t="s">
        <v>24</v>
      </c>
      <c r="R221" t="s">
        <v>25</v>
      </c>
      <c r="S221" t="s">
        <v>26</v>
      </c>
      <c r="T221" t="s">
        <v>24</v>
      </c>
      <c r="U221">
        <f t="shared" si="14"/>
        <v>2</v>
      </c>
      <c r="V221">
        <v>163</v>
      </c>
      <c r="W221">
        <v>0.59599999999999997</v>
      </c>
      <c r="X221" t="s">
        <v>1409</v>
      </c>
      <c r="Y221">
        <v>111</v>
      </c>
      <c r="Z221">
        <v>86</v>
      </c>
      <c r="AA221" t="s">
        <v>31</v>
      </c>
      <c r="AB221">
        <v>147</v>
      </c>
      <c r="AC221" s="23">
        <v>3.87</v>
      </c>
      <c r="AD221" t="str">
        <f>IF(AND('CVD Dataset'!AA221="Normal",'CVD Dataset'!AB221&gt;AVERAGE('CVD Dataset'!AB:AB),'CVD Dataset'!AF221="High"),"High Lipid Category","Normal Category")</f>
        <v>Normal Category</v>
      </c>
      <c r="AE221">
        <v>19.53</v>
      </c>
      <c r="AF221" t="s">
        <v>32</v>
      </c>
      <c r="AG221">
        <v>0</v>
      </c>
      <c r="AH221" t="s">
        <v>1379</v>
      </c>
      <c r="AI221">
        <f t="shared" si="15"/>
        <v>1</v>
      </c>
      <c r="AJ221" t="s">
        <v>1391</v>
      </c>
    </row>
    <row r="222" spans="1:36" x14ac:dyDescent="0.3">
      <c r="A222" t="s">
        <v>33</v>
      </c>
      <c r="B222">
        <v>49</v>
      </c>
      <c r="C222">
        <v>114.2</v>
      </c>
      <c r="D222">
        <v>1.77</v>
      </c>
      <c r="E222">
        <v>36.5</v>
      </c>
      <c r="F222">
        <f t="shared" si="13"/>
        <v>36.451849723897986</v>
      </c>
      <c r="G222">
        <f t="shared" si="16"/>
        <v>0</v>
      </c>
      <c r="H222" t="s">
        <v>1399</v>
      </c>
      <c r="I222">
        <v>78.400000000000006</v>
      </c>
      <c r="J222" t="s">
        <v>245</v>
      </c>
      <c r="K222" s="24">
        <v>140</v>
      </c>
      <c r="L222" s="24">
        <v>70</v>
      </c>
      <c r="M222">
        <v>277</v>
      </c>
      <c r="N222" t="s">
        <v>1432</v>
      </c>
      <c r="O222">
        <v>33</v>
      </c>
      <c r="P222">
        <v>109</v>
      </c>
      <c r="Q222" t="s">
        <v>24</v>
      </c>
      <c r="R222" t="s">
        <v>25</v>
      </c>
      <c r="S222" t="s">
        <v>30</v>
      </c>
      <c r="T222" t="s">
        <v>24</v>
      </c>
      <c r="U222">
        <f t="shared" si="14"/>
        <v>1</v>
      </c>
      <c r="V222">
        <v>177</v>
      </c>
      <c r="W222">
        <v>0.443</v>
      </c>
      <c r="X222" t="s">
        <v>1408</v>
      </c>
      <c r="Y222">
        <v>140</v>
      </c>
      <c r="Z222">
        <v>70</v>
      </c>
      <c r="AA222" t="s">
        <v>40</v>
      </c>
      <c r="AC222" s="23">
        <v>0</v>
      </c>
      <c r="AD222" t="str">
        <f>IF(AND('CVD Dataset'!AA222="Normal",'CVD Dataset'!AB222&gt;AVERAGE('CVD Dataset'!AB:AB),'CVD Dataset'!AF222="High"),"High Lipid Category","Normal Category")</f>
        <v>Normal Category</v>
      </c>
      <c r="AE222">
        <v>21.84</v>
      </c>
      <c r="AF222" t="s">
        <v>32</v>
      </c>
      <c r="AG222">
        <v>0</v>
      </c>
      <c r="AH222" t="s">
        <v>1379</v>
      </c>
      <c r="AI222">
        <f t="shared" si="15"/>
        <v>1</v>
      </c>
      <c r="AJ222" t="s">
        <v>1391</v>
      </c>
    </row>
    <row r="223" spans="1:36" x14ac:dyDescent="0.3">
      <c r="A223" t="s">
        <v>22</v>
      </c>
      <c r="B223">
        <v>50</v>
      </c>
      <c r="C223">
        <v>94.6</v>
      </c>
      <c r="D223">
        <v>1.89</v>
      </c>
      <c r="E223">
        <v>26.5</v>
      </c>
      <c r="F223">
        <f t="shared" si="13"/>
        <v>26.483021192015901</v>
      </c>
      <c r="G223">
        <f t="shared" si="16"/>
        <v>0</v>
      </c>
      <c r="H223" t="s">
        <v>1400</v>
      </c>
      <c r="I223">
        <v>96.7</v>
      </c>
      <c r="J223" t="s">
        <v>246</v>
      </c>
      <c r="K223" s="24">
        <v>96</v>
      </c>
      <c r="L223" s="24">
        <v>73</v>
      </c>
      <c r="N223" t="s">
        <v>1434</v>
      </c>
      <c r="O223">
        <v>45</v>
      </c>
      <c r="Q223" t="s">
        <v>24</v>
      </c>
      <c r="R223" t="s">
        <v>25</v>
      </c>
      <c r="S223" t="s">
        <v>26</v>
      </c>
      <c r="T223" t="s">
        <v>25</v>
      </c>
      <c r="U223">
        <f t="shared" si="14"/>
        <v>3</v>
      </c>
      <c r="V223">
        <v>189</v>
      </c>
      <c r="W223">
        <v>0.51200000000000001</v>
      </c>
      <c r="X223" t="s">
        <v>1406</v>
      </c>
      <c r="Y223">
        <v>96</v>
      </c>
      <c r="Z223">
        <v>73</v>
      </c>
      <c r="AA223" t="s">
        <v>35</v>
      </c>
      <c r="AB223">
        <v>144</v>
      </c>
      <c r="AC223" s="23">
        <v>3.2</v>
      </c>
      <c r="AD223" t="str">
        <f>IF(AND('CVD Dataset'!AA223="Normal",'CVD Dataset'!AB223&gt;AVERAGE('CVD Dataset'!AB:AB),'CVD Dataset'!AF223="High"),"High Lipid Category","Normal Category")</f>
        <v>High Lipid Category</v>
      </c>
      <c r="AE223">
        <v>16.48</v>
      </c>
      <c r="AF223" t="s">
        <v>32</v>
      </c>
      <c r="AG223">
        <v>0</v>
      </c>
      <c r="AH223" t="s">
        <v>1379</v>
      </c>
      <c r="AI223">
        <f t="shared" si="15"/>
        <v>1</v>
      </c>
      <c r="AJ223" t="s">
        <v>1391</v>
      </c>
    </row>
    <row r="224" spans="1:36" x14ac:dyDescent="0.3">
      <c r="A224" t="s">
        <v>33</v>
      </c>
      <c r="B224">
        <v>32</v>
      </c>
      <c r="C224">
        <v>104</v>
      </c>
      <c r="D224">
        <v>1.69</v>
      </c>
      <c r="E224">
        <v>36.4</v>
      </c>
      <c r="F224">
        <f t="shared" si="13"/>
        <v>36.413290851160681</v>
      </c>
      <c r="G224">
        <f t="shared" si="16"/>
        <v>0</v>
      </c>
      <c r="H224" t="s">
        <v>1399</v>
      </c>
      <c r="I224">
        <v>105.5</v>
      </c>
      <c r="J224" t="s">
        <v>247</v>
      </c>
      <c r="K224" s="24">
        <v>143</v>
      </c>
      <c r="L224" s="24">
        <v>67</v>
      </c>
      <c r="M224">
        <v>148</v>
      </c>
      <c r="N224" t="s">
        <v>1434</v>
      </c>
      <c r="O224">
        <v>60</v>
      </c>
      <c r="P224">
        <v>107</v>
      </c>
      <c r="Q224" t="s">
        <v>25</v>
      </c>
      <c r="R224" t="s">
        <v>25</v>
      </c>
      <c r="S224" t="s">
        <v>26</v>
      </c>
      <c r="T224" t="s">
        <v>24</v>
      </c>
      <c r="U224">
        <f t="shared" si="14"/>
        <v>3</v>
      </c>
      <c r="V224">
        <v>169</v>
      </c>
      <c r="W224">
        <v>0.624</v>
      </c>
      <c r="X224" t="s">
        <v>1409</v>
      </c>
      <c r="Y224">
        <v>143</v>
      </c>
      <c r="Z224">
        <v>67</v>
      </c>
      <c r="AA224" t="s">
        <v>40</v>
      </c>
      <c r="AB224">
        <v>58</v>
      </c>
      <c r="AC224" s="23">
        <v>0.97</v>
      </c>
      <c r="AD224" t="str">
        <f>IF(AND('CVD Dataset'!AA224="Normal",'CVD Dataset'!AB224&gt;AVERAGE('CVD Dataset'!AB:AB),'CVD Dataset'!AF224="High"),"High Lipid Category","Normal Category")</f>
        <v>Normal Category</v>
      </c>
      <c r="AE224">
        <v>19.39</v>
      </c>
      <c r="AF224" t="s">
        <v>32</v>
      </c>
      <c r="AG224">
        <v>1</v>
      </c>
      <c r="AH224" t="s">
        <v>1379</v>
      </c>
      <c r="AI224">
        <f t="shared" si="15"/>
        <v>1</v>
      </c>
      <c r="AJ224" t="s">
        <v>1391</v>
      </c>
    </row>
    <row r="225" spans="1:36" x14ac:dyDescent="0.3">
      <c r="A225" t="s">
        <v>33</v>
      </c>
      <c r="B225">
        <v>54</v>
      </c>
      <c r="C225">
        <v>52.9</v>
      </c>
      <c r="D225">
        <v>1.7</v>
      </c>
      <c r="E225">
        <v>18.3</v>
      </c>
      <c r="F225">
        <f t="shared" si="13"/>
        <v>18.304498269896197</v>
      </c>
      <c r="G225">
        <f t="shared" si="16"/>
        <v>0</v>
      </c>
      <c r="H225" t="s">
        <v>1401</v>
      </c>
      <c r="J225" t="s">
        <v>90</v>
      </c>
      <c r="K225" s="24">
        <v>139</v>
      </c>
      <c r="L225" s="24">
        <v>66</v>
      </c>
      <c r="M225">
        <v>170</v>
      </c>
      <c r="N225" t="s">
        <v>1433</v>
      </c>
      <c r="O225">
        <v>41</v>
      </c>
      <c r="P225">
        <v>118</v>
      </c>
      <c r="Q225" t="s">
        <v>25</v>
      </c>
      <c r="R225" t="s">
        <v>24</v>
      </c>
      <c r="S225" t="s">
        <v>30</v>
      </c>
      <c r="T225" t="s">
        <v>25</v>
      </c>
      <c r="U225">
        <f t="shared" si="14"/>
        <v>2</v>
      </c>
      <c r="V225">
        <v>170</v>
      </c>
      <c r="W225">
        <v>0.433</v>
      </c>
      <c r="X225" t="s">
        <v>1408</v>
      </c>
      <c r="Y225">
        <v>139</v>
      </c>
      <c r="Z225">
        <v>66</v>
      </c>
      <c r="AA225" t="s">
        <v>31</v>
      </c>
      <c r="AB225">
        <v>99</v>
      </c>
      <c r="AC225" s="23">
        <v>2.41</v>
      </c>
      <c r="AD225" t="str">
        <f>IF(AND('CVD Dataset'!AA225="Normal",'CVD Dataset'!AB225&gt;AVERAGE('CVD Dataset'!AB:AB),'CVD Dataset'!AF225="High"),"High Lipid Category","Normal Category")</f>
        <v>Normal Category</v>
      </c>
      <c r="AE225">
        <v>14.01</v>
      </c>
      <c r="AF225" t="s">
        <v>28</v>
      </c>
      <c r="AG225">
        <v>0</v>
      </c>
      <c r="AH225" t="s">
        <v>1380</v>
      </c>
      <c r="AI225">
        <f t="shared" si="15"/>
        <v>0</v>
      </c>
      <c r="AJ225" t="s">
        <v>1391</v>
      </c>
    </row>
    <row r="226" spans="1:36" x14ac:dyDescent="0.3">
      <c r="A226" t="s">
        <v>33</v>
      </c>
      <c r="B226">
        <v>30</v>
      </c>
      <c r="C226">
        <v>82.9</v>
      </c>
      <c r="D226">
        <v>1.75</v>
      </c>
      <c r="E226">
        <v>27.1</v>
      </c>
      <c r="F226">
        <f t="shared" si="13"/>
        <v>27.069387755102042</v>
      </c>
      <c r="G226">
        <f t="shared" si="16"/>
        <v>0</v>
      </c>
      <c r="H226" t="s">
        <v>1400</v>
      </c>
      <c r="I226">
        <v>77.3</v>
      </c>
      <c r="J226" t="s">
        <v>248</v>
      </c>
      <c r="K226" s="24">
        <v>148</v>
      </c>
      <c r="L226" s="24">
        <v>91</v>
      </c>
      <c r="M226">
        <v>157</v>
      </c>
      <c r="N226" t="s">
        <v>1433</v>
      </c>
      <c r="P226">
        <v>141</v>
      </c>
      <c r="Q226" t="s">
        <v>25</v>
      </c>
      <c r="R226" t="s">
        <v>25</v>
      </c>
      <c r="S226" t="s">
        <v>30</v>
      </c>
      <c r="T226" t="s">
        <v>25</v>
      </c>
      <c r="U226">
        <f t="shared" si="14"/>
        <v>3</v>
      </c>
      <c r="V226">
        <v>175</v>
      </c>
      <c r="X226" t="s">
        <v>1410</v>
      </c>
      <c r="Y226">
        <v>148</v>
      </c>
      <c r="Z226">
        <v>91</v>
      </c>
      <c r="AA226" t="s">
        <v>40</v>
      </c>
      <c r="AB226">
        <v>73</v>
      </c>
      <c r="AC226" s="23" t="s">
        <v>1410</v>
      </c>
      <c r="AD226" t="str">
        <f>IF(AND('CVD Dataset'!AA226="Normal",'CVD Dataset'!AB226&gt;AVERAGE('CVD Dataset'!AB:AB),'CVD Dataset'!AF226="High"),"High Lipid Category","Normal Category")</f>
        <v>Normal Category</v>
      </c>
      <c r="AE226">
        <v>17.96</v>
      </c>
      <c r="AF226" t="s">
        <v>32</v>
      </c>
      <c r="AG226">
        <v>0</v>
      </c>
      <c r="AH226" t="s">
        <v>1379</v>
      </c>
      <c r="AI226">
        <f t="shared" si="15"/>
        <v>1</v>
      </c>
      <c r="AJ226" t="s">
        <v>1391</v>
      </c>
    </row>
    <row r="227" spans="1:36" x14ac:dyDescent="0.3">
      <c r="A227" t="s">
        <v>22</v>
      </c>
      <c r="B227">
        <v>43</v>
      </c>
      <c r="C227">
        <v>98.2</v>
      </c>
      <c r="D227">
        <v>1.74</v>
      </c>
      <c r="E227">
        <v>32.4</v>
      </c>
      <c r="F227">
        <f t="shared" si="13"/>
        <v>32.434931959307704</v>
      </c>
      <c r="G227">
        <f t="shared" si="16"/>
        <v>0</v>
      </c>
      <c r="H227" t="s">
        <v>1399</v>
      </c>
      <c r="I227">
        <v>106</v>
      </c>
      <c r="J227" t="s">
        <v>96</v>
      </c>
      <c r="K227" s="24">
        <v>103</v>
      </c>
      <c r="L227" s="24">
        <v>98</v>
      </c>
      <c r="N227" t="s">
        <v>1434</v>
      </c>
      <c r="O227">
        <v>52</v>
      </c>
      <c r="P227">
        <v>113</v>
      </c>
      <c r="Q227" t="s">
        <v>25</v>
      </c>
      <c r="R227" t="s">
        <v>25</v>
      </c>
      <c r="S227" t="s">
        <v>39</v>
      </c>
      <c r="T227" t="s">
        <v>24</v>
      </c>
      <c r="U227">
        <f t="shared" si="14"/>
        <v>2</v>
      </c>
      <c r="V227">
        <v>174</v>
      </c>
      <c r="X227" t="s">
        <v>1410</v>
      </c>
      <c r="Y227">
        <v>103</v>
      </c>
      <c r="Z227">
        <v>98</v>
      </c>
      <c r="AA227" t="s">
        <v>40</v>
      </c>
      <c r="AB227">
        <v>35</v>
      </c>
      <c r="AC227" s="23">
        <v>0.67</v>
      </c>
      <c r="AD227" t="str">
        <f>IF(AND('CVD Dataset'!AA227="Normal",'CVD Dataset'!AB227&gt;AVERAGE('CVD Dataset'!AB:AB),'CVD Dataset'!AF227="High"),"High Lipid Category","Normal Category")</f>
        <v>Normal Category</v>
      </c>
      <c r="AE227">
        <v>15.97</v>
      </c>
      <c r="AF227" t="s">
        <v>28</v>
      </c>
      <c r="AG227">
        <v>0</v>
      </c>
      <c r="AH227" t="s">
        <v>1380</v>
      </c>
      <c r="AI227">
        <f t="shared" si="15"/>
        <v>0</v>
      </c>
      <c r="AJ227" t="s">
        <v>1391</v>
      </c>
    </row>
    <row r="228" spans="1:36" x14ac:dyDescent="0.3">
      <c r="A228" t="s">
        <v>22</v>
      </c>
      <c r="B228">
        <v>34</v>
      </c>
      <c r="C228">
        <v>93.1</v>
      </c>
      <c r="E228">
        <v>27.5</v>
      </c>
      <c r="F228" t="str">
        <f t="shared" si="13"/>
        <v/>
      </c>
      <c r="G228" t="str">
        <f t="shared" si="16"/>
        <v/>
      </c>
      <c r="H228" t="s">
        <v>1400</v>
      </c>
      <c r="I228">
        <v>101.2</v>
      </c>
      <c r="J228" t="s">
        <v>249</v>
      </c>
      <c r="K228" s="24">
        <v>124</v>
      </c>
      <c r="L228" s="24">
        <v>70</v>
      </c>
      <c r="M228">
        <v>165</v>
      </c>
      <c r="N228" t="s">
        <v>1433</v>
      </c>
      <c r="O228">
        <v>31</v>
      </c>
      <c r="P228">
        <v>140</v>
      </c>
      <c r="Q228" t="s">
        <v>25</v>
      </c>
      <c r="R228" t="s">
        <v>24</v>
      </c>
      <c r="S228" t="s">
        <v>39</v>
      </c>
      <c r="T228" t="s">
        <v>25</v>
      </c>
      <c r="U228">
        <f t="shared" si="14"/>
        <v>2</v>
      </c>
      <c r="V228">
        <v>184</v>
      </c>
      <c r="W228">
        <v>0.55000000000000004</v>
      </c>
      <c r="X228" t="s">
        <v>1407</v>
      </c>
      <c r="Y228">
        <v>124</v>
      </c>
      <c r="Z228">
        <v>70</v>
      </c>
      <c r="AA228" t="s">
        <v>27</v>
      </c>
      <c r="AB228">
        <v>104</v>
      </c>
      <c r="AC228" s="23">
        <v>3.35</v>
      </c>
      <c r="AD228" t="str">
        <f>IF(AND('CVD Dataset'!AA228="Normal",'CVD Dataset'!AB228&gt;AVERAGE('CVD Dataset'!AB:AB),'CVD Dataset'!AF228="High"),"High Lipid Category","Normal Category")</f>
        <v>Normal Category</v>
      </c>
      <c r="AE228">
        <v>15</v>
      </c>
      <c r="AF228" t="s">
        <v>32</v>
      </c>
      <c r="AG228">
        <v>0</v>
      </c>
      <c r="AH228" t="s">
        <v>1379</v>
      </c>
      <c r="AI228">
        <f t="shared" si="15"/>
        <v>1</v>
      </c>
      <c r="AJ228" t="s">
        <v>1391</v>
      </c>
    </row>
    <row r="229" spans="1:36" x14ac:dyDescent="0.3">
      <c r="A229" t="s">
        <v>33</v>
      </c>
      <c r="B229">
        <v>38</v>
      </c>
      <c r="C229">
        <v>97</v>
      </c>
      <c r="D229">
        <v>1.66</v>
      </c>
      <c r="E229">
        <v>35.200000000000003</v>
      </c>
      <c r="F229">
        <f t="shared" si="13"/>
        <v>35.201045144433159</v>
      </c>
      <c r="G229">
        <f t="shared" si="16"/>
        <v>0</v>
      </c>
      <c r="H229" t="s">
        <v>1399</v>
      </c>
      <c r="I229">
        <v>86.9</v>
      </c>
      <c r="J229" t="s">
        <v>250</v>
      </c>
      <c r="K229" s="24">
        <v>128</v>
      </c>
      <c r="L229" s="24">
        <v>81</v>
      </c>
      <c r="M229">
        <v>221</v>
      </c>
      <c r="N229" t="s">
        <v>1432</v>
      </c>
      <c r="O229">
        <v>41</v>
      </c>
      <c r="P229">
        <v>83</v>
      </c>
      <c r="Q229" t="s">
        <v>24</v>
      </c>
      <c r="R229" t="s">
        <v>25</v>
      </c>
      <c r="S229" t="s">
        <v>39</v>
      </c>
      <c r="T229" t="s">
        <v>25</v>
      </c>
      <c r="U229">
        <f t="shared" si="14"/>
        <v>2</v>
      </c>
      <c r="V229">
        <v>166</v>
      </c>
      <c r="W229">
        <v>0.52300000000000002</v>
      </c>
      <c r="X229" t="s">
        <v>1407</v>
      </c>
      <c r="Y229">
        <v>128</v>
      </c>
      <c r="Z229">
        <v>81</v>
      </c>
      <c r="AA229" t="s">
        <v>31</v>
      </c>
      <c r="AB229">
        <v>150</v>
      </c>
      <c r="AC229" s="23">
        <v>3.66</v>
      </c>
      <c r="AD229" t="str">
        <f>IF(AND('CVD Dataset'!AA229="Normal",'CVD Dataset'!AB229&gt;AVERAGE('CVD Dataset'!AB:AB),'CVD Dataset'!AF229="High"),"High Lipid Category","Normal Category")</f>
        <v>Normal Category</v>
      </c>
      <c r="AE229">
        <v>19.86</v>
      </c>
      <c r="AF229" t="s">
        <v>32</v>
      </c>
      <c r="AG229">
        <v>0</v>
      </c>
      <c r="AH229" t="s">
        <v>1379</v>
      </c>
      <c r="AI229">
        <f t="shared" si="15"/>
        <v>1</v>
      </c>
      <c r="AJ229" t="s">
        <v>1391</v>
      </c>
    </row>
    <row r="230" spans="1:36" x14ac:dyDescent="0.3">
      <c r="A230" t="s">
        <v>33</v>
      </c>
      <c r="B230">
        <v>56</v>
      </c>
      <c r="C230">
        <v>116.2</v>
      </c>
      <c r="D230">
        <v>1.67</v>
      </c>
      <c r="E230">
        <v>41.7</v>
      </c>
      <c r="F230">
        <f t="shared" si="13"/>
        <v>41.665172648714552</v>
      </c>
      <c r="G230">
        <f t="shared" si="16"/>
        <v>0</v>
      </c>
      <c r="H230" t="s">
        <v>1399</v>
      </c>
      <c r="I230">
        <v>97.6</v>
      </c>
      <c r="J230" t="s">
        <v>156</v>
      </c>
      <c r="K230" s="24">
        <v>149</v>
      </c>
      <c r="L230" s="24">
        <v>66</v>
      </c>
      <c r="M230">
        <v>173</v>
      </c>
      <c r="N230" t="s">
        <v>1433</v>
      </c>
      <c r="O230">
        <v>40</v>
      </c>
      <c r="P230">
        <v>133</v>
      </c>
      <c r="Q230" t="s">
        <v>24</v>
      </c>
      <c r="R230" t="s">
        <v>25</v>
      </c>
      <c r="S230" t="s">
        <v>30</v>
      </c>
      <c r="T230" t="s">
        <v>24</v>
      </c>
      <c r="U230">
        <f t="shared" si="14"/>
        <v>1</v>
      </c>
      <c r="V230">
        <v>167</v>
      </c>
      <c r="W230">
        <v>0.58399999999999996</v>
      </c>
      <c r="X230" t="s">
        <v>1407</v>
      </c>
      <c r="Y230">
        <v>149</v>
      </c>
      <c r="Z230">
        <v>66</v>
      </c>
      <c r="AA230" t="s">
        <v>40</v>
      </c>
      <c r="AB230">
        <v>103</v>
      </c>
      <c r="AC230" s="23">
        <v>2.58</v>
      </c>
      <c r="AD230" t="str">
        <f>IF(AND('CVD Dataset'!AA230="Normal",'CVD Dataset'!AB230&gt;AVERAGE('CVD Dataset'!AB:AB),'CVD Dataset'!AF230="High"),"High Lipid Category","Normal Category")</f>
        <v>Normal Category</v>
      </c>
      <c r="AE230">
        <v>21.25</v>
      </c>
      <c r="AF230" t="s">
        <v>28</v>
      </c>
      <c r="AG230">
        <v>0</v>
      </c>
      <c r="AH230" t="s">
        <v>1380</v>
      </c>
      <c r="AI230">
        <f t="shared" si="15"/>
        <v>0</v>
      </c>
      <c r="AJ230" t="s">
        <v>1392</v>
      </c>
    </row>
    <row r="231" spans="1:36" x14ac:dyDescent="0.3">
      <c r="A231" t="s">
        <v>22</v>
      </c>
      <c r="B231">
        <v>35</v>
      </c>
      <c r="C231">
        <v>113.3</v>
      </c>
      <c r="D231">
        <v>1.78</v>
      </c>
      <c r="E231">
        <v>35.799999999999997</v>
      </c>
      <c r="F231">
        <f t="shared" si="13"/>
        <v>35.759373816437318</v>
      </c>
      <c r="G231">
        <f t="shared" si="16"/>
        <v>0</v>
      </c>
      <c r="H231" t="s">
        <v>1399</v>
      </c>
      <c r="I231">
        <v>79.599999999999994</v>
      </c>
      <c r="J231" t="s">
        <v>251</v>
      </c>
      <c r="K231" s="24">
        <v>92</v>
      </c>
      <c r="L231" s="24">
        <v>89</v>
      </c>
      <c r="M231">
        <v>158</v>
      </c>
      <c r="N231" t="s">
        <v>1433</v>
      </c>
      <c r="O231">
        <v>34</v>
      </c>
      <c r="P231">
        <v>111</v>
      </c>
      <c r="Q231" t="s">
        <v>25</v>
      </c>
      <c r="R231" t="s">
        <v>24</v>
      </c>
      <c r="S231" t="s">
        <v>39</v>
      </c>
      <c r="T231" t="s">
        <v>25</v>
      </c>
      <c r="U231">
        <f t="shared" si="14"/>
        <v>2</v>
      </c>
      <c r="V231">
        <v>178</v>
      </c>
      <c r="W231">
        <v>0.44700000000000001</v>
      </c>
      <c r="X231" t="s">
        <v>1408</v>
      </c>
      <c r="Y231">
        <v>92</v>
      </c>
      <c r="Z231">
        <v>89</v>
      </c>
      <c r="AA231" t="s">
        <v>31</v>
      </c>
      <c r="AB231">
        <v>94</v>
      </c>
      <c r="AC231" s="23">
        <v>2.76</v>
      </c>
      <c r="AD231" t="str">
        <f>IF(AND('CVD Dataset'!AA231="Normal",'CVD Dataset'!AB231&gt;AVERAGE('CVD Dataset'!AB:AB),'CVD Dataset'!AF231="High"),"High Lipid Category","Normal Category")</f>
        <v>Normal Category</v>
      </c>
      <c r="AE231">
        <v>14.92</v>
      </c>
      <c r="AF231" t="s">
        <v>32</v>
      </c>
      <c r="AG231">
        <v>0</v>
      </c>
      <c r="AH231" t="s">
        <v>1379</v>
      </c>
      <c r="AI231">
        <f t="shared" si="15"/>
        <v>1</v>
      </c>
      <c r="AJ231" t="s">
        <v>1391</v>
      </c>
    </row>
    <row r="232" spans="1:36" x14ac:dyDescent="0.3">
      <c r="A232" t="s">
        <v>33</v>
      </c>
      <c r="B232">
        <v>50</v>
      </c>
      <c r="C232">
        <v>83</v>
      </c>
      <c r="D232">
        <v>1.85</v>
      </c>
      <c r="E232">
        <v>24.3</v>
      </c>
      <c r="F232">
        <f t="shared" si="13"/>
        <v>24.251278305332356</v>
      </c>
      <c r="G232">
        <f t="shared" si="16"/>
        <v>0</v>
      </c>
      <c r="H232" t="s">
        <v>1398</v>
      </c>
      <c r="I232">
        <v>91.7</v>
      </c>
      <c r="J232" t="s">
        <v>252</v>
      </c>
      <c r="K232" s="24">
        <v>141</v>
      </c>
      <c r="L232" s="24">
        <v>78</v>
      </c>
      <c r="M232">
        <v>279</v>
      </c>
      <c r="N232" t="s">
        <v>1432</v>
      </c>
      <c r="O232">
        <v>59</v>
      </c>
      <c r="P232">
        <v>116</v>
      </c>
      <c r="Q232" t="s">
        <v>25</v>
      </c>
      <c r="R232" t="s">
        <v>25</v>
      </c>
      <c r="S232" t="s">
        <v>26</v>
      </c>
      <c r="T232" t="s">
        <v>24</v>
      </c>
      <c r="U232">
        <f t="shared" si="14"/>
        <v>3</v>
      </c>
      <c r="W232">
        <v>0.496</v>
      </c>
      <c r="X232" t="s">
        <v>1406</v>
      </c>
      <c r="Y232">
        <v>141</v>
      </c>
      <c r="Z232">
        <v>78</v>
      </c>
      <c r="AA232" t="s">
        <v>40</v>
      </c>
      <c r="AB232">
        <v>190</v>
      </c>
      <c r="AC232" s="23">
        <v>3.22</v>
      </c>
      <c r="AD232" t="str">
        <f>IF(AND('CVD Dataset'!AA232="Normal",'CVD Dataset'!AB232&gt;AVERAGE('CVD Dataset'!AB:AB),'CVD Dataset'!AF232="High"),"High Lipid Category","Normal Category")</f>
        <v>Normal Category</v>
      </c>
      <c r="AE232">
        <v>19.489999999999998</v>
      </c>
      <c r="AF232" t="s">
        <v>32</v>
      </c>
      <c r="AG232">
        <v>0</v>
      </c>
      <c r="AH232" t="s">
        <v>1379</v>
      </c>
      <c r="AI232">
        <f t="shared" si="15"/>
        <v>1</v>
      </c>
      <c r="AJ232" t="s">
        <v>1391</v>
      </c>
    </row>
    <row r="233" spans="1:36" x14ac:dyDescent="0.3">
      <c r="A233" t="s">
        <v>33</v>
      </c>
      <c r="B233">
        <v>46</v>
      </c>
      <c r="C233">
        <v>78.7</v>
      </c>
      <c r="D233">
        <v>1.64</v>
      </c>
      <c r="F233">
        <f t="shared" si="13"/>
        <v>29.260856632956578</v>
      </c>
      <c r="G233">
        <f t="shared" si="16"/>
        <v>1</v>
      </c>
      <c r="H233" t="s">
        <v>1401</v>
      </c>
      <c r="I233">
        <v>105.5</v>
      </c>
      <c r="J233" t="s">
        <v>253</v>
      </c>
      <c r="K233" s="24">
        <v>137</v>
      </c>
      <c r="L233" s="24">
        <v>76</v>
      </c>
      <c r="M233">
        <v>196</v>
      </c>
      <c r="N233" t="s">
        <v>1432</v>
      </c>
      <c r="O233">
        <v>37</v>
      </c>
      <c r="P233">
        <v>102</v>
      </c>
      <c r="Q233" t="s">
        <v>24</v>
      </c>
      <c r="R233" t="s">
        <v>24</v>
      </c>
      <c r="S233" t="s">
        <v>30</v>
      </c>
      <c r="T233" t="s">
        <v>25</v>
      </c>
      <c r="U233">
        <f t="shared" si="14"/>
        <v>1</v>
      </c>
      <c r="V233">
        <v>164</v>
      </c>
      <c r="W233">
        <v>0.64300000000000002</v>
      </c>
      <c r="X233" t="s">
        <v>1409</v>
      </c>
      <c r="Y233">
        <v>137</v>
      </c>
      <c r="Z233">
        <v>76</v>
      </c>
      <c r="AA233" t="s">
        <v>31</v>
      </c>
      <c r="AB233">
        <v>129</v>
      </c>
      <c r="AC233" s="23">
        <v>3.49</v>
      </c>
      <c r="AD233" t="str">
        <f>IF(AND('CVD Dataset'!AA233="Normal",'CVD Dataset'!AB233&gt;AVERAGE('CVD Dataset'!AB:AB),'CVD Dataset'!AF233="High"),"High Lipid Category","Normal Category")</f>
        <v>Normal Category</v>
      </c>
      <c r="AE233">
        <v>16.63</v>
      </c>
      <c r="AF233" t="s">
        <v>32</v>
      </c>
      <c r="AG233">
        <v>0</v>
      </c>
      <c r="AH233" t="s">
        <v>1379</v>
      </c>
      <c r="AI233">
        <f t="shared" si="15"/>
        <v>1</v>
      </c>
      <c r="AJ233" t="s">
        <v>1391</v>
      </c>
    </row>
    <row r="234" spans="1:36" x14ac:dyDescent="0.3">
      <c r="A234" t="s">
        <v>33</v>
      </c>
      <c r="B234">
        <v>52</v>
      </c>
      <c r="C234">
        <v>108.6</v>
      </c>
      <c r="D234">
        <v>1.86</v>
      </c>
      <c r="E234">
        <v>31.4</v>
      </c>
      <c r="F234">
        <f t="shared" si="13"/>
        <v>31.390912244190073</v>
      </c>
      <c r="G234">
        <f t="shared" si="16"/>
        <v>0</v>
      </c>
      <c r="H234" t="s">
        <v>1399</v>
      </c>
      <c r="I234">
        <v>93.9</v>
      </c>
      <c r="J234" t="s">
        <v>254</v>
      </c>
      <c r="K234" s="24">
        <v>133</v>
      </c>
      <c r="L234" s="24">
        <v>63</v>
      </c>
      <c r="M234">
        <v>109</v>
      </c>
      <c r="N234" t="s">
        <v>1434</v>
      </c>
      <c r="O234">
        <v>42</v>
      </c>
      <c r="P234">
        <v>79</v>
      </c>
      <c r="Q234" t="s">
        <v>24</v>
      </c>
      <c r="R234" t="s">
        <v>25</v>
      </c>
      <c r="S234" t="s">
        <v>39</v>
      </c>
      <c r="T234" t="s">
        <v>24</v>
      </c>
      <c r="U234">
        <f t="shared" si="14"/>
        <v>1</v>
      </c>
      <c r="V234">
        <v>186</v>
      </c>
      <c r="W234">
        <v>0.505</v>
      </c>
      <c r="X234" t="s">
        <v>1406</v>
      </c>
      <c r="Y234">
        <v>133</v>
      </c>
      <c r="Z234">
        <v>63</v>
      </c>
      <c r="AA234" t="s">
        <v>31</v>
      </c>
      <c r="AC234" s="23">
        <v>0</v>
      </c>
      <c r="AD234" t="str">
        <f>IF(AND('CVD Dataset'!AA234="Normal",'CVD Dataset'!AB234&gt;AVERAGE('CVD Dataset'!AB:AB),'CVD Dataset'!AF234="High"),"High Lipid Category","Normal Category")</f>
        <v>Normal Category</v>
      </c>
      <c r="AE234">
        <v>17.11</v>
      </c>
      <c r="AF234" t="s">
        <v>28</v>
      </c>
      <c r="AG234">
        <v>0</v>
      </c>
      <c r="AH234" t="s">
        <v>1380</v>
      </c>
      <c r="AI234">
        <f t="shared" si="15"/>
        <v>0</v>
      </c>
      <c r="AJ234" t="s">
        <v>1392</v>
      </c>
    </row>
    <row r="235" spans="1:36" x14ac:dyDescent="0.3">
      <c r="A235" t="s">
        <v>22</v>
      </c>
      <c r="B235">
        <v>43</v>
      </c>
      <c r="C235">
        <v>61</v>
      </c>
      <c r="D235">
        <v>1.73</v>
      </c>
      <c r="E235">
        <v>20.399999999999999</v>
      </c>
      <c r="F235">
        <f t="shared" si="13"/>
        <v>20.381569714992146</v>
      </c>
      <c r="G235">
        <f t="shared" si="16"/>
        <v>0</v>
      </c>
      <c r="H235" t="s">
        <v>1398</v>
      </c>
      <c r="I235">
        <v>79.7</v>
      </c>
      <c r="J235" t="s">
        <v>255</v>
      </c>
      <c r="K235" s="24">
        <v>131</v>
      </c>
      <c r="L235" s="24">
        <v>95</v>
      </c>
      <c r="M235">
        <v>299</v>
      </c>
      <c r="N235" t="s">
        <v>1432</v>
      </c>
      <c r="O235">
        <v>79</v>
      </c>
      <c r="P235">
        <v>130</v>
      </c>
      <c r="Q235" t="s">
        <v>25</v>
      </c>
      <c r="R235" t="s">
        <v>24</v>
      </c>
      <c r="S235" t="s">
        <v>39</v>
      </c>
      <c r="T235" t="s">
        <v>25</v>
      </c>
      <c r="U235">
        <f t="shared" si="14"/>
        <v>2</v>
      </c>
      <c r="V235">
        <v>173</v>
      </c>
      <c r="W235">
        <v>0.46100000000000002</v>
      </c>
      <c r="X235" t="s">
        <v>1406</v>
      </c>
      <c r="Y235">
        <v>131</v>
      </c>
      <c r="Z235">
        <v>95</v>
      </c>
      <c r="AA235" t="s">
        <v>31</v>
      </c>
      <c r="AB235">
        <v>190</v>
      </c>
      <c r="AC235" s="23">
        <v>2.41</v>
      </c>
      <c r="AD235" t="str">
        <f>IF(AND('CVD Dataset'!AA235="Normal",'CVD Dataset'!AB235&gt;AVERAGE('CVD Dataset'!AB:AB),'CVD Dataset'!AF235="High"),"High Lipid Category","Normal Category")</f>
        <v>Normal Category</v>
      </c>
      <c r="AE235">
        <v>16.61</v>
      </c>
      <c r="AF235" t="s">
        <v>28</v>
      </c>
      <c r="AG235">
        <v>0</v>
      </c>
      <c r="AH235" t="s">
        <v>1380</v>
      </c>
      <c r="AI235">
        <f t="shared" si="15"/>
        <v>0</v>
      </c>
      <c r="AJ235" t="s">
        <v>1391</v>
      </c>
    </row>
    <row r="236" spans="1:36" x14ac:dyDescent="0.3">
      <c r="A236" t="s">
        <v>22</v>
      </c>
      <c r="B236">
        <v>31</v>
      </c>
      <c r="C236">
        <v>98.9</v>
      </c>
      <c r="E236">
        <v>30.2</v>
      </c>
      <c r="F236" t="str">
        <f t="shared" si="13"/>
        <v/>
      </c>
      <c r="G236" t="str">
        <f t="shared" si="16"/>
        <v/>
      </c>
      <c r="H236" t="s">
        <v>1399</v>
      </c>
      <c r="I236">
        <v>77.900000000000006</v>
      </c>
      <c r="J236" t="s">
        <v>256</v>
      </c>
      <c r="K236" s="24">
        <v>129</v>
      </c>
      <c r="L236" s="24">
        <v>86</v>
      </c>
      <c r="M236">
        <v>174</v>
      </c>
      <c r="N236" t="s">
        <v>1433</v>
      </c>
      <c r="O236">
        <v>37</v>
      </c>
      <c r="P236">
        <v>149</v>
      </c>
      <c r="Q236" t="s">
        <v>24</v>
      </c>
      <c r="R236" t="s">
        <v>24</v>
      </c>
      <c r="S236" t="s">
        <v>26</v>
      </c>
      <c r="T236" t="s">
        <v>25</v>
      </c>
      <c r="U236">
        <f t="shared" si="14"/>
        <v>2</v>
      </c>
      <c r="V236">
        <v>181</v>
      </c>
      <c r="X236" t="s">
        <v>1410</v>
      </c>
      <c r="Y236">
        <v>129</v>
      </c>
      <c r="Z236">
        <v>86</v>
      </c>
      <c r="AA236" t="s">
        <v>31</v>
      </c>
      <c r="AB236">
        <v>107</v>
      </c>
      <c r="AC236" s="23">
        <v>2.89</v>
      </c>
      <c r="AD236" t="str">
        <f>IF(AND('CVD Dataset'!AA236="Normal",'CVD Dataset'!AB236&gt;AVERAGE('CVD Dataset'!AB:AB),'CVD Dataset'!AF236="High"),"High Lipid Category","Normal Category")</f>
        <v>Normal Category</v>
      </c>
      <c r="AE236">
        <v>15.97</v>
      </c>
      <c r="AF236" t="s">
        <v>32</v>
      </c>
      <c r="AG236">
        <v>0</v>
      </c>
      <c r="AH236" t="s">
        <v>1379</v>
      </c>
      <c r="AI236">
        <f t="shared" si="15"/>
        <v>1</v>
      </c>
      <c r="AJ236" t="s">
        <v>1391</v>
      </c>
    </row>
    <row r="237" spans="1:36" x14ac:dyDescent="0.3">
      <c r="A237" t="s">
        <v>22</v>
      </c>
      <c r="B237">
        <v>32</v>
      </c>
      <c r="C237">
        <v>55.1</v>
      </c>
      <c r="D237">
        <v>1.77</v>
      </c>
      <c r="E237">
        <v>17.600000000000001</v>
      </c>
      <c r="F237">
        <f t="shared" si="13"/>
        <v>17.587538702160938</v>
      </c>
      <c r="G237">
        <f t="shared" si="16"/>
        <v>0</v>
      </c>
      <c r="H237" t="s">
        <v>1401</v>
      </c>
      <c r="I237">
        <v>109.7</v>
      </c>
      <c r="J237" t="s">
        <v>257</v>
      </c>
      <c r="K237" s="24">
        <v>119</v>
      </c>
      <c r="L237" s="24">
        <v>61</v>
      </c>
      <c r="M237">
        <v>204</v>
      </c>
      <c r="N237" t="s">
        <v>1432</v>
      </c>
      <c r="O237">
        <v>68</v>
      </c>
      <c r="P237">
        <v>137</v>
      </c>
      <c r="Q237" t="s">
        <v>24</v>
      </c>
      <c r="R237" t="s">
        <v>24</v>
      </c>
      <c r="S237" t="s">
        <v>30</v>
      </c>
      <c r="T237" t="s">
        <v>24</v>
      </c>
      <c r="U237">
        <f t="shared" si="14"/>
        <v>0</v>
      </c>
      <c r="V237">
        <v>177</v>
      </c>
      <c r="X237" t="s">
        <v>1410</v>
      </c>
      <c r="Y237">
        <v>119</v>
      </c>
      <c r="Z237">
        <v>61</v>
      </c>
      <c r="AA237" t="s">
        <v>35</v>
      </c>
      <c r="AB237">
        <v>106</v>
      </c>
      <c r="AC237" s="23">
        <v>1.56</v>
      </c>
      <c r="AD237" t="str">
        <f>IF(AND('CVD Dataset'!AA237="Normal",'CVD Dataset'!AB237&gt;AVERAGE('CVD Dataset'!AB:AB),'CVD Dataset'!AF237="High"),"High Lipid Category","Normal Category")</f>
        <v>Normal Category</v>
      </c>
      <c r="AE237">
        <v>13.55</v>
      </c>
      <c r="AF237" t="s">
        <v>54</v>
      </c>
      <c r="AG237">
        <v>0</v>
      </c>
      <c r="AH237" t="s">
        <v>1380</v>
      </c>
      <c r="AI237">
        <f t="shared" si="15"/>
        <v>0</v>
      </c>
      <c r="AJ237" t="s">
        <v>1391</v>
      </c>
    </row>
    <row r="238" spans="1:36" x14ac:dyDescent="0.3">
      <c r="A238" t="s">
        <v>33</v>
      </c>
      <c r="B238">
        <v>42</v>
      </c>
      <c r="C238">
        <v>52.5</v>
      </c>
      <c r="D238">
        <v>1.64</v>
      </c>
      <c r="E238">
        <v>19.5</v>
      </c>
      <c r="F238">
        <f t="shared" si="13"/>
        <v>19.519631171921478</v>
      </c>
      <c r="G238">
        <f t="shared" si="16"/>
        <v>0</v>
      </c>
      <c r="H238" t="s">
        <v>1398</v>
      </c>
      <c r="I238">
        <v>102.4</v>
      </c>
      <c r="J238" t="s">
        <v>247</v>
      </c>
      <c r="K238" s="24">
        <v>143</v>
      </c>
      <c r="L238" s="24">
        <v>67</v>
      </c>
      <c r="M238">
        <v>118</v>
      </c>
      <c r="N238" t="s">
        <v>1434</v>
      </c>
      <c r="O238">
        <v>30</v>
      </c>
      <c r="P238">
        <v>102</v>
      </c>
      <c r="Q238" t="s">
        <v>25</v>
      </c>
      <c r="R238" t="s">
        <v>25</v>
      </c>
      <c r="S238" t="s">
        <v>30</v>
      </c>
      <c r="T238" t="s">
        <v>25</v>
      </c>
      <c r="U238">
        <f t="shared" si="14"/>
        <v>3</v>
      </c>
      <c r="V238">
        <v>164</v>
      </c>
      <c r="W238">
        <v>0.624</v>
      </c>
      <c r="X238" t="s">
        <v>1409</v>
      </c>
      <c r="Y238">
        <v>143</v>
      </c>
      <c r="Z238">
        <v>67</v>
      </c>
      <c r="AA238" t="s">
        <v>40</v>
      </c>
      <c r="AB238">
        <v>58</v>
      </c>
      <c r="AC238" s="23">
        <v>1.93</v>
      </c>
      <c r="AD238" t="str">
        <f>IF(AND('CVD Dataset'!AA238="Normal",'CVD Dataset'!AB238&gt;AVERAGE('CVD Dataset'!AB:AB),'CVD Dataset'!AF238="High"),"High Lipid Category","Normal Category")</f>
        <v>Normal Category</v>
      </c>
      <c r="AE238">
        <v>15.41</v>
      </c>
      <c r="AF238" t="s">
        <v>32</v>
      </c>
      <c r="AG238">
        <v>0</v>
      </c>
      <c r="AH238" t="s">
        <v>1379</v>
      </c>
      <c r="AI238">
        <f t="shared" si="15"/>
        <v>1</v>
      </c>
      <c r="AJ238" t="s">
        <v>1391</v>
      </c>
    </row>
    <row r="239" spans="1:36" x14ac:dyDescent="0.3">
      <c r="A239" t="s">
        <v>33</v>
      </c>
      <c r="B239">
        <v>38</v>
      </c>
      <c r="C239">
        <v>105.6</v>
      </c>
      <c r="D239">
        <v>1.8</v>
      </c>
      <c r="E239">
        <v>32.6</v>
      </c>
      <c r="F239">
        <f t="shared" si="13"/>
        <v>32.592592592592588</v>
      </c>
      <c r="G239">
        <f t="shared" si="16"/>
        <v>0</v>
      </c>
      <c r="H239" t="s">
        <v>1399</v>
      </c>
      <c r="I239">
        <v>71.7</v>
      </c>
      <c r="J239" t="s">
        <v>258</v>
      </c>
      <c r="K239" s="24">
        <v>127</v>
      </c>
      <c r="L239" s="24">
        <v>84</v>
      </c>
      <c r="M239">
        <v>252</v>
      </c>
      <c r="N239" t="s">
        <v>1432</v>
      </c>
      <c r="O239">
        <v>48</v>
      </c>
      <c r="P239">
        <v>134</v>
      </c>
      <c r="Q239" t="s">
        <v>25</v>
      </c>
      <c r="R239" t="s">
        <v>25</v>
      </c>
      <c r="S239" t="s">
        <v>39</v>
      </c>
      <c r="T239" t="s">
        <v>25</v>
      </c>
      <c r="U239">
        <f t="shared" si="14"/>
        <v>3</v>
      </c>
      <c r="V239">
        <v>180</v>
      </c>
      <c r="W239">
        <v>0.39800000000000002</v>
      </c>
      <c r="X239" t="s">
        <v>1408</v>
      </c>
      <c r="Y239">
        <v>127</v>
      </c>
      <c r="Z239">
        <v>84</v>
      </c>
      <c r="AA239" t="s">
        <v>31</v>
      </c>
      <c r="AB239">
        <v>174</v>
      </c>
      <c r="AC239" s="23">
        <v>3.63</v>
      </c>
      <c r="AD239" t="str">
        <f>IF(AND('CVD Dataset'!AA239="Normal",'CVD Dataset'!AB239&gt;AVERAGE('CVD Dataset'!AB:AB),'CVD Dataset'!AF239="High"),"High Lipid Category","Normal Category")</f>
        <v>Normal Category</v>
      </c>
      <c r="AE239">
        <v>19.91</v>
      </c>
      <c r="AF239" t="s">
        <v>32</v>
      </c>
      <c r="AG239">
        <v>0</v>
      </c>
      <c r="AH239" t="s">
        <v>1379</v>
      </c>
      <c r="AI239">
        <f t="shared" si="15"/>
        <v>1</v>
      </c>
      <c r="AJ239" t="s">
        <v>1391</v>
      </c>
    </row>
    <row r="240" spans="1:36" x14ac:dyDescent="0.3">
      <c r="A240" t="s">
        <v>22</v>
      </c>
      <c r="B240">
        <v>41</v>
      </c>
      <c r="C240">
        <v>93.6</v>
      </c>
      <c r="D240">
        <v>1.71</v>
      </c>
      <c r="F240">
        <f t="shared" si="13"/>
        <v>32.00984918436442</v>
      </c>
      <c r="G240">
        <f t="shared" si="16"/>
        <v>1</v>
      </c>
      <c r="H240" t="s">
        <v>1401</v>
      </c>
      <c r="I240">
        <v>102.7</v>
      </c>
      <c r="J240" t="s">
        <v>259</v>
      </c>
      <c r="K240" s="24">
        <v>139</v>
      </c>
      <c r="L240" s="24">
        <v>86</v>
      </c>
      <c r="M240">
        <v>137</v>
      </c>
      <c r="N240" t="s">
        <v>1434</v>
      </c>
      <c r="O240">
        <v>49</v>
      </c>
      <c r="P240">
        <v>134</v>
      </c>
      <c r="Q240" t="s">
        <v>25</v>
      </c>
      <c r="R240" t="s">
        <v>25</v>
      </c>
      <c r="S240" t="s">
        <v>26</v>
      </c>
      <c r="T240" t="s">
        <v>24</v>
      </c>
      <c r="U240">
        <f t="shared" si="14"/>
        <v>3</v>
      </c>
      <c r="V240">
        <v>171</v>
      </c>
      <c r="W240">
        <v>0.60099999999999998</v>
      </c>
      <c r="X240" t="s">
        <v>1409</v>
      </c>
      <c r="Y240">
        <v>139</v>
      </c>
      <c r="AA240" t="s">
        <v>31</v>
      </c>
      <c r="AB240">
        <v>58</v>
      </c>
      <c r="AC240" s="23">
        <v>1.18</v>
      </c>
      <c r="AD240" t="str">
        <f>IF(AND('CVD Dataset'!AA240="Normal",'CVD Dataset'!AB240&gt;AVERAGE('CVD Dataset'!AB:AB),'CVD Dataset'!AF240="High"),"High Lipid Category","Normal Category")</f>
        <v>Normal Category</v>
      </c>
      <c r="AE240">
        <v>18.09</v>
      </c>
      <c r="AF240" t="s">
        <v>32</v>
      </c>
      <c r="AG240">
        <v>0</v>
      </c>
      <c r="AH240" t="s">
        <v>1379</v>
      </c>
      <c r="AI240">
        <f t="shared" si="15"/>
        <v>1</v>
      </c>
      <c r="AJ240" t="s">
        <v>1391</v>
      </c>
    </row>
    <row r="241" spans="1:36" x14ac:dyDescent="0.3">
      <c r="A241" t="s">
        <v>33</v>
      </c>
      <c r="B241">
        <v>40</v>
      </c>
      <c r="C241">
        <v>96.7</v>
      </c>
      <c r="D241">
        <v>1.64</v>
      </c>
      <c r="E241">
        <v>36</v>
      </c>
      <c r="F241">
        <f t="shared" si="13"/>
        <v>35.953301606186798</v>
      </c>
      <c r="G241">
        <f t="shared" si="16"/>
        <v>0</v>
      </c>
      <c r="H241" t="s">
        <v>1399</v>
      </c>
      <c r="I241">
        <v>74.5</v>
      </c>
      <c r="J241" t="s">
        <v>260</v>
      </c>
      <c r="K241" s="24">
        <v>126</v>
      </c>
      <c r="L241" s="24">
        <v>71</v>
      </c>
      <c r="M241">
        <v>238</v>
      </c>
      <c r="N241" t="s">
        <v>1432</v>
      </c>
      <c r="O241">
        <v>58</v>
      </c>
      <c r="P241">
        <v>125</v>
      </c>
      <c r="Q241" t="s">
        <v>25</v>
      </c>
      <c r="R241" t="s">
        <v>25</v>
      </c>
      <c r="S241" t="s">
        <v>30</v>
      </c>
      <c r="T241" t="s">
        <v>25</v>
      </c>
      <c r="U241">
        <f t="shared" si="14"/>
        <v>3</v>
      </c>
      <c r="V241">
        <v>164</v>
      </c>
      <c r="W241">
        <v>0.45400000000000001</v>
      </c>
      <c r="X241" t="s">
        <v>1408</v>
      </c>
      <c r="Y241">
        <v>126</v>
      </c>
      <c r="Z241">
        <v>71</v>
      </c>
      <c r="AA241" t="s">
        <v>27</v>
      </c>
      <c r="AB241">
        <v>150</v>
      </c>
      <c r="AC241" s="23">
        <v>2.59</v>
      </c>
      <c r="AD241" t="str">
        <f>IF(AND('CVD Dataset'!AA241="Normal",'CVD Dataset'!AB241&gt;AVERAGE('CVD Dataset'!AB:AB),'CVD Dataset'!AF241="High"),"High Lipid Category","Normal Category")</f>
        <v>Normal Category</v>
      </c>
      <c r="AE241">
        <v>20.260000000000002</v>
      </c>
      <c r="AF241" t="s">
        <v>32</v>
      </c>
      <c r="AG241">
        <v>0</v>
      </c>
      <c r="AH241" t="s">
        <v>1379</v>
      </c>
      <c r="AI241">
        <f t="shared" si="15"/>
        <v>1</v>
      </c>
      <c r="AJ241" t="s">
        <v>1391</v>
      </c>
    </row>
    <row r="242" spans="1:36" x14ac:dyDescent="0.3">
      <c r="A242" t="s">
        <v>33</v>
      </c>
      <c r="B242">
        <v>37</v>
      </c>
      <c r="C242">
        <v>112.3</v>
      </c>
      <c r="D242">
        <v>1.71</v>
      </c>
      <c r="E242">
        <v>38.4</v>
      </c>
      <c r="F242">
        <f t="shared" si="13"/>
        <v>38.404979309873127</v>
      </c>
      <c r="G242">
        <f t="shared" si="16"/>
        <v>0</v>
      </c>
      <c r="H242" t="s">
        <v>1399</v>
      </c>
      <c r="I242">
        <v>70.3</v>
      </c>
      <c r="J242" t="s">
        <v>261</v>
      </c>
      <c r="K242" s="24">
        <v>140</v>
      </c>
      <c r="L242" s="24">
        <v>69</v>
      </c>
      <c r="N242" t="s">
        <v>1434</v>
      </c>
      <c r="O242">
        <v>34</v>
      </c>
      <c r="Q242" t="s">
        <v>24</v>
      </c>
      <c r="R242" t="s">
        <v>24</v>
      </c>
      <c r="S242" t="s">
        <v>26</v>
      </c>
      <c r="T242" t="s">
        <v>25</v>
      </c>
      <c r="U242">
        <f t="shared" si="14"/>
        <v>2</v>
      </c>
      <c r="V242">
        <v>171</v>
      </c>
      <c r="W242">
        <v>0.41099999999999998</v>
      </c>
      <c r="X242" t="s">
        <v>1408</v>
      </c>
      <c r="Y242">
        <v>140</v>
      </c>
      <c r="Z242">
        <v>69</v>
      </c>
      <c r="AA242" t="s">
        <v>40</v>
      </c>
      <c r="AB242">
        <v>174</v>
      </c>
      <c r="AC242" s="23">
        <v>5.12</v>
      </c>
      <c r="AD242" t="str">
        <f>IF(AND('CVD Dataset'!AA242="Normal",'CVD Dataset'!AB242&gt;AVERAGE('CVD Dataset'!AB:AB),'CVD Dataset'!AF242="High"),"High Lipid Category","Normal Category")</f>
        <v>Normal Category</v>
      </c>
      <c r="AE242">
        <v>19.440000000000001</v>
      </c>
      <c r="AF242" t="s">
        <v>32</v>
      </c>
      <c r="AG242">
        <v>0</v>
      </c>
      <c r="AH242" t="s">
        <v>1379</v>
      </c>
      <c r="AI242">
        <f t="shared" si="15"/>
        <v>1</v>
      </c>
      <c r="AJ242" t="s">
        <v>1391</v>
      </c>
    </row>
    <row r="243" spans="1:36" x14ac:dyDescent="0.3">
      <c r="A243" t="s">
        <v>22</v>
      </c>
      <c r="C243">
        <v>94.5</v>
      </c>
      <c r="D243">
        <v>1.88</v>
      </c>
      <c r="E243">
        <v>26.7</v>
      </c>
      <c r="F243">
        <f t="shared" si="13"/>
        <v>26.73721140787687</v>
      </c>
      <c r="G243">
        <f t="shared" si="16"/>
        <v>0</v>
      </c>
      <c r="H243" t="s">
        <v>1400</v>
      </c>
      <c r="I243">
        <v>102.6</v>
      </c>
      <c r="J243" t="s">
        <v>262</v>
      </c>
      <c r="K243" s="24">
        <v>127</v>
      </c>
      <c r="L243" s="24">
        <v>91</v>
      </c>
      <c r="M243">
        <v>211</v>
      </c>
      <c r="N243" t="s">
        <v>1432</v>
      </c>
      <c r="O243">
        <v>79</v>
      </c>
      <c r="P243">
        <v>131</v>
      </c>
      <c r="Q243" t="s">
        <v>25</v>
      </c>
      <c r="R243" t="s">
        <v>25</v>
      </c>
      <c r="S243" t="s">
        <v>30</v>
      </c>
      <c r="T243" t="s">
        <v>25</v>
      </c>
      <c r="U243">
        <f t="shared" si="14"/>
        <v>3</v>
      </c>
      <c r="V243">
        <v>188</v>
      </c>
      <c r="W243">
        <v>0.54600000000000004</v>
      </c>
      <c r="X243" t="s">
        <v>1407</v>
      </c>
      <c r="Y243">
        <v>127</v>
      </c>
      <c r="Z243">
        <v>91</v>
      </c>
      <c r="AA243" t="s">
        <v>40</v>
      </c>
      <c r="AB243">
        <v>102</v>
      </c>
      <c r="AC243" s="23">
        <v>1.29</v>
      </c>
      <c r="AD243" t="str">
        <f>IF(AND('CVD Dataset'!AA243="Normal",'CVD Dataset'!AB243&gt;AVERAGE('CVD Dataset'!AB:AB),'CVD Dataset'!AF243="High"),"High Lipid Category","Normal Category")</f>
        <v>Normal Category</v>
      </c>
      <c r="AE243">
        <v>17.91</v>
      </c>
      <c r="AF243" t="s">
        <v>32</v>
      </c>
      <c r="AG243">
        <v>1</v>
      </c>
      <c r="AH243" t="s">
        <v>1379</v>
      </c>
      <c r="AI243">
        <f t="shared" si="15"/>
        <v>1</v>
      </c>
      <c r="AJ243" t="s">
        <v>1391</v>
      </c>
    </row>
    <row r="244" spans="1:36" x14ac:dyDescent="0.3">
      <c r="A244" t="s">
        <v>33</v>
      </c>
      <c r="B244">
        <v>58</v>
      </c>
      <c r="C244">
        <v>110.5</v>
      </c>
      <c r="D244">
        <v>1.64</v>
      </c>
      <c r="E244">
        <v>41.1</v>
      </c>
      <c r="F244">
        <f t="shared" si="13"/>
        <v>41.084176085663302</v>
      </c>
      <c r="G244">
        <f t="shared" si="16"/>
        <v>0</v>
      </c>
      <c r="H244" t="s">
        <v>1399</v>
      </c>
      <c r="I244">
        <v>88.3</v>
      </c>
      <c r="J244" t="s">
        <v>263</v>
      </c>
      <c r="K244" s="24">
        <v>103</v>
      </c>
      <c r="L244" s="24">
        <v>73</v>
      </c>
      <c r="M244">
        <v>119</v>
      </c>
      <c r="N244" t="s">
        <v>1434</v>
      </c>
      <c r="O244">
        <v>35</v>
      </c>
      <c r="P244">
        <v>141</v>
      </c>
      <c r="Q244" t="s">
        <v>25</v>
      </c>
      <c r="R244" t="s">
        <v>25</v>
      </c>
      <c r="S244" t="s">
        <v>39</v>
      </c>
      <c r="T244" t="s">
        <v>25</v>
      </c>
      <c r="U244">
        <f t="shared" si="14"/>
        <v>3</v>
      </c>
      <c r="V244">
        <v>164</v>
      </c>
      <c r="W244">
        <v>0.53800000000000003</v>
      </c>
      <c r="X244" t="s">
        <v>1407</v>
      </c>
      <c r="Y244">
        <v>103</v>
      </c>
      <c r="Z244">
        <v>73</v>
      </c>
      <c r="AA244" t="s">
        <v>35</v>
      </c>
      <c r="AB244">
        <v>54</v>
      </c>
      <c r="AC244" s="23">
        <v>1.54</v>
      </c>
      <c r="AD244" t="str">
        <f>IF(AND('CVD Dataset'!AA244="Normal",'CVD Dataset'!AB244&gt;AVERAGE('CVD Dataset'!AB:AB),'CVD Dataset'!AF244="High"),"High Lipid Category","Normal Category")</f>
        <v>Normal Category</v>
      </c>
      <c r="AE244">
        <v>17.75</v>
      </c>
      <c r="AF244" t="s">
        <v>32</v>
      </c>
      <c r="AG244">
        <v>0</v>
      </c>
      <c r="AH244" t="s">
        <v>1379</v>
      </c>
      <c r="AI244">
        <f t="shared" si="15"/>
        <v>1</v>
      </c>
      <c r="AJ244" t="s">
        <v>1391</v>
      </c>
    </row>
    <row r="245" spans="1:36" x14ac:dyDescent="0.3">
      <c r="A245" t="s">
        <v>22</v>
      </c>
      <c r="B245">
        <v>42</v>
      </c>
      <c r="C245">
        <v>77.099999999999994</v>
      </c>
      <c r="D245">
        <v>1.74</v>
      </c>
      <c r="E245">
        <v>25.5</v>
      </c>
      <c r="F245">
        <f t="shared" si="13"/>
        <v>25.465715418152989</v>
      </c>
      <c r="G245">
        <f t="shared" si="16"/>
        <v>0</v>
      </c>
      <c r="H245" t="s">
        <v>1400</v>
      </c>
      <c r="I245">
        <v>107.6</v>
      </c>
      <c r="J245" t="s">
        <v>264</v>
      </c>
      <c r="K245" s="24">
        <v>126</v>
      </c>
      <c r="L245" s="24">
        <v>86</v>
      </c>
      <c r="M245">
        <v>186</v>
      </c>
      <c r="N245" t="s">
        <v>1432</v>
      </c>
      <c r="O245">
        <v>66</v>
      </c>
      <c r="P245">
        <v>143</v>
      </c>
      <c r="Q245" t="s">
        <v>25</v>
      </c>
      <c r="R245" t="s">
        <v>24</v>
      </c>
      <c r="S245" t="s">
        <v>39</v>
      </c>
      <c r="T245" t="s">
        <v>24</v>
      </c>
      <c r="U245">
        <f t="shared" si="14"/>
        <v>1</v>
      </c>
      <c r="V245">
        <v>174</v>
      </c>
      <c r="W245">
        <v>0.61799999999999999</v>
      </c>
      <c r="X245" t="s">
        <v>1409</v>
      </c>
      <c r="Y245">
        <v>126</v>
      </c>
      <c r="Z245">
        <v>86</v>
      </c>
      <c r="AA245" t="s">
        <v>31</v>
      </c>
      <c r="AB245">
        <v>90</v>
      </c>
      <c r="AC245" s="23">
        <v>1.36</v>
      </c>
      <c r="AD245" t="str">
        <f>IF(AND('CVD Dataset'!AA245="Normal",'CVD Dataset'!AB245&gt;AVERAGE('CVD Dataset'!AB:AB),'CVD Dataset'!AF245="High"),"High Lipid Category","Normal Category")</f>
        <v>Normal Category</v>
      </c>
      <c r="AE245">
        <v>15.12</v>
      </c>
      <c r="AF245" t="s">
        <v>28</v>
      </c>
      <c r="AG245">
        <v>0</v>
      </c>
      <c r="AH245" t="s">
        <v>1380</v>
      </c>
      <c r="AI245">
        <f t="shared" si="15"/>
        <v>0</v>
      </c>
      <c r="AJ245" t="s">
        <v>1391</v>
      </c>
    </row>
    <row r="246" spans="1:36" x14ac:dyDescent="0.3">
      <c r="A246" t="s">
        <v>22</v>
      </c>
      <c r="B246">
        <v>30</v>
      </c>
      <c r="C246">
        <v>113.3</v>
      </c>
      <c r="D246">
        <v>1.81</v>
      </c>
      <c r="E246">
        <v>34.6</v>
      </c>
      <c r="F246">
        <f t="shared" si="13"/>
        <v>34.583803913189463</v>
      </c>
      <c r="G246">
        <f t="shared" si="16"/>
        <v>0</v>
      </c>
      <c r="H246" t="s">
        <v>1399</v>
      </c>
      <c r="J246" t="s">
        <v>265</v>
      </c>
      <c r="K246" s="24">
        <v>150</v>
      </c>
      <c r="L246" s="24">
        <v>61</v>
      </c>
      <c r="M246">
        <v>160</v>
      </c>
      <c r="N246" t="s">
        <v>1433</v>
      </c>
      <c r="O246">
        <v>31</v>
      </c>
      <c r="P246">
        <v>111</v>
      </c>
      <c r="Q246" t="s">
        <v>24</v>
      </c>
      <c r="R246" t="s">
        <v>25</v>
      </c>
      <c r="S246" t="s">
        <v>39</v>
      </c>
      <c r="T246" t="s">
        <v>25</v>
      </c>
      <c r="U246">
        <f t="shared" si="14"/>
        <v>2</v>
      </c>
      <c r="V246">
        <v>181</v>
      </c>
      <c r="X246" t="s">
        <v>1410</v>
      </c>
      <c r="Y246">
        <v>150</v>
      </c>
      <c r="Z246">
        <v>61</v>
      </c>
      <c r="AA246" t="s">
        <v>40</v>
      </c>
      <c r="AB246">
        <v>99</v>
      </c>
      <c r="AC246" s="23">
        <v>3.19</v>
      </c>
      <c r="AD246" t="str">
        <f>IF(AND('CVD Dataset'!AA246="Normal",'CVD Dataset'!AB246&gt;AVERAGE('CVD Dataset'!AB:AB),'CVD Dataset'!AF246="High"),"High Lipid Category","Normal Category")</f>
        <v>Normal Category</v>
      </c>
      <c r="AE246">
        <v>19.62</v>
      </c>
      <c r="AF246" t="s">
        <v>32</v>
      </c>
      <c r="AG246">
        <v>0</v>
      </c>
      <c r="AH246" t="s">
        <v>1379</v>
      </c>
      <c r="AI246">
        <f t="shared" si="15"/>
        <v>1</v>
      </c>
      <c r="AJ246" t="s">
        <v>1391</v>
      </c>
    </row>
    <row r="247" spans="1:36" x14ac:dyDescent="0.3">
      <c r="A247" t="s">
        <v>33</v>
      </c>
      <c r="B247">
        <v>46</v>
      </c>
      <c r="C247">
        <v>88.6</v>
      </c>
      <c r="D247">
        <v>1.64</v>
      </c>
      <c r="E247">
        <v>32.9</v>
      </c>
      <c r="F247">
        <f t="shared" si="13"/>
        <v>32.941701368233197</v>
      </c>
      <c r="G247">
        <f t="shared" si="16"/>
        <v>0</v>
      </c>
      <c r="H247" t="s">
        <v>1399</v>
      </c>
      <c r="I247">
        <v>109.5</v>
      </c>
      <c r="J247" t="s">
        <v>266</v>
      </c>
      <c r="K247" s="24">
        <v>94</v>
      </c>
      <c r="L247" s="24">
        <v>64</v>
      </c>
      <c r="M247">
        <v>276</v>
      </c>
      <c r="N247" t="s">
        <v>1432</v>
      </c>
      <c r="O247">
        <v>78</v>
      </c>
      <c r="P247">
        <v>112</v>
      </c>
      <c r="Q247" t="s">
        <v>24</v>
      </c>
      <c r="R247" t="s">
        <v>24</v>
      </c>
      <c r="S247" t="s">
        <v>30</v>
      </c>
      <c r="T247" t="s">
        <v>25</v>
      </c>
      <c r="U247">
        <f t="shared" si="14"/>
        <v>1</v>
      </c>
      <c r="V247">
        <v>164</v>
      </c>
      <c r="W247">
        <v>0.66800000000000004</v>
      </c>
      <c r="X247" t="s">
        <v>1409</v>
      </c>
      <c r="Y247">
        <v>94</v>
      </c>
      <c r="Z247">
        <v>64</v>
      </c>
      <c r="AA247" t="s">
        <v>35</v>
      </c>
      <c r="AB247">
        <v>168</v>
      </c>
      <c r="AC247" s="23">
        <v>2.15</v>
      </c>
      <c r="AD247" t="str">
        <f>IF(AND('CVD Dataset'!AA247="Normal",'CVD Dataset'!AB247&gt;AVERAGE('CVD Dataset'!AB:AB),'CVD Dataset'!AF247="High"),"High Lipid Category","Normal Category")</f>
        <v>High Lipid Category</v>
      </c>
      <c r="AE247">
        <v>16.8</v>
      </c>
      <c r="AF247" t="s">
        <v>32</v>
      </c>
      <c r="AG247">
        <v>1</v>
      </c>
      <c r="AH247" t="s">
        <v>1379</v>
      </c>
      <c r="AI247">
        <f t="shared" si="15"/>
        <v>1</v>
      </c>
      <c r="AJ247" t="s">
        <v>1391</v>
      </c>
    </row>
    <row r="248" spans="1:36" x14ac:dyDescent="0.3">
      <c r="A248" t="s">
        <v>33</v>
      </c>
      <c r="B248">
        <v>31</v>
      </c>
      <c r="C248">
        <v>91.4</v>
      </c>
      <c r="D248">
        <v>1.82</v>
      </c>
      <c r="E248">
        <v>27.6</v>
      </c>
      <c r="F248">
        <f t="shared" si="13"/>
        <v>27.593285835044078</v>
      </c>
      <c r="G248">
        <f t="shared" si="16"/>
        <v>0</v>
      </c>
      <c r="H248" t="s">
        <v>1400</v>
      </c>
      <c r="J248" t="s">
        <v>267</v>
      </c>
      <c r="K248" s="24">
        <v>110</v>
      </c>
      <c r="L248" s="24">
        <v>92</v>
      </c>
      <c r="M248">
        <v>146</v>
      </c>
      <c r="N248" t="s">
        <v>1434</v>
      </c>
      <c r="O248">
        <v>80</v>
      </c>
      <c r="P248">
        <v>112</v>
      </c>
      <c r="Q248" t="s">
        <v>25</v>
      </c>
      <c r="R248" t="s">
        <v>24</v>
      </c>
      <c r="S248" t="s">
        <v>30</v>
      </c>
      <c r="T248" t="s">
        <v>25</v>
      </c>
      <c r="U248">
        <f t="shared" si="14"/>
        <v>2</v>
      </c>
      <c r="V248">
        <v>182</v>
      </c>
      <c r="W248">
        <v>0.55400000000000005</v>
      </c>
      <c r="X248" t="s">
        <v>1407</v>
      </c>
      <c r="Y248">
        <v>110</v>
      </c>
      <c r="Z248">
        <v>92</v>
      </c>
      <c r="AA248" t="s">
        <v>40</v>
      </c>
      <c r="AB248">
        <v>36</v>
      </c>
      <c r="AC248" s="23">
        <v>0.45</v>
      </c>
      <c r="AD248" t="str">
        <f>IF(AND('CVD Dataset'!AA248="Normal",'CVD Dataset'!AB248&gt;AVERAGE('CVD Dataset'!AB:AB),'CVD Dataset'!AF248="High"),"High Lipid Category","Normal Category")</f>
        <v>Normal Category</v>
      </c>
      <c r="AF248" t="s">
        <v>28</v>
      </c>
      <c r="AG248">
        <v>0</v>
      </c>
      <c r="AH248" t="s">
        <v>1380</v>
      </c>
      <c r="AI248">
        <f t="shared" si="15"/>
        <v>0</v>
      </c>
      <c r="AJ248" t="s">
        <v>1391</v>
      </c>
    </row>
    <row r="249" spans="1:36" x14ac:dyDescent="0.3">
      <c r="A249" t="s">
        <v>22</v>
      </c>
      <c r="B249">
        <v>38</v>
      </c>
      <c r="C249">
        <v>72.900000000000006</v>
      </c>
      <c r="D249">
        <v>1.77</v>
      </c>
      <c r="E249">
        <v>23.3</v>
      </c>
      <c r="F249">
        <f t="shared" si="13"/>
        <v>23.269175524274633</v>
      </c>
      <c r="G249">
        <f t="shared" si="16"/>
        <v>0</v>
      </c>
      <c r="H249" t="s">
        <v>1398</v>
      </c>
      <c r="I249">
        <v>70.599999999999994</v>
      </c>
      <c r="J249" t="s">
        <v>268</v>
      </c>
      <c r="K249" s="24">
        <v>98</v>
      </c>
      <c r="L249" s="24">
        <v>66</v>
      </c>
      <c r="M249">
        <v>124</v>
      </c>
      <c r="N249" t="s">
        <v>1434</v>
      </c>
      <c r="O249">
        <v>61</v>
      </c>
      <c r="P249">
        <v>84</v>
      </c>
      <c r="Q249" t="s">
        <v>25</v>
      </c>
      <c r="R249" t="s">
        <v>24</v>
      </c>
      <c r="S249" t="s">
        <v>30</v>
      </c>
      <c r="T249" t="s">
        <v>25</v>
      </c>
      <c r="U249">
        <f t="shared" si="14"/>
        <v>2</v>
      </c>
      <c r="V249">
        <v>177</v>
      </c>
      <c r="W249">
        <v>0.39900000000000002</v>
      </c>
      <c r="X249" t="s">
        <v>1408</v>
      </c>
      <c r="Y249">
        <v>98</v>
      </c>
      <c r="Z249">
        <v>66</v>
      </c>
      <c r="AA249" t="s">
        <v>35</v>
      </c>
      <c r="AB249">
        <v>33</v>
      </c>
      <c r="AC249" s="23">
        <v>0.54</v>
      </c>
      <c r="AD249" t="str">
        <f>IF(AND('CVD Dataset'!AA249="Normal",'CVD Dataset'!AB249&gt;AVERAGE('CVD Dataset'!AB:AB),'CVD Dataset'!AF249="High"),"High Lipid Category","Normal Category")</f>
        <v>Normal Category</v>
      </c>
      <c r="AE249">
        <v>12.04</v>
      </c>
      <c r="AF249" t="s">
        <v>28</v>
      </c>
      <c r="AG249">
        <v>0</v>
      </c>
      <c r="AH249" t="s">
        <v>1380</v>
      </c>
      <c r="AI249">
        <f t="shared" si="15"/>
        <v>0</v>
      </c>
      <c r="AJ249" t="s">
        <v>1391</v>
      </c>
    </row>
    <row r="250" spans="1:36" x14ac:dyDescent="0.3">
      <c r="A250" t="s">
        <v>33</v>
      </c>
      <c r="C250">
        <v>91.9</v>
      </c>
      <c r="D250">
        <v>1.75</v>
      </c>
      <c r="E250">
        <v>30</v>
      </c>
      <c r="F250">
        <f t="shared" si="13"/>
        <v>30.008163265306123</v>
      </c>
      <c r="G250">
        <f t="shared" si="16"/>
        <v>0</v>
      </c>
      <c r="H250" t="s">
        <v>1399</v>
      </c>
      <c r="I250">
        <v>78.2</v>
      </c>
      <c r="J250" t="s">
        <v>269</v>
      </c>
      <c r="K250" s="24">
        <v>125</v>
      </c>
      <c r="L250" s="24">
        <v>65</v>
      </c>
      <c r="M250">
        <v>185</v>
      </c>
      <c r="N250" t="s">
        <v>1432</v>
      </c>
      <c r="O250">
        <v>52</v>
      </c>
      <c r="P250">
        <v>148</v>
      </c>
      <c r="Q250" t="s">
        <v>25</v>
      </c>
      <c r="R250" t="s">
        <v>25</v>
      </c>
      <c r="S250" t="s">
        <v>26</v>
      </c>
      <c r="T250" t="s">
        <v>24</v>
      </c>
      <c r="U250">
        <f t="shared" si="14"/>
        <v>3</v>
      </c>
      <c r="V250">
        <v>175</v>
      </c>
      <c r="W250">
        <v>0.44700000000000001</v>
      </c>
      <c r="X250" t="s">
        <v>1408</v>
      </c>
      <c r="Y250">
        <v>125</v>
      </c>
      <c r="Z250">
        <v>65</v>
      </c>
      <c r="AA250" t="s">
        <v>27</v>
      </c>
      <c r="AB250">
        <v>103</v>
      </c>
      <c r="AC250" s="23">
        <v>1.98</v>
      </c>
      <c r="AD250" t="str">
        <f>IF(AND('CVD Dataset'!AA250="Normal",'CVD Dataset'!AB250&gt;AVERAGE('CVD Dataset'!AB:AB),'CVD Dataset'!AF250="High"),"High Lipid Category","Normal Category")</f>
        <v>Normal Category</v>
      </c>
      <c r="AE250">
        <v>17.95</v>
      </c>
      <c r="AF250" t="s">
        <v>32</v>
      </c>
      <c r="AG250">
        <v>0</v>
      </c>
      <c r="AH250" t="s">
        <v>1379</v>
      </c>
      <c r="AI250">
        <f t="shared" si="15"/>
        <v>1</v>
      </c>
      <c r="AJ250" t="s">
        <v>1391</v>
      </c>
    </row>
    <row r="251" spans="1:36" x14ac:dyDescent="0.3">
      <c r="A251" t="s">
        <v>22</v>
      </c>
      <c r="B251">
        <v>48</v>
      </c>
      <c r="C251">
        <v>102.2</v>
      </c>
      <c r="D251">
        <v>1.75</v>
      </c>
      <c r="E251">
        <v>33.4</v>
      </c>
      <c r="F251">
        <f t="shared" si="13"/>
        <v>33.371428571428574</v>
      </c>
      <c r="G251">
        <f t="shared" si="16"/>
        <v>0</v>
      </c>
      <c r="H251" t="s">
        <v>1399</v>
      </c>
      <c r="I251">
        <v>106.7</v>
      </c>
      <c r="J251" t="s">
        <v>270</v>
      </c>
      <c r="K251" s="24">
        <v>121</v>
      </c>
      <c r="L251" s="24">
        <v>68</v>
      </c>
      <c r="M251">
        <v>207</v>
      </c>
      <c r="N251" t="s">
        <v>1432</v>
      </c>
      <c r="O251">
        <v>49</v>
      </c>
      <c r="P251">
        <v>147</v>
      </c>
      <c r="Q251" t="s">
        <v>25</v>
      </c>
      <c r="R251" t="s">
        <v>25</v>
      </c>
      <c r="S251" t="s">
        <v>26</v>
      </c>
      <c r="T251" t="s">
        <v>25</v>
      </c>
      <c r="U251">
        <f t="shared" si="14"/>
        <v>4</v>
      </c>
      <c r="V251">
        <v>175</v>
      </c>
      <c r="W251">
        <v>0.61</v>
      </c>
      <c r="X251" t="s">
        <v>1409</v>
      </c>
      <c r="Y251">
        <v>121</v>
      </c>
      <c r="Z251">
        <v>68</v>
      </c>
      <c r="AA251" t="s">
        <v>27</v>
      </c>
      <c r="AB251">
        <v>128</v>
      </c>
      <c r="AC251" s="23">
        <v>2.61</v>
      </c>
      <c r="AD251" t="str">
        <f>IF(AND('CVD Dataset'!AA251="Normal",'CVD Dataset'!AB251&gt;AVERAGE('CVD Dataset'!AB:AB),'CVD Dataset'!AF251="High"),"High Lipid Category","Normal Category")</f>
        <v>Normal Category</v>
      </c>
      <c r="AE251">
        <v>18.87</v>
      </c>
      <c r="AF251" t="s">
        <v>32</v>
      </c>
      <c r="AG251">
        <v>0</v>
      </c>
      <c r="AH251" t="s">
        <v>1379</v>
      </c>
      <c r="AI251">
        <f t="shared" si="15"/>
        <v>1</v>
      </c>
      <c r="AJ251" t="s">
        <v>1391</v>
      </c>
    </row>
    <row r="252" spans="1:36" x14ac:dyDescent="0.3">
      <c r="A252" t="s">
        <v>33</v>
      </c>
      <c r="B252">
        <v>39</v>
      </c>
      <c r="C252">
        <v>54.3</v>
      </c>
      <c r="D252">
        <v>1.73</v>
      </c>
      <c r="E252">
        <v>18.100000000000001</v>
      </c>
      <c r="F252">
        <f t="shared" si="13"/>
        <v>18.142938287279893</v>
      </c>
      <c r="G252">
        <f t="shared" si="16"/>
        <v>0</v>
      </c>
      <c r="H252" t="s">
        <v>1401</v>
      </c>
      <c r="I252">
        <v>98.6</v>
      </c>
      <c r="J252" t="s">
        <v>271</v>
      </c>
      <c r="K252" s="24">
        <v>133</v>
      </c>
      <c r="L252" s="24">
        <v>86</v>
      </c>
      <c r="M252">
        <v>220</v>
      </c>
      <c r="N252" t="s">
        <v>1432</v>
      </c>
      <c r="P252">
        <v>86</v>
      </c>
      <c r="Q252" t="s">
        <v>24</v>
      </c>
      <c r="R252" t="s">
        <v>24</v>
      </c>
      <c r="S252" t="s">
        <v>39</v>
      </c>
      <c r="T252" t="s">
        <v>25</v>
      </c>
      <c r="U252">
        <f t="shared" si="14"/>
        <v>1</v>
      </c>
      <c r="V252">
        <v>173</v>
      </c>
      <c r="W252">
        <v>0.56999999999999995</v>
      </c>
      <c r="X252" t="s">
        <v>1407</v>
      </c>
      <c r="Y252">
        <v>133</v>
      </c>
      <c r="Z252">
        <v>86</v>
      </c>
      <c r="AA252" t="s">
        <v>31</v>
      </c>
      <c r="AB252">
        <v>121</v>
      </c>
      <c r="AC252" s="23" t="s">
        <v>1410</v>
      </c>
      <c r="AD252" t="str">
        <f>IF(AND('CVD Dataset'!AA252="Normal",'CVD Dataset'!AB252&gt;AVERAGE('CVD Dataset'!AB:AB),'CVD Dataset'!AF252="High"),"High Lipid Category","Normal Category")</f>
        <v>Normal Category</v>
      </c>
      <c r="AE252">
        <v>14.67</v>
      </c>
      <c r="AF252" t="s">
        <v>28</v>
      </c>
      <c r="AG252">
        <v>0</v>
      </c>
      <c r="AH252" t="s">
        <v>1380</v>
      </c>
      <c r="AI252">
        <f t="shared" si="15"/>
        <v>0</v>
      </c>
      <c r="AJ252" t="s">
        <v>1391</v>
      </c>
    </row>
    <row r="253" spans="1:36" x14ac:dyDescent="0.3">
      <c r="A253" t="s">
        <v>33</v>
      </c>
      <c r="B253">
        <v>39</v>
      </c>
      <c r="C253">
        <v>100.7</v>
      </c>
      <c r="D253">
        <v>1.75</v>
      </c>
      <c r="E253">
        <v>32.9</v>
      </c>
      <c r="F253">
        <f t="shared" si="13"/>
        <v>32.881632653061224</v>
      </c>
      <c r="G253">
        <f t="shared" si="16"/>
        <v>0</v>
      </c>
      <c r="H253" t="s">
        <v>1399</v>
      </c>
      <c r="I253">
        <v>101.1</v>
      </c>
      <c r="J253" t="s">
        <v>272</v>
      </c>
      <c r="K253" s="24">
        <v>101</v>
      </c>
      <c r="L253" s="24">
        <v>98</v>
      </c>
      <c r="M253">
        <v>192</v>
      </c>
      <c r="N253" t="s">
        <v>1432</v>
      </c>
      <c r="O253">
        <v>59</v>
      </c>
      <c r="P253">
        <v>72</v>
      </c>
      <c r="Q253" t="s">
        <v>24</v>
      </c>
      <c r="R253" t="s">
        <v>24</v>
      </c>
      <c r="S253" t="s">
        <v>26</v>
      </c>
      <c r="T253" t="s">
        <v>24</v>
      </c>
      <c r="U253">
        <f t="shared" si="14"/>
        <v>1</v>
      </c>
      <c r="V253">
        <v>175</v>
      </c>
      <c r="W253">
        <v>0.57799999999999996</v>
      </c>
      <c r="X253" t="s">
        <v>1407</v>
      </c>
      <c r="Y253">
        <v>101</v>
      </c>
      <c r="Z253">
        <v>98</v>
      </c>
      <c r="AA253" t="s">
        <v>40</v>
      </c>
      <c r="AB253">
        <v>103</v>
      </c>
      <c r="AC253" s="23">
        <v>1.75</v>
      </c>
      <c r="AD253" t="str">
        <f>IF(AND('CVD Dataset'!AA253="Normal",'CVD Dataset'!AB253&gt;AVERAGE('CVD Dataset'!AB:AB),'CVD Dataset'!AF253="High"),"High Lipid Category","Normal Category")</f>
        <v>Normal Category</v>
      </c>
      <c r="AE253">
        <v>15.47</v>
      </c>
      <c r="AF253" t="s">
        <v>28</v>
      </c>
      <c r="AG253">
        <v>0</v>
      </c>
      <c r="AH253" t="s">
        <v>1380</v>
      </c>
      <c r="AI253">
        <f t="shared" si="15"/>
        <v>0</v>
      </c>
      <c r="AJ253" t="s">
        <v>1391</v>
      </c>
    </row>
    <row r="254" spans="1:36" x14ac:dyDescent="0.3">
      <c r="A254" t="s">
        <v>22</v>
      </c>
      <c r="B254">
        <v>54</v>
      </c>
      <c r="C254">
        <v>101.8</v>
      </c>
      <c r="D254">
        <v>1.61</v>
      </c>
      <c r="E254">
        <v>39.299999999999997</v>
      </c>
      <c r="F254">
        <f t="shared" si="13"/>
        <v>39.273176189190224</v>
      </c>
      <c r="G254">
        <f t="shared" si="16"/>
        <v>0</v>
      </c>
      <c r="H254" t="s">
        <v>1399</v>
      </c>
      <c r="I254">
        <v>98.5</v>
      </c>
      <c r="J254" t="s">
        <v>273</v>
      </c>
      <c r="K254" s="24">
        <v>121</v>
      </c>
      <c r="L254" s="24">
        <v>100</v>
      </c>
      <c r="M254">
        <v>161</v>
      </c>
      <c r="N254" t="s">
        <v>1433</v>
      </c>
      <c r="P254">
        <v>108</v>
      </c>
      <c r="Q254" t="s">
        <v>24</v>
      </c>
      <c r="R254" t="s">
        <v>24</v>
      </c>
      <c r="S254" t="s">
        <v>26</v>
      </c>
      <c r="T254" t="s">
        <v>25</v>
      </c>
      <c r="U254">
        <f t="shared" si="14"/>
        <v>2</v>
      </c>
      <c r="V254">
        <v>161</v>
      </c>
      <c r="W254">
        <v>0.61199999999999999</v>
      </c>
      <c r="X254" t="s">
        <v>1409</v>
      </c>
      <c r="Y254">
        <v>121</v>
      </c>
      <c r="Z254">
        <v>100</v>
      </c>
      <c r="AA254" t="s">
        <v>40</v>
      </c>
      <c r="AB254">
        <v>58</v>
      </c>
      <c r="AC254" s="23" t="s">
        <v>1410</v>
      </c>
      <c r="AD254" t="str">
        <f>IF(AND('CVD Dataset'!AA254="Normal",'CVD Dataset'!AB254&gt;AVERAGE('CVD Dataset'!AB:AB),'CVD Dataset'!AF254="High"),"High Lipid Category","Normal Category")</f>
        <v>Normal Category</v>
      </c>
      <c r="AE254">
        <v>17.13</v>
      </c>
      <c r="AF254" t="s">
        <v>32</v>
      </c>
      <c r="AG254">
        <v>0</v>
      </c>
      <c r="AH254" t="s">
        <v>1379</v>
      </c>
      <c r="AI254">
        <f t="shared" si="15"/>
        <v>1</v>
      </c>
      <c r="AJ254" t="s">
        <v>1391</v>
      </c>
    </row>
    <row r="255" spans="1:36" x14ac:dyDescent="0.3">
      <c r="A255" t="s">
        <v>22</v>
      </c>
      <c r="B255">
        <v>32</v>
      </c>
      <c r="C255">
        <v>112.3</v>
      </c>
      <c r="D255">
        <v>1.76</v>
      </c>
      <c r="E255">
        <v>36.299999999999997</v>
      </c>
      <c r="F255">
        <f t="shared" si="13"/>
        <v>36.253873966942152</v>
      </c>
      <c r="G255">
        <f t="shared" si="16"/>
        <v>0</v>
      </c>
      <c r="H255" t="s">
        <v>1399</v>
      </c>
      <c r="I255">
        <v>102</v>
      </c>
      <c r="J255" t="s">
        <v>274</v>
      </c>
      <c r="K255" s="24">
        <v>148</v>
      </c>
      <c r="L255" s="24">
        <v>96</v>
      </c>
      <c r="M255">
        <v>149</v>
      </c>
      <c r="N255" t="s">
        <v>1434</v>
      </c>
      <c r="O255">
        <v>59</v>
      </c>
      <c r="P255">
        <v>103</v>
      </c>
      <c r="Q255" t="s">
        <v>24</v>
      </c>
      <c r="R255" t="s">
        <v>25</v>
      </c>
      <c r="S255" t="s">
        <v>39</v>
      </c>
      <c r="T255" t="s">
        <v>25</v>
      </c>
      <c r="U255">
        <f t="shared" si="14"/>
        <v>2</v>
      </c>
      <c r="V255">
        <v>176</v>
      </c>
      <c r="W255">
        <v>0.57999999999999996</v>
      </c>
      <c r="X255" t="s">
        <v>1407</v>
      </c>
      <c r="Y255">
        <v>148</v>
      </c>
      <c r="Z255">
        <v>96</v>
      </c>
      <c r="AA255" t="s">
        <v>40</v>
      </c>
      <c r="AB255">
        <v>60</v>
      </c>
      <c r="AC255" s="23">
        <v>1.02</v>
      </c>
      <c r="AD255" t="str">
        <f>IF(AND('CVD Dataset'!AA255="Normal",'CVD Dataset'!AB255&gt;AVERAGE('CVD Dataset'!AB:AB),'CVD Dataset'!AF255="High"),"High Lipid Category","Normal Category")</f>
        <v>Normal Category</v>
      </c>
      <c r="AE255">
        <v>19.64</v>
      </c>
      <c r="AF255" t="s">
        <v>28</v>
      </c>
      <c r="AG255">
        <v>0</v>
      </c>
      <c r="AH255" t="s">
        <v>1380</v>
      </c>
      <c r="AI255">
        <f t="shared" si="15"/>
        <v>0</v>
      </c>
      <c r="AJ255" t="s">
        <v>1391</v>
      </c>
    </row>
    <row r="256" spans="1:36" x14ac:dyDescent="0.3">
      <c r="A256" t="s">
        <v>22</v>
      </c>
      <c r="B256">
        <v>40</v>
      </c>
      <c r="C256">
        <v>110</v>
      </c>
      <c r="D256">
        <v>1.69</v>
      </c>
      <c r="E256">
        <v>38.5</v>
      </c>
      <c r="F256">
        <f t="shared" si="13"/>
        <v>38.514057631035335</v>
      </c>
      <c r="G256">
        <f t="shared" si="16"/>
        <v>0</v>
      </c>
      <c r="H256" t="s">
        <v>1399</v>
      </c>
      <c r="I256">
        <v>85.6</v>
      </c>
      <c r="J256" t="s">
        <v>275</v>
      </c>
      <c r="K256" s="24">
        <v>100</v>
      </c>
      <c r="L256" s="24">
        <v>62</v>
      </c>
      <c r="M256">
        <v>101</v>
      </c>
      <c r="N256" t="s">
        <v>1434</v>
      </c>
      <c r="O256">
        <v>40</v>
      </c>
      <c r="P256">
        <v>105</v>
      </c>
      <c r="Q256" t="s">
        <v>25</v>
      </c>
      <c r="R256" t="s">
        <v>25</v>
      </c>
      <c r="S256" t="s">
        <v>26</v>
      </c>
      <c r="T256" t="s">
        <v>25</v>
      </c>
      <c r="U256">
        <f t="shared" si="14"/>
        <v>4</v>
      </c>
      <c r="V256">
        <v>169</v>
      </c>
      <c r="W256">
        <v>0.50700000000000001</v>
      </c>
      <c r="X256" t="s">
        <v>1406</v>
      </c>
      <c r="Y256">
        <v>100</v>
      </c>
      <c r="Z256">
        <v>62</v>
      </c>
      <c r="AA256" t="s">
        <v>35</v>
      </c>
      <c r="AB256">
        <v>31</v>
      </c>
      <c r="AC256" s="23">
        <v>0.78</v>
      </c>
      <c r="AD256" t="str">
        <f>IF(AND('CVD Dataset'!AA256="Normal",'CVD Dataset'!AB256&gt;AVERAGE('CVD Dataset'!AB:AB),'CVD Dataset'!AF256="High"),"High Lipid Category","Normal Category")</f>
        <v>Normal Category</v>
      </c>
      <c r="AE256">
        <v>16.72</v>
      </c>
      <c r="AF256" t="s">
        <v>32</v>
      </c>
      <c r="AG256">
        <v>0</v>
      </c>
      <c r="AH256" t="s">
        <v>1379</v>
      </c>
      <c r="AI256">
        <f t="shared" si="15"/>
        <v>1</v>
      </c>
      <c r="AJ256" t="s">
        <v>1391</v>
      </c>
    </row>
    <row r="257" spans="1:36" x14ac:dyDescent="0.3">
      <c r="A257" t="s">
        <v>33</v>
      </c>
      <c r="B257">
        <v>38</v>
      </c>
      <c r="C257">
        <v>60.6</v>
      </c>
      <c r="D257">
        <v>1.68</v>
      </c>
      <c r="E257">
        <v>21.5</v>
      </c>
      <c r="F257">
        <f t="shared" si="13"/>
        <v>21.471088435374153</v>
      </c>
      <c r="G257">
        <f t="shared" si="16"/>
        <v>0</v>
      </c>
      <c r="H257" t="s">
        <v>1398</v>
      </c>
      <c r="I257">
        <v>105.2</v>
      </c>
      <c r="J257" t="s">
        <v>276</v>
      </c>
      <c r="K257" s="24">
        <v>103</v>
      </c>
      <c r="L257" s="24">
        <v>82</v>
      </c>
      <c r="N257" t="s">
        <v>1434</v>
      </c>
      <c r="O257">
        <v>75</v>
      </c>
      <c r="P257">
        <v>107</v>
      </c>
      <c r="Q257" t="s">
        <v>25</v>
      </c>
      <c r="R257" t="s">
        <v>25</v>
      </c>
      <c r="S257" t="s">
        <v>30</v>
      </c>
      <c r="T257" t="s">
        <v>25</v>
      </c>
      <c r="U257">
        <f t="shared" si="14"/>
        <v>3</v>
      </c>
      <c r="V257">
        <v>168</v>
      </c>
      <c r="W257">
        <v>0.626</v>
      </c>
      <c r="X257" t="s">
        <v>1409</v>
      </c>
      <c r="Y257">
        <v>103</v>
      </c>
      <c r="Z257">
        <v>82</v>
      </c>
      <c r="AA257" t="s">
        <v>31</v>
      </c>
      <c r="AB257">
        <v>48</v>
      </c>
      <c r="AC257" s="23">
        <v>0.64</v>
      </c>
      <c r="AD257" t="str">
        <f>IF(AND('CVD Dataset'!AA257="Normal",'CVD Dataset'!AB257&gt;AVERAGE('CVD Dataset'!AB:AB),'CVD Dataset'!AF257="High"),"High Lipid Category","Normal Category")</f>
        <v>Normal Category</v>
      </c>
      <c r="AE257">
        <v>14.51</v>
      </c>
      <c r="AF257" t="s">
        <v>28</v>
      </c>
      <c r="AG257">
        <v>0</v>
      </c>
      <c r="AH257" t="s">
        <v>1380</v>
      </c>
      <c r="AI257">
        <f t="shared" si="15"/>
        <v>0</v>
      </c>
      <c r="AJ257" t="s">
        <v>1391</v>
      </c>
    </row>
    <row r="258" spans="1:36" x14ac:dyDescent="0.3">
      <c r="A258" t="s">
        <v>22</v>
      </c>
      <c r="B258">
        <v>57</v>
      </c>
      <c r="C258">
        <v>100.8</v>
      </c>
      <c r="D258">
        <v>1.84</v>
      </c>
      <c r="E258">
        <v>29.8</v>
      </c>
      <c r="F258">
        <f t="shared" si="13"/>
        <v>29.77315689981096</v>
      </c>
      <c r="G258">
        <f t="shared" si="16"/>
        <v>0</v>
      </c>
      <c r="H258" t="s">
        <v>1400</v>
      </c>
      <c r="I258">
        <v>88.4</v>
      </c>
      <c r="J258" t="s">
        <v>277</v>
      </c>
      <c r="K258" s="24">
        <v>110</v>
      </c>
      <c r="L258" s="24">
        <v>78</v>
      </c>
      <c r="M258">
        <v>102</v>
      </c>
      <c r="N258" t="s">
        <v>1434</v>
      </c>
      <c r="O258">
        <v>33</v>
      </c>
      <c r="P258">
        <v>128</v>
      </c>
      <c r="Q258" t="s">
        <v>25</v>
      </c>
      <c r="R258" t="s">
        <v>25</v>
      </c>
      <c r="S258" t="s">
        <v>30</v>
      </c>
      <c r="T258" t="s">
        <v>24</v>
      </c>
      <c r="U258">
        <f t="shared" si="14"/>
        <v>2</v>
      </c>
      <c r="W258">
        <v>0.48</v>
      </c>
      <c r="X258" t="s">
        <v>1406</v>
      </c>
      <c r="Y258">
        <v>110</v>
      </c>
      <c r="Z258">
        <v>78</v>
      </c>
      <c r="AA258" t="s">
        <v>35</v>
      </c>
      <c r="AB258">
        <v>39</v>
      </c>
      <c r="AC258" s="23">
        <v>1.18</v>
      </c>
      <c r="AD258" t="str">
        <f>IF(AND('CVD Dataset'!AA258="Normal",'CVD Dataset'!AB258&gt;AVERAGE('CVD Dataset'!AB:AB),'CVD Dataset'!AF258="High"),"High Lipid Category","Normal Category")</f>
        <v>Normal Category</v>
      </c>
      <c r="AE258">
        <v>15.5</v>
      </c>
      <c r="AF258" t="s">
        <v>32</v>
      </c>
      <c r="AG258">
        <v>0</v>
      </c>
      <c r="AH258" t="s">
        <v>1379</v>
      </c>
      <c r="AI258">
        <f t="shared" si="15"/>
        <v>1</v>
      </c>
      <c r="AJ258" t="s">
        <v>1391</v>
      </c>
    </row>
    <row r="259" spans="1:36" x14ac:dyDescent="0.3">
      <c r="A259" t="s">
        <v>33</v>
      </c>
      <c r="B259">
        <v>38</v>
      </c>
      <c r="C259">
        <v>103.8</v>
      </c>
      <c r="D259">
        <v>1.65</v>
      </c>
      <c r="E259">
        <v>38.1</v>
      </c>
      <c r="F259">
        <f t="shared" ref="F259:F322" si="17">IFERROR(C259/POWER(D259,2),"")</f>
        <v>38.126721763085399</v>
      </c>
      <c r="G259">
        <f t="shared" si="16"/>
        <v>0</v>
      </c>
      <c r="H259" t="s">
        <v>1399</v>
      </c>
      <c r="I259">
        <v>101.7</v>
      </c>
      <c r="J259" t="s">
        <v>278</v>
      </c>
      <c r="K259" s="24">
        <v>94</v>
      </c>
      <c r="L259" s="24">
        <v>73</v>
      </c>
      <c r="M259">
        <v>177</v>
      </c>
      <c r="N259" t="s">
        <v>1433</v>
      </c>
      <c r="P259">
        <v>131</v>
      </c>
      <c r="Q259" t="s">
        <v>25</v>
      </c>
      <c r="R259" t="s">
        <v>24</v>
      </c>
      <c r="S259" t="s">
        <v>30</v>
      </c>
      <c r="T259" t="s">
        <v>25</v>
      </c>
      <c r="U259">
        <f t="shared" ref="U259:U322" si="18">SUM(IF(Q259="Y",1,0),IF(R259="Y",1,0),IF(S259="Low",1,0),IF(T259="Y",1,0))</f>
        <v>2</v>
      </c>
      <c r="V259">
        <v>165</v>
      </c>
      <c r="W259">
        <v>0.61599999999999999</v>
      </c>
      <c r="X259" t="s">
        <v>1409</v>
      </c>
      <c r="Y259">
        <v>94</v>
      </c>
      <c r="Z259">
        <v>73</v>
      </c>
      <c r="AA259" t="s">
        <v>35</v>
      </c>
      <c r="AB259">
        <v>89</v>
      </c>
      <c r="AC259" s="23" t="s">
        <v>1410</v>
      </c>
      <c r="AD259" t="str">
        <f>IF(AND('CVD Dataset'!AA259="Normal",'CVD Dataset'!AB259&gt;AVERAGE('CVD Dataset'!AB:AB),'CVD Dataset'!AF259="High"),"High Lipid Category","Normal Category")</f>
        <v>Normal Category</v>
      </c>
      <c r="AE259">
        <v>15.86</v>
      </c>
      <c r="AF259" t="s">
        <v>28</v>
      </c>
      <c r="AG259">
        <v>0</v>
      </c>
      <c r="AH259" t="s">
        <v>1380</v>
      </c>
      <c r="AI259">
        <f t="shared" ref="AI259:AI322" si="19">IF(AF259="HIGH",1,0)</f>
        <v>0</v>
      </c>
      <c r="AJ259" t="s">
        <v>1391</v>
      </c>
    </row>
    <row r="260" spans="1:36" x14ac:dyDescent="0.3">
      <c r="A260" t="s">
        <v>33</v>
      </c>
      <c r="B260">
        <v>57</v>
      </c>
      <c r="C260">
        <v>78.400000000000006</v>
      </c>
      <c r="D260">
        <v>1.84</v>
      </c>
      <c r="E260">
        <v>23.2</v>
      </c>
      <c r="F260">
        <f t="shared" si="17"/>
        <v>23.156899810964084</v>
      </c>
      <c r="G260">
        <f t="shared" si="16"/>
        <v>0</v>
      </c>
      <c r="H260" t="s">
        <v>1398</v>
      </c>
      <c r="I260">
        <v>101.1</v>
      </c>
      <c r="J260" t="s">
        <v>279</v>
      </c>
      <c r="K260" s="24">
        <v>109</v>
      </c>
      <c r="L260" s="24">
        <v>83</v>
      </c>
      <c r="M260">
        <v>186</v>
      </c>
      <c r="N260" t="s">
        <v>1432</v>
      </c>
      <c r="O260">
        <v>70</v>
      </c>
      <c r="P260">
        <v>70</v>
      </c>
      <c r="Q260" t="s">
        <v>25</v>
      </c>
      <c r="R260" t="s">
        <v>24</v>
      </c>
      <c r="S260" t="s">
        <v>39</v>
      </c>
      <c r="T260" t="s">
        <v>24</v>
      </c>
      <c r="U260">
        <f t="shared" si="18"/>
        <v>1</v>
      </c>
      <c r="V260">
        <v>184</v>
      </c>
      <c r="W260">
        <v>0.54900000000000004</v>
      </c>
      <c r="X260" t="s">
        <v>1407</v>
      </c>
      <c r="Y260">
        <v>109</v>
      </c>
      <c r="Z260">
        <v>83</v>
      </c>
      <c r="AA260" t="s">
        <v>31</v>
      </c>
      <c r="AB260">
        <v>86</v>
      </c>
      <c r="AC260" s="23">
        <v>1.23</v>
      </c>
      <c r="AD260" t="str">
        <f>IF(AND('CVD Dataset'!AA260="Normal",'CVD Dataset'!AB260&gt;AVERAGE('CVD Dataset'!AB:AB),'CVD Dataset'!AF260="High"),"High Lipid Category","Normal Category")</f>
        <v>Normal Category</v>
      </c>
      <c r="AE260">
        <v>13.81</v>
      </c>
      <c r="AF260" t="s">
        <v>28</v>
      </c>
      <c r="AG260">
        <v>0</v>
      </c>
      <c r="AH260" t="s">
        <v>1380</v>
      </c>
      <c r="AI260">
        <f t="shared" si="19"/>
        <v>0</v>
      </c>
      <c r="AJ260" t="s">
        <v>1391</v>
      </c>
    </row>
    <row r="261" spans="1:36" x14ac:dyDescent="0.3">
      <c r="A261" t="s">
        <v>33</v>
      </c>
      <c r="B261">
        <v>39</v>
      </c>
      <c r="C261">
        <v>64.099999999999994</v>
      </c>
      <c r="D261">
        <v>1.7</v>
      </c>
      <c r="E261">
        <v>22.2</v>
      </c>
      <c r="F261">
        <f t="shared" si="17"/>
        <v>22.179930795847753</v>
      </c>
      <c r="G261">
        <f t="shared" si="16"/>
        <v>0</v>
      </c>
      <c r="H261" t="s">
        <v>1398</v>
      </c>
      <c r="I261">
        <v>99.1</v>
      </c>
      <c r="J261" t="s">
        <v>280</v>
      </c>
      <c r="K261" s="24">
        <v>113</v>
      </c>
      <c r="L261" s="24">
        <v>69</v>
      </c>
      <c r="M261">
        <v>175</v>
      </c>
      <c r="N261" t="s">
        <v>1433</v>
      </c>
      <c r="O261">
        <v>55</v>
      </c>
      <c r="P261">
        <v>125</v>
      </c>
      <c r="Q261" t="s">
        <v>25</v>
      </c>
      <c r="R261" t="s">
        <v>24</v>
      </c>
      <c r="S261" t="s">
        <v>39</v>
      </c>
      <c r="T261" t="s">
        <v>25</v>
      </c>
      <c r="U261">
        <f t="shared" si="18"/>
        <v>2</v>
      </c>
      <c r="V261">
        <v>170</v>
      </c>
      <c r="W261">
        <v>0.58299999999999996</v>
      </c>
      <c r="X261" t="s">
        <v>1407</v>
      </c>
      <c r="Y261">
        <v>113</v>
      </c>
      <c r="Z261">
        <v>69</v>
      </c>
      <c r="AA261" t="s">
        <v>35</v>
      </c>
      <c r="AB261">
        <v>90</v>
      </c>
      <c r="AC261" s="23">
        <v>1.64</v>
      </c>
      <c r="AD261" t="str">
        <f>IF(AND('CVD Dataset'!AA261="Normal",'CVD Dataset'!AB261&gt;AVERAGE('CVD Dataset'!AB:AB),'CVD Dataset'!AF261="High"),"High Lipid Category","Normal Category")</f>
        <v>Normal Category</v>
      </c>
      <c r="AE261">
        <v>13.59</v>
      </c>
      <c r="AF261" t="s">
        <v>28</v>
      </c>
      <c r="AG261">
        <v>0</v>
      </c>
      <c r="AH261" t="s">
        <v>1380</v>
      </c>
      <c r="AI261">
        <f t="shared" si="19"/>
        <v>0</v>
      </c>
      <c r="AJ261" t="s">
        <v>1391</v>
      </c>
    </row>
    <row r="262" spans="1:36" x14ac:dyDescent="0.3">
      <c r="A262" t="s">
        <v>33</v>
      </c>
      <c r="B262">
        <v>40</v>
      </c>
      <c r="C262">
        <v>64.8</v>
      </c>
      <c r="D262">
        <v>1.76</v>
      </c>
      <c r="E262">
        <v>20.9</v>
      </c>
      <c r="F262">
        <f t="shared" si="17"/>
        <v>20.919421487603305</v>
      </c>
      <c r="G262">
        <f t="shared" si="16"/>
        <v>0</v>
      </c>
      <c r="H262" t="s">
        <v>1398</v>
      </c>
      <c r="I262">
        <v>109.1</v>
      </c>
      <c r="J262" t="s">
        <v>86</v>
      </c>
      <c r="K262" s="24">
        <v>135</v>
      </c>
      <c r="L262" s="24">
        <v>96</v>
      </c>
      <c r="M262">
        <v>294</v>
      </c>
      <c r="N262" t="s">
        <v>1432</v>
      </c>
      <c r="O262">
        <v>70</v>
      </c>
      <c r="P262">
        <v>89</v>
      </c>
      <c r="Q262" t="s">
        <v>24</v>
      </c>
      <c r="R262" t="s">
        <v>25</v>
      </c>
      <c r="S262" t="s">
        <v>30</v>
      </c>
      <c r="T262" t="s">
        <v>24</v>
      </c>
      <c r="U262">
        <f t="shared" si="18"/>
        <v>1</v>
      </c>
      <c r="V262">
        <v>176</v>
      </c>
      <c r="W262">
        <v>0.62</v>
      </c>
      <c r="X262" t="s">
        <v>1409</v>
      </c>
      <c r="Y262">
        <v>135</v>
      </c>
      <c r="Z262">
        <v>96</v>
      </c>
      <c r="AA262" t="s">
        <v>31</v>
      </c>
      <c r="AB262">
        <v>194</v>
      </c>
      <c r="AC262" s="23">
        <v>2.77</v>
      </c>
      <c r="AD262" t="str">
        <f>IF(AND('CVD Dataset'!AA262="Normal",'CVD Dataset'!AB262&gt;AVERAGE('CVD Dataset'!AB:AB),'CVD Dataset'!AF262="High"),"High Lipid Category","Normal Category")</f>
        <v>Normal Category</v>
      </c>
      <c r="AE262">
        <v>18.809999999999999</v>
      </c>
      <c r="AF262" t="s">
        <v>28</v>
      </c>
      <c r="AG262">
        <v>0</v>
      </c>
      <c r="AH262" t="s">
        <v>1380</v>
      </c>
      <c r="AI262">
        <f t="shared" si="19"/>
        <v>0</v>
      </c>
      <c r="AJ262" t="s">
        <v>1391</v>
      </c>
    </row>
    <row r="263" spans="1:36" x14ac:dyDescent="0.3">
      <c r="A263" t="s">
        <v>33</v>
      </c>
      <c r="B263">
        <v>56</v>
      </c>
      <c r="C263">
        <v>106.4</v>
      </c>
      <c r="D263">
        <v>1.73</v>
      </c>
      <c r="E263">
        <v>35.6</v>
      </c>
      <c r="F263">
        <f t="shared" si="17"/>
        <v>35.550803568445318</v>
      </c>
      <c r="G263">
        <f t="shared" si="16"/>
        <v>0</v>
      </c>
      <c r="H263" t="s">
        <v>1399</v>
      </c>
      <c r="I263">
        <v>70.3</v>
      </c>
      <c r="J263" t="s">
        <v>281</v>
      </c>
      <c r="K263" s="24">
        <v>136</v>
      </c>
      <c r="L263" s="24">
        <v>76</v>
      </c>
      <c r="N263" t="s">
        <v>1434</v>
      </c>
      <c r="O263">
        <v>69</v>
      </c>
      <c r="P263">
        <v>90</v>
      </c>
      <c r="Q263" t="s">
        <v>25</v>
      </c>
      <c r="R263" t="s">
        <v>24</v>
      </c>
      <c r="S263" t="s">
        <v>30</v>
      </c>
      <c r="T263" t="s">
        <v>24</v>
      </c>
      <c r="U263">
        <f t="shared" si="18"/>
        <v>1</v>
      </c>
      <c r="V263">
        <v>173</v>
      </c>
      <c r="W263">
        <v>0.40600000000000003</v>
      </c>
      <c r="X263" t="s">
        <v>1408</v>
      </c>
      <c r="Y263">
        <v>136</v>
      </c>
      <c r="Z263">
        <v>76</v>
      </c>
      <c r="AA263" t="s">
        <v>31</v>
      </c>
      <c r="AB263">
        <v>29</v>
      </c>
      <c r="AC263" s="23">
        <v>0.42</v>
      </c>
      <c r="AD263" t="str">
        <f>IF(AND('CVD Dataset'!AA263="Normal",'CVD Dataset'!AB263&gt;AVERAGE('CVD Dataset'!AB:AB),'CVD Dataset'!AF263="High"),"High Lipid Category","Normal Category")</f>
        <v>Normal Category</v>
      </c>
      <c r="AE263">
        <v>16.48</v>
      </c>
      <c r="AF263" t="s">
        <v>28</v>
      </c>
      <c r="AG263">
        <v>0</v>
      </c>
      <c r="AH263" t="s">
        <v>1380</v>
      </c>
      <c r="AI263">
        <f t="shared" si="19"/>
        <v>0</v>
      </c>
      <c r="AJ263" t="s">
        <v>1391</v>
      </c>
    </row>
    <row r="264" spans="1:36" x14ac:dyDescent="0.3">
      <c r="A264" t="s">
        <v>22</v>
      </c>
      <c r="B264">
        <v>34</v>
      </c>
      <c r="C264">
        <v>55.5</v>
      </c>
      <c r="D264">
        <v>1.62</v>
      </c>
      <c r="E264">
        <v>21.1</v>
      </c>
      <c r="F264">
        <f t="shared" si="17"/>
        <v>21.147690900777317</v>
      </c>
      <c r="G264">
        <f t="shared" si="16"/>
        <v>0</v>
      </c>
      <c r="H264" t="s">
        <v>1398</v>
      </c>
      <c r="I264">
        <v>74.3</v>
      </c>
      <c r="J264" t="s">
        <v>282</v>
      </c>
      <c r="K264" s="24">
        <v>139</v>
      </c>
      <c r="L264" s="24">
        <v>64</v>
      </c>
      <c r="M264">
        <v>168</v>
      </c>
      <c r="N264" t="s">
        <v>1433</v>
      </c>
      <c r="O264">
        <v>37</v>
      </c>
      <c r="P264">
        <v>120</v>
      </c>
      <c r="Q264" t="s">
        <v>25</v>
      </c>
      <c r="R264" t="s">
        <v>25</v>
      </c>
      <c r="S264" t="s">
        <v>30</v>
      </c>
      <c r="T264" t="s">
        <v>25</v>
      </c>
      <c r="U264">
        <f t="shared" si="18"/>
        <v>3</v>
      </c>
      <c r="V264">
        <v>162</v>
      </c>
      <c r="W264">
        <v>0.45900000000000002</v>
      </c>
      <c r="X264" t="s">
        <v>1408</v>
      </c>
      <c r="Y264">
        <v>139</v>
      </c>
      <c r="Z264">
        <v>64</v>
      </c>
      <c r="AA264" t="s">
        <v>31</v>
      </c>
      <c r="AB264">
        <v>101</v>
      </c>
      <c r="AC264" s="23">
        <v>2.73</v>
      </c>
      <c r="AD264" t="str">
        <f>IF(AND('CVD Dataset'!AA264="Normal",'CVD Dataset'!AB264&gt;AVERAGE('CVD Dataset'!AB:AB),'CVD Dataset'!AF264="High"),"High Lipid Category","Normal Category")</f>
        <v>Normal Category</v>
      </c>
      <c r="AF264" t="s">
        <v>32</v>
      </c>
      <c r="AG264">
        <v>0</v>
      </c>
      <c r="AH264" t="s">
        <v>1379</v>
      </c>
      <c r="AI264">
        <f t="shared" si="19"/>
        <v>1</v>
      </c>
      <c r="AJ264" t="s">
        <v>1391</v>
      </c>
    </row>
    <row r="265" spans="1:36" x14ac:dyDescent="0.3">
      <c r="A265" t="s">
        <v>22</v>
      </c>
      <c r="B265">
        <v>60</v>
      </c>
      <c r="C265">
        <v>75.400000000000006</v>
      </c>
      <c r="D265">
        <v>1.68</v>
      </c>
      <c r="E265">
        <v>26.7</v>
      </c>
      <c r="F265">
        <f t="shared" si="17"/>
        <v>26.714852607709755</v>
      </c>
      <c r="G265">
        <f t="shared" si="16"/>
        <v>0</v>
      </c>
      <c r="H265" t="s">
        <v>1400</v>
      </c>
      <c r="I265">
        <v>94.1</v>
      </c>
      <c r="J265" t="s">
        <v>208</v>
      </c>
      <c r="K265" s="24">
        <v>141</v>
      </c>
      <c r="L265" s="24">
        <v>69</v>
      </c>
      <c r="M265">
        <v>138</v>
      </c>
      <c r="N265" t="s">
        <v>1434</v>
      </c>
      <c r="O265">
        <v>77</v>
      </c>
      <c r="P265">
        <v>80</v>
      </c>
      <c r="Q265" t="s">
        <v>24</v>
      </c>
      <c r="R265" t="s">
        <v>24</v>
      </c>
      <c r="S265" t="s">
        <v>39</v>
      </c>
      <c r="T265" t="s">
        <v>25</v>
      </c>
      <c r="U265">
        <f t="shared" si="18"/>
        <v>1</v>
      </c>
      <c r="V265">
        <v>168</v>
      </c>
      <c r="W265">
        <v>0.56000000000000005</v>
      </c>
      <c r="X265" t="s">
        <v>1407</v>
      </c>
      <c r="Y265">
        <v>141</v>
      </c>
      <c r="Z265">
        <v>69</v>
      </c>
      <c r="AA265" t="s">
        <v>40</v>
      </c>
      <c r="AC265" s="23">
        <v>0</v>
      </c>
      <c r="AD265" t="str">
        <f>IF(AND('CVD Dataset'!AA265="Normal",'CVD Dataset'!AB265&gt;AVERAGE('CVD Dataset'!AB:AB),'CVD Dataset'!AF265="High"),"High Lipid Category","Normal Category")</f>
        <v>Normal Category</v>
      </c>
      <c r="AE265">
        <v>15.15</v>
      </c>
      <c r="AF265" t="s">
        <v>28</v>
      </c>
      <c r="AG265">
        <v>0</v>
      </c>
      <c r="AH265" t="s">
        <v>1380</v>
      </c>
      <c r="AI265">
        <f t="shared" si="19"/>
        <v>0</v>
      </c>
      <c r="AJ265" t="s">
        <v>1391</v>
      </c>
    </row>
    <row r="266" spans="1:36" x14ac:dyDescent="0.3">
      <c r="A266" t="s">
        <v>22</v>
      </c>
      <c r="B266">
        <v>47</v>
      </c>
      <c r="C266">
        <v>80.599999999999994</v>
      </c>
      <c r="D266">
        <v>1.83</v>
      </c>
      <c r="E266">
        <v>24.1</v>
      </c>
      <c r="F266">
        <f t="shared" si="17"/>
        <v>24.067604287975151</v>
      </c>
      <c r="G266">
        <f t="shared" si="16"/>
        <v>0</v>
      </c>
      <c r="H266" t="s">
        <v>1398</v>
      </c>
      <c r="I266">
        <v>83.5</v>
      </c>
      <c r="J266" t="s">
        <v>283</v>
      </c>
      <c r="K266" s="24">
        <v>114</v>
      </c>
      <c r="L266" s="24">
        <v>69</v>
      </c>
      <c r="M266">
        <v>289</v>
      </c>
      <c r="N266" t="s">
        <v>1432</v>
      </c>
      <c r="O266">
        <v>45</v>
      </c>
      <c r="P266">
        <v>93</v>
      </c>
      <c r="Q266" t="s">
        <v>24</v>
      </c>
      <c r="R266" t="s">
        <v>25</v>
      </c>
      <c r="S266" t="s">
        <v>39</v>
      </c>
      <c r="T266" t="s">
        <v>24</v>
      </c>
      <c r="U266">
        <f t="shared" si="18"/>
        <v>1</v>
      </c>
      <c r="V266">
        <v>183</v>
      </c>
      <c r="W266">
        <v>0.45600000000000002</v>
      </c>
      <c r="X266" t="s">
        <v>1408</v>
      </c>
      <c r="Y266">
        <v>114</v>
      </c>
      <c r="Z266">
        <v>69</v>
      </c>
      <c r="AA266" t="s">
        <v>35</v>
      </c>
      <c r="AB266">
        <v>214</v>
      </c>
      <c r="AC266" s="23">
        <v>4.76</v>
      </c>
      <c r="AD266" t="str">
        <f>IF(AND('CVD Dataset'!AA266="Normal",'CVD Dataset'!AB266&gt;AVERAGE('CVD Dataset'!AB:AB),'CVD Dataset'!AF266="High"),"High Lipid Category","Normal Category")</f>
        <v>Normal Category</v>
      </c>
      <c r="AE266">
        <v>18.3</v>
      </c>
      <c r="AF266" t="s">
        <v>28</v>
      </c>
      <c r="AG266">
        <v>0</v>
      </c>
      <c r="AH266" t="s">
        <v>1380</v>
      </c>
      <c r="AI266">
        <f t="shared" si="19"/>
        <v>0</v>
      </c>
      <c r="AJ266" t="s">
        <v>1391</v>
      </c>
    </row>
    <row r="267" spans="1:36" x14ac:dyDescent="0.3">
      <c r="A267" t="s">
        <v>22</v>
      </c>
      <c r="B267">
        <v>54</v>
      </c>
      <c r="C267">
        <v>93.7</v>
      </c>
      <c r="D267">
        <v>1.84</v>
      </c>
      <c r="E267">
        <v>27.7</v>
      </c>
      <c r="F267">
        <f t="shared" si="17"/>
        <v>27.676039697542532</v>
      </c>
      <c r="G267">
        <f t="shared" si="16"/>
        <v>0</v>
      </c>
      <c r="H267" t="s">
        <v>1400</v>
      </c>
      <c r="I267">
        <v>102.7</v>
      </c>
      <c r="J267" t="s">
        <v>284</v>
      </c>
      <c r="K267" s="24">
        <v>118</v>
      </c>
      <c r="L267" s="24">
        <v>64</v>
      </c>
      <c r="M267">
        <v>231</v>
      </c>
      <c r="N267" t="s">
        <v>1432</v>
      </c>
      <c r="P267">
        <v>72</v>
      </c>
      <c r="Q267" t="s">
        <v>25</v>
      </c>
      <c r="R267" t="s">
        <v>24</v>
      </c>
      <c r="S267" t="s">
        <v>26</v>
      </c>
      <c r="T267" t="s">
        <v>24</v>
      </c>
      <c r="U267">
        <f t="shared" si="18"/>
        <v>2</v>
      </c>
      <c r="V267">
        <v>184</v>
      </c>
      <c r="W267">
        <v>0.55800000000000005</v>
      </c>
      <c r="X267" t="s">
        <v>1407</v>
      </c>
      <c r="Y267">
        <v>118</v>
      </c>
      <c r="Z267">
        <v>64</v>
      </c>
      <c r="AA267" t="s">
        <v>35</v>
      </c>
      <c r="AB267">
        <v>147</v>
      </c>
      <c r="AC267" s="23" t="s">
        <v>1410</v>
      </c>
      <c r="AD267" t="str">
        <f>IF(AND('CVD Dataset'!AA267="Normal",'CVD Dataset'!AB267&gt;AVERAGE('CVD Dataset'!AB:AB),'CVD Dataset'!AF267="High"),"High Lipid Category","Normal Category")</f>
        <v>High Lipid Category</v>
      </c>
      <c r="AE267">
        <v>16.059999999999999</v>
      </c>
      <c r="AF267" t="s">
        <v>32</v>
      </c>
      <c r="AG267">
        <v>0</v>
      </c>
      <c r="AH267" t="s">
        <v>1379</v>
      </c>
      <c r="AI267">
        <f t="shared" si="19"/>
        <v>1</v>
      </c>
      <c r="AJ267" t="s">
        <v>1391</v>
      </c>
    </row>
    <row r="268" spans="1:36" x14ac:dyDescent="0.3">
      <c r="A268" t="s">
        <v>33</v>
      </c>
      <c r="B268">
        <v>36</v>
      </c>
      <c r="C268">
        <v>106.2</v>
      </c>
      <c r="D268">
        <v>1.76</v>
      </c>
      <c r="E268">
        <v>34.299999999999997</v>
      </c>
      <c r="F268">
        <f t="shared" si="17"/>
        <v>34.284607438016529</v>
      </c>
      <c r="G268">
        <f t="shared" si="16"/>
        <v>0</v>
      </c>
      <c r="H268" t="s">
        <v>1399</v>
      </c>
      <c r="I268">
        <v>74.8</v>
      </c>
      <c r="J268" t="s">
        <v>285</v>
      </c>
      <c r="K268" s="24">
        <v>124</v>
      </c>
      <c r="L268" s="24">
        <v>66</v>
      </c>
      <c r="M268">
        <v>171</v>
      </c>
      <c r="N268" t="s">
        <v>1433</v>
      </c>
      <c r="O268">
        <v>48</v>
      </c>
      <c r="P268">
        <v>141</v>
      </c>
      <c r="Q268" t="s">
        <v>25</v>
      </c>
      <c r="R268" t="s">
        <v>24</v>
      </c>
      <c r="S268" t="s">
        <v>30</v>
      </c>
      <c r="T268" t="s">
        <v>24</v>
      </c>
      <c r="U268">
        <f t="shared" si="18"/>
        <v>1</v>
      </c>
      <c r="V268">
        <v>176</v>
      </c>
      <c r="W268">
        <v>0.42499999999999999</v>
      </c>
      <c r="X268" t="s">
        <v>1408</v>
      </c>
      <c r="Y268">
        <v>124</v>
      </c>
      <c r="Z268">
        <v>66</v>
      </c>
      <c r="AA268" t="s">
        <v>27</v>
      </c>
      <c r="AB268">
        <v>93</v>
      </c>
      <c r="AC268" s="23">
        <v>1.94</v>
      </c>
      <c r="AD268" t="str">
        <f>IF(AND('CVD Dataset'!AA268="Normal",'CVD Dataset'!AB268&gt;AVERAGE('CVD Dataset'!AB:AB),'CVD Dataset'!AF268="High"),"High Lipid Category","Normal Category")</f>
        <v>Normal Category</v>
      </c>
      <c r="AE268">
        <v>16.48</v>
      </c>
      <c r="AF268" t="s">
        <v>28</v>
      </c>
      <c r="AG268">
        <v>0</v>
      </c>
      <c r="AH268" t="s">
        <v>1380</v>
      </c>
      <c r="AI268">
        <f t="shared" si="19"/>
        <v>0</v>
      </c>
      <c r="AJ268" t="s">
        <v>1391</v>
      </c>
    </row>
    <row r="269" spans="1:36" x14ac:dyDescent="0.3">
      <c r="A269" t="s">
        <v>22</v>
      </c>
      <c r="B269">
        <v>47</v>
      </c>
      <c r="C269">
        <v>100.6</v>
      </c>
      <c r="D269">
        <v>1.66</v>
      </c>
      <c r="E269">
        <v>36.5</v>
      </c>
      <c r="F269">
        <f t="shared" si="17"/>
        <v>36.507475685876031</v>
      </c>
      <c r="G269">
        <f t="shared" si="16"/>
        <v>0</v>
      </c>
      <c r="H269" t="s">
        <v>1399</v>
      </c>
      <c r="I269">
        <v>107.3</v>
      </c>
      <c r="J269" t="s">
        <v>286</v>
      </c>
      <c r="K269" s="24">
        <v>94</v>
      </c>
      <c r="L269" s="24">
        <v>93</v>
      </c>
      <c r="M269">
        <v>287</v>
      </c>
      <c r="N269" t="s">
        <v>1432</v>
      </c>
      <c r="O269">
        <v>63</v>
      </c>
      <c r="P269">
        <v>150</v>
      </c>
      <c r="Q269" t="s">
        <v>24</v>
      </c>
      <c r="R269" t="s">
        <v>24</v>
      </c>
      <c r="S269" t="s">
        <v>30</v>
      </c>
      <c r="T269" t="s">
        <v>24</v>
      </c>
      <c r="U269">
        <f t="shared" si="18"/>
        <v>0</v>
      </c>
      <c r="V269">
        <v>166</v>
      </c>
      <c r="W269">
        <v>0.64600000000000002</v>
      </c>
      <c r="X269" t="s">
        <v>1409</v>
      </c>
      <c r="Y269">
        <v>94</v>
      </c>
      <c r="Z269">
        <v>93</v>
      </c>
      <c r="AA269" t="s">
        <v>40</v>
      </c>
      <c r="AB269">
        <v>194</v>
      </c>
      <c r="AC269" s="23">
        <v>3.08</v>
      </c>
      <c r="AD269" t="str">
        <f>IF(AND('CVD Dataset'!AA269="Normal",'CVD Dataset'!AB269&gt;AVERAGE('CVD Dataset'!AB:AB),'CVD Dataset'!AF269="High"),"High Lipid Category","Normal Category")</f>
        <v>Normal Category</v>
      </c>
      <c r="AE269">
        <v>17.739999999999998</v>
      </c>
      <c r="AF269" t="s">
        <v>28</v>
      </c>
      <c r="AG269">
        <v>0</v>
      </c>
      <c r="AH269" t="s">
        <v>1380</v>
      </c>
      <c r="AI269">
        <f t="shared" si="19"/>
        <v>0</v>
      </c>
      <c r="AJ269" t="s">
        <v>1391</v>
      </c>
    </row>
    <row r="270" spans="1:36" x14ac:dyDescent="0.3">
      <c r="A270" t="s">
        <v>33</v>
      </c>
      <c r="C270">
        <v>93.9</v>
      </c>
      <c r="D270">
        <v>1.72</v>
      </c>
      <c r="E270">
        <v>31.7</v>
      </c>
      <c r="F270">
        <f t="shared" si="17"/>
        <v>31.740129799891839</v>
      </c>
      <c r="G270">
        <f t="shared" si="16"/>
        <v>0</v>
      </c>
      <c r="H270" t="s">
        <v>1399</v>
      </c>
      <c r="I270">
        <v>82.1</v>
      </c>
      <c r="J270" t="s">
        <v>92</v>
      </c>
      <c r="K270" s="24">
        <v>104</v>
      </c>
      <c r="L270" s="24">
        <v>60</v>
      </c>
      <c r="M270">
        <v>144</v>
      </c>
      <c r="N270" t="s">
        <v>1434</v>
      </c>
      <c r="O270">
        <v>50</v>
      </c>
      <c r="P270">
        <v>137</v>
      </c>
      <c r="Q270" t="s">
        <v>24</v>
      </c>
      <c r="R270" t="s">
        <v>24</v>
      </c>
      <c r="S270" t="s">
        <v>30</v>
      </c>
      <c r="T270" t="s">
        <v>25</v>
      </c>
      <c r="U270">
        <f t="shared" si="18"/>
        <v>1</v>
      </c>
      <c r="V270">
        <v>172</v>
      </c>
      <c r="W270">
        <v>0.47699999999999998</v>
      </c>
      <c r="X270" t="s">
        <v>1406</v>
      </c>
      <c r="Y270">
        <v>104</v>
      </c>
      <c r="Z270">
        <v>60</v>
      </c>
      <c r="AA270" t="s">
        <v>35</v>
      </c>
      <c r="AB270">
        <v>64</v>
      </c>
      <c r="AC270" s="23">
        <v>1.28</v>
      </c>
      <c r="AD270" t="str">
        <f>IF(AND('CVD Dataset'!AA270="Normal",'CVD Dataset'!AB270&gt;AVERAGE('CVD Dataset'!AB:AB),'CVD Dataset'!AF270="High"),"High Lipid Category","Normal Category")</f>
        <v>Normal Category</v>
      </c>
      <c r="AE270">
        <v>14.42</v>
      </c>
      <c r="AF270" t="s">
        <v>28</v>
      </c>
      <c r="AG270">
        <v>0</v>
      </c>
      <c r="AH270" t="s">
        <v>1380</v>
      </c>
      <c r="AI270">
        <f t="shared" si="19"/>
        <v>0</v>
      </c>
      <c r="AJ270" t="s">
        <v>1391</v>
      </c>
    </row>
    <row r="271" spans="1:36" x14ac:dyDescent="0.3">
      <c r="A271" t="s">
        <v>33</v>
      </c>
      <c r="B271">
        <v>57</v>
      </c>
      <c r="C271">
        <v>107</v>
      </c>
      <c r="D271">
        <v>1.62</v>
      </c>
      <c r="E271">
        <v>40.799999999999997</v>
      </c>
      <c r="F271">
        <f t="shared" si="17"/>
        <v>40.77122389879591</v>
      </c>
      <c r="G271">
        <f t="shared" ref="G271:G334" si="20">IFERROR(IF(ABS(E271 - F271) &lt;= 0.1, 0, 1),"")</f>
        <v>0</v>
      </c>
      <c r="H271" t="s">
        <v>1399</v>
      </c>
      <c r="I271">
        <v>101.7</v>
      </c>
      <c r="J271" t="s">
        <v>287</v>
      </c>
      <c r="K271" s="24">
        <v>117</v>
      </c>
      <c r="L271" s="24">
        <v>66</v>
      </c>
      <c r="M271">
        <v>147</v>
      </c>
      <c r="N271" t="s">
        <v>1434</v>
      </c>
      <c r="O271">
        <v>45</v>
      </c>
      <c r="P271">
        <v>106</v>
      </c>
      <c r="Q271" t="s">
        <v>25</v>
      </c>
      <c r="R271" t="s">
        <v>25</v>
      </c>
      <c r="S271" t="s">
        <v>39</v>
      </c>
      <c r="T271" t="s">
        <v>25</v>
      </c>
      <c r="U271">
        <f t="shared" si="18"/>
        <v>3</v>
      </c>
      <c r="V271">
        <v>162</v>
      </c>
      <c r="W271">
        <v>0.628</v>
      </c>
      <c r="X271" t="s">
        <v>1409</v>
      </c>
      <c r="Y271">
        <v>117</v>
      </c>
      <c r="Z271">
        <v>66</v>
      </c>
      <c r="AA271" t="s">
        <v>35</v>
      </c>
      <c r="AB271">
        <v>72</v>
      </c>
      <c r="AC271" s="23">
        <v>1.6</v>
      </c>
      <c r="AD271" t="str">
        <f>IF(AND('CVD Dataset'!AA271="Normal",'CVD Dataset'!AB271&gt;AVERAGE('CVD Dataset'!AB:AB),'CVD Dataset'!AF271="High"),"High Lipid Category","Normal Category")</f>
        <v>Normal Category</v>
      </c>
      <c r="AE271">
        <v>18.95</v>
      </c>
      <c r="AF271" t="s">
        <v>32</v>
      </c>
      <c r="AG271">
        <v>0</v>
      </c>
      <c r="AH271" t="s">
        <v>1379</v>
      </c>
      <c r="AI271">
        <f t="shared" si="19"/>
        <v>1</v>
      </c>
      <c r="AJ271" t="s">
        <v>1391</v>
      </c>
    </row>
    <row r="272" spans="1:36" x14ac:dyDescent="0.3">
      <c r="A272" t="s">
        <v>22</v>
      </c>
      <c r="B272">
        <v>52</v>
      </c>
      <c r="C272">
        <v>109.7</v>
      </c>
      <c r="D272">
        <v>1.78</v>
      </c>
      <c r="E272">
        <v>34.6</v>
      </c>
      <c r="F272">
        <f t="shared" si="17"/>
        <v>34.623153642216892</v>
      </c>
      <c r="G272">
        <f t="shared" si="20"/>
        <v>0</v>
      </c>
      <c r="H272" t="s">
        <v>1399</v>
      </c>
      <c r="I272">
        <v>104.4</v>
      </c>
      <c r="J272" t="s">
        <v>288</v>
      </c>
      <c r="K272" s="24">
        <v>103</v>
      </c>
      <c r="L272" s="24">
        <v>99</v>
      </c>
      <c r="M272">
        <v>197</v>
      </c>
      <c r="N272" t="s">
        <v>1432</v>
      </c>
      <c r="P272">
        <v>99</v>
      </c>
      <c r="Q272" t="s">
        <v>24</v>
      </c>
      <c r="R272" t="s">
        <v>25</v>
      </c>
      <c r="S272" t="s">
        <v>30</v>
      </c>
      <c r="T272" t="s">
        <v>24</v>
      </c>
      <c r="U272">
        <f t="shared" si="18"/>
        <v>1</v>
      </c>
      <c r="V272">
        <v>178</v>
      </c>
      <c r="W272">
        <v>0.58699999999999997</v>
      </c>
      <c r="X272" t="s">
        <v>1409</v>
      </c>
      <c r="Y272">
        <v>103</v>
      </c>
      <c r="Z272">
        <v>99</v>
      </c>
      <c r="AA272" t="s">
        <v>40</v>
      </c>
      <c r="AC272" s="23" t="s">
        <v>1410</v>
      </c>
      <c r="AD272" t="str">
        <f>IF(AND('CVD Dataset'!AA272="Normal",'CVD Dataset'!AB272&gt;AVERAGE('CVD Dataset'!AB:AB),'CVD Dataset'!AF272="High"),"High Lipid Category","Normal Category")</f>
        <v>Normal Category</v>
      </c>
      <c r="AE272">
        <v>18.010000000000002</v>
      </c>
      <c r="AF272" t="s">
        <v>32</v>
      </c>
      <c r="AG272">
        <v>0</v>
      </c>
      <c r="AH272" t="s">
        <v>1379</v>
      </c>
      <c r="AI272">
        <f t="shared" si="19"/>
        <v>1</v>
      </c>
      <c r="AJ272" t="s">
        <v>1392</v>
      </c>
    </row>
    <row r="273" spans="1:36" x14ac:dyDescent="0.3">
      <c r="A273" t="s">
        <v>33</v>
      </c>
      <c r="B273">
        <v>45</v>
      </c>
      <c r="C273">
        <v>84.2</v>
      </c>
      <c r="D273">
        <v>1.77</v>
      </c>
      <c r="E273">
        <v>26.9</v>
      </c>
      <c r="F273">
        <f t="shared" si="17"/>
        <v>26.876057327077149</v>
      </c>
      <c r="G273">
        <f t="shared" si="20"/>
        <v>0</v>
      </c>
      <c r="H273" t="s">
        <v>1400</v>
      </c>
      <c r="I273">
        <v>106</v>
      </c>
      <c r="J273" t="s">
        <v>289</v>
      </c>
      <c r="K273" s="24">
        <v>114</v>
      </c>
      <c r="L273" s="24">
        <v>90</v>
      </c>
      <c r="M273">
        <v>180</v>
      </c>
      <c r="N273" t="s">
        <v>1433</v>
      </c>
      <c r="O273">
        <v>39</v>
      </c>
      <c r="P273">
        <v>115</v>
      </c>
      <c r="Q273" t="s">
        <v>25</v>
      </c>
      <c r="R273" t="s">
        <v>24</v>
      </c>
      <c r="S273" t="s">
        <v>26</v>
      </c>
      <c r="T273" t="s">
        <v>25</v>
      </c>
      <c r="U273">
        <f t="shared" si="18"/>
        <v>3</v>
      </c>
      <c r="V273">
        <v>177</v>
      </c>
      <c r="X273" t="s">
        <v>1410</v>
      </c>
      <c r="Y273">
        <v>114</v>
      </c>
      <c r="Z273">
        <v>90</v>
      </c>
      <c r="AA273" t="s">
        <v>40</v>
      </c>
      <c r="AB273">
        <v>111</v>
      </c>
      <c r="AC273" s="23">
        <v>2.85</v>
      </c>
      <c r="AD273" t="str">
        <f>IF(AND('CVD Dataset'!AA273="Normal",'CVD Dataset'!AB273&gt;AVERAGE('CVD Dataset'!AB:AB),'CVD Dataset'!AF273="High"),"High Lipid Category","Normal Category")</f>
        <v>Normal Category</v>
      </c>
      <c r="AE273">
        <v>14.68</v>
      </c>
      <c r="AF273" t="s">
        <v>32</v>
      </c>
      <c r="AG273">
        <v>0</v>
      </c>
      <c r="AH273" t="s">
        <v>1379</v>
      </c>
      <c r="AI273">
        <f t="shared" si="19"/>
        <v>1</v>
      </c>
      <c r="AJ273" t="s">
        <v>1391</v>
      </c>
    </row>
    <row r="274" spans="1:36" x14ac:dyDescent="0.3">
      <c r="A274" t="s">
        <v>33</v>
      </c>
      <c r="B274">
        <v>31</v>
      </c>
      <c r="C274">
        <v>85</v>
      </c>
      <c r="D274">
        <v>1.66</v>
      </c>
      <c r="E274">
        <v>30.8</v>
      </c>
      <c r="F274">
        <f t="shared" si="17"/>
        <v>30.84627667295689</v>
      </c>
      <c r="G274">
        <f t="shared" si="20"/>
        <v>0</v>
      </c>
      <c r="H274" t="s">
        <v>1399</v>
      </c>
      <c r="I274">
        <v>79.900000000000006</v>
      </c>
      <c r="J274" t="s">
        <v>290</v>
      </c>
      <c r="K274" s="24">
        <v>116</v>
      </c>
      <c r="L274" s="24">
        <v>69</v>
      </c>
      <c r="M274">
        <v>130</v>
      </c>
      <c r="N274" t="s">
        <v>1434</v>
      </c>
      <c r="O274">
        <v>70</v>
      </c>
      <c r="P274">
        <v>125</v>
      </c>
      <c r="Q274" t="s">
        <v>24</v>
      </c>
      <c r="R274" t="s">
        <v>24</v>
      </c>
      <c r="S274" t="s">
        <v>39</v>
      </c>
      <c r="T274" t="s">
        <v>25</v>
      </c>
      <c r="U274">
        <f t="shared" si="18"/>
        <v>1</v>
      </c>
      <c r="V274">
        <v>166</v>
      </c>
      <c r="W274">
        <v>0.48099999999999998</v>
      </c>
      <c r="X274" t="s">
        <v>1406</v>
      </c>
      <c r="Y274">
        <v>116</v>
      </c>
      <c r="Z274">
        <v>69</v>
      </c>
      <c r="AA274" t="s">
        <v>35</v>
      </c>
      <c r="AB274">
        <v>30</v>
      </c>
      <c r="AC274" s="23">
        <v>0.43</v>
      </c>
      <c r="AD274" t="str">
        <f>IF(AND('CVD Dataset'!AA274="Normal",'CVD Dataset'!AB274&gt;AVERAGE('CVD Dataset'!AB:AB),'CVD Dataset'!AF274="High"),"High Lipid Category","Normal Category")</f>
        <v>Normal Category</v>
      </c>
      <c r="AE274">
        <v>14.56</v>
      </c>
      <c r="AF274" t="s">
        <v>28</v>
      </c>
      <c r="AG274">
        <v>0</v>
      </c>
      <c r="AH274" t="s">
        <v>1380</v>
      </c>
      <c r="AI274">
        <f t="shared" si="19"/>
        <v>0</v>
      </c>
      <c r="AJ274" t="s">
        <v>1391</v>
      </c>
    </row>
    <row r="275" spans="1:36" x14ac:dyDescent="0.3">
      <c r="A275" t="s">
        <v>22</v>
      </c>
      <c r="B275">
        <v>49</v>
      </c>
      <c r="C275">
        <v>73.2</v>
      </c>
      <c r="D275">
        <v>1.68</v>
      </c>
      <c r="E275">
        <v>25.9</v>
      </c>
      <c r="F275">
        <f t="shared" si="17"/>
        <v>25.935374149659868</v>
      </c>
      <c r="G275">
        <f t="shared" si="20"/>
        <v>0</v>
      </c>
      <c r="H275" t="s">
        <v>1400</v>
      </c>
      <c r="I275">
        <v>104.9</v>
      </c>
      <c r="J275" t="s">
        <v>291</v>
      </c>
      <c r="K275" s="24">
        <v>136</v>
      </c>
      <c r="L275" s="24">
        <v>93</v>
      </c>
      <c r="M275">
        <v>138</v>
      </c>
      <c r="N275" t="s">
        <v>1434</v>
      </c>
      <c r="O275">
        <v>39</v>
      </c>
      <c r="P275">
        <v>81</v>
      </c>
      <c r="Q275" t="s">
        <v>25</v>
      </c>
      <c r="R275" t="s">
        <v>25</v>
      </c>
      <c r="S275" t="s">
        <v>30</v>
      </c>
      <c r="T275" t="s">
        <v>25</v>
      </c>
      <c r="U275">
        <f t="shared" si="18"/>
        <v>3</v>
      </c>
      <c r="V275">
        <v>168</v>
      </c>
      <c r="W275">
        <v>0.624</v>
      </c>
      <c r="X275" t="s">
        <v>1409</v>
      </c>
      <c r="Y275">
        <v>136</v>
      </c>
      <c r="Z275">
        <v>93</v>
      </c>
      <c r="AA275" t="s">
        <v>31</v>
      </c>
      <c r="AC275" s="23">
        <v>0</v>
      </c>
      <c r="AD275" t="str">
        <f>IF(AND('CVD Dataset'!AA275="Normal",'CVD Dataset'!AB275&gt;AVERAGE('CVD Dataset'!AB:AB),'CVD Dataset'!AF275="High"),"High Lipid Category","Normal Category")</f>
        <v>Normal Category</v>
      </c>
      <c r="AE275">
        <v>16.739999999999998</v>
      </c>
      <c r="AF275" t="s">
        <v>32</v>
      </c>
      <c r="AG275">
        <v>0</v>
      </c>
      <c r="AH275" t="s">
        <v>1379</v>
      </c>
      <c r="AI275">
        <f t="shared" si="19"/>
        <v>1</v>
      </c>
      <c r="AJ275" t="s">
        <v>1391</v>
      </c>
    </row>
    <row r="276" spans="1:36" x14ac:dyDescent="0.3">
      <c r="A276" t="s">
        <v>33</v>
      </c>
      <c r="B276">
        <v>48</v>
      </c>
      <c r="C276">
        <v>94.6</v>
      </c>
      <c r="D276">
        <v>1.74</v>
      </c>
      <c r="E276">
        <v>31.2</v>
      </c>
      <c r="F276">
        <f t="shared" si="17"/>
        <v>31.245871317214952</v>
      </c>
      <c r="G276">
        <f t="shared" si="20"/>
        <v>0</v>
      </c>
      <c r="H276" t="s">
        <v>1399</v>
      </c>
      <c r="I276">
        <v>99.1</v>
      </c>
      <c r="J276" t="s">
        <v>292</v>
      </c>
      <c r="K276" s="24">
        <v>99</v>
      </c>
      <c r="L276" s="24">
        <v>82</v>
      </c>
      <c r="M276">
        <v>209</v>
      </c>
      <c r="N276" t="s">
        <v>1432</v>
      </c>
      <c r="O276">
        <v>60</v>
      </c>
      <c r="P276">
        <v>127</v>
      </c>
      <c r="Q276" t="s">
        <v>24</v>
      </c>
      <c r="R276" t="s">
        <v>25</v>
      </c>
      <c r="S276" t="s">
        <v>39</v>
      </c>
      <c r="T276" t="s">
        <v>24</v>
      </c>
      <c r="U276">
        <f t="shared" si="18"/>
        <v>1</v>
      </c>
      <c r="V276">
        <v>174</v>
      </c>
      <c r="W276">
        <v>0.56999999999999995</v>
      </c>
      <c r="X276" t="s">
        <v>1407</v>
      </c>
      <c r="Y276">
        <v>99</v>
      </c>
      <c r="Z276">
        <v>82</v>
      </c>
      <c r="AA276" t="s">
        <v>31</v>
      </c>
      <c r="AB276">
        <v>119</v>
      </c>
      <c r="AC276" s="23">
        <v>1.98</v>
      </c>
      <c r="AD276" t="str">
        <f>IF(AND('CVD Dataset'!AA276="Normal",'CVD Dataset'!AB276&gt;AVERAGE('CVD Dataset'!AB:AB),'CVD Dataset'!AF276="High"),"High Lipid Category","Normal Category")</f>
        <v>Normal Category</v>
      </c>
      <c r="AE276">
        <v>17.37</v>
      </c>
      <c r="AF276" t="s">
        <v>32</v>
      </c>
      <c r="AG276">
        <v>1</v>
      </c>
      <c r="AH276" t="s">
        <v>1379</v>
      </c>
      <c r="AI276">
        <f t="shared" si="19"/>
        <v>1</v>
      </c>
      <c r="AJ276" t="s">
        <v>1391</v>
      </c>
    </row>
    <row r="277" spans="1:36" x14ac:dyDescent="0.3">
      <c r="A277" t="s">
        <v>22</v>
      </c>
      <c r="B277">
        <v>37</v>
      </c>
      <c r="C277">
        <v>50.5</v>
      </c>
      <c r="D277">
        <v>1.64</v>
      </c>
      <c r="E277">
        <v>18.8</v>
      </c>
      <c r="F277">
        <f t="shared" si="17"/>
        <v>18.776026174895897</v>
      </c>
      <c r="G277">
        <f t="shared" si="20"/>
        <v>0</v>
      </c>
      <c r="H277" t="s">
        <v>1398</v>
      </c>
      <c r="I277">
        <v>75.400000000000006</v>
      </c>
      <c r="J277" t="s">
        <v>293</v>
      </c>
      <c r="K277" s="24">
        <v>100</v>
      </c>
      <c r="L277" s="24">
        <v>96</v>
      </c>
      <c r="M277">
        <v>240</v>
      </c>
      <c r="N277" t="s">
        <v>1432</v>
      </c>
      <c r="O277">
        <v>53</v>
      </c>
      <c r="P277">
        <v>98</v>
      </c>
      <c r="Q277" t="s">
        <v>24</v>
      </c>
      <c r="R277" t="s">
        <v>25</v>
      </c>
      <c r="S277" t="s">
        <v>26</v>
      </c>
      <c r="T277" t="s">
        <v>24</v>
      </c>
      <c r="U277">
        <f t="shared" si="18"/>
        <v>2</v>
      </c>
      <c r="V277">
        <v>164</v>
      </c>
      <c r="W277">
        <v>0.46</v>
      </c>
      <c r="X277" t="s">
        <v>1408</v>
      </c>
      <c r="Y277">
        <v>100</v>
      </c>
      <c r="Z277">
        <v>96</v>
      </c>
      <c r="AA277" t="s">
        <v>40</v>
      </c>
      <c r="AB277">
        <v>157</v>
      </c>
      <c r="AC277" s="23">
        <v>2.96</v>
      </c>
      <c r="AD277" t="str">
        <f>IF(AND('CVD Dataset'!AA277="Normal",'CVD Dataset'!AB277&gt;AVERAGE('CVD Dataset'!AB:AB),'CVD Dataset'!AF277="High"),"High Lipid Category","Normal Category")</f>
        <v>Normal Category</v>
      </c>
      <c r="AE277">
        <v>15.56</v>
      </c>
      <c r="AF277" t="s">
        <v>28</v>
      </c>
      <c r="AG277">
        <v>0</v>
      </c>
      <c r="AH277" t="s">
        <v>1380</v>
      </c>
      <c r="AI277">
        <f t="shared" si="19"/>
        <v>0</v>
      </c>
      <c r="AJ277" t="s">
        <v>1391</v>
      </c>
    </row>
    <row r="278" spans="1:36" x14ac:dyDescent="0.3">
      <c r="A278" t="s">
        <v>22</v>
      </c>
      <c r="B278">
        <v>49</v>
      </c>
      <c r="C278">
        <v>58.3</v>
      </c>
      <c r="D278">
        <v>1.7</v>
      </c>
      <c r="E278">
        <v>20.2</v>
      </c>
      <c r="F278">
        <f t="shared" si="17"/>
        <v>20.173010380622838</v>
      </c>
      <c r="G278">
        <f t="shared" si="20"/>
        <v>0</v>
      </c>
      <c r="H278" t="s">
        <v>1398</v>
      </c>
      <c r="I278">
        <v>96.7</v>
      </c>
      <c r="J278" t="s">
        <v>294</v>
      </c>
      <c r="K278" s="24">
        <v>140</v>
      </c>
      <c r="L278" s="24">
        <v>95</v>
      </c>
      <c r="M278">
        <v>280</v>
      </c>
      <c r="N278" t="s">
        <v>1432</v>
      </c>
      <c r="O278">
        <v>33</v>
      </c>
      <c r="P278">
        <v>93</v>
      </c>
      <c r="Q278" t="s">
        <v>25</v>
      </c>
      <c r="R278" t="s">
        <v>25</v>
      </c>
      <c r="S278" t="s">
        <v>39</v>
      </c>
      <c r="T278" t="s">
        <v>25</v>
      </c>
      <c r="U278">
        <f t="shared" si="18"/>
        <v>3</v>
      </c>
      <c r="V278">
        <v>170</v>
      </c>
      <c r="W278">
        <v>0.56899999999999995</v>
      </c>
      <c r="X278" t="s">
        <v>1407</v>
      </c>
      <c r="Y278">
        <v>140</v>
      </c>
      <c r="Z278">
        <v>95</v>
      </c>
      <c r="AA278" t="s">
        <v>40</v>
      </c>
      <c r="AB278">
        <v>217</v>
      </c>
      <c r="AC278" s="23">
        <v>6.58</v>
      </c>
      <c r="AD278" t="str">
        <f>IF(AND('CVD Dataset'!AA278="Normal",'CVD Dataset'!AB278&gt;AVERAGE('CVD Dataset'!AB:AB),'CVD Dataset'!AF278="High"),"High Lipid Category","Normal Category")</f>
        <v>Normal Category</v>
      </c>
      <c r="AE278">
        <v>18.64</v>
      </c>
      <c r="AF278" t="s">
        <v>32</v>
      </c>
      <c r="AG278">
        <v>0</v>
      </c>
      <c r="AH278" t="s">
        <v>1379</v>
      </c>
      <c r="AI278">
        <f t="shared" si="19"/>
        <v>1</v>
      </c>
      <c r="AJ278" t="s">
        <v>1391</v>
      </c>
    </row>
    <row r="279" spans="1:36" x14ac:dyDescent="0.3">
      <c r="A279" t="s">
        <v>33</v>
      </c>
      <c r="B279">
        <v>49</v>
      </c>
      <c r="C279">
        <v>64.8</v>
      </c>
      <c r="D279">
        <v>1.61</v>
      </c>
      <c r="E279">
        <v>25</v>
      </c>
      <c r="F279">
        <f t="shared" si="17"/>
        <v>24.999035531036608</v>
      </c>
      <c r="G279">
        <f t="shared" si="20"/>
        <v>0</v>
      </c>
      <c r="H279" t="s">
        <v>1400</v>
      </c>
      <c r="I279">
        <v>77.900000000000006</v>
      </c>
      <c r="J279" t="s">
        <v>295</v>
      </c>
      <c r="K279" s="24">
        <v>101</v>
      </c>
      <c r="L279" s="24">
        <v>72</v>
      </c>
      <c r="M279">
        <v>276</v>
      </c>
      <c r="N279" t="s">
        <v>1432</v>
      </c>
      <c r="O279">
        <v>30</v>
      </c>
      <c r="P279">
        <v>128</v>
      </c>
      <c r="Q279" t="s">
        <v>25</v>
      </c>
      <c r="R279" t="s">
        <v>24</v>
      </c>
      <c r="S279" t="s">
        <v>39</v>
      </c>
      <c r="T279" t="s">
        <v>24</v>
      </c>
      <c r="U279">
        <f t="shared" si="18"/>
        <v>1</v>
      </c>
      <c r="V279">
        <v>161</v>
      </c>
      <c r="W279">
        <v>0.48399999999999999</v>
      </c>
      <c r="X279" t="s">
        <v>1406</v>
      </c>
      <c r="Y279">
        <v>101</v>
      </c>
      <c r="Z279">
        <v>72</v>
      </c>
      <c r="AA279" t="s">
        <v>35</v>
      </c>
      <c r="AB279">
        <v>216</v>
      </c>
      <c r="AC279" s="23">
        <v>7.2</v>
      </c>
      <c r="AD279" t="str">
        <f>IF(AND('CVD Dataset'!AA279="Normal",'CVD Dataset'!AB279&gt;AVERAGE('CVD Dataset'!AB:AB),'CVD Dataset'!AF279="High"),"High Lipid Category","Normal Category")</f>
        <v>High Lipid Category</v>
      </c>
      <c r="AE279">
        <v>15.57</v>
      </c>
      <c r="AF279" t="s">
        <v>32</v>
      </c>
      <c r="AG279">
        <v>0</v>
      </c>
      <c r="AH279" t="s">
        <v>1379</v>
      </c>
      <c r="AI279">
        <f t="shared" si="19"/>
        <v>1</v>
      </c>
      <c r="AJ279" t="s">
        <v>1391</v>
      </c>
    </row>
    <row r="280" spans="1:36" x14ac:dyDescent="0.3">
      <c r="A280" t="s">
        <v>33</v>
      </c>
      <c r="B280">
        <v>60</v>
      </c>
      <c r="C280">
        <v>101.1</v>
      </c>
      <c r="D280">
        <v>1.89</v>
      </c>
      <c r="E280">
        <v>28.3</v>
      </c>
      <c r="F280">
        <f t="shared" si="17"/>
        <v>28.302679096329889</v>
      </c>
      <c r="G280">
        <f t="shared" si="20"/>
        <v>0</v>
      </c>
      <c r="H280" t="s">
        <v>1400</v>
      </c>
      <c r="I280">
        <v>76.3</v>
      </c>
      <c r="J280" t="s">
        <v>296</v>
      </c>
      <c r="K280" s="24">
        <v>99</v>
      </c>
      <c r="L280" s="24">
        <v>76</v>
      </c>
      <c r="M280">
        <v>165</v>
      </c>
      <c r="N280" t="s">
        <v>1433</v>
      </c>
      <c r="O280">
        <v>67</v>
      </c>
      <c r="P280">
        <v>107</v>
      </c>
      <c r="Q280" t="s">
        <v>24</v>
      </c>
      <c r="R280" t="s">
        <v>24</v>
      </c>
      <c r="S280" t="s">
        <v>30</v>
      </c>
      <c r="T280" t="s">
        <v>25</v>
      </c>
      <c r="U280">
        <f t="shared" si="18"/>
        <v>1</v>
      </c>
      <c r="V280">
        <v>189</v>
      </c>
      <c r="W280">
        <v>0.40400000000000003</v>
      </c>
      <c r="X280" t="s">
        <v>1408</v>
      </c>
      <c r="Y280">
        <v>99</v>
      </c>
      <c r="Z280">
        <v>76</v>
      </c>
      <c r="AA280" t="s">
        <v>35</v>
      </c>
      <c r="AB280">
        <v>68</v>
      </c>
      <c r="AC280" s="23">
        <v>1.01</v>
      </c>
      <c r="AD280" t="str">
        <f>IF(AND('CVD Dataset'!AA280="Normal",'CVD Dataset'!AB280&gt;AVERAGE('CVD Dataset'!AB:AB),'CVD Dataset'!AF280="High"),"High Lipid Category","Normal Category")</f>
        <v>Normal Category</v>
      </c>
      <c r="AE280">
        <v>13.91</v>
      </c>
      <c r="AF280" t="s">
        <v>28</v>
      </c>
      <c r="AG280">
        <v>0</v>
      </c>
      <c r="AH280" t="s">
        <v>1380</v>
      </c>
      <c r="AI280">
        <f t="shared" si="19"/>
        <v>0</v>
      </c>
      <c r="AJ280" t="s">
        <v>1391</v>
      </c>
    </row>
    <row r="281" spans="1:36" x14ac:dyDescent="0.3">
      <c r="A281" t="s">
        <v>33</v>
      </c>
      <c r="B281">
        <v>49</v>
      </c>
      <c r="C281">
        <v>62.2</v>
      </c>
      <c r="D281">
        <v>1.7</v>
      </c>
      <c r="E281">
        <v>21.5</v>
      </c>
      <c r="F281">
        <f t="shared" si="17"/>
        <v>21.522491349480973</v>
      </c>
      <c r="G281">
        <f t="shared" si="20"/>
        <v>0</v>
      </c>
      <c r="H281" t="s">
        <v>1398</v>
      </c>
      <c r="I281">
        <v>75.900000000000006</v>
      </c>
      <c r="J281" t="s">
        <v>297</v>
      </c>
      <c r="K281" s="24">
        <v>150</v>
      </c>
      <c r="L281" s="24">
        <v>91</v>
      </c>
      <c r="M281">
        <v>211</v>
      </c>
      <c r="N281" t="s">
        <v>1432</v>
      </c>
      <c r="O281">
        <v>72</v>
      </c>
      <c r="P281">
        <v>86</v>
      </c>
      <c r="Q281" t="s">
        <v>25</v>
      </c>
      <c r="R281" t="s">
        <v>24</v>
      </c>
      <c r="S281" t="s">
        <v>39</v>
      </c>
      <c r="T281" t="s">
        <v>25</v>
      </c>
      <c r="U281">
        <f t="shared" si="18"/>
        <v>2</v>
      </c>
      <c r="V281">
        <v>170</v>
      </c>
      <c r="X281" t="s">
        <v>1410</v>
      </c>
      <c r="Y281">
        <v>150</v>
      </c>
      <c r="Z281">
        <v>91</v>
      </c>
      <c r="AA281" t="s">
        <v>40</v>
      </c>
      <c r="AB281">
        <v>109</v>
      </c>
      <c r="AC281" s="23">
        <v>1.51</v>
      </c>
      <c r="AD281" t="str">
        <f>IF(AND('CVD Dataset'!AA281="Normal",'CVD Dataset'!AB281&gt;AVERAGE('CVD Dataset'!AB:AB),'CVD Dataset'!AF281="High"),"High Lipid Category","Normal Category")</f>
        <v>Normal Category</v>
      </c>
      <c r="AE281">
        <v>16.02</v>
      </c>
      <c r="AF281" t="s">
        <v>32</v>
      </c>
      <c r="AG281">
        <v>1</v>
      </c>
      <c r="AH281" t="s">
        <v>1379</v>
      </c>
      <c r="AI281">
        <f t="shared" si="19"/>
        <v>1</v>
      </c>
      <c r="AJ281" t="s">
        <v>1391</v>
      </c>
    </row>
    <row r="282" spans="1:36" x14ac:dyDescent="0.3">
      <c r="A282" t="s">
        <v>33</v>
      </c>
      <c r="B282">
        <v>31</v>
      </c>
      <c r="C282">
        <v>96</v>
      </c>
      <c r="D282">
        <v>1.85</v>
      </c>
      <c r="E282">
        <v>28</v>
      </c>
      <c r="F282">
        <f t="shared" si="17"/>
        <v>28.049671292914532</v>
      </c>
      <c r="G282">
        <f t="shared" si="20"/>
        <v>0</v>
      </c>
      <c r="H282" t="s">
        <v>1400</v>
      </c>
      <c r="I282">
        <v>78.099999999999994</v>
      </c>
      <c r="J282" t="s">
        <v>298</v>
      </c>
      <c r="K282" s="24">
        <v>139</v>
      </c>
      <c r="L282" s="24">
        <v>81</v>
      </c>
      <c r="M282">
        <v>257</v>
      </c>
      <c r="N282" t="s">
        <v>1432</v>
      </c>
      <c r="O282">
        <v>38</v>
      </c>
      <c r="P282">
        <v>125</v>
      </c>
      <c r="Q282" t="s">
        <v>25</v>
      </c>
      <c r="R282" t="s">
        <v>24</v>
      </c>
      <c r="S282" t="s">
        <v>30</v>
      </c>
      <c r="T282" t="s">
        <v>25</v>
      </c>
      <c r="U282">
        <f t="shared" si="18"/>
        <v>2</v>
      </c>
      <c r="V282">
        <v>185</v>
      </c>
      <c r="W282">
        <v>0.42199999999999999</v>
      </c>
      <c r="X282" t="s">
        <v>1408</v>
      </c>
      <c r="Y282">
        <v>139</v>
      </c>
      <c r="Z282">
        <v>81</v>
      </c>
      <c r="AA282" t="s">
        <v>31</v>
      </c>
      <c r="AB282">
        <v>189</v>
      </c>
      <c r="AC282" s="23">
        <v>4.97</v>
      </c>
      <c r="AD282" t="str">
        <f>IF(AND('CVD Dataset'!AA282="Normal",'CVD Dataset'!AB282&gt;AVERAGE('CVD Dataset'!AB:AB),'CVD Dataset'!AF282="High"),"High Lipid Category","Normal Category")</f>
        <v>Normal Category</v>
      </c>
      <c r="AE282">
        <v>17.690000000000001</v>
      </c>
      <c r="AF282" t="s">
        <v>32</v>
      </c>
      <c r="AG282">
        <v>0</v>
      </c>
      <c r="AH282" t="s">
        <v>1379</v>
      </c>
      <c r="AI282">
        <f t="shared" si="19"/>
        <v>1</v>
      </c>
      <c r="AJ282" t="s">
        <v>1391</v>
      </c>
    </row>
    <row r="283" spans="1:36" x14ac:dyDescent="0.3">
      <c r="A283" t="s">
        <v>22</v>
      </c>
      <c r="B283">
        <v>52</v>
      </c>
      <c r="C283">
        <v>116.8</v>
      </c>
      <c r="D283">
        <v>1.62</v>
      </c>
      <c r="E283">
        <v>44.5</v>
      </c>
      <c r="F283">
        <f t="shared" si="17"/>
        <v>44.505410760554781</v>
      </c>
      <c r="G283">
        <f t="shared" si="20"/>
        <v>0</v>
      </c>
      <c r="H283" t="s">
        <v>1399</v>
      </c>
      <c r="I283">
        <v>102.6</v>
      </c>
      <c r="J283" t="s">
        <v>299</v>
      </c>
      <c r="K283" s="24">
        <v>104</v>
      </c>
      <c r="L283" s="24">
        <v>83</v>
      </c>
      <c r="M283">
        <v>208</v>
      </c>
      <c r="N283" t="s">
        <v>1432</v>
      </c>
      <c r="O283">
        <v>46</v>
      </c>
      <c r="P283">
        <v>123</v>
      </c>
      <c r="Q283" t="s">
        <v>25</v>
      </c>
      <c r="R283" t="s">
        <v>25</v>
      </c>
      <c r="S283" t="s">
        <v>26</v>
      </c>
      <c r="T283" t="s">
        <v>24</v>
      </c>
      <c r="U283">
        <f t="shared" si="18"/>
        <v>3</v>
      </c>
      <c r="V283">
        <v>162</v>
      </c>
      <c r="W283">
        <v>0.63300000000000001</v>
      </c>
      <c r="X283" t="s">
        <v>1409</v>
      </c>
      <c r="Y283">
        <v>104</v>
      </c>
      <c r="Z283">
        <v>83</v>
      </c>
      <c r="AA283" t="s">
        <v>31</v>
      </c>
      <c r="AB283">
        <v>132</v>
      </c>
      <c r="AC283" s="23">
        <v>2.87</v>
      </c>
      <c r="AD283" t="str">
        <f>IF(AND('CVD Dataset'!AA283="Normal",'CVD Dataset'!AB283&gt;AVERAGE('CVD Dataset'!AB:AB),'CVD Dataset'!AF283="High"),"High Lipid Category","Normal Category")</f>
        <v>Normal Category</v>
      </c>
      <c r="AE283">
        <v>20.260000000000002</v>
      </c>
      <c r="AF283" t="s">
        <v>32</v>
      </c>
      <c r="AG283">
        <v>0</v>
      </c>
      <c r="AH283" t="s">
        <v>1379</v>
      </c>
      <c r="AI283">
        <f t="shared" si="19"/>
        <v>1</v>
      </c>
      <c r="AJ283" t="s">
        <v>1392</v>
      </c>
    </row>
    <row r="284" spans="1:36" x14ac:dyDescent="0.3">
      <c r="A284" t="s">
        <v>33</v>
      </c>
      <c r="B284">
        <v>34</v>
      </c>
      <c r="C284">
        <v>99.4</v>
      </c>
      <c r="D284">
        <v>1.7</v>
      </c>
      <c r="E284">
        <v>34.4</v>
      </c>
      <c r="F284">
        <f t="shared" si="17"/>
        <v>34.394463667820077</v>
      </c>
      <c r="G284">
        <f t="shared" si="20"/>
        <v>0</v>
      </c>
      <c r="H284" t="s">
        <v>1399</v>
      </c>
      <c r="I284">
        <v>87.4</v>
      </c>
      <c r="J284" t="s">
        <v>210</v>
      </c>
      <c r="K284" s="24">
        <v>111</v>
      </c>
      <c r="L284" s="24">
        <v>84</v>
      </c>
      <c r="M284">
        <v>113</v>
      </c>
      <c r="N284" t="s">
        <v>1434</v>
      </c>
      <c r="O284">
        <v>33</v>
      </c>
      <c r="P284">
        <v>116</v>
      </c>
      <c r="Q284" t="s">
        <v>25</v>
      </c>
      <c r="R284" t="s">
        <v>24</v>
      </c>
      <c r="S284" t="s">
        <v>26</v>
      </c>
      <c r="T284" t="s">
        <v>24</v>
      </c>
      <c r="U284">
        <f t="shared" si="18"/>
        <v>2</v>
      </c>
      <c r="V284">
        <v>170</v>
      </c>
      <c r="W284">
        <v>0.51400000000000001</v>
      </c>
      <c r="X284" t="s">
        <v>1406</v>
      </c>
      <c r="Y284">
        <v>111</v>
      </c>
      <c r="Z284">
        <v>84</v>
      </c>
      <c r="AA284" t="s">
        <v>31</v>
      </c>
      <c r="AB284">
        <v>50</v>
      </c>
      <c r="AC284" s="23">
        <v>1.52</v>
      </c>
      <c r="AD284" t="str">
        <f>IF(AND('CVD Dataset'!AA284="Normal",'CVD Dataset'!AB284&gt;AVERAGE('CVD Dataset'!AB:AB),'CVD Dataset'!AF284="High"),"High Lipid Category","Normal Category")</f>
        <v>Normal Category</v>
      </c>
      <c r="AE284">
        <v>14.69</v>
      </c>
      <c r="AF284" t="s">
        <v>32</v>
      </c>
      <c r="AG284">
        <v>0</v>
      </c>
      <c r="AH284" t="s">
        <v>1379</v>
      </c>
      <c r="AI284">
        <f t="shared" si="19"/>
        <v>1</v>
      </c>
      <c r="AJ284" t="s">
        <v>1391</v>
      </c>
    </row>
    <row r="285" spans="1:36" x14ac:dyDescent="0.3">
      <c r="A285" t="s">
        <v>22</v>
      </c>
      <c r="B285">
        <v>60</v>
      </c>
      <c r="C285">
        <v>53.4</v>
      </c>
      <c r="D285">
        <v>1.88</v>
      </c>
      <c r="E285">
        <v>15.1</v>
      </c>
      <c r="F285">
        <f t="shared" si="17"/>
        <v>15.108646446355818</v>
      </c>
      <c r="G285">
        <f t="shared" si="20"/>
        <v>0</v>
      </c>
      <c r="H285" t="s">
        <v>1401</v>
      </c>
      <c r="I285">
        <v>79.8</v>
      </c>
      <c r="J285" t="s">
        <v>300</v>
      </c>
      <c r="K285" s="24">
        <v>147</v>
      </c>
      <c r="L285" s="24">
        <v>64</v>
      </c>
      <c r="M285">
        <v>146</v>
      </c>
      <c r="N285" t="s">
        <v>1434</v>
      </c>
      <c r="O285">
        <v>44</v>
      </c>
      <c r="P285">
        <v>127</v>
      </c>
      <c r="Q285" t="s">
        <v>24</v>
      </c>
      <c r="R285" t="s">
        <v>24</v>
      </c>
      <c r="S285" t="s">
        <v>30</v>
      </c>
      <c r="T285" t="s">
        <v>25</v>
      </c>
      <c r="U285">
        <f t="shared" si="18"/>
        <v>1</v>
      </c>
      <c r="V285">
        <v>188</v>
      </c>
      <c r="W285">
        <v>0.42399999999999999</v>
      </c>
      <c r="X285" t="s">
        <v>1408</v>
      </c>
      <c r="Y285">
        <v>147</v>
      </c>
      <c r="Z285">
        <v>64</v>
      </c>
      <c r="AA285" t="s">
        <v>40</v>
      </c>
      <c r="AB285">
        <v>72</v>
      </c>
      <c r="AC285" s="23">
        <v>1.64</v>
      </c>
      <c r="AD285" t="str">
        <f>IF(AND('CVD Dataset'!AA285="Normal",'CVD Dataset'!AB285&gt;AVERAGE('CVD Dataset'!AB:AB),'CVD Dataset'!AF285="High"),"High Lipid Category","Normal Category")</f>
        <v>Normal Category</v>
      </c>
      <c r="AE285">
        <v>13.29</v>
      </c>
      <c r="AF285" t="s">
        <v>28</v>
      </c>
      <c r="AG285">
        <v>0</v>
      </c>
      <c r="AH285" t="s">
        <v>1380</v>
      </c>
      <c r="AI285">
        <f t="shared" si="19"/>
        <v>0</v>
      </c>
      <c r="AJ285" t="s">
        <v>1391</v>
      </c>
    </row>
    <row r="286" spans="1:36" x14ac:dyDescent="0.3">
      <c r="A286" t="s">
        <v>22</v>
      </c>
      <c r="B286">
        <v>34</v>
      </c>
      <c r="C286">
        <v>94</v>
      </c>
      <c r="D286">
        <v>1.6</v>
      </c>
      <c r="E286">
        <v>36.700000000000003</v>
      </c>
      <c r="F286">
        <f t="shared" si="17"/>
        <v>36.718749999999993</v>
      </c>
      <c r="G286">
        <f t="shared" si="20"/>
        <v>0</v>
      </c>
      <c r="H286" t="s">
        <v>1399</v>
      </c>
      <c r="I286">
        <v>84.7</v>
      </c>
      <c r="J286" t="s">
        <v>301</v>
      </c>
      <c r="K286" s="24">
        <v>117</v>
      </c>
      <c r="L286" s="24">
        <v>69</v>
      </c>
      <c r="M286">
        <v>156</v>
      </c>
      <c r="N286" t="s">
        <v>1433</v>
      </c>
      <c r="O286">
        <v>80</v>
      </c>
      <c r="P286">
        <v>90</v>
      </c>
      <c r="Q286" t="s">
        <v>25</v>
      </c>
      <c r="R286" t="s">
        <v>24</v>
      </c>
      <c r="S286" t="s">
        <v>26</v>
      </c>
      <c r="T286" t="s">
        <v>25</v>
      </c>
      <c r="U286">
        <f t="shared" si="18"/>
        <v>3</v>
      </c>
      <c r="V286">
        <v>160</v>
      </c>
      <c r="W286">
        <v>0.52900000000000003</v>
      </c>
      <c r="X286" t="s">
        <v>1407</v>
      </c>
      <c r="Y286">
        <v>117</v>
      </c>
      <c r="Z286">
        <v>69</v>
      </c>
      <c r="AA286" t="s">
        <v>35</v>
      </c>
      <c r="AB286">
        <v>46</v>
      </c>
      <c r="AC286" s="23">
        <v>0.57999999999999996</v>
      </c>
      <c r="AD286" t="str">
        <f>IF(AND('CVD Dataset'!AA286="Normal",'CVD Dataset'!AB286&gt;AVERAGE('CVD Dataset'!AB:AB),'CVD Dataset'!AF286="High"),"High Lipid Category","Normal Category")</f>
        <v>Normal Category</v>
      </c>
      <c r="AE286">
        <v>16.309999999999999</v>
      </c>
      <c r="AF286" t="s">
        <v>32</v>
      </c>
      <c r="AG286">
        <v>1</v>
      </c>
      <c r="AH286" t="s">
        <v>1379</v>
      </c>
      <c r="AI286">
        <f t="shared" si="19"/>
        <v>1</v>
      </c>
      <c r="AJ286" t="s">
        <v>1391</v>
      </c>
    </row>
    <row r="287" spans="1:36" x14ac:dyDescent="0.3">
      <c r="A287" t="s">
        <v>33</v>
      </c>
      <c r="B287">
        <v>32</v>
      </c>
      <c r="C287">
        <v>55.1</v>
      </c>
      <c r="D287">
        <v>1.76</v>
      </c>
      <c r="E287">
        <v>17.8</v>
      </c>
      <c r="F287">
        <f t="shared" si="17"/>
        <v>17.787964876033058</v>
      </c>
      <c r="G287">
        <f t="shared" si="20"/>
        <v>0</v>
      </c>
      <c r="H287" t="s">
        <v>1401</v>
      </c>
      <c r="I287">
        <v>107.6</v>
      </c>
      <c r="J287" t="s">
        <v>302</v>
      </c>
      <c r="K287" s="24">
        <v>115</v>
      </c>
      <c r="L287" s="24">
        <v>100</v>
      </c>
      <c r="M287">
        <v>243</v>
      </c>
      <c r="N287" t="s">
        <v>1432</v>
      </c>
      <c r="O287">
        <v>42</v>
      </c>
      <c r="P287">
        <v>88</v>
      </c>
      <c r="Q287" t="s">
        <v>24</v>
      </c>
      <c r="R287" t="s">
        <v>25</v>
      </c>
      <c r="S287" t="s">
        <v>39</v>
      </c>
      <c r="T287" t="s">
        <v>24</v>
      </c>
      <c r="U287">
        <f t="shared" si="18"/>
        <v>1</v>
      </c>
      <c r="V287">
        <v>176</v>
      </c>
      <c r="X287" t="s">
        <v>1410</v>
      </c>
      <c r="Y287">
        <v>115</v>
      </c>
      <c r="Z287">
        <v>100</v>
      </c>
      <c r="AA287" t="s">
        <v>40</v>
      </c>
      <c r="AB287">
        <v>171</v>
      </c>
      <c r="AC287" s="23">
        <v>4.07</v>
      </c>
      <c r="AD287" t="str">
        <f>IF(AND('CVD Dataset'!AA287="Normal",'CVD Dataset'!AB287&gt;AVERAGE('CVD Dataset'!AB:AB),'CVD Dataset'!AF287="High"),"High Lipid Category","Normal Category")</f>
        <v>Normal Category</v>
      </c>
      <c r="AE287">
        <v>16.170000000000002</v>
      </c>
      <c r="AF287" t="s">
        <v>28</v>
      </c>
      <c r="AG287">
        <v>0</v>
      </c>
      <c r="AH287" t="s">
        <v>1380</v>
      </c>
      <c r="AI287">
        <f t="shared" si="19"/>
        <v>0</v>
      </c>
      <c r="AJ287" t="s">
        <v>1391</v>
      </c>
    </row>
    <row r="288" spans="1:36" x14ac:dyDescent="0.3">
      <c r="A288" t="s">
        <v>33</v>
      </c>
      <c r="B288">
        <v>55</v>
      </c>
      <c r="C288">
        <v>69.3</v>
      </c>
      <c r="D288">
        <v>1.79</v>
      </c>
      <c r="E288">
        <v>21.6</v>
      </c>
      <c r="F288">
        <f t="shared" si="17"/>
        <v>21.62853843512999</v>
      </c>
      <c r="G288">
        <f t="shared" si="20"/>
        <v>0</v>
      </c>
      <c r="H288" t="s">
        <v>1398</v>
      </c>
      <c r="J288" t="s">
        <v>303</v>
      </c>
      <c r="K288" s="24">
        <v>141</v>
      </c>
      <c r="L288" s="24">
        <v>85</v>
      </c>
      <c r="M288">
        <v>224</v>
      </c>
      <c r="N288" t="s">
        <v>1432</v>
      </c>
      <c r="O288">
        <v>43</v>
      </c>
      <c r="P288">
        <v>141</v>
      </c>
      <c r="Q288" t="s">
        <v>24</v>
      </c>
      <c r="R288" t="s">
        <v>25</v>
      </c>
      <c r="S288" t="s">
        <v>30</v>
      </c>
      <c r="T288" t="s">
        <v>25</v>
      </c>
      <c r="U288">
        <f t="shared" si="18"/>
        <v>2</v>
      </c>
      <c r="V288">
        <v>179</v>
      </c>
      <c r="W288">
        <v>0.53</v>
      </c>
      <c r="X288" t="s">
        <v>1407</v>
      </c>
      <c r="Y288">
        <v>141</v>
      </c>
      <c r="Z288">
        <v>85</v>
      </c>
      <c r="AA288" t="s">
        <v>31</v>
      </c>
      <c r="AB288">
        <v>151</v>
      </c>
      <c r="AC288" s="23">
        <v>3.51</v>
      </c>
      <c r="AD288" t="str">
        <f>IF(AND('CVD Dataset'!AA288="Normal",'CVD Dataset'!AB288&gt;AVERAGE('CVD Dataset'!AB:AB),'CVD Dataset'!AF288="High"),"High Lipid Category","Normal Category")</f>
        <v>Normal Category</v>
      </c>
      <c r="AE288">
        <v>17.850000000000001</v>
      </c>
      <c r="AF288" t="s">
        <v>32</v>
      </c>
      <c r="AG288">
        <v>0</v>
      </c>
      <c r="AH288" t="s">
        <v>1379</v>
      </c>
      <c r="AI288">
        <f t="shared" si="19"/>
        <v>1</v>
      </c>
      <c r="AJ288" t="s">
        <v>1392</v>
      </c>
    </row>
    <row r="289" spans="1:36" x14ac:dyDescent="0.3">
      <c r="A289" t="s">
        <v>33</v>
      </c>
      <c r="B289">
        <v>48</v>
      </c>
      <c r="C289">
        <v>72.2</v>
      </c>
      <c r="D289">
        <v>1.72</v>
      </c>
      <c r="E289">
        <v>24.4</v>
      </c>
      <c r="F289">
        <f t="shared" si="17"/>
        <v>24.405083829096814</v>
      </c>
      <c r="G289">
        <f t="shared" si="20"/>
        <v>0</v>
      </c>
      <c r="H289" t="s">
        <v>1398</v>
      </c>
      <c r="I289">
        <v>86.9</v>
      </c>
      <c r="J289" t="s">
        <v>304</v>
      </c>
      <c r="K289" s="24">
        <v>110</v>
      </c>
      <c r="L289" s="24">
        <v>77</v>
      </c>
      <c r="M289">
        <v>127</v>
      </c>
      <c r="N289" t="s">
        <v>1434</v>
      </c>
      <c r="O289">
        <v>35</v>
      </c>
      <c r="Q289" t="s">
        <v>25</v>
      </c>
      <c r="R289" t="s">
        <v>24</v>
      </c>
      <c r="S289" t="s">
        <v>30</v>
      </c>
      <c r="T289" t="s">
        <v>24</v>
      </c>
      <c r="U289">
        <f t="shared" si="18"/>
        <v>1</v>
      </c>
      <c r="V289">
        <v>172</v>
      </c>
      <c r="X289" t="s">
        <v>1410</v>
      </c>
      <c r="Y289">
        <v>110</v>
      </c>
      <c r="Z289">
        <v>77</v>
      </c>
      <c r="AA289" t="s">
        <v>35</v>
      </c>
      <c r="AB289">
        <v>62</v>
      </c>
      <c r="AC289" s="23">
        <v>1.77</v>
      </c>
      <c r="AD289" t="str">
        <f>IF(AND('CVD Dataset'!AA289="Normal",'CVD Dataset'!AB289&gt;AVERAGE('CVD Dataset'!AB:AB),'CVD Dataset'!AF289="High"),"High Lipid Category","Normal Category")</f>
        <v>Normal Category</v>
      </c>
      <c r="AE289">
        <v>12.92</v>
      </c>
      <c r="AF289" t="s">
        <v>28</v>
      </c>
      <c r="AG289">
        <v>0</v>
      </c>
      <c r="AH289" t="s">
        <v>1380</v>
      </c>
      <c r="AI289">
        <f t="shared" si="19"/>
        <v>0</v>
      </c>
      <c r="AJ289" t="s">
        <v>1391</v>
      </c>
    </row>
    <row r="290" spans="1:36" x14ac:dyDescent="0.3">
      <c r="A290" t="s">
        <v>22</v>
      </c>
      <c r="B290">
        <v>56</v>
      </c>
      <c r="C290">
        <v>77.7</v>
      </c>
      <c r="D290">
        <v>1.62</v>
      </c>
      <c r="E290">
        <v>29.6</v>
      </c>
      <c r="F290">
        <f t="shared" si="17"/>
        <v>29.606767261088244</v>
      </c>
      <c r="G290">
        <f t="shared" si="20"/>
        <v>0</v>
      </c>
      <c r="H290" t="s">
        <v>1400</v>
      </c>
      <c r="I290">
        <v>94.7</v>
      </c>
      <c r="J290" t="s">
        <v>88</v>
      </c>
      <c r="K290" s="24">
        <v>102</v>
      </c>
      <c r="L290" s="24">
        <v>71</v>
      </c>
      <c r="N290" t="s">
        <v>1434</v>
      </c>
      <c r="O290">
        <v>52</v>
      </c>
      <c r="P290">
        <v>144</v>
      </c>
      <c r="Q290" t="s">
        <v>24</v>
      </c>
      <c r="R290" t="s">
        <v>24</v>
      </c>
      <c r="S290" t="s">
        <v>26</v>
      </c>
      <c r="T290" t="s">
        <v>24</v>
      </c>
      <c r="U290">
        <f t="shared" si="18"/>
        <v>1</v>
      </c>
      <c r="V290">
        <v>162</v>
      </c>
      <c r="W290">
        <v>0.58499999999999996</v>
      </c>
      <c r="X290" t="s">
        <v>1409</v>
      </c>
      <c r="Y290">
        <v>102</v>
      </c>
      <c r="Z290">
        <v>71</v>
      </c>
      <c r="AA290" t="s">
        <v>35</v>
      </c>
      <c r="AB290">
        <v>188</v>
      </c>
      <c r="AC290" s="23">
        <v>3.62</v>
      </c>
      <c r="AD290" t="str">
        <f>IF(AND('CVD Dataset'!AA290="Normal",'CVD Dataset'!AB290&gt;AVERAGE('CVD Dataset'!AB:AB),'CVD Dataset'!AF290="High"),"High Lipid Category","Normal Category")</f>
        <v>High Lipid Category</v>
      </c>
      <c r="AE290">
        <v>16.420000000000002</v>
      </c>
      <c r="AF290" t="s">
        <v>32</v>
      </c>
      <c r="AG290">
        <v>0</v>
      </c>
      <c r="AH290" t="s">
        <v>1379</v>
      </c>
      <c r="AI290">
        <f t="shared" si="19"/>
        <v>1</v>
      </c>
      <c r="AJ290" t="s">
        <v>1391</v>
      </c>
    </row>
    <row r="291" spans="1:36" x14ac:dyDescent="0.3">
      <c r="A291" t="s">
        <v>22</v>
      </c>
      <c r="B291">
        <v>47</v>
      </c>
      <c r="C291">
        <v>112.9</v>
      </c>
      <c r="D291">
        <v>1.75</v>
      </c>
      <c r="E291">
        <v>36.9</v>
      </c>
      <c r="F291">
        <f t="shared" si="17"/>
        <v>36.865306122448985</v>
      </c>
      <c r="G291">
        <f t="shared" si="20"/>
        <v>0</v>
      </c>
      <c r="H291" t="s">
        <v>1399</v>
      </c>
      <c r="I291">
        <v>98</v>
      </c>
      <c r="J291" t="s">
        <v>305</v>
      </c>
      <c r="K291" s="24">
        <v>136</v>
      </c>
      <c r="L291" s="24">
        <v>85</v>
      </c>
      <c r="M291">
        <v>163</v>
      </c>
      <c r="N291" t="s">
        <v>1433</v>
      </c>
      <c r="O291">
        <v>64</v>
      </c>
      <c r="P291">
        <v>82</v>
      </c>
      <c r="Q291" t="s">
        <v>25</v>
      </c>
      <c r="R291" t="s">
        <v>25</v>
      </c>
      <c r="S291" t="s">
        <v>30</v>
      </c>
      <c r="T291" t="s">
        <v>25</v>
      </c>
      <c r="U291">
        <f t="shared" si="18"/>
        <v>3</v>
      </c>
      <c r="V291">
        <v>175</v>
      </c>
      <c r="X291" t="s">
        <v>1410</v>
      </c>
      <c r="Y291">
        <v>136</v>
      </c>
      <c r="Z291">
        <v>85</v>
      </c>
      <c r="AA291" t="s">
        <v>31</v>
      </c>
      <c r="AB291">
        <v>69</v>
      </c>
      <c r="AC291" s="23">
        <v>1.08</v>
      </c>
      <c r="AD291" t="str">
        <f>IF(AND('CVD Dataset'!AA291="Normal",'CVD Dataset'!AB291&gt;AVERAGE('CVD Dataset'!AB:AB),'CVD Dataset'!AF291="High"),"High Lipid Category","Normal Category")</f>
        <v>Normal Category</v>
      </c>
      <c r="AE291">
        <v>19.440000000000001</v>
      </c>
      <c r="AF291" t="s">
        <v>32</v>
      </c>
      <c r="AG291">
        <v>1</v>
      </c>
      <c r="AH291" t="s">
        <v>1379</v>
      </c>
      <c r="AI291">
        <f t="shared" si="19"/>
        <v>1</v>
      </c>
      <c r="AJ291" t="s">
        <v>1391</v>
      </c>
    </row>
    <row r="292" spans="1:36" x14ac:dyDescent="0.3">
      <c r="A292" t="s">
        <v>33</v>
      </c>
      <c r="B292">
        <v>59</v>
      </c>
      <c r="C292">
        <v>104.6</v>
      </c>
      <c r="D292">
        <v>1.67</v>
      </c>
      <c r="E292">
        <v>37.5</v>
      </c>
      <c r="F292">
        <f t="shared" si="17"/>
        <v>37.505826670013263</v>
      </c>
      <c r="G292">
        <f t="shared" si="20"/>
        <v>0</v>
      </c>
      <c r="H292" t="s">
        <v>1399</v>
      </c>
      <c r="I292">
        <v>108.7</v>
      </c>
      <c r="J292" t="s">
        <v>306</v>
      </c>
      <c r="K292" s="24">
        <v>145</v>
      </c>
      <c r="L292" s="24">
        <v>62</v>
      </c>
      <c r="M292">
        <v>152</v>
      </c>
      <c r="N292" t="s">
        <v>1433</v>
      </c>
      <c r="O292">
        <v>67</v>
      </c>
      <c r="P292">
        <v>83</v>
      </c>
      <c r="Q292" t="s">
        <v>24</v>
      </c>
      <c r="R292" t="s">
        <v>25</v>
      </c>
      <c r="S292" t="s">
        <v>39</v>
      </c>
      <c r="T292" t="s">
        <v>25</v>
      </c>
      <c r="U292">
        <f t="shared" si="18"/>
        <v>2</v>
      </c>
      <c r="V292">
        <v>167</v>
      </c>
      <c r="W292">
        <v>0.65100000000000002</v>
      </c>
      <c r="X292" t="s">
        <v>1409</v>
      </c>
      <c r="Y292">
        <v>145</v>
      </c>
      <c r="Z292">
        <v>62</v>
      </c>
      <c r="AA292" t="s">
        <v>40</v>
      </c>
      <c r="AB292">
        <v>55</v>
      </c>
      <c r="AC292" s="23">
        <v>0.82</v>
      </c>
      <c r="AD292" t="str">
        <f>IF(AND('CVD Dataset'!AA292="Normal",'CVD Dataset'!AB292&gt;AVERAGE('CVD Dataset'!AB:AB),'CVD Dataset'!AF292="High"),"High Lipid Category","Normal Category")</f>
        <v>Normal Category</v>
      </c>
      <c r="AE292">
        <v>19.79</v>
      </c>
      <c r="AF292" t="s">
        <v>32</v>
      </c>
      <c r="AG292">
        <v>1</v>
      </c>
      <c r="AH292" t="s">
        <v>1379</v>
      </c>
      <c r="AI292">
        <f t="shared" si="19"/>
        <v>1</v>
      </c>
      <c r="AJ292" t="s">
        <v>1392</v>
      </c>
    </row>
    <row r="293" spans="1:36" x14ac:dyDescent="0.3">
      <c r="A293" t="s">
        <v>33</v>
      </c>
      <c r="B293">
        <v>42</v>
      </c>
      <c r="C293">
        <v>67.599999999999994</v>
      </c>
      <c r="D293">
        <v>1.81</v>
      </c>
      <c r="E293">
        <v>20.6</v>
      </c>
      <c r="F293">
        <f t="shared" si="17"/>
        <v>20.634290772564938</v>
      </c>
      <c r="G293">
        <f t="shared" si="20"/>
        <v>0</v>
      </c>
      <c r="H293" t="s">
        <v>1398</v>
      </c>
      <c r="I293">
        <v>98.3</v>
      </c>
      <c r="J293" t="s">
        <v>307</v>
      </c>
      <c r="K293" s="24">
        <v>113</v>
      </c>
      <c r="L293" s="24">
        <v>72</v>
      </c>
      <c r="M293">
        <v>258</v>
      </c>
      <c r="N293" t="s">
        <v>1432</v>
      </c>
      <c r="O293">
        <v>69</v>
      </c>
      <c r="P293">
        <v>80</v>
      </c>
      <c r="Q293" t="s">
        <v>25</v>
      </c>
      <c r="R293" t="s">
        <v>25</v>
      </c>
      <c r="S293" t="s">
        <v>39</v>
      </c>
      <c r="T293" t="s">
        <v>24</v>
      </c>
      <c r="U293">
        <f t="shared" si="18"/>
        <v>2</v>
      </c>
      <c r="V293">
        <v>181</v>
      </c>
      <c r="W293">
        <v>0.54300000000000004</v>
      </c>
      <c r="X293" t="s">
        <v>1407</v>
      </c>
      <c r="Y293">
        <v>113</v>
      </c>
      <c r="Z293">
        <v>72</v>
      </c>
      <c r="AA293" t="s">
        <v>35</v>
      </c>
      <c r="AB293">
        <v>159</v>
      </c>
      <c r="AC293" s="23">
        <v>2.2999999999999998</v>
      </c>
      <c r="AD293" t="str">
        <f>IF(AND('CVD Dataset'!AA293="Normal",'CVD Dataset'!AB293&gt;AVERAGE('CVD Dataset'!AB:AB),'CVD Dataset'!AF293="High"),"High Lipid Category","Normal Category")</f>
        <v>Normal Category</v>
      </c>
      <c r="AE293">
        <v>16.93</v>
      </c>
      <c r="AF293" t="s">
        <v>28</v>
      </c>
      <c r="AG293">
        <v>0</v>
      </c>
      <c r="AH293" t="s">
        <v>1380</v>
      </c>
      <c r="AI293">
        <f t="shared" si="19"/>
        <v>0</v>
      </c>
      <c r="AJ293" t="s">
        <v>1391</v>
      </c>
    </row>
    <row r="294" spans="1:36" x14ac:dyDescent="0.3">
      <c r="A294" t="s">
        <v>22</v>
      </c>
      <c r="B294">
        <v>44</v>
      </c>
      <c r="C294">
        <v>110.3</v>
      </c>
      <c r="D294">
        <v>1.7</v>
      </c>
      <c r="E294">
        <v>38.200000000000003</v>
      </c>
      <c r="F294">
        <f t="shared" si="17"/>
        <v>38.16608996539793</v>
      </c>
      <c r="G294">
        <f t="shared" si="20"/>
        <v>0</v>
      </c>
      <c r="H294" t="s">
        <v>1399</v>
      </c>
      <c r="I294">
        <v>100.9</v>
      </c>
      <c r="J294" t="s">
        <v>308</v>
      </c>
      <c r="K294" s="24">
        <v>123</v>
      </c>
      <c r="L294" s="24">
        <v>75</v>
      </c>
      <c r="M294">
        <v>139</v>
      </c>
      <c r="N294" t="s">
        <v>1434</v>
      </c>
      <c r="O294">
        <v>34</v>
      </c>
      <c r="P294">
        <v>86</v>
      </c>
      <c r="Q294" t="s">
        <v>25</v>
      </c>
      <c r="R294" t="s">
        <v>24</v>
      </c>
      <c r="S294" t="s">
        <v>26</v>
      </c>
      <c r="T294" t="s">
        <v>25</v>
      </c>
      <c r="U294">
        <f t="shared" si="18"/>
        <v>3</v>
      </c>
      <c r="V294">
        <v>170</v>
      </c>
      <c r="X294" t="s">
        <v>1410</v>
      </c>
      <c r="Y294">
        <v>123</v>
      </c>
      <c r="Z294">
        <v>75</v>
      </c>
      <c r="AA294" t="s">
        <v>27</v>
      </c>
      <c r="AB294">
        <v>75</v>
      </c>
      <c r="AC294" s="23">
        <v>2.21</v>
      </c>
      <c r="AD294" t="str">
        <f>IF(AND('CVD Dataset'!AA294="Normal",'CVD Dataset'!AB294&gt;AVERAGE('CVD Dataset'!AB:AB),'CVD Dataset'!AF294="High"),"High Lipid Category","Normal Category")</f>
        <v>Normal Category</v>
      </c>
      <c r="AE294">
        <v>16.57</v>
      </c>
      <c r="AF294" t="s">
        <v>32</v>
      </c>
      <c r="AG294">
        <v>0</v>
      </c>
      <c r="AH294" t="s">
        <v>1379</v>
      </c>
      <c r="AI294">
        <f t="shared" si="19"/>
        <v>1</v>
      </c>
      <c r="AJ294" t="s">
        <v>1391</v>
      </c>
    </row>
    <row r="295" spans="1:36" x14ac:dyDescent="0.3">
      <c r="A295" t="s">
        <v>22</v>
      </c>
      <c r="B295">
        <v>59</v>
      </c>
      <c r="C295">
        <v>78.8</v>
      </c>
      <c r="D295">
        <v>1.76</v>
      </c>
      <c r="E295">
        <v>25.4</v>
      </c>
      <c r="F295">
        <f t="shared" si="17"/>
        <v>25.439049586776861</v>
      </c>
      <c r="G295">
        <f t="shared" si="20"/>
        <v>0</v>
      </c>
      <c r="H295" t="s">
        <v>1400</v>
      </c>
      <c r="I295">
        <v>84</v>
      </c>
      <c r="J295" t="s">
        <v>309</v>
      </c>
      <c r="K295" s="24">
        <v>99</v>
      </c>
      <c r="L295" s="24">
        <v>75</v>
      </c>
      <c r="M295">
        <v>105</v>
      </c>
      <c r="N295" t="s">
        <v>1434</v>
      </c>
      <c r="O295">
        <v>60</v>
      </c>
      <c r="P295">
        <v>99</v>
      </c>
      <c r="Q295" t="s">
        <v>24</v>
      </c>
      <c r="R295" t="s">
        <v>24</v>
      </c>
      <c r="S295" t="s">
        <v>39</v>
      </c>
      <c r="T295" t="s">
        <v>24</v>
      </c>
      <c r="U295">
        <f t="shared" si="18"/>
        <v>0</v>
      </c>
      <c r="V295">
        <v>176</v>
      </c>
      <c r="X295" t="s">
        <v>1410</v>
      </c>
      <c r="Y295">
        <v>99</v>
      </c>
      <c r="Z295">
        <v>75</v>
      </c>
      <c r="AA295" t="s">
        <v>35</v>
      </c>
      <c r="AB295">
        <v>15</v>
      </c>
      <c r="AC295" s="23">
        <v>0.25</v>
      </c>
      <c r="AD295" t="str">
        <f>IF(AND('CVD Dataset'!AA295="Normal",'CVD Dataset'!AB295&gt;AVERAGE('CVD Dataset'!AB:AB),'CVD Dataset'!AF295="High"),"High Lipid Category","Normal Category")</f>
        <v>Normal Category</v>
      </c>
      <c r="AE295">
        <v>12.13</v>
      </c>
      <c r="AF295" t="s">
        <v>28</v>
      </c>
      <c r="AG295">
        <v>0</v>
      </c>
      <c r="AH295" t="s">
        <v>1380</v>
      </c>
      <c r="AI295">
        <f t="shared" si="19"/>
        <v>0</v>
      </c>
      <c r="AJ295" t="s">
        <v>1391</v>
      </c>
    </row>
    <row r="296" spans="1:36" x14ac:dyDescent="0.3">
      <c r="A296" t="s">
        <v>22</v>
      </c>
      <c r="B296">
        <v>49</v>
      </c>
      <c r="C296">
        <v>61.5</v>
      </c>
      <c r="D296">
        <v>1.86</v>
      </c>
      <c r="E296">
        <v>17.8</v>
      </c>
      <c r="F296">
        <f t="shared" si="17"/>
        <v>17.776621574748525</v>
      </c>
      <c r="G296">
        <f t="shared" si="20"/>
        <v>0</v>
      </c>
      <c r="H296" t="s">
        <v>1401</v>
      </c>
      <c r="I296">
        <v>102.5</v>
      </c>
      <c r="J296" t="s">
        <v>310</v>
      </c>
      <c r="K296" s="24">
        <v>106</v>
      </c>
      <c r="L296" s="24">
        <v>61</v>
      </c>
      <c r="M296">
        <v>151</v>
      </c>
      <c r="N296" t="s">
        <v>1433</v>
      </c>
      <c r="O296">
        <v>80</v>
      </c>
      <c r="P296">
        <v>92</v>
      </c>
      <c r="Q296" t="s">
        <v>24</v>
      </c>
      <c r="R296" t="s">
        <v>25</v>
      </c>
      <c r="S296" t="s">
        <v>30</v>
      </c>
      <c r="T296" t="s">
        <v>25</v>
      </c>
      <c r="U296">
        <f t="shared" si="18"/>
        <v>2</v>
      </c>
      <c r="V296">
        <v>186</v>
      </c>
      <c r="W296">
        <v>0.55100000000000005</v>
      </c>
      <c r="X296" t="s">
        <v>1407</v>
      </c>
      <c r="Y296">
        <v>106</v>
      </c>
      <c r="Z296">
        <v>61</v>
      </c>
      <c r="AA296" t="s">
        <v>35</v>
      </c>
      <c r="AB296">
        <v>41</v>
      </c>
      <c r="AC296" s="23">
        <v>0.51</v>
      </c>
      <c r="AD296" t="str">
        <f>IF(AND('CVD Dataset'!AA296="Normal",'CVD Dataset'!AB296&gt;AVERAGE('CVD Dataset'!AB:AB),'CVD Dataset'!AF296="High"),"High Lipid Category","Normal Category")</f>
        <v>Normal Category</v>
      </c>
      <c r="AE296">
        <v>13.88</v>
      </c>
      <c r="AF296" t="s">
        <v>28</v>
      </c>
      <c r="AG296">
        <v>0</v>
      </c>
      <c r="AH296" t="s">
        <v>1380</v>
      </c>
      <c r="AI296">
        <f t="shared" si="19"/>
        <v>0</v>
      </c>
      <c r="AJ296" t="s">
        <v>1391</v>
      </c>
    </row>
    <row r="297" spans="1:36" x14ac:dyDescent="0.3">
      <c r="A297" t="s">
        <v>33</v>
      </c>
      <c r="B297">
        <v>35</v>
      </c>
      <c r="C297">
        <v>71.8</v>
      </c>
      <c r="D297">
        <v>1.61</v>
      </c>
      <c r="E297">
        <v>27.7</v>
      </c>
      <c r="F297">
        <f t="shared" si="17"/>
        <v>27.699548628525129</v>
      </c>
      <c r="G297">
        <f t="shared" si="20"/>
        <v>0</v>
      </c>
      <c r="H297" t="s">
        <v>1400</v>
      </c>
      <c r="I297">
        <v>107.4</v>
      </c>
      <c r="J297" t="s">
        <v>311</v>
      </c>
      <c r="K297" s="24">
        <v>129</v>
      </c>
      <c r="L297" s="24">
        <v>77</v>
      </c>
      <c r="M297">
        <v>179</v>
      </c>
      <c r="N297" t="s">
        <v>1433</v>
      </c>
      <c r="O297">
        <v>77</v>
      </c>
      <c r="Q297" t="s">
        <v>24</v>
      </c>
      <c r="R297" t="s">
        <v>24</v>
      </c>
      <c r="S297" t="s">
        <v>30</v>
      </c>
      <c r="T297" t="s">
        <v>24</v>
      </c>
      <c r="U297">
        <f t="shared" si="18"/>
        <v>0</v>
      </c>
      <c r="V297">
        <v>161</v>
      </c>
      <c r="W297">
        <v>0.66700000000000004</v>
      </c>
      <c r="X297" t="s">
        <v>1409</v>
      </c>
      <c r="Z297">
        <v>77</v>
      </c>
      <c r="AA297" t="s">
        <v>27</v>
      </c>
      <c r="AB297">
        <v>72</v>
      </c>
      <c r="AC297" s="23">
        <v>0.94</v>
      </c>
      <c r="AD297" t="str">
        <f>IF(AND('CVD Dataset'!AA297="Normal",'CVD Dataset'!AB297&gt;AVERAGE('CVD Dataset'!AB:AB),'CVD Dataset'!AF297="High"),"High Lipid Category","Normal Category")</f>
        <v>Normal Category</v>
      </c>
      <c r="AE297">
        <v>15.57</v>
      </c>
      <c r="AF297" t="s">
        <v>54</v>
      </c>
      <c r="AG297">
        <v>0</v>
      </c>
      <c r="AH297" t="s">
        <v>1380</v>
      </c>
      <c r="AI297">
        <f t="shared" si="19"/>
        <v>0</v>
      </c>
      <c r="AJ297" t="s">
        <v>1391</v>
      </c>
    </row>
    <row r="298" spans="1:36" x14ac:dyDescent="0.3">
      <c r="A298" t="s">
        <v>33</v>
      </c>
      <c r="B298">
        <v>46</v>
      </c>
      <c r="C298">
        <v>78.8</v>
      </c>
      <c r="D298">
        <v>1.7</v>
      </c>
      <c r="E298">
        <v>27.3</v>
      </c>
      <c r="F298">
        <f t="shared" si="17"/>
        <v>27.26643598615917</v>
      </c>
      <c r="G298">
        <f t="shared" si="20"/>
        <v>0</v>
      </c>
      <c r="H298" t="s">
        <v>1400</v>
      </c>
      <c r="I298">
        <v>71.900000000000006</v>
      </c>
      <c r="J298" t="s">
        <v>312</v>
      </c>
      <c r="K298" s="24">
        <v>101</v>
      </c>
      <c r="L298" s="24">
        <v>78</v>
      </c>
      <c r="M298">
        <v>131</v>
      </c>
      <c r="N298" t="s">
        <v>1434</v>
      </c>
      <c r="O298">
        <v>62</v>
      </c>
      <c r="P298">
        <v>84</v>
      </c>
      <c r="Q298" t="s">
        <v>24</v>
      </c>
      <c r="R298" t="s">
        <v>25</v>
      </c>
      <c r="S298" t="s">
        <v>26</v>
      </c>
      <c r="T298" t="s">
        <v>25</v>
      </c>
      <c r="U298">
        <f t="shared" si="18"/>
        <v>3</v>
      </c>
      <c r="V298">
        <v>170</v>
      </c>
      <c r="W298">
        <v>0.42299999999999999</v>
      </c>
      <c r="X298" t="s">
        <v>1408</v>
      </c>
      <c r="Y298">
        <v>101</v>
      </c>
      <c r="Z298">
        <v>78</v>
      </c>
      <c r="AA298" t="s">
        <v>35</v>
      </c>
      <c r="AB298">
        <v>39</v>
      </c>
      <c r="AC298" s="23">
        <v>0.63</v>
      </c>
      <c r="AD298" t="str">
        <f>IF(AND('CVD Dataset'!AA298="Normal",'CVD Dataset'!AB298&gt;AVERAGE('CVD Dataset'!AB:AB),'CVD Dataset'!AF298="High"),"High Lipid Category","Normal Category")</f>
        <v>Normal Category</v>
      </c>
      <c r="AE298">
        <v>15.13</v>
      </c>
      <c r="AF298" t="s">
        <v>32</v>
      </c>
      <c r="AG298">
        <v>1</v>
      </c>
      <c r="AH298" t="s">
        <v>1379</v>
      </c>
      <c r="AI298">
        <f t="shared" si="19"/>
        <v>1</v>
      </c>
      <c r="AJ298" t="s">
        <v>1391</v>
      </c>
    </row>
    <row r="299" spans="1:36" x14ac:dyDescent="0.3">
      <c r="A299" t="s">
        <v>33</v>
      </c>
      <c r="B299">
        <v>45</v>
      </c>
      <c r="C299">
        <v>106.9</v>
      </c>
      <c r="D299">
        <v>1.79</v>
      </c>
      <c r="E299">
        <v>33.4</v>
      </c>
      <c r="F299">
        <f t="shared" si="17"/>
        <v>33.363503011766177</v>
      </c>
      <c r="G299">
        <f t="shared" si="20"/>
        <v>0</v>
      </c>
      <c r="H299" t="s">
        <v>1399</v>
      </c>
      <c r="I299">
        <v>94.5</v>
      </c>
      <c r="J299" t="s">
        <v>313</v>
      </c>
      <c r="K299" s="24">
        <v>98</v>
      </c>
      <c r="L299" s="24">
        <v>76</v>
      </c>
      <c r="M299">
        <v>228</v>
      </c>
      <c r="N299" t="s">
        <v>1432</v>
      </c>
      <c r="O299">
        <v>74</v>
      </c>
      <c r="P299">
        <v>140</v>
      </c>
      <c r="Q299" t="s">
        <v>25</v>
      </c>
      <c r="R299" t="s">
        <v>25</v>
      </c>
      <c r="S299" t="s">
        <v>39</v>
      </c>
      <c r="T299" t="s">
        <v>24</v>
      </c>
      <c r="U299">
        <f t="shared" si="18"/>
        <v>2</v>
      </c>
      <c r="V299">
        <v>179</v>
      </c>
      <c r="W299">
        <v>0.52800000000000002</v>
      </c>
      <c r="X299" t="s">
        <v>1407</v>
      </c>
      <c r="Y299">
        <v>98</v>
      </c>
      <c r="Z299">
        <v>76</v>
      </c>
      <c r="AA299" t="s">
        <v>35</v>
      </c>
      <c r="AB299">
        <v>124</v>
      </c>
      <c r="AC299" s="23">
        <v>1.68</v>
      </c>
      <c r="AD299" t="str">
        <f>IF(AND('CVD Dataset'!AA299="Normal",'CVD Dataset'!AB299&gt;AVERAGE('CVD Dataset'!AB:AB),'CVD Dataset'!AF299="High"),"High Lipid Category","Normal Category")</f>
        <v>High Lipid Category</v>
      </c>
      <c r="AE299">
        <v>18.14</v>
      </c>
      <c r="AF299" t="s">
        <v>32</v>
      </c>
      <c r="AG299">
        <v>1</v>
      </c>
      <c r="AH299" t="s">
        <v>1379</v>
      </c>
      <c r="AI299">
        <f t="shared" si="19"/>
        <v>1</v>
      </c>
      <c r="AJ299" t="s">
        <v>1391</v>
      </c>
    </row>
    <row r="300" spans="1:36" x14ac:dyDescent="0.3">
      <c r="A300" t="s">
        <v>33</v>
      </c>
      <c r="B300">
        <v>55</v>
      </c>
      <c r="C300">
        <v>83</v>
      </c>
      <c r="D300">
        <v>1.68</v>
      </c>
      <c r="E300">
        <v>29.4</v>
      </c>
      <c r="F300">
        <f t="shared" si="17"/>
        <v>29.407596371882089</v>
      </c>
      <c r="G300">
        <f t="shared" si="20"/>
        <v>0</v>
      </c>
      <c r="H300" t="s">
        <v>1400</v>
      </c>
      <c r="I300">
        <v>75.099999999999994</v>
      </c>
      <c r="J300" t="s">
        <v>314</v>
      </c>
      <c r="K300" s="24">
        <v>108</v>
      </c>
      <c r="L300" s="24">
        <v>67</v>
      </c>
      <c r="M300">
        <v>104</v>
      </c>
      <c r="N300" t="s">
        <v>1434</v>
      </c>
      <c r="O300">
        <v>65</v>
      </c>
      <c r="P300">
        <v>138</v>
      </c>
      <c r="Q300" t="s">
        <v>24</v>
      </c>
      <c r="R300" t="s">
        <v>24</v>
      </c>
      <c r="S300" t="s">
        <v>26</v>
      </c>
      <c r="T300" t="s">
        <v>24</v>
      </c>
      <c r="U300">
        <f t="shared" si="18"/>
        <v>1</v>
      </c>
      <c r="V300">
        <v>168</v>
      </c>
      <c r="W300">
        <v>0.44700000000000001</v>
      </c>
      <c r="X300" t="s">
        <v>1408</v>
      </c>
      <c r="Y300">
        <v>108</v>
      </c>
      <c r="AA300" t="s">
        <v>35</v>
      </c>
      <c r="AB300">
        <v>9</v>
      </c>
      <c r="AC300" s="23">
        <v>0.14000000000000001</v>
      </c>
      <c r="AD300" t="str">
        <f>IF(AND('CVD Dataset'!AA300="Normal",'CVD Dataset'!AB300&gt;AVERAGE('CVD Dataset'!AB:AB),'CVD Dataset'!AF300="High"),"High Lipid Category","Normal Category")</f>
        <v>Normal Category</v>
      </c>
      <c r="AE300">
        <v>13.36</v>
      </c>
      <c r="AF300" t="s">
        <v>28</v>
      </c>
      <c r="AG300">
        <v>0</v>
      </c>
      <c r="AH300" t="s">
        <v>1380</v>
      </c>
      <c r="AI300">
        <f t="shared" si="19"/>
        <v>0</v>
      </c>
      <c r="AJ300" t="s">
        <v>1391</v>
      </c>
    </row>
    <row r="301" spans="1:36" x14ac:dyDescent="0.3">
      <c r="A301" t="s">
        <v>22</v>
      </c>
      <c r="B301">
        <v>45</v>
      </c>
      <c r="C301">
        <v>90.3</v>
      </c>
      <c r="D301">
        <v>1.68</v>
      </c>
      <c r="E301">
        <v>32</v>
      </c>
      <c r="F301">
        <f t="shared" si="17"/>
        <v>31.994047619047624</v>
      </c>
      <c r="G301">
        <f t="shared" si="20"/>
        <v>0</v>
      </c>
      <c r="H301" t="s">
        <v>1399</v>
      </c>
      <c r="I301">
        <v>84.5</v>
      </c>
      <c r="J301" t="s">
        <v>315</v>
      </c>
      <c r="K301" s="24">
        <v>121</v>
      </c>
      <c r="L301" s="24">
        <v>88</v>
      </c>
      <c r="M301">
        <v>224</v>
      </c>
      <c r="N301" t="s">
        <v>1432</v>
      </c>
      <c r="O301">
        <v>52</v>
      </c>
      <c r="P301">
        <v>121</v>
      </c>
      <c r="Q301" t="s">
        <v>24</v>
      </c>
      <c r="R301" t="s">
        <v>25</v>
      </c>
      <c r="S301" t="s">
        <v>26</v>
      </c>
      <c r="T301" t="s">
        <v>25</v>
      </c>
      <c r="U301">
        <f t="shared" si="18"/>
        <v>3</v>
      </c>
      <c r="V301">
        <v>168</v>
      </c>
      <c r="W301">
        <v>0.503</v>
      </c>
      <c r="X301" t="s">
        <v>1406</v>
      </c>
      <c r="Y301">
        <v>121</v>
      </c>
      <c r="Z301">
        <v>88</v>
      </c>
      <c r="AA301" t="s">
        <v>31</v>
      </c>
      <c r="AB301">
        <v>142</v>
      </c>
      <c r="AC301" s="23">
        <v>2.73</v>
      </c>
      <c r="AD301" t="str">
        <f>IF(AND('CVD Dataset'!AA301="Normal",'CVD Dataset'!AB301&gt;AVERAGE('CVD Dataset'!AB:AB),'CVD Dataset'!AF301="High"),"High Lipid Category","Normal Category")</f>
        <v>Normal Category</v>
      </c>
      <c r="AF301" t="s">
        <v>32</v>
      </c>
      <c r="AG301">
        <v>0</v>
      </c>
      <c r="AH301" t="s">
        <v>1379</v>
      </c>
      <c r="AI301">
        <f t="shared" si="19"/>
        <v>1</v>
      </c>
      <c r="AJ301" t="s">
        <v>1391</v>
      </c>
    </row>
    <row r="302" spans="1:36" x14ac:dyDescent="0.3">
      <c r="A302" t="s">
        <v>22</v>
      </c>
      <c r="B302">
        <v>53</v>
      </c>
      <c r="C302">
        <v>114</v>
      </c>
      <c r="D302">
        <v>1.74</v>
      </c>
      <c r="E302">
        <v>37.700000000000003</v>
      </c>
      <c r="F302">
        <f t="shared" si="17"/>
        <v>37.653586999603647</v>
      </c>
      <c r="G302">
        <f t="shared" si="20"/>
        <v>0</v>
      </c>
      <c r="H302" t="s">
        <v>1399</v>
      </c>
      <c r="I302">
        <v>102.6</v>
      </c>
      <c r="J302" t="s">
        <v>181</v>
      </c>
      <c r="K302" s="24">
        <v>91</v>
      </c>
      <c r="L302" s="24">
        <v>79</v>
      </c>
      <c r="M302">
        <v>270</v>
      </c>
      <c r="N302" t="s">
        <v>1432</v>
      </c>
      <c r="O302">
        <v>66</v>
      </c>
      <c r="P302">
        <v>82</v>
      </c>
      <c r="Q302" t="s">
        <v>24</v>
      </c>
      <c r="R302" t="s">
        <v>24</v>
      </c>
      <c r="S302" t="s">
        <v>26</v>
      </c>
      <c r="T302" t="s">
        <v>25</v>
      </c>
      <c r="U302">
        <f t="shared" si="18"/>
        <v>2</v>
      </c>
      <c r="V302">
        <v>174</v>
      </c>
      <c r="W302">
        <v>0.59</v>
      </c>
      <c r="X302" t="s">
        <v>1409</v>
      </c>
      <c r="Y302">
        <v>91</v>
      </c>
      <c r="Z302">
        <v>79</v>
      </c>
      <c r="AA302" t="s">
        <v>35</v>
      </c>
      <c r="AB302">
        <v>174</v>
      </c>
      <c r="AC302" s="23">
        <v>2.64</v>
      </c>
      <c r="AD302" t="str">
        <f>IF(AND('CVD Dataset'!AA302="Normal",'CVD Dataset'!AB302&gt;AVERAGE('CVD Dataset'!AB:AB),'CVD Dataset'!AF302="High"),"High Lipid Category","Normal Category")</f>
        <v>High Lipid Category</v>
      </c>
      <c r="AE302">
        <v>17.489999999999998</v>
      </c>
      <c r="AF302" t="s">
        <v>32</v>
      </c>
      <c r="AG302">
        <v>1</v>
      </c>
      <c r="AH302" t="s">
        <v>1379</v>
      </c>
      <c r="AI302">
        <f t="shared" si="19"/>
        <v>1</v>
      </c>
      <c r="AJ302" t="s">
        <v>1391</v>
      </c>
    </row>
    <row r="303" spans="1:36" x14ac:dyDescent="0.3">
      <c r="A303" t="s">
        <v>33</v>
      </c>
      <c r="B303">
        <v>51</v>
      </c>
      <c r="C303">
        <v>64.900000000000006</v>
      </c>
      <c r="D303">
        <v>1.85</v>
      </c>
      <c r="E303">
        <v>19</v>
      </c>
      <c r="F303">
        <f t="shared" si="17"/>
        <v>18.962746530314099</v>
      </c>
      <c r="G303">
        <f t="shared" si="20"/>
        <v>0</v>
      </c>
      <c r="H303" t="s">
        <v>1398</v>
      </c>
      <c r="I303">
        <v>95.4</v>
      </c>
      <c r="J303" t="s">
        <v>316</v>
      </c>
      <c r="K303" s="24">
        <v>91</v>
      </c>
      <c r="L303" s="24">
        <v>88</v>
      </c>
      <c r="M303">
        <v>247</v>
      </c>
      <c r="N303" t="s">
        <v>1432</v>
      </c>
      <c r="O303">
        <v>55</v>
      </c>
      <c r="P303">
        <v>119</v>
      </c>
      <c r="Q303" t="s">
        <v>24</v>
      </c>
      <c r="R303" t="s">
        <v>25</v>
      </c>
      <c r="S303" t="s">
        <v>26</v>
      </c>
      <c r="T303" t="s">
        <v>24</v>
      </c>
      <c r="U303">
        <f t="shared" si="18"/>
        <v>2</v>
      </c>
      <c r="V303">
        <v>185</v>
      </c>
      <c r="W303">
        <v>0.51600000000000001</v>
      </c>
      <c r="X303" t="s">
        <v>1406</v>
      </c>
      <c r="Y303">
        <v>91</v>
      </c>
      <c r="AA303" t="s">
        <v>31</v>
      </c>
      <c r="AB303">
        <v>162</v>
      </c>
      <c r="AC303" s="23">
        <v>2.95</v>
      </c>
      <c r="AD303" t="str">
        <f>IF(AND('CVD Dataset'!AA303="Normal",'CVD Dataset'!AB303&gt;AVERAGE('CVD Dataset'!AB:AB),'CVD Dataset'!AF303="High"),"High Lipid Category","Normal Category")</f>
        <v>Normal Category</v>
      </c>
      <c r="AE303">
        <v>15.29</v>
      </c>
      <c r="AF303" t="s">
        <v>32</v>
      </c>
      <c r="AG303">
        <v>0</v>
      </c>
      <c r="AH303" t="s">
        <v>1379</v>
      </c>
      <c r="AI303">
        <f t="shared" si="19"/>
        <v>1</v>
      </c>
      <c r="AJ303" t="s">
        <v>1392</v>
      </c>
    </row>
    <row r="304" spans="1:36" x14ac:dyDescent="0.3">
      <c r="A304" t="s">
        <v>33</v>
      </c>
      <c r="B304">
        <v>46</v>
      </c>
      <c r="C304">
        <v>72</v>
      </c>
      <c r="D304">
        <v>1.75</v>
      </c>
      <c r="E304">
        <v>23.5</v>
      </c>
      <c r="F304">
        <f t="shared" si="17"/>
        <v>23.510204081632654</v>
      </c>
      <c r="G304">
        <f t="shared" si="20"/>
        <v>0</v>
      </c>
      <c r="H304" t="s">
        <v>1398</v>
      </c>
      <c r="I304">
        <v>89.1</v>
      </c>
      <c r="J304" t="s">
        <v>317</v>
      </c>
      <c r="K304" s="24">
        <v>100</v>
      </c>
      <c r="L304" s="24">
        <v>90</v>
      </c>
      <c r="M304">
        <v>198</v>
      </c>
      <c r="N304" t="s">
        <v>1432</v>
      </c>
      <c r="O304">
        <v>76</v>
      </c>
      <c r="P304">
        <v>141</v>
      </c>
      <c r="Q304" t="s">
        <v>24</v>
      </c>
      <c r="R304" t="s">
        <v>24</v>
      </c>
      <c r="S304" t="s">
        <v>26</v>
      </c>
      <c r="T304" t="s">
        <v>24</v>
      </c>
      <c r="U304">
        <f t="shared" si="18"/>
        <v>1</v>
      </c>
      <c r="V304">
        <v>175</v>
      </c>
      <c r="W304">
        <v>0.50900000000000001</v>
      </c>
      <c r="X304" t="s">
        <v>1406</v>
      </c>
      <c r="Y304">
        <v>100</v>
      </c>
      <c r="Z304">
        <v>90</v>
      </c>
      <c r="AA304" t="s">
        <v>40</v>
      </c>
      <c r="AB304">
        <v>92</v>
      </c>
      <c r="AC304" s="23">
        <v>1.21</v>
      </c>
      <c r="AD304" t="str">
        <f>IF(AND('CVD Dataset'!AA304="Normal",'CVD Dataset'!AB304&gt;AVERAGE('CVD Dataset'!AB:AB),'CVD Dataset'!AF304="High"),"High Lipid Category","Normal Category")</f>
        <v>Normal Category</v>
      </c>
      <c r="AE304">
        <v>13.66</v>
      </c>
      <c r="AF304" t="s">
        <v>28</v>
      </c>
      <c r="AG304">
        <v>0</v>
      </c>
      <c r="AH304" t="s">
        <v>1380</v>
      </c>
      <c r="AI304">
        <f t="shared" si="19"/>
        <v>0</v>
      </c>
      <c r="AJ304" t="s">
        <v>1391</v>
      </c>
    </row>
    <row r="305" spans="1:36" x14ac:dyDescent="0.3">
      <c r="A305" t="s">
        <v>33</v>
      </c>
      <c r="B305">
        <v>33</v>
      </c>
      <c r="C305">
        <v>94.4</v>
      </c>
      <c r="D305">
        <v>1.7</v>
      </c>
      <c r="F305">
        <f t="shared" si="17"/>
        <v>32.664359861591699</v>
      </c>
      <c r="G305">
        <f t="shared" si="20"/>
        <v>1</v>
      </c>
      <c r="H305" t="s">
        <v>1401</v>
      </c>
      <c r="I305">
        <v>77</v>
      </c>
      <c r="J305" t="s">
        <v>318</v>
      </c>
      <c r="K305" s="24">
        <v>104</v>
      </c>
      <c r="L305" s="24">
        <v>85</v>
      </c>
      <c r="M305">
        <v>127</v>
      </c>
      <c r="N305" t="s">
        <v>1434</v>
      </c>
      <c r="O305">
        <v>71</v>
      </c>
      <c r="P305">
        <v>147</v>
      </c>
      <c r="Q305" t="s">
        <v>24</v>
      </c>
      <c r="R305" t="s">
        <v>25</v>
      </c>
      <c r="S305" t="s">
        <v>39</v>
      </c>
      <c r="T305" t="s">
        <v>25</v>
      </c>
      <c r="U305">
        <f t="shared" si="18"/>
        <v>2</v>
      </c>
      <c r="V305">
        <v>170</v>
      </c>
      <c r="W305">
        <v>0.45300000000000001</v>
      </c>
      <c r="X305" t="s">
        <v>1408</v>
      </c>
      <c r="Y305">
        <v>104</v>
      </c>
      <c r="Z305">
        <v>85</v>
      </c>
      <c r="AA305" t="s">
        <v>31</v>
      </c>
      <c r="AB305">
        <v>26</v>
      </c>
      <c r="AC305" s="23">
        <v>0.37</v>
      </c>
      <c r="AD305" t="str">
        <f>IF(AND('CVD Dataset'!AA305="Normal",'CVD Dataset'!AB305&gt;AVERAGE('CVD Dataset'!AB:AB),'CVD Dataset'!AF305="High"),"High Lipid Category","Normal Category")</f>
        <v>Normal Category</v>
      </c>
      <c r="AE305">
        <v>16.28</v>
      </c>
      <c r="AF305" t="s">
        <v>28</v>
      </c>
      <c r="AG305">
        <v>0</v>
      </c>
      <c r="AH305" t="s">
        <v>1380</v>
      </c>
      <c r="AI305">
        <f t="shared" si="19"/>
        <v>0</v>
      </c>
      <c r="AJ305" t="s">
        <v>1391</v>
      </c>
    </row>
    <row r="306" spans="1:36" x14ac:dyDescent="0.3">
      <c r="A306" t="s">
        <v>22</v>
      </c>
      <c r="B306">
        <v>46</v>
      </c>
      <c r="C306">
        <v>104.5</v>
      </c>
      <c r="D306">
        <v>1.65</v>
      </c>
      <c r="F306">
        <f t="shared" si="17"/>
        <v>38.383838383838388</v>
      </c>
      <c r="G306">
        <f t="shared" si="20"/>
        <v>1</v>
      </c>
      <c r="H306" t="s">
        <v>1401</v>
      </c>
      <c r="I306">
        <v>106.4</v>
      </c>
      <c r="J306" t="s">
        <v>319</v>
      </c>
      <c r="K306" s="24">
        <v>129</v>
      </c>
      <c r="L306" s="24">
        <v>63</v>
      </c>
      <c r="N306" t="s">
        <v>1434</v>
      </c>
      <c r="O306">
        <v>48</v>
      </c>
      <c r="P306">
        <v>88</v>
      </c>
      <c r="Q306" t="s">
        <v>24</v>
      </c>
      <c r="R306" t="s">
        <v>25</v>
      </c>
      <c r="S306" t="s">
        <v>30</v>
      </c>
      <c r="T306" t="s">
        <v>24</v>
      </c>
      <c r="U306">
        <f t="shared" si="18"/>
        <v>1</v>
      </c>
      <c r="V306">
        <v>165</v>
      </c>
      <c r="W306">
        <v>0.64500000000000002</v>
      </c>
      <c r="X306" t="s">
        <v>1409</v>
      </c>
      <c r="Y306">
        <v>129</v>
      </c>
      <c r="Z306">
        <v>63</v>
      </c>
      <c r="AA306" t="s">
        <v>27</v>
      </c>
      <c r="AB306">
        <v>59</v>
      </c>
      <c r="AC306" s="23">
        <v>1.23</v>
      </c>
      <c r="AD306" t="str">
        <f>IF(AND('CVD Dataset'!AA306="Normal",'CVD Dataset'!AB306&gt;AVERAGE('CVD Dataset'!AB:AB),'CVD Dataset'!AF306="High"),"High Lipid Category","Normal Category")</f>
        <v>Normal Category</v>
      </c>
      <c r="AE306">
        <v>18.87</v>
      </c>
      <c r="AF306" t="s">
        <v>28</v>
      </c>
      <c r="AG306">
        <v>0</v>
      </c>
      <c r="AH306" t="s">
        <v>1380</v>
      </c>
      <c r="AI306">
        <f t="shared" si="19"/>
        <v>0</v>
      </c>
      <c r="AJ306" t="s">
        <v>1391</v>
      </c>
    </row>
    <row r="307" spans="1:36" x14ac:dyDescent="0.3">
      <c r="A307" t="s">
        <v>33</v>
      </c>
      <c r="B307">
        <v>30</v>
      </c>
      <c r="C307">
        <v>79.2</v>
      </c>
      <c r="D307">
        <v>1.63</v>
      </c>
      <c r="E307">
        <v>29.8</v>
      </c>
      <c r="F307">
        <f t="shared" si="17"/>
        <v>29.809176107493698</v>
      </c>
      <c r="G307">
        <f t="shared" si="20"/>
        <v>0</v>
      </c>
      <c r="H307" t="s">
        <v>1400</v>
      </c>
      <c r="I307">
        <v>72.2</v>
      </c>
      <c r="J307" t="s">
        <v>320</v>
      </c>
      <c r="K307" s="24">
        <v>128</v>
      </c>
      <c r="L307" s="24">
        <v>88</v>
      </c>
      <c r="M307">
        <v>108</v>
      </c>
      <c r="N307" t="s">
        <v>1434</v>
      </c>
      <c r="O307">
        <v>45</v>
      </c>
      <c r="P307">
        <v>88</v>
      </c>
      <c r="Q307" t="s">
        <v>25</v>
      </c>
      <c r="R307" t="s">
        <v>25</v>
      </c>
      <c r="S307" t="s">
        <v>26</v>
      </c>
      <c r="T307" t="s">
        <v>25</v>
      </c>
      <c r="U307">
        <f t="shared" si="18"/>
        <v>4</v>
      </c>
      <c r="V307">
        <v>163</v>
      </c>
      <c r="W307">
        <v>0.443</v>
      </c>
      <c r="X307" t="s">
        <v>1408</v>
      </c>
      <c r="Y307">
        <v>128</v>
      </c>
      <c r="Z307">
        <v>88</v>
      </c>
      <c r="AA307" t="s">
        <v>31</v>
      </c>
      <c r="AB307">
        <v>33</v>
      </c>
      <c r="AC307" s="23">
        <v>0.73</v>
      </c>
      <c r="AD307" t="str">
        <f>IF(AND('CVD Dataset'!AA307="Normal",'CVD Dataset'!AB307&gt;AVERAGE('CVD Dataset'!AB:AB),'CVD Dataset'!AF307="High"),"High Lipid Category","Normal Category")</f>
        <v>Normal Category</v>
      </c>
      <c r="AF307" t="s">
        <v>32</v>
      </c>
      <c r="AG307">
        <v>0</v>
      </c>
      <c r="AH307" t="s">
        <v>1379</v>
      </c>
      <c r="AI307">
        <f t="shared" si="19"/>
        <v>1</v>
      </c>
      <c r="AJ307" t="s">
        <v>1391</v>
      </c>
    </row>
    <row r="308" spans="1:36" x14ac:dyDescent="0.3">
      <c r="A308" t="s">
        <v>22</v>
      </c>
      <c r="B308">
        <v>43</v>
      </c>
      <c r="C308">
        <v>95.6</v>
      </c>
      <c r="D308">
        <v>1.68</v>
      </c>
      <c r="E308">
        <v>33.9</v>
      </c>
      <c r="F308">
        <f t="shared" si="17"/>
        <v>33.871882086167801</v>
      </c>
      <c r="G308">
        <f t="shared" si="20"/>
        <v>0</v>
      </c>
      <c r="H308" t="s">
        <v>1399</v>
      </c>
      <c r="I308">
        <v>94</v>
      </c>
      <c r="J308" t="s">
        <v>321</v>
      </c>
      <c r="K308" s="24">
        <v>124</v>
      </c>
      <c r="L308" s="24">
        <v>91</v>
      </c>
      <c r="M308">
        <v>116</v>
      </c>
      <c r="N308" t="s">
        <v>1434</v>
      </c>
      <c r="O308">
        <v>52</v>
      </c>
      <c r="P308">
        <v>103</v>
      </c>
      <c r="Q308" t="s">
        <v>24</v>
      </c>
      <c r="R308" t="s">
        <v>25</v>
      </c>
      <c r="S308" t="s">
        <v>30</v>
      </c>
      <c r="T308" t="s">
        <v>24</v>
      </c>
      <c r="U308">
        <f t="shared" si="18"/>
        <v>1</v>
      </c>
      <c r="V308">
        <v>168</v>
      </c>
      <c r="W308">
        <v>0.56000000000000005</v>
      </c>
      <c r="X308" t="s">
        <v>1407</v>
      </c>
      <c r="Y308">
        <v>124</v>
      </c>
      <c r="Z308">
        <v>91</v>
      </c>
      <c r="AA308" t="s">
        <v>40</v>
      </c>
      <c r="AB308">
        <v>34</v>
      </c>
      <c r="AC308" s="23">
        <v>0.65</v>
      </c>
      <c r="AD308" t="str">
        <f>IF(AND('CVD Dataset'!AA308="Normal",'CVD Dataset'!AB308&gt;AVERAGE('CVD Dataset'!AB:AB),'CVD Dataset'!AF308="High"),"High Lipid Category","Normal Category")</f>
        <v>Normal Category</v>
      </c>
      <c r="AE308">
        <v>17.3</v>
      </c>
      <c r="AF308" t="s">
        <v>28</v>
      </c>
      <c r="AG308">
        <v>0</v>
      </c>
      <c r="AH308" t="s">
        <v>1380</v>
      </c>
      <c r="AI308">
        <f t="shared" si="19"/>
        <v>0</v>
      </c>
      <c r="AJ308" t="s">
        <v>1391</v>
      </c>
    </row>
    <row r="309" spans="1:36" x14ac:dyDescent="0.3">
      <c r="A309" t="s">
        <v>33</v>
      </c>
      <c r="B309">
        <v>45</v>
      </c>
      <c r="C309">
        <v>74.7</v>
      </c>
      <c r="D309">
        <v>1.84</v>
      </c>
      <c r="E309">
        <v>22.1</v>
      </c>
      <c r="F309">
        <f t="shared" si="17"/>
        <v>22.064035916824196</v>
      </c>
      <c r="G309">
        <f t="shared" si="20"/>
        <v>0</v>
      </c>
      <c r="H309" t="s">
        <v>1398</v>
      </c>
      <c r="I309">
        <v>89.1</v>
      </c>
      <c r="J309" t="s">
        <v>322</v>
      </c>
      <c r="K309" s="24">
        <v>131</v>
      </c>
      <c r="L309" s="24">
        <v>67</v>
      </c>
      <c r="M309">
        <v>291</v>
      </c>
      <c r="N309" t="s">
        <v>1432</v>
      </c>
      <c r="O309">
        <v>39</v>
      </c>
      <c r="P309">
        <v>132</v>
      </c>
      <c r="Q309" t="s">
        <v>25</v>
      </c>
      <c r="R309" t="s">
        <v>24</v>
      </c>
      <c r="S309" t="s">
        <v>39</v>
      </c>
      <c r="T309" t="s">
        <v>24</v>
      </c>
      <c r="U309">
        <f t="shared" si="18"/>
        <v>1</v>
      </c>
      <c r="V309">
        <v>184</v>
      </c>
      <c r="W309">
        <v>0.48399999999999999</v>
      </c>
      <c r="X309" t="s">
        <v>1406</v>
      </c>
      <c r="Y309">
        <v>131</v>
      </c>
      <c r="Z309">
        <v>67</v>
      </c>
      <c r="AA309" t="s">
        <v>31</v>
      </c>
      <c r="AB309">
        <v>222</v>
      </c>
      <c r="AC309" s="23">
        <v>5.69</v>
      </c>
      <c r="AD309" t="str">
        <f>IF(AND('CVD Dataset'!AA309="Normal",'CVD Dataset'!AB309&gt;AVERAGE('CVD Dataset'!AB:AB),'CVD Dataset'!AF309="High"),"High Lipid Category","Normal Category")</f>
        <v>Normal Category</v>
      </c>
      <c r="AE309">
        <v>16.79</v>
      </c>
      <c r="AF309" t="s">
        <v>28</v>
      </c>
      <c r="AG309">
        <v>0</v>
      </c>
      <c r="AH309" t="s">
        <v>1380</v>
      </c>
      <c r="AI309">
        <f t="shared" si="19"/>
        <v>0</v>
      </c>
      <c r="AJ309" t="s">
        <v>1391</v>
      </c>
    </row>
    <row r="310" spans="1:36" x14ac:dyDescent="0.3">
      <c r="A310" t="s">
        <v>22</v>
      </c>
      <c r="B310">
        <v>35</v>
      </c>
      <c r="C310">
        <v>77.599999999999994</v>
      </c>
      <c r="D310">
        <v>1.78</v>
      </c>
      <c r="E310">
        <v>24.5</v>
      </c>
      <c r="F310">
        <f t="shared" si="17"/>
        <v>24.491857088751416</v>
      </c>
      <c r="G310">
        <f t="shared" si="20"/>
        <v>0</v>
      </c>
      <c r="H310" t="s">
        <v>1398</v>
      </c>
      <c r="I310">
        <v>84.6</v>
      </c>
      <c r="J310" t="s">
        <v>323</v>
      </c>
      <c r="K310" s="24">
        <v>124</v>
      </c>
      <c r="L310" s="24">
        <v>90</v>
      </c>
      <c r="M310">
        <v>143</v>
      </c>
      <c r="N310" t="s">
        <v>1434</v>
      </c>
      <c r="O310">
        <v>76</v>
      </c>
      <c r="P310">
        <v>108</v>
      </c>
      <c r="Q310" t="s">
        <v>24</v>
      </c>
      <c r="R310" t="s">
        <v>24</v>
      </c>
      <c r="S310" t="s">
        <v>26</v>
      </c>
      <c r="T310" t="s">
        <v>24</v>
      </c>
      <c r="U310">
        <f t="shared" si="18"/>
        <v>1</v>
      </c>
      <c r="V310">
        <v>178</v>
      </c>
      <c r="W310">
        <v>0.47499999999999998</v>
      </c>
      <c r="X310" t="s">
        <v>1406</v>
      </c>
      <c r="Y310">
        <v>124</v>
      </c>
      <c r="Z310">
        <v>90</v>
      </c>
      <c r="AA310" t="s">
        <v>40</v>
      </c>
      <c r="AB310">
        <v>37</v>
      </c>
      <c r="AC310" s="23">
        <v>0.49</v>
      </c>
      <c r="AD310" t="str">
        <f>IF(AND('CVD Dataset'!AA310="Normal",'CVD Dataset'!AB310&gt;AVERAGE('CVD Dataset'!AB:AB),'CVD Dataset'!AF310="High"),"High Lipid Category","Normal Category")</f>
        <v>Normal Category</v>
      </c>
      <c r="AE310">
        <v>13.96</v>
      </c>
      <c r="AF310" t="s">
        <v>54</v>
      </c>
      <c r="AG310">
        <v>0</v>
      </c>
      <c r="AH310" t="s">
        <v>1380</v>
      </c>
      <c r="AI310">
        <f t="shared" si="19"/>
        <v>0</v>
      </c>
      <c r="AJ310" t="s">
        <v>1391</v>
      </c>
    </row>
    <row r="311" spans="1:36" x14ac:dyDescent="0.3">
      <c r="A311" t="s">
        <v>22</v>
      </c>
      <c r="B311">
        <v>58</v>
      </c>
      <c r="C311">
        <v>91.4</v>
      </c>
      <c r="D311">
        <v>1.61</v>
      </c>
      <c r="E311">
        <v>35.299999999999997</v>
      </c>
      <c r="F311">
        <f t="shared" si="17"/>
        <v>35.260985301492994</v>
      </c>
      <c r="G311">
        <f t="shared" si="20"/>
        <v>0</v>
      </c>
      <c r="H311" t="s">
        <v>1399</v>
      </c>
      <c r="I311">
        <v>93.3</v>
      </c>
      <c r="J311" t="s">
        <v>324</v>
      </c>
      <c r="K311" s="24">
        <v>111</v>
      </c>
      <c r="L311" s="24">
        <v>78</v>
      </c>
      <c r="N311" t="s">
        <v>1434</v>
      </c>
      <c r="O311">
        <v>69</v>
      </c>
      <c r="P311">
        <v>117</v>
      </c>
      <c r="Q311" t="s">
        <v>25</v>
      </c>
      <c r="R311" t="s">
        <v>25</v>
      </c>
      <c r="S311" t="s">
        <v>39</v>
      </c>
      <c r="T311" t="s">
        <v>24</v>
      </c>
      <c r="U311">
        <f t="shared" si="18"/>
        <v>2</v>
      </c>
      <c r="V311">
        <v>161</v>
      </c>
      <c r="W311">
        <v>0.57999999999999996</v>
      </c>
      <c r="X311" t="s">
        <v>1407</v>
      </c>
      <c r="Y311">
        <v>111</v>
      </c>
      <c r="Z311">
        <v>78</v>
      </c>
      <c r="AA311" t="s">
        <v>35</v>
      </c>
      <c r="AB311">
        <v>18</v>
      </c>
      <c r="AC311" s="23">
        <v>0.26</v>
      </c>
      <c r="AD311" t="str">
        <f>IF(AND('CVD Dataset'!AA311="Normal",'CVD Dataset'!AB311&gt;AVERAGE('CVD Dataset'!AB:AB),'CVD Dataset'!AF311="High"),"High Lipid Category","Normal Category")</f>
        <v>Normal Category</v>
      </c>
      <c r="AE311">
        <v>16.95</v>
      </c>
      <c r="AF311" t="s">
        <v>32</v>
      </c>
      <c r="AG311">
        <v>1</v>
      </c>
      <c r="AH311" t="s">
        <v>1379</v>
      </c>
      <c r="AI311">
        <f t="shared" si="19"/>
        <v>1</v>
      </c>
      <c r="AJ311" t="s">
        <v>1391</v>
      </c>
    </row>
    <row r="312" spans="1:36" x14ac:dyDescent="0.3">
      <c r="A312" t="s">
        <v>22</v>
      </c>
      <c r="B312">
        <v>34</v>
      </c>
      <c r="C312">
        <v>91.9</v>
      </c>
      <c r="D312">
        <v>1.74</v>
      </c>
      <c r="E312">
        <v>30.4</v>
      </c>
      <c r="F312">
        <f t="shared" si="17"/>
        <v>30.354075835645396</v>
      </c>
      <c r="G312">
        <f t="shared" si="20"/>
        <v>0</v>
      </c>
      <c r="H312" t="s">
        <v>1399</v>
      </c>
      <c r="I312">
        <v>72.2</v>
      </c>
      <c r="J312" t="s">
        <v>153</v>
      </c>
      <c r="K312" s="24">
        <v>137</v>
      </c>
      <c r="L312" s="24">
        <v>82</v>
      </c>
      <c r="M312">
        <v>186</v>
      </c>
      <c r="N312" t="s">
        <v>1432</v>
      </c>
      <c r="Q312" t="s">
        <v>24</v>
      </c>
      <c r="R312" t="s">
        <v>24</v>
      </c>
      <c r="S312" t="s">
        <v>39</v>
      </c>
      <c r="T312" t="s">
        <v>25</v>
      </c>
      <c r="U312">
        <f t="shared" si="18"/>
        <v>1</v>
      </c>
      <c r="V312">
        <v>174</v>
      </c>
      <c r="W312">
        <v>0.41499999999999998</v>
      </c>
      <c r="X312" t="s">
        <v>1408</v>
      </c>
      <c r="Y312">
        <v>137</v>
      </c>
      <c r="Z312">
        <v>82</v>
      </c>
      <c r="AA312" t="s">
        <v>31</v>
      </c>
      <c r="AB312">
        <v>95</v>
      </c>
      <c r="AC312" s="23" t="s">
        <v>1410</v>
      </c>
      <c r="AD312" t="str">
        <f>IF(AND('CVD Dataset'!AA312="Normal",'CVD Dataset'!AB312&gt;AVERAGE('CVD Dataset'!AB:AB),'CVD Dataset'!AF312="High"),"High Lipid Category","Normal Category")</f>
        <v>Normal Category</v>
      </c>
      <c r="AE312">
        <v>16.649999999999999</v>
      </c>
      <c r="AF312" t="s">
        <v>28</v>
      </c>
      <c r="AG312">
        <v>0</v>
      </c>
      <c r="AH312" t="s">
        <v>1380</v>
      </c>
      <c r="AI312">
        <f t="shared" si="19"/>
        <v>0</v>
      </c>
      <c r="AJ312" t="s">
        <v>1391</v>
      </c>
    </row>
    <row r="313" spans="1:36" x14ac:dyDescent="0.3">
      <c r="A313" t="s">
        <v>33</v>
      </c>
      <c r="B313">
        <v>31</v>
      </c>
      <c r="C313">
        <v>87.9</v>
      </c>
      <c r="D313">
        <v>1.9</v>
      </c>
      <c r="E313">
        <v>24.3</v>
      </c>
      <c r="F313">
        <f t="shared" si="17"/>
        <v>24.34903047091413</v>
      </c>
      <c r="G313">
        <f t="shared" si="20"/>
        <v>0</v>
      </c>
      <c r="H313" t="s">
        <v>1398</v>
      </c>
      <c r="I313">
        <v>103.7</v>
      </c>
      <c r="J313" t="s">
        <v>325</v>
      </c>
      <c r="K313" s="24">
        <v>128</v>
      </c>
      <c r="L313" s="24">
        <v>93</v>
      </c>
      <c r="M313">
        <v>178</v>
      </c>
      <c r="N313" t="s">
        <v>1433</v>
      </c>
      <c r="O313">
        <v>56</v>
      </c>
      <c r="P313">
        <v>78</v>
      </c>
      <c r="Q313" t="s">
        <v>25</v>
      </c>
      <c r="R313" t="s">
        <v>25</v>
      </c>
      <c r="S313" t="s">
        <v>26</v>
      </c>
      <c r="T313" t="s">
        <v>24</v>
      </c>
      <c r="U313">
        <f t="shared" si="18"/>
        <v>3</v>
      </c>
      <c r="V313">
        <v>190</v>
      </c>
      <c r="W313">
        <v>0.54600000000000004</v>
      </c>
      <c r="X313" t="s">
        <v>1407</v>
      </c>
      <c r="Y313">
        <v>128</v>
      </c>
      <c r="Z313">
        <v>93</v>
      </c>
      <c r="AA313" t="s">
        <v>40</v>
      </c>
      <c r="AB313">
        <v>92</v>
      </c>
      <c r="AC313" s="23">
        <v>1.64</v>
      </c>
      <c r="AD313" t="str">
        <f>IF(AND('CVD Dataset'!AA313="Normal",'CVD Dataset'!AB313&gt;AVERAGE('CVD Dataset'!AB:AB),'CVD Dataset'!AF313="High"),"High Lipid Category","Normal Category")</f>
        <v>Normal Category</v>
      </c>
      <c r="AE313">
        <v>16.82</v>
      </c>
      <c r="AF313" t="s">
        <v>28</v>
      </c>
      <c r="AG313">
        <v>0</v>
      </c>
      <c r="AH313" t="s">
        <v>1380</v>
      </c>
      <c r="AI313">
        <f t="shared" si="19"/>
        <v>0</v>
      </c>
      <c r="AJ313" t="s">
        <v>1391</v>
      </c>
    </row>
    <row r="314" spans="1:36" x14ac:dyDescent="0.3">
      <c r="A314" t="s">
        <v>33</v>
      </c>
      <c r="B314">
        <v>38</v>
      </c>
      <c r="C314">
        <v>69.099999999999994</v>
      </c>
      <c r="D314">
        <v>1.84</v>
      </c>
      <c r="E314">
        <v>20.399999999999999</v>
      </c>
      <c r="F314">
        <f t="shared" si="17"/>
        <v>20.409971644612472</v>
      </c>
      <c r="G314">
        <f t="shared" si="20"/>
        <v>0</v>
      </c>
      <c r="H314" t="s">
        <v>1398</v>
      </c>
      <c r="I314">
        <v>95.9</v>
      </c>
      <c r="J314" t="s">
        <v>79</v>
      </c>
      <c r="K314" s="24">
        <v>129</v>
      </c>
      <c r="L314" s="24">
        <v>78</v>
      </c>
      <c r="M314">
        <v>131</v>
      </c>
      <c r="N314" t="s">
        <v>1434</v>
      </c>
      <c r="O314">
        <v>66</v>
      </c>
      <c r="P314">
        <v>113</v>
      </c>
      <c r="Q314" t="s">
        <v>24</v>
      </c>
      <c r="R314" t="s">
        <v>24</v>
      </c>
      <c r="S314" t="s">
        <v>26</v>
      </c>
      <c r="T314" t="s">
        <v>24</v>
      </c>
      <c r="U314">
        <f t="shared" si="18"/>
        <v>1</v>
      </c>
      <c r="V314">
        <v>184</v>
      </c>
      <c r="W314">
        <v>0.52100000000000002</v>
      </c>
      <c r="X314" t="s">
        <v>1406</v>
      </c>
      <c r="Y314">
        <v>129</v>
      </c>
      <c r="Z314">
        <v>78</v>
      </c>
      <c r="AA314" t="s">
        <v>27</v>
      </c>
      <c r="AB314">
        <v>35</v>
      </c>
      <c r="AC314" s="23">
        <v>0.53</v>
      </c>
      <c r="AD314" t="str">
        <f>IF(AND('CVD Dataset'!AA314="Normal",'CVD Dataset'!AB314&gt;AVERAGE('CVD Dataset'!AB:AB),'CVD Dataset'!AF314="High"),"High Lipid Category","Normal Category")</f>
        <v>Normal Category</v>
      </c>
      <c r="AE314">
        <v>13.15</v>
      </c>
      <c r="AF314" t="s">
        <v>54</v>
      </c>
      <c r="AG314">
        <v>0</v>
      </c>
      <c r="AH314" t="s">
        <v>1380</v>
      </c>
      <c r="AI314">
        <f t="shared" si="19"/>
        <v>0</v>
      </c>
      <c r="AJ314" t="s">
        <v>1391</v>
      </c>
    </row>
    <row r="315" spans="1:36" x14ac:dyDescent="0.3">
      <c r="A315" t="s">
        <v>22</v>
      </c>
      <c r="B315">
        <v>56</v>
      </c>
      <c r="C315">
        <v>90</v>
      </c>
      <c r="D315">
        <v>1.69</v>
      </c>
      <c r="E315">
        <v>31.5</v>
      </c>
      <c r="F315">
        <f t="shared" si="17"/>
        <v>31.511501698119819</v>
      </c>
      <c r="G315">
        <f t="shared" si="20"/>
        <v>0</v>
      </c>
      <c r="H315" t="s">
        <v>1399</v>
      </c>
      <c r="I315">
        <v>72.599999999999994</v>
      </c>
      <c r="J315" t="s">
        <v>326</v>
      </c>
      <c r="K315" s="24">
        <v>109</v>
      </c>
      <c r="L315" s="24">
        <v>67</v>
      </c>
      <c r="M315">
        <v>256</v>
      </c>
      <c r="N315" t="s">
        <v>1432</v>
      </c>
      <c r="P315">
        <v>142</v>
      </c>
      <c r="Q315" t="s">
        <v>25</v>
      </c>
      <c r="R315" t="s">
        <v>24</v>
      </c>
      <c r="S315" t="s">
        <v>30</v>
      </c>
      <c r="T315" t="s">
        <v>24</v>
      </c>
      <c r="U315">
        <f t="shared" si="18"/>
        <v>1</v>
      </c>
      <c r="V315">
        <v>169</v>
      </c>
      <c r="W315">
        <v>0.43</v>
      </c>
      <c r="X315" t="s">
        <v>1408</v>
      </c>
      <c r="Y315">
        <v>109</v>
      </c>
      <c r="Z315">
        <v>67</v>
      </c>
      <c r="AA315" t="s">
        <v>35</v>
      </c>
      <c r="AB315">
        <v>164</v>
      </c>
      <c r="AC315" s="23" t="s">
        <v>1410</v>
      </c>
      <c r="AD315" t="str">
        <f>IF(AND('CVD Dataset'!AA315="Normal",'CVD Dataset'!AB315&gt;AVERAGE('CVD Dataset'!AB:AB),'CVD Dataset'!AF315="High"),"High Lipid Category","Normal Category")</f>
        <v>High Lipid Category</v>
      </c>
      <c r="AE315">
        <v>16.87</v>
      </c>
      <c r="AF315" t="s">
        <v>32</v>
      </c>
      <c r="AG315">
        <v>0</v>
      </c>
      <c r="AH315" t="s">
        <v>1379</v>
      </c>
      <c r="AI315">
        <f t="shared" si="19"/>
        <v>1</v>
      </c>
      <c r="AJ315" t="s">
        <v>1391</v>
      </c>
    </row>
    <row r="316" spans="1:36" x14ac:dyDescent="0.3">
      <c r="A316" t="s">
        <v>22</v>
      </c>
      <c r="C316">
        <v>59.2</v>
      </c>
      <c r="D316">
        <v>1.8</v>
      </c>
      <c r="E316">
        <v>18.3</v>
      </c>
      <c r="F316">
        <f t="shared" si="17"/>
        <v>18.271604938271604</v>
      </c>
      <c r="G316">
        <f t="shared" si="20"/>
        <v>0</v>
      </c>
      <c r="H316" t="s">
        <v>1401</v>
      </c>
      <c r="I316">
        <v>71.900000000000006</v>
      </c>
      <c r="J316" t="s">
        <v>327</v>
      </c>
      <c r="K316" s="24">
        <v>116</v>
      </c>
      <c r="L316" s="24">
        <v>83</v>
      </c>
      <c r="M316">
        <v>280</v>
      </c>
      <c r="N316" t="s">
        <v>1432</v>
      </c>
      <c r="O316">
        <v>79</v>
      </c>
      <c r="P316">
        <v>84</v>
      </c>
      <c r="Q316" t="s">
        <v>24</v>
      </c>
      <c r="R316" t="s">
        <v>24</v>
      </c>
      <c r="S316" t="s">
        <v>30</v>
      </c>
      <c r="T316" t="s">
        <v>24</v>
      </c>
      <c r="U316">
        <f t="shared" si="18"/>
        <v>0</v>
      </c>
      <c r="V316">
        <v>180</v>
      </c>
      <c r="W316">
        <v>0.39900000000000002</v>
      </c>
      <c r="X316" t="s">
        <v>1408</v>
      </c>
      <c r="Y316">
        <v>116</v>
      </c>
      <c r="Z316">
        <v>83</v>
      </c>
      <c r="AA316" t="s">
        <v>31</v>
      </c>
      <c r="AB316">
        <v>171</v>
      </c>
      <c r="AC316" s="23">
        <v>2.16</v>
      </c>
      <c r="AD316" t="str">
        <f>IF(AND('CVD Dataset'!AA316="Normal",'CVD Dataset'!AB316&gt;AVERAGE('CVD Dataset'!AB:AB),'CVD Dataset'!AF316="High"),"High Lipid Category","Normal Category")</f>
        <v>Normal Category</v>
      </c>
      <c r="AE316">
        <v>15.06</v>
      </c>
      <c r="AF316" t="s">
        <v>28</v>
      </c>
      <c r="AG316">
        <v>0</v>
      </c>
      <c r="AH316" t="s">
        <v>1380</v>
      </c>
      <c r="AI316">
        <f t="shared" si="19"/>
        <v>0</v>
      </c>
      <c r="AJ316" t="s">
        <v>1391</v>
      </c>
    </row>
    <row r="317" spans="1:36" x14ac:dyDescent="0.3">
      <c r="A317" t="s">
        <v>33</v>
      </c>
      <c r="B317">
        <v>36</v>
      </c>
      <c r="C317">
        <v>83.7</v>
      </c>
      <c r="D317">
        <v>1.83</v>
      </c>
      <c r="E317">
        <v>25</v>
      </c>
      <c r="F317">
        <f t="shared" si="17"/>
        <v>24.993281375974199</v>
      </c>
      <c r="G317">
        <f t="shared" si="20"/>
        <v>0</v>
      </c>
      <c r="H317" t="s">
        <v>1400</v>
      </c>
      <c r="I317">
        <v>85.6</v>
      </c>
      <c r="J317" t="s">
        <v>328</v>
      </c>
      <c r="K317" s="24">
        <v>136</v>
      </c>
      <c r="L317" s="24">
        <v>60</v>
      </c>
      <c r="M317">
        <v>117</v>
      </c>
      <c r="N317" t="s">
        <v>1434</v>
      </c>
      <c r="P317">
        <v>86</v>
      </c>
      <c r="Q317" t="s">
        <v>25</v>
      </c>
      <c r="R317" t="s">
        <v>24</v>
      </c>
      <c r="S317" t="s">
        <v>30</v>
      </c>
      <c r="T317" t="s">
        <v>24</v>
      </c>
      <c r="U317">
        <f t="shared" si="18"/>
        <v>1</v>
      </c>
      <c r="V317">
        <v>183</v>
      </c>
      <c r="W317">
        <v>0.46800000000000003</v>
      </c>
      <c r="X317" t="s">
        <v>1406</v>
      </c>
      <c r="Y317">
        <v>136</v>
      </c>
      <c r="Z317">
        <v>60</v>
      </c>
      <c r="AA317" t="s">
        <v>31</v>
      </c>
      <c r="AB317">
        <v>57</v>
      </c>
      <c r="AC317" s="23" t="s">
        <v>1410</v>
      </c>
      <c r="AD317" t="str">
        <f>IF(AND('CVD Dataset'!AA317="Normal",'CVD Dataset'!AB317&gt;AVERAGE('CVD Dataset'!AB:AB),'CVD Dataset'!AF317="High"),"High Lipid Category","Normal Category")</f>
        <v>Normal Category</v>
      </c>
      <c r="AE317">
        <v>14.14</v>
      </c>
      <c r="AF317" t="s">
        <v>28</v>
      </c>
      <c r="AG317">
        <v>0</v>
      </c>
      <c r="AH317" t="s">
        <v>1380</v>
      </c>
      <c r="AI317">
        <f t="shared" si="19"/>
        <v>0</v>
      </c>
      <c r="AJ317" t="s">
        <v>1391</v>
      </c>
    </row>
    <row r="318" spans="1:36" x14ac:dyDescent="0.3">
      <c r="A318" t="s">
        <v>22</v>
      </c>
      <c r="B318">
        <v>57</v>
      </c>
      <c r="C318">
        <v>116.3</v>
      </c>
      <c r="D318">
        <v>1.62</v>
      </c>
      <c r="E318">
        <v>44.3</v>
      </c>
      <c r="F318">
        <f t="shared" si="17"/>
        <v>44.314891022709944</v>
      </c>
      <c r="G318">
        <f t="shared" si="20"/>
        <v>0</v>
      </c>
      <c r="H318" t="s">
        <v>1399</v>
      </c>
      <c r="I318">
        <v>99.1</v>
      </c>
      <c r="J318" t="s">
        <v>329</v>
      </c>
      <c r="K318" s="24">
        <v>149</v>
      </c>
      <c r="L318" s="24">
        <v>61</v>
      </c>
      <c r="M318">
        <v>293</v>
      </c>
      <c r="N318" t="s">
        <v>1432</v>
      </c>
      <c r="O318">
        <v>52</v>
      </c>
      <c r="P318">
        <v>139</v>
      </c>
      <c r="Q318" t="s">
        <v>24</v>
      </c>
      <c r="R318" t="s">
        <v>25</v>
      </c>
      <c r="S318" t="s">
        <v>39</v>
      </c>
      <c r="T318" t="s">
        <v>25</v>
      </c>
      <c r="U318">
        <f t="shared" si="18"/>
        <v>2</v>
      </c>
      <c r="V318">
        <v>162</v>
      </c>
      <c r="W318">
        <v>0.61199999999999999</v>
      </c>
      <c r="X318" t="s">
        <v>1409</v>
      </c>
      <c r="Y318">
        <v>149</v>
      </c>
      <c r="Z318">
        <v>61</v>
      </c>
      <c r="AA318" t="s">
        <v>40</v>
      </c>
      <c r="AC318" s="23">
        <v>0</v>
      </c>
      <c r="AD318" t="str">
        <f>IF(AND('CVD Dataset'!AA318="Normal",'CVD Dataset'!AB318&gt;AVERAGE('CVD Dataset'!AB:AB),'CVD Dataset'!AF318="High"),"High Lipid Category","Normal Category")</f>
        <v>Normal Category</v>
      </c>
      <c r="AE318">
        <v>24.17</v>
      </c>
      <c r="AF318" t="s">
        <v>32</v>
      </c>
      <c r="AG318">
        <v>0</v>
      </c>
      <c r="AH318" t="s">
        <v>1379</v>
      </c>
      <c r="AI318">
        <f t="shared" si="19"/>
        <v>1</v>
      </c>
      <c r="AJ318" t="s">
        <v>1392</v>
      </c>
    </row>
    <row r="319" spans="1:36" x14ac:dyDescent="0.3">
      <c r="A319" t="s">
        <v>22</v>
      </c>
      <c r="B319">
        <v>59</v>
      </c>
      <c r="C319">
        <v>50.4</v>
      </c>
      <c r="D319">
        <v>1.62</v>
      </c>
      <c r="E319">
        <v>19.2</v>
      </c>
      <c r="F319">
        <f t="shared" si="17"/>
        <v>19.20438957475994</v>
      </c>
      <c r="G319">
        <f t="shared" si="20"/>
        <v>0</v>
      </c>
      <c r="H319" t="s">
        <v>1398</v>
      </c>
      <c r="I319">
        <v>92.6</v>
      </c>
      <c r="J319" t="s">
        <v>330</v>
      </c>
      <c r="K319" s="24">
        <v>133</v>
      </c>
      <c r="L319" s="24">
        <v>74</v>
      </c>
      <c r="M319">
        <v>288</v>
      </c>
      <c r="N319" t="s">
        <v>1432</v>
      </c>
      <c r="O319">
        <v>48</v>
      </c>
      <c r="P319">
        <v>134</v>
      </c>
      <c r="Q319" t="s">
        <v>24</v>
      </c>
      <c r="R319" t="s">
        <v>24</v>
      </c>
      <c r="S319" t="s">
        <v>39</v>
      </c>
      <c r="T319" t="s">
        <v>24</v>
      </c>
      <c r="U319">
        <f t="shared" si="18"/>
        <v>0</v>
      </c>
      <c r="V319">
        <v>162</v>
      </c>
      <c r="W319">
        <v>0.57199999999999995</v>
      </c>
      <c r="X319" t="s">
        <v>1407</v>
      </c>
      <c r="Y319">
        <v>133</v>
      </c>
      <c r="Z319">
        <v>74</v>
      </c>
      <c r="AA319" t="s">
        <v>31</v>
      </c>
      <c r="AB319">
        <v>210</v>
      </c>
      <c r="AC319" s="23">
        <v>4.38</v>
      </c>
      <c r="AD319" t="str">
        <f>IF(AND('CVD Dataset'!AA319="Normal",'CVD Dataset'!AB319&gt;AVERAGE('CVD Dataset'!AB:AB),'CVD Dataset'!AF319="High"),"High Lipid Category","Normal Category")</f>
        <v>Normal Category</v>
      </c>
      <c r="AE319">
        <v>16.25</v>
      </c>
      <c r="AF319" t="s">
        <v>28</v>
      </c>
      <c r="AG319">
        <v>0</v>
      </c>
      <c r="AH319" t="s">
        <v>1380</v>
      </c>
      <c r="AI319">
        <f t="shared" si="19"/>
        <v>0</v>
      </c>
      <c r="AJ319" t="s">
        <v>1391</v>
      </c>
    </row>
    <row r="320" spans="1:36" x14ac:dyDescent="0.3">
      <c r="A320" t="s">
        <v>33</v>
      </c>
      <c r="B320">
        <v>38</v>
      </c>
      <c r="C320">
        <v>66.8</v>
      </c>
      <c r="D320">
        <v>1.81</v>
      </c>
      <c r="E320">
        <v>20.399999999999999</v>
      </c>
      <c r="F320">
        <f t="shared" si="17"/>
        <v>20.390097982357069</v>
      </c>
      <c r="G320">
        <f t="shared" si="20"/>
        <v>0</v>
      </c>
      <c r="H320" t="s">
        <v>1398</v>
      </c>
      <c r="I320">
        <v>100.8</v>
      </c>
      <c r="J320" t="s">
        <v>331</v>
      </c>
      <c r="K320" s="24">
        <v>142</v>
      </c>
      <c r="L320" s="24">
        <v>67</v>
      </c>
      <c r="N320" t="s">
        <v>1434</v>
      </c>
      <c r="O320">
        <v>45</v>
      </c>
      <c r="P320">
        <v>93</v>
      </c>
      <c r="Q320" t="s">
        <v>24</v>
      </c>
      <c r="R320" t="s">
        <v>24</v>
      </c>
      <c r="S320" t="s">
        <v>26</v>
      </c>
      <c r="T320" t="s">
        <v>25</v>
      </c>
      <c r="U320">
        <f t="shared" si="18"/>
        <v>2</v>
      </c>
      <c r="V320">
        <v>181</v>
      </c>
      <c r="W320">
        <v>0.55700000000000005</v>
      </c>
      <c r="X320" t="s">
        <v>1407</v>
      </c>
      <c r="Z320">
        <v>67</v>
      </c>
      <c r="AA320" t="s">
        <v>40</v>
      </c>
      <c r="AB320">
        <v>57</v>
      </c>
      <c r="AC320" s="23">
        <v>1.27</v>
      </c>
      <c r="AD320" t="str">
        <f>IF(AND('CVD Dataset'!AA320="Normal",'CVD Dataset'!AB320&gt;AVERAGE('CVD Dataset'!AB:AB),'CVD Dataset'!AF320="High"),"High Lipid Category","Normal Category")</f>
        <v>Normal Category</v>
      </c>
      <c r="AE320">
        <v>13.82</v>
      </c>
      <c r="AF320" t="s">
        <v>28</v>
      </c>
      <c r="AG320">
        <v>0</v>
      </c>
      <c r="AH320" t="s">
        <v>1380</v>
      </c>
      <c r="AI320">
        <f t="shared" si="19"/>
        <v>0</v>
      </c>
      <c r="AJ320" t="s">
        <v>1391</v>
      </c>
    </row>
    <row r="321" spans="1:36" x14ac:dyDescent="0.3">
      <c r="A321" t="s">
        <v>33</v>
      </c>
      <c r="B321">
        <v>55</v>
      </c>
      <c r="D321">
        <v>1.72</v>
      </c>
      <c r="E321">
        <v>30.4</v>
      </c>
      <c r="F321">
        <f t="shared" si="17"/>
        <v>0</v>
      </c>
      <c r="G321">
        <f t="shared" si="20"/>
        <v>1</v>
      </c>
      <c r="H321" t="s">
        <v>1399</v>
      </c>
      <c r="I321">
        <v>92.4</v>
      </c>
      <c r="J321" t="s">
        <v>332</v>
      </c>
      <c r="K321" s="24">
        <v>149</v>
      </c>
      <c r="L321" s="24">
        <v>93</v>
      </c>
      <c r="M321">
        <v>187</v>
      </c>
      <c r="N321" t="s">
        <v>1432</v>
      </c>
      <c r="O321">
        <v>72</v>
      </c>
      <c r="P321">
        <v>149</v>
      </c>
      <c r="Q321" t="s">
        <v>25</v>
      </c>
      <c r="R321" t="s">
        <v>25</v>
      </c>
      <c r="S321" t="s">
        <v>30</v>
      </c>
      <c r="T321" t="s">
        <v>24</v>
      </c>
      <c r="U321">
        <f t="shared" si="18"/>
        <v>2</v>
      </c>
      <c r="V321">
        <v>172</v>
      </c>
      <c r="W321">
        <v>0.53700000000000003</v>
      </c>
      <c r="X321" t="s">
        <v>1407</v>
      </c>
      <c r="Y321">
        <v>149</v>
      </c>
      <c r="Z321">
        <v>93</v>
      </c>
      <c r="AA321" t="s">
        <v>40</v>
      </c>
      <c r="AB321">
        <v>85</v>
      </c>
      <c r="AC321" s="23">
        <v>1.18</v>
      </c>
      <c r="AD321" t="str">
        <f>IF(AND('CVD Dataset'!AA321="Normal",'CVD Dataset'!AB321&gt;AVERAGE('CVD Dataset'!AB:AB),'CVD Dataset'!AF321="High"),"High Lipid Category","Normal Category")</f>
        <v>Normal Category</v>
      </c>
      <c r="AE321">
        <v>19.27</v>
      </c>
      <c r="AF321" t="s">
        <v>32</v>
      </c>
      <c r="AG321">
        <v>1</v>
      </c>
      <c r="AH321" t="s">
        <v>1379</v>
      </c>
      <c r="AI321">
        <f t="shared" si="19"/>
        <v>1</v>
      </c>
      <c r="AJ321" t="s">
        <v>1392</v>
      </c>
    </row>
    <row r="322" spans="1:36" x14ac:dyDescent="0.3">
      <c r="A322" t="s">
        <v>33</v>
      </c>
      <c r="B322">
        <v>50</v>
      </c>
      <c r="C322">
        <v>59</v>
      </c>
      <c r="D322">
        <v>1.71</v>
      </c>
      <c r="E322">
        <v>20.2</v>
      </c>
      <c r="F322">
        <f t="shared" si="17"/>
        <v>20.177148524332274</v>
      </c>
      <c r="G322">
        <f t="shared" si="20"/>
        <v>0</v>
      </c>
      <c r="H322" t="s">
        <v>1398</v>
      </c>
      <c r="I322">
        <v>107.6</v>
      </c>
      <c r="J322" t="s">
        <v>53</v>
      </c>
      <c r="K322" s="24">
        <v>138</v>
      </c>
      <c r="L322" s="24">
        <v>96</v>
      </c>
      <c r="M322">
        <v>271</v>
      </c>
      <c r="N322" t="s">
        <v>1432</v>
      </c>
      <c r="O322">
        <v>56</v>
      </c>
      <c r="P322">
        <v>111</v>
      </c>
      <c r="Q322" t="s">
        <v>25</v>
      </c>
      <c r="R322" t="s">
        <v>25</v>
      </c>
      <c r="S322" t="s">
        <v>26</v>
      </c>
      <c r="T322" t="s">
        <v>24</v>
      </c>
      <c r="U322">
        <f t="shared" si="18"/>
        <v>3</v>
      </c>
      <c r="V322">
        <v>171</v>
      </c>
      <c r="W322">
        <v>0.629</v>
      </c>
      <c r="X322" t="s">
        <v>1409</v>
      </c>
      <c r="Y322">
        <v>138</v>
      </c>
      <c r="Z322">
        <v>96</v>
      </c>
      <c r="AA322" t="s">
        <v>31</v>
      </c>
      <c r="AB322">
        <v>185</v>
      </c>
      <c r="AC322" s="23">
        <v>3.3</v>
      </c>
      <c r="AD322" t="str">
        <f>IF(AND('CVD Dataset'!AA322="Normal",'CVD Dataset'!AB322&gt;AVERAGE('CVD Dataset'!AB:AB),'CVD Dataset'!AF322="High"),"High Lipid Category","Normal Category")</f>
        <v>Normal Category</v>
      </c>
      <c r="AE322">
        <v>18.36</v>
      </c>
      <c r="AF322" t="s">
        <v>32</v>
      </c>
      <c r="AG322">
        <v>0</v>
      </c>
      <c r="AH322" t="s">
        <v>1379</v>
      </c>
      <c r="AI322">
        <f t="shared" si="19"/>
        <v>1</v>
      </c>
      <c r="AJ322" t="s">
        <v>1391</v>
      </c>
    </row>
    <row r="323" spans="1:36" x14ac:dyDescent="0.3">
      <c r="A323" t="s">
        <v>22</v>
      </c>
      <c r="B323">
        <v>59</v>
      </c>
      <c r="C323">
        <v>76.900000000000006</v>
      </c>
      <c r="D323">
        <v>1.8</v>
      </c>
      <c r="E323">
        <v>23.7</v>
      </c>
      <c r="F323">
        <f t="shared" ref="F323:F386" si="21">IFERROR(C323/POWER(D323,2),"")</f>
        <v>23.73456790123457</v>
      </c>
      <c r="G323">
        <f t="shared" si="20"/>
        <v>0</v>
      </c>
      <c r="H323" t="s">
        <v>1398</v>
      </c>
      <c r="J323" t="s">
        <v>333</v>
      </c>
      <c r="K323" s="24">
        <v>93</v>
      </c>
      <c r="L323" s="24">
        <v>89</v>
      </c>
      <c r="M323">
        <v>294</v>
      </c>
      <c r="N323" t="s">
        <v>1432</v>
      </c>
      <c r="O323">
        <v>57</v>
      </c>
      <c r="P323">
        <v>150</v>
      </c>
      <c r="Q323" t="s">
        <v>25</v>
      </c>
      <c r="R323" t="s">
        <v>24</v>
      </c>
      <c r="S323" t="s">
        <v>39</v>
      </c>
      <c r="T323" t="s">
        <v>25</v>
      </c>
      <c r="U323">
        <f t="shared" ref="U323:U386" si="22">SUM(IF(Q323="Y",1,0),IF(R323="Y",1,0),IF(S323="Low",1,0),IF(T323="Y",1,0))</f>
        <v>2</v>
      </c>
      <c r="V323">
        <v>180</v>
      </c>
      <c r="W323">
        <v>0.48399999999999999</v>
      </c>
      <c r="X323" t="s">
        <v>1406</v>
      </c>
      <c r="Y323">
        <v>93</v>
      </c>
      <c r="Z323">
        <v>89</v>
      </c>
      <c r="AA323" t="s">
        <v>31</v>
      </c>
      <c r="AB323">
        <v>207</v>
      </c>
      <c r="AC323" s="23">
        <v>3.63</v>
      </c>
      <c r="AD323" t="str">
        <f>IF(AND('CVD Dataset'!AA323="Normal",'CVD Dataset'!AB323&gt;AVERAGE('CVD Dataset'!AB:AB),'CVD Dataset'!AF323="High"),"High Lipid Category","Normal Category")</f>
        <v>Normal Category</v>
      </c>
      <c r="AE323">
        <v>15.27</v>
      </c>
      <c r="AF323" t="s">
        <v>32</v>
      </c>
      <c r="AG323">
        <v>0</v>
      </c>
      <c r="AH323" t="s">
        <v>1379</v>
      </c>
      <c r="AI323">
        <f t="shared" ref="AI323:AI386" si="23">IF(AF323="HIGH",1,0)</f>
        <v>1</v>
      </c>
      <c r="AJ323" t="s">
        <v>1391</v>
      </c>
    </row>
    <row r="324" spans="1:36" x14ac:dyDescent="0.3">
      <c r="A324" t="s">
        <v>22</v>
      </c>
      <c r="B324">
        <v>38</v>
      </c>
      <c r="C324">
        <v>67.400000000000006</v>
      </c>
      <c r="D324">
        <v>1.63</v>
      </c>
      <c r="E324">
        <v>25.4</v>
      </c>
      <c r="F324">
        <f t="shared" si="21"/>
        <v>25.367909970266105</v>
      </c>
      <c r="G324">
        <f t="shared" si="20"/>
        <v>0</v>
      </c>
      <c r="H324" t="s">
        <v>1400</v>
      </c>
      <c r="I324">
        <v>100</v>
      </c>
      <c r="J324" t="s">
        <v>334</v>
      </c>
      <c r="K324" s="24">
        <v>123</v>
      </c>
      <c r="L324" s="24">
        <v>77</v>
      </c>
      <c r="M324">
        <v>196</v>
      </c>
      <c r="N324" t="s">
        <v>1432</v>
      </c>
      <c r="O324">
        <v>30</v>
      </c>
      <c r="P324">
        <v>71</v>
      </c>
      <c r="Q324" t="s">
        <v>24</v>
      </c>
      <c r="R324" t="s">
        <v>25</v>
      </c>
      <c r="S324" t="s">
        <v>39</v>
      </c>
      <c r="T324" t="s">
        <v>24</v>
      </c>
      <c r="U324">
        <f t="shared" si="22"/>
        <v>1</v>
      </c>
      <c r="V324">
        <v>163</v>
      </c>
      <c r="W324">
        <v>0.61299999999999999</v>
      </c>
      <c r="X324" t="s">
        <v>1409</v>
      </c>
      <c r="Y324">
        <v>123</v>
      </c>
      <c r="Z324">
        <v>77</v>
      </c>
      <c r="AA324" t="s">
        <v>27</v>
      </c>
      <c r="AB324">
        <v>136</v>
      </c>
      <c r="AC324" s="23">
        <v>4.53</v>
      </c>
      <c r="AD324" t="str">
        <f>IF(AND('CVD Dataset'!AA324="Normal",'CVD Dataset'!AB324&gt;AVERAGE('CVD Dataset'!AB:AB),'CVD Dataset'!AF324="High"),"High Lipid Category","Normal Category")</f>
        <v>Normal Category</v>
      </c>
      <c r="AE324">
        <v>17.149999999999999</v>
      </c>
      <c r="AF324" t="s">
        <v>28</v>
      </c>
      <c r="AG324">
        <v>0</v>
      </c>
      <c r="AH324" t="s">
        <v>1380</v>
      </c>
      <c r="AI324">
        <f t="shared" si="23"/>
        <v>0</v>
      </c>
      <c r="AJ324" t="s">
        <v>1391</v>
      </c>
    </row>
    <row r="325" spans="1:36" x14ac:dyDescent="0.3">
      <c r="A325" t="s">
        <v>33</v>
      </c>
      <c r="B325">
        <v>30</v>
      </c>
      <c r="C325">
        <v>91.4</v>
      </c>
      <c r="E325">
        <v>30.9</v>
      </c>
      <c r="F325" t="str">
        <f t="shared" si="21"/>
        <v/>
      </c>
      <c r="G325" t="str">
        <f t="shared" si="20"/>
        <v/>
      </c>
      <c r="H325" t="s">
        <v>1399</v>
      </c>
      <c r="I325">
        <v>96.3</v>
      </c>
      <c r="J325" t="s">
        <v>335</v>
      </c>
      <c r="K325" s="24">
        <v>106</v>
      </c>
      <c r="L325" s="24">
        <v>83</v>
      </c>
      <c r="M325">
        <v>126</v>
      </c>
      <c r="N325" t="s">
        <v>1434</v>
      </c>
      <c r="O325">
        <v>32</v>
      </c>
      <c r="P325">
        <v>72</v>
      </c>
      <c r="Q325" t="s">
        <v>24</v>
      </c>
      <c r="R325" t="s">
        <v>25</v>
      </c>
      <c r="S325" t="s">
        <v>39</v>
      </c>
      <c r="T325" t="s">
        <v>24</v>
      </c>
      <c r="U325">
        <f t="shared" si="22"/>
        <v>1</v>
      </c>
      <c r="V325">
        <v>172</v>
      </c>
      <c r="W325">
        <v>0.56000000000000005</v>
      </c>
      <c r="X325" t="s">
        <v>1407</v>
      </c>
      <c r="Y325">
        <v>106</v>
      </c>
      <c r="Z325">
        <v>83</v>
      </c>
      <c r="AA325" t="s">
        <v>31</v>
      </c>
      <c r="AB325">
        <v>64</v>
      </c>
      <c r="AC325" s="23">
        <v>2</v>
      </c>
      <c r="AD325" t="str">
        <f>IF(AND('CVD Dataset'!AA325="Normal",'CVD Dataset'!AB325&gt;AVERAGE('CVD Dataset'!AB:AB),'CVD Dataset'!AF325="High"),"High Lipid Category","Normal Category")</f>
        <v>Normal Category</v>
      </c>
      <c r="AF325" t="s">
        <v>28</v>
      </c>
      <c r="AG325">
        <v>0</v>
      </c>
      <c r="AH325" t="s">
        <v>1380</v>
      </c>
      <c r="AI325">
        <f t="shared" si="23"/>
        <v>0</v>
      </c>
      <c r="AJ325" t="s">
        <v>1391</v>
      </c>
    </row>
    <row r="326" spans="1:36" x14ac:dyDescent="0.3">
      <c r="A326" t="s">
        <v>22</v>
      </c>
      <c r="B326">
        <v>40</v>
      </c>
      <c r="C326">
        <v>91.4</v>
      </c>
      <c r="D326">
        <v>1.74</v>
      </c>
      <c r="E326">
        <v>30.2</v>
      </c>
      <c r="F326">
        <f t="shared" si="21"/>
        <v>30.188928524243625</v>
      </c>
      <c r="G326">
        <f t="shared" si="20"/>
        <v>0</v>
      </c>
      <c r="H326" t="s">
        <v>1399</v>
      </c>
      <c r="I326">
        <v>98.7</v>
      </c>
      <c r="J326" t="s">
        <v>336</v>
      </c>
      <c r="K326" s="24">
        <v>117</v>
      </c>
      <c r="L326" s="24">
        <v>64</v>
      </c>
      <c r="N326" t="s">
        <v>1434</v>
      </c>
      <c r="O326">
        <v>35</v>
      </c>
      <c r="P326">
        <v>101</v>
      </c>
      <c r="Q326" t="s">
        <v>25</v>
      </c>
      <c r="R326" t="s">
        <v>25</v>
      </c>
      <c r="S326" t="s">
        <v>39</v>
      </c>
      <c r="T326" t="s">
        <v>25</v>
      </c>
      <c r="U326">
        <f t="shared" si="22"/>
        <v>3</v>
      </c>
      <c r="V326">
        <v>174</v>
      </c>
      <c r="W326">
        <v>0.56699999999999995</v>
      </c>
      <c r="X326" t="s">
        <v>1407</v>
      </c>
      <c r="Y326">
        <v>117</v>
      </c>
      <c r="Z326">
        <v>64</v>
      </c>
      <c r="AA326" t="s">
        <v>35</v>
      </c>
      <c r="AB326">
        <v>90</v>
      </c>
      <c r="AC326" s="23">
        <v>2.57</v>
      </c>
      <c r="AD326" t="str">
        <f>IF(AND('CVD Dataset'!AA326="Normal",'CVD Dataset'!AB326&gt;AVERAGE('CVD Dataset'!AB:AB),'CVD Dataset'!AF326="High"),"High Lipid Category","Normal Category")</f>
        <v>Normal Category</v>
      </c>
      <c r="AE326">
        <v>16.989999999999998</v>
      </c>
      <c r="AF326" t="s">
        <v>32</v>
      </c>
      <c r="AG326">
        <v>0</v>
      </c>
      <c r="AH326" t="s">
        <v>1379</v>
      </c>
      <c r="AI326">
        <f t="shared" si="23"/>
        <v>1</v>
      </c>
      <c r="AJ326" t="s">
        <v>1391</v>
      </c>
    </row>
    <row r="327" spans="1:36" x14ac:dyDescent="0.3">
      <c r="A327" t="s">
        <v>33</v>
      </c>
      <c r="B327">
        <v>34</v>
      </c>
      <c r="C327">
        <v>100.8</v>
      </c>
      <c r="D327">
        <v>1.7</v>
      </c>
      <c r="E327">
        <v>34.9</v>
      </c>
      <c r="F327">
        <f t="shared" si="21"/>
        <v>34.878892733564015</v>
      </c>
      <c r="G327">
        <f t="shared" si="20"/>
        <v>0</v>
      </c>
      <c r="H327" t="s">
        <v>1399</v>
      </c>
      <c r="I327">
        <v>108.8</v>
      </c>
      <c r="J327" t="s">
        <v>337</v>
      </c>
      <c r="K327" s="24">
        <v>100</v>
      </c>
      <c r="L327" s="24">
        <v>80</v>
      </c>
      <c r="N327" t="s">
        <v>1434</v>
      </c>
      <c r="O327">
        <v>71</v>
      </c>
      <c r="P327">
        <v>148</v>
      </c>
      <c r="Q327" t="s">
        <v>24</v>
      </c>
      <c r="R327" t="s">
        <v>24</v>
      </c>
      <c r="S327" t="s">
        <v>26</v>
      </c>
      <c r="T327" t="s">
        <v>25</v>
      </c>
      <c r="U327">
        <f t="shared" si="22"/>
        <v>2</v>
      </c>
      <c r="V327">
        <v>170</v>
      </c>
      <c r="W327">
        <v>0.64</v>
      </c>
      <c r="X327" t="s">
        <v>1409</v>
      </c>
      <c r="Y327">
        <v>100</v>
      </c>
      <c r="Z327">
        <v>80</v>
      </c>
      <c r="AA327" t="s">
        <v>31</v>
      </c>
      <c r="AB327">
        <v>11</v>
      </c>
      <c r="AC327" s="23">
        <v>0.15</v>
      </c>
      <c r="AD327" t="str">
        <f>IF(AND('CVD Dataset'!AA327="Normal",'CVD Dataset'!AB327&gt;AVERAGE('CVD Dataset'!AB:AB),'CVD Dataset'!AF327="High"),"High Lipid Category","Normal Category")</f>
        <v>Normal Category</v>
      </c>
      <c r="AE327">
        <v>14.22</v>
      </c>
      <c r="AF327" t="s">
        <v>28</v>
      </c>
      <c r="AG327">
        <v>0</v>
      </c>
      <c r="AH327" t="s">
        <v>1380</v>
      </c>
      <c r="AI327">
        <f t="shared" si="23"/>
        <v>0</v>
      </c>
      <c r="AJ327" t="s">
        <v>1391</v>
      </c>
    </row>
    <row r="328" spans="1:36" x14ac:dyDescent="0.3">
      <c r="A328" t="s">
        <v>22</v>
      </c>
      <c r="B328">
        <v>38</v>
      </c>
      <c r="C328">
        <v>104.3</v>
      </c>
      <c r="D328">
        <v>1.78</v>
      </c>
      <c r="E328">
        <v>32.9</v>
      </c>
      <c r="F328">
        <f t="shared" si="21"/>
        <v>32.918823380886252</v>
      </c>
      <c r="G328">
        <f t="shared" si="20"/>
        <v>0</v>
      </c>
      <c r="H328" t="s">
        <v>1399</v>
      </c>
      <c r="I328">
        <v>108.7</v>
      </c>
      <c r="J328" t="s">
        <v>338</v>
      </c>
      <c r="K328" s="24">
        <v>99</v>
      </c>
      <c r="L328" s="24">
        <v>70</v>
      </c>
      <c r="M328">
        <v>164</v>
      </c>
      <c r="N328" t="s">
        <v>1433</v>
      </c>
      <c r="O328">
        <v>56</v>
      </c>
      <c r="P328">
        <v>120</v>
      </c>
      <c r="Q328" t="s">
        <v>24</v>
      </c>
      <c r="R328" t="s">
        <v>24</v>
      </c>
      <c r="S328" t="s">
        <v>39</v>
      </c>
      <c r="T328" t="s">
        <v>25</v>
      </c>
      <c r="U328">
        <f t="shared" si="22"/>
        <v>1</v>
      </c>
      <c r="V328">
        <v>178</v>
      </c>
      <c r="W328">
        <v>0.61099999999999999</v>
      </c>
      <c r="X328" t="s">
        <v>1409</v>
      </c>
      <c r="Y328">
        <v>99</v>
      </c>
      <c r="Z328">
        <v>70</v>
      </c>
      <c r="AA328" t="s">
        <v>35</v>
      </c>
      <c r="AB328">
        <v>78</v>
      </c>
      <c r="AC328" s="23">
        <v>1.39</v>
      </c>
      <c r="AD328" t="str">
        <f>IF(AND('CVD Dataset'!AA328="Normal",'CVD Dataset'!AB328&gt;AVERAGE('CVD Dataset'!AB:AB),'CVD Dataset'!AF328="High"),"High Lipid Category","Normal Category")</f>
        <v>Normal Category</v>
      </c>
      <c r="AE328">
        <v>14.81</v>
      </c>
      <c r="AF328" t="s">
        <v>28</v>
      </c>
      <c r="AG328">
        <v>0</v>
      </c>
      <c r="AH328" t="s">
        <v>1380</v>
      </c>
      <c r="AI328">
        <f t="shared" si="23"/>
        <v>0</v>
      </c>
      <c r="AJ328" t="s">
        <v>1391</v>
      </c>
    </row>
    <row r="329" spans="1:36" x14ac:dyDescent="0.3">
      <c r="A329" t="s">
        <v>22</v>
      </c>
      <c r="B329">
        <v>36</v>
      </c>
      <c r="C329">
        <v>96.2</v>
      </c>
      <c r="D329">
        <v>1.89</v>
      </c>
      <c r="E329">
        <v>26.9</v>
      </c>
      <c r="F329">
        <f t="shared" si="21"/>
        <v>26.93093698384704</v>
      </c>
      <c r="G329">
        <f t="shared" si="20"/>
        <v>0</v>
      </c>
      <c r="H329" t="s">
        <v>1400</v>
      </c>
      <c r="I329">
        <v>91.8</v>
      </c>
      <c r="J329" t="s">
        <v>339</v>
      </c>
      <c r="K329" s="24">
        <v>145</v>
      </c>
      <c r="L329" s="24">
        <v>60</v>
      </c>
      <c r="M329">
        <v>227</v>
      </c>
      <c r="N329" t="s">
        <v>1432</v>
      </c>
      <c r="O329">
        <v>66</v>
      </c>
      <c r="P329">
        <v>137</v>
      </c>
      <c r="Q329" t="s">
        <v>24</v>
      </c>
      <c r="R329" t="s">
        <v>24</v>
      </c>
      <c r="S329" t="s">
        <v>39</v>
      </c>
      <c r="T329" t="s">
        <v>25</v>
      </c>
      <c r="U329">
        <f t="shared" si="22"/>
        <v>1</v>
      </c>
      <c r="W329">
        <v>0.48599999999999999</v>
      </c>
      <c r="X329" t="s">
        <v>1406</v>
      </c>
      <c r="Y329">
        <v>145</v>
      </c>
      <c r="Z329">
        <v>60</v>
      </c>
      <c r="AA329" t="s">
        <v>40</v>
      </c>
      <c r="AB329">
        <v>131</v>
      </c>
      <c r="AC329" s="23">
        <v>1.98</v>
      </c>
      <c r="AD329" t="str">
        <f>IF(AND('CVD Dataset'!AA329="Normal",'CVD Dataset'!AB329&gt;AVERAGE('CVD Dataset'!AB:AB),'CVD Dataset'!AF329="High"),"High Lipid Category","Normal Category")</f>
        <v>Normal Category</v>
      </c>
      <c r="AE329">
        <v>17.170000000000002</v>
      </c>
      <c r="AF329" t="s">
        <v>28</v>
      </c>
      <c r="AG329">
        <v>0</v>
      </c>
      <c r="AH329" t="s">
        <v>1380</v>
      </c>
      <c r="AI329">
        <f t="shared" si="23"/>
        <v>0</v>
      </c>
      <c r="AJ329" t="s">
        <v>1391</v>
      </c>
    </row>
    <row r="330" spans="1:36" x14ac:dyDescent="0.3">
      <c r="A330" t="s">
        <v>33</v>
      </c>
      <c r="B330">
        <v>30</v>
      </c>
      <c r="C330">
        <v>117.6</v>
      </c>
      <c r="D330">
        <v>1.76</v>
      </c>
      <c r="E330">
        <v>38</v>
      </c>
      <c r="F330">
        <f t="shared" si="21"/>
        <v>37.964876033057848</v>
      </c>
      <c r="G330">
        <f t="shared" si="20"/>
        <v>0</v>
      </c>
      <c r="H330" t="s">
        <v>1399</v>
      </c>
      <c r="I330">
        <v>105</v>
      </c>
      <c r="J330" t="s">
        <v>340</v>
      </c>
      <c r="K330" s="24">
        <v>104</v>
      </c>
      <c r="L330" s="24">
        <v>96</v>
      </c>
      <c r="M330">
        <v>173</v>
      </c>
      <c r="N330" t="s">
        <v>1433</v>
      </c>
      <c r="O330">
        <v>58</v>
      </c>
      <c r="P330">
        <v>113</v>
      </c>
      <c r="Q330" t="s">
        <v>24</v>
      </c>
      <c r="R330" t="s">
        <v>24</v>
      </c>
      <c r="S330" t="s">
        <v>30</v>
      </c>
      <c r="T330" t="s">
        <v>24</v>
      </c>
      <c r="U330">
        <f t="shared" si="22"/>
        <v>0</v>
      </c>
      <c r="V330">
        <v>176</v>
      </c>
      <c r="W330">
        <v>0.59699999999999998</v>
      </c>
      <c r="X330" t="s">
        <v>1409</v>
      </c>
      <c r="Y330">
        <v>104</v>
      </c>
      <c r="Z330">
        <v>96</v>
      </c>
      <c r="AA330" t="s">
        <v>40</v>
      </c>
      <c r="AB330">
        <v>85</v>
      </c>
      <c r="AC330" s="23">
        <v>1.47</v>
      </c>
      <c r="AD330" t="str">
        <f>IF(AND('CVD Dataset'!AA330="Normal",'CVD Dataset'!AB330&gt;AVERAGE('CVD Dataset'!AB:AB),'CVD Dataset'!AF330="High"),"High Lipid Category","Normal Category")</f>
        <v>Normal Category</v>
      </c>
      <c r="AE330">
        <v>16.260000000000002</v>
      </c>
      <c r="AF330" t="s">
        <v>54</v>
      </c>
      <c r="AG330">
        <v>0</v>
      </c>
      <c r="AH330" t="s">
        <v>1380</v>
      </c>
      <c r="AI330">
        <f t="shared" si="23"/>
        <v>0</v>
      </c>
      <c r="AJ330" t="s">
        <v>1391</v>
      </c>
    </row>
    <row r="331" spans="1:36" x14ac:dyDescent="0.3">
      <c r="A331" t="s">
        <v>22</v>
      </c>
      <c r="B331">
        <v>49</v>
      </c>
      <c r="C331">
        <v>106.4</v>
      </c>
      <c r="D331">
        <v>1.83</v>
      </c>
      <c r="E331">
        <v>31.8</v>
      </c>
      <c r="F331">
        <f t="shared" si="21"/>
        <v>31.771626504225267</v>
      </c>
      <c r="G331">
        <f t="shared" si="20"/>
        <v>0</v>
      </c>
      <c r="H331" t="s">
        <v>1399</v>
      </c>
      <c r="I331">
        <v>89</v>
      </c>
      <c r="J331" t="s">
        <v>341</v>
      </c>
      <c r="K331" s="24">
        <v>110</v>
      </c>
      <c r="L331" s="24">
        <v>71</v>
      </c>
      <c r="M331">
        <v>103</v>
      </c>
      <c r="N331" t="s">
        <v>1434</v>
      </c>
      <c r="O331">
        <v>72</v>
      </c>
      <c r="P331">
        <v>108</v>
      </c>
      <c r="Q331" t="s">
        <v>25</v>
      </c>
      <c r="R331" t="s">
        <v>25</v>
      </c>
      <c r="S331" t="s">
        <v>30</v>
      </c>
      <c r="T331" t="s">
        <v>25</v>
      </c>
      <c r="U331">
        <f t="shared" si="22"/>
        <v>3</v>
      </c>
      <c r="V331">
        <v>183</v>
      </c>
      <c r="W331">
        <v>0.48599999999999999</v>
      </c>
      <c r="X331" t="s">
        <v>1406</v>
      </c>
      <c r="Y331">
        <v>110</v>
      </c>
      <c r="Z331">
        <v>71</v>
      </c>
      <c r="AA331" t="s">
        <v>35</v>
      </c>
      <c r="AB331">
        <v>1</v>
      </c>
      <c r="AC331" s="23">
        <v>0.01</v>
      </c>
      <c r="AD331" t="str">
        <f>IF(AND('CVD Dataset'!AA331="Normal",'CVD Dataset'!AB331&gt;AVERAGE('CVD Dataset'!AB:AB),'CVD Dataset'!AF331="High"),"High Lipid Category","Normal Category")</f>
        <v>Normal Category</v>
      </c>
      <c r="AE331">
        <v>15.92</v>
      </c>
      <c r="AF331" t="s">
        <v>32</v>
      </c>
      <c r="AG331">
        <v>1</v>
      </c>
      <c r="AH331" t="s">
        <v>1379</v>
      </c>
      <c r="AI331">
        <f t="shared" si="23"/>
        <v>1</v>
      </c>
      <c r="AJ331" t="s">
        <v>1391</v>
      </c>
    </row>
    <row r="332" spans="1:36" x14ac:dyDescent="0.3">
      <c r="A332" t="s">
        <v>22</v>
      </c>
      <c r="B332">
        <v>44</v>
      </c>
      <c r="C332">
        <v>73.3</v>
      </c>
      <c r="D332">
        <v>1.63</v>
      </c>
      <c r="E332">
        <v>27.6</v>
      </c>
      <c r="F332">
        <f t="shared" si="21"/>
        <v>27.588543038879898</v>
      </c>
      <c r="G332">
        <f t="shared" si="20"/>
        <v>0</v>
      </c>
      <c r="H332" t="s">
        <v>1400</v>
      </c>
      <c r="I332">
        <v>108.7</v>
      </c>
      <c r="J332" t="s">
        <v>342</v>
      </c>
      <c r="K332" s="24">
        <v>123</v>
      </c>
      <c r="L332" s="24">
        <v>89</v>
      </c>
      <c r="M332">
        <v>169</v>
      </c>
      <c r="N332" t="s">
        <v>1433</v>
      </c>
      <c r="O332">
        <v>32</v>
      </c>
      <c r="P332">
        <v>93</v>
      </c>
      <c r="Q332" t="s">
        <v>24</v>
      </c>
      <c r="R332" t="s">
        <v>25</v>
      </c>
      <c r="S332" t="s">
        <v>39</v>
      </c>
      <c r="T332" t="s">
        <v>24</v>
      </c>
      <c r="U332">
        <f t="shared" si="22"/>
        <v>1</v>
      </c>
      <c r="V332">
        <v>163</v>
      </c>
      <c r="W332">
        <v>0.66700000000000004</v>
      </c>
      <c r="X332" t="s">
        <v>1409</v>
      </c>
      <c r="Y332">
        <v>123</v>
      </c>
      <c r="Z332">
        <v>89</v>
      </c>
      <c r="AA332" t="s">
        <v>31</v>
      </c>
      <c r="AB332">
        <v>107</v>
      </c>
      <c r="AC332" s="23">
        <v>3.34</v>
      </c>
      <c r="AD332" t="str">
        <f>IF(AND('CVD Dataset'!AA332="Normal",'CVD Dataset'!AB332&gt;AVERAGE('CVD Dataset'!AB:AB),'CVD Dataset'!AF332="High"),"High Lipid Category","Normal Category")</f>
        <v>Normal Category</v>
      </c>
      <c r="AE332">
        <v>17.05</v>
      </c>
      <c r="AF332" t="s">
        <v>28</v>
      </c>
      <c r="AG332">
        <v>0</v>
      </c>
      <c r="AH332" t="s">
        <v>1380</v>
      </c>
      <c r="AI332">
        <f t="shared" si="23"/>
        <v>0</v>
      </c>
      <c r="AJ332" t="s">
        <v>1391</v>
      </c>
    </row>
    <row r="333" spans="1:36" x14ac:dyDescent="0.3">
      <c r="A333" t="s">
        <v>33</v>
      </c>
      <c r="B333">
        <v>39</v>
      </c>
      <c r="C333">
        <v>57.2</v>
      </c>
      <c r="D333">
        <v>1.86</v>
      </c>
      <c r="E333">
        <v>16.5</v>
      </c>
      <c r="F333">
        <f t="shared" si="21"/>
        <v>16.533703318302692</v>
      </c>
      <c r="G333">
        <f t="shared" si="20"/>
        <v>0</v>
      </c>
      <c r="H333" t="s">
        <v>1401</v>
      </c>
      <c r="I333">
        <v>88.8</v>
      </c>
      <c r="J333" t="s">
        <v>343</v>
      </c>
      <c r="K333" s="24">
        <v>93</v>
      </c>
      <c r="L333" s="24">
        <v>85</v>
      </c>
      <c r="M333">
        <v>115</v>
      </c>
      <c r="N333" t="s">
        <v>1434</v>
      </c>
      <c r="O333">
        <v>36</v>
      </c>
      <c r="P333">
        <v>142</v>
      </c>
      <c r="Q333" t="s">
        <v>24</v>
      </c>
      <c r="R333" t="s">
        <v>25</v>
      </c>
      <c r="S333" t="s">
        <v>39</v>
      </c>
      <c r="T333" t="s">
        <v>25</v>
      </c>
      <c r="U333">
        <f t="shared" si="22"/>
        <v>2</v>
      </c>
      <c r="V333">
        <v>186</v>
      </c>
      <c r="W333">
        <v>0.47699999999999998</v>
      </c>
      <c r="X333" t="s">
        <v>1406</v>
      </c>
      <c r="Y333">
        <v>93</v>
      </c>
      <c r="Z333">
        <v>85</v>
      </c>
      <c r="AA333" t="s">
        <v>31</v>
      </c>
      <c r="AB333">
        <v>49</v>
      </c>
      <c r="AC333" s="23">
        <v>1.36</v>
      </c>
      <c r="AD333" t="str">
        <f>IF(AND('CVD Dataset'!AA333="Normal",'CVD Dataset'!AB333&gt;AVERAGE('CVD Dataset'!AB:AB),'CVD Dataset'!AF333="High"),"High Lipid Category","Normal Category")</f>
        <v>Normal Category</v>
      </c>
      <c r="AE333">
        <v>12.25</v>
      </c>
      <c r="AF333" t="s">
        <v>28</v>
      </c>
      <c r="AG333">
        <v>0</v>
      </c>
      <c r="AH333" t="s">
        <v>1380</v>
      </c>
      <c r="AI333">
        <f t="shared" si="23"/>
        <v>0</v>
      </c>
      <c r="AJ333" t="s">
        <v>1391</v>
      </c>
    </row>
    <row r="334" spans="1:36" x14ac:dyDescent="0.3">
      <c r="A334" t="s">
        <v>33</v>
      </c>
      <c r="B334">
        <v>38</v>
      </c>
      <c r="C334">
        <v>63.6</v>
      </c>
      <c r="D334">
        <v>1.81</v>
      </c>
      <c r="E334">
        <v>19.399999999999999</v>
      </c>
      <c r="F334">
        <f t="shared" si="21"/>
        <v>19.413326821525594</v>
      </c>
      <c r="G334">
        <f t="shared" si="20"/>
        <v>0</v>
      </c>
      <c r="H334" t="s">
        <v>1398</v>
      </c>
      <c r="J334" t="s">
        <v>344</v>
      </c>
      <c r="K334" s="24">
        <v>95</v>
      </c>
      <c r="L334" s="24">
        <v>66</v>
      </c>
      <c r="M334">
        <v>169</v>
      </c>
      <c r="N334" t="s">
        <v>1433</v>
      </c>
      <c r="O334">
        <v>69</v>
      </c>
      <c r="P334">
        <v>115</v>
      </c>
      <c r="Q334" t="s">
        <v>25</v>
      </c>
      <c r="R334" t="s">
        <v>24</v>
      </c>
      <c r="S334" t="s">
        <v>30</v>
      </c>
      <c r="T334" t="s">
        <v>25</v>
      </c>
      <c r="U334">
        <f t="shared" si="22"/>
        <v>2</v>
      </c>
      <c r="V334">
        <v>181</v>
      </c>
      <c r="W334">
        <v>0.50700000000000001</v>
      </c>
      <c r="X334" t="s">
        <v>1406</v>
      </c>
      <c r="Y334">
        <v>95</v>
      </c>
      <c r="Z334">
        <v>66</v>
      </c>
      <c r="AA334" t="s">
        <v>35</v>
      </c>
      <c r="AB334">
        <v>70</v>
      </c>
      <c r="AC334" s="23">
        <v>1.01</v>
      </c>
      <c r="AD334" t="str">
        <f>IF(AND('CVD Dataset'!AA334="Normal",'CVD Dataset'!AB334&gt;AVERAGE('CVD Dataset'!AB:AB),'CVD Dataset'!AF334="High"),"High Lipid Category","Normal Category")</f>
        <v>Normal Category</v>
      </c>
      <c r="AE334">
        <v>12.01</v>
      </c>
      <c r="AF334" t="s">
        <v>28</v>
      </c>
      <c r="AG334">
        <v>0</v>
      </c>
      <c r="AH334" t="s">
        <v>1380</v>
      </c>
      <c r="AI334">
        <f t="shared" si="23"/>
        <v>0</v>
      </c>
      <c r="AJ334" t="s">
        <v>1391</v>
      </c>
    </row>
    <row r="335" spans="1:36" x14ac:dyDescent="0.3">
      <c r="A335" t="s">
        <v>33</v>
      </c>
      <c r="B335">
        <v>32</v>
      </c>
      <c r="C335">
        <v>65.400000000000006</v>
      </c>
      <c r="D335">
        <v>1.7</v>
      </c>
      <c r="E335">
        <v>22.6</v>
      </c>
      <c r="F335">
        <f t="shared" si="21"/>
        <v>22.629757785467131</v>
      </c>
      <c r="G335">
        <f t="shared" ref="G335:G398" si="24">IFERROR(IF(ABS(E335 - F335) &lt;= 0.1, 0, 1),"")</f>
        <v>0</v>
      </c>
      <c r="H335" t="s">
        <v>1398</v>
      </c>
      <c r="J335" t="s">
        <v>345</v>
      </c>
      <c r="K335" s="24">
        <v>129</v>
      </c>
      <c r="L335" s="24">
        <v>94</v>
      </c>
      <c r="M335">
        <v>129</v>
      </c>
      <c r="N335" t="s">
        <v>1434</v>
      </c>
      <c r="O335">
        <v>52</v>
      </c>
      <c r="P335">
        <v>89</v>
      </c>
      <c r="Q335" t="s">
        <v>24</v>
      </c>
      <c r="R335" t="s">
        <v>24</v>
      </c>
      <c r="S335" t="s">
        <v>26</v>
      </c>
      <c r="T335" t="s">
        <v>24</v>
      </c>
      <c r="U335">
        <f t="shared" si="22"/>
        <v>1</v>
      </c>
      <c r="V335">
        <v>170</v>
      </c>
      <c r="W335">
        <v>0.44800000000000001</v>
      </c>
      <c r="X335" t="s">
        <v>1408</v>
      </c>
      <c r="Y335">
        <v>129</v>
      </c>
      <c r="Z335">
        <v>94</v>
      </c>
      <c r="AA335" t="s">
        <v>40</v>
      </c>
      <c r="AB335">
        <v>47</v>
      </c>
      <c r="AC335" s="23">
        <v>0.9</v>
      </c>
      <c r="AD335" t="str">
        <f>IF(AND('CVD Dataset'!AA335="Normal",'CVD Dataset'!AB335&gt;AVERAGE('CVD Dataset'!AB:AB),'CVD Dataset'!AF335="High"),"High Lipid Category","Normal Category")</f>
        <v>Normal Category</v>
      </c>
      <c r="AE335">
        <v>13.55</v>
      </c>
      <c r="AF335" t="s">
        <v>54</v>
      </c>
      <c r="AG335">
        <v>0</v>
      </c>
      <c r="AH335" t="s">
        <v>1380</v>
      </c>
      <c r="AI335">
        <f t="shared" si="23"/>
        <v>0</v>
      </c>
      <c r="AJ335" t="s">
        <v>1391</v>
      </c>
    </row>
    <row r="336" spans="1:36" x14ac:dyDescent="0.3">
      <c r="A336" t="s">
        <v>22</v>
      </c>
      <c r="B336">
        <v>42</v>
      </c>
      <c r="C336">
        <v>96.3</v>
      </c>
      <c r="D336">
        <v>1.71</v>
      </c>
      <c r="E336">
        <v>32.9</v>
      </c>
      <c r="F336">
        <f t="shared" si="21"/>
        <v>32.933210218528778</v>
      </c>
      <c r="G336">
        <f t="shared" si="24"/>
        <v>0</v>
      </c>
      <c r="H336" t="s">
        <v>1399</v>
      </c>
      <c r="I336">
        <v>74.2</v>
      </c>
      <c r="J336" t="s">
        <v>346</v>
      </c>
      <c r="K336" s="24">
        <v>99</v>
      </c>
      <c r="L336" s="24">
        <v>83</v>
      </c>
      <c r="M336">
        <v>290</v>
      </c>
      <c r="N336" t="s">
        <v>1432</v>
      </c>
      <c r="O336">
        <v>35</v>
      </c>
      <c r="P336">
        <v>132</v>
      </c>
      <c r="Q336" t="s">
        <v>24</v>
      </c>
      <c r="R336" t="s">
        <v>24</v>
      </c>
      <c r="S336" t="s">
        <v>30</v>
      </c>
      <c r="T336" t="s">
        <v>25</v>
      </c>
      <c r="U336">
        <f t="shared" si="22"/>
        <v>1</v>
      </c>
      <c r="W336">
        <v>0.434</v>
      </c>
      <c r="X336" t="s">
        <v>1408</v>
      </c>
      <c r="Y336">
        <v>99</v>
      </c>
      <c r="Z336">
        <v>83</v>
      </c>
      <c r="AA336" t="s">
        <v>31</v>
      </c>
      <c r="AB336">
        <v>225</v>
      </c>
      <c r="AC336" s="23">
        <v>6.43</v>
      </c>
      <c r="AD336" t="str">
        <f>IF(AND('CVD Dataset'!AA336="Normal",'CVD Dataset'!AB336&gt;AVERAGE('CVD Dataset'!AB:AB),'CVD Dataset'!AF336="High"),"High Lipid Category","Normal Category")</f>
        <v>Normal Category</v>
      </c>
      <c r="AE336">
        <v>17.329999999999998</v>
      </c>
      <c r="AF336" t="s">
        <v>32</v>
      </c>
      <c r="AG336">
        <v>0</v>
      </c>
      <c r="AH336" t="s">
        <v>1379</v>
      </c>
      <c r="AI336">
        <f t="shared" si="23"/>
        <v>1</v>
      </c>
      <c r="AJ336" t="s">
        <v>1391</v>
      </c>
    </row>
    <row r="337" spans="1:36" x14ac:dyDescent="0.3">
      <c r="A337" t="s">
        <v>33</v>
      </c>
      <c r="B337">
        <v>34</v>
      </c>
      <c r="C337">
        <v>54</v>
      </c>
      <c r="D337">
        <v>1.61</v>
      </c>
      <c r="F337">
        <f t="shared" si="21"/>
        <v>20.832529609197174</v>
      </c>
      <c r="G337">
        <f t="shared" si="24"/>
        <v>1</v>
      </c>
      <c r="H337" t="s">
        <v>1401</v>
      </c>
      <c r="I337">
        <v>96.7</v>
      </c>
      <c r="J337" t="s">
        <v>347</v>
      </c>
      <c r="K337" s="24">
        <v>116</v>
      </c>
      <c r="L337" s="24">
        <v>72</v>
      </c>
      <c r="M337">
        <v>253</v>
      </c>
      <c r="N337" t="s">
        <v>1432</v>
      </c>
      <c r="O337">
        <v>37</v>
      </c>
      <c r="Q337" t="s">
        <v>24</v>
      </c>
      <c r="R337" t="s">
        <v>24</v>
      </c>
      <c r="S337" t="s">
        <v>30</v>
      </c>
      <c r="T337" t="s">
        <v>25</v>
      </c>
      <c r="U337">
        <f t="shared" si="22"/>
        <v>1</v>
      </c>
      <c r="V337">
        <v>161</v>
      </c>
      <c r="W337">
        <v>0.60099999999999998</v>
      </c>
      <c r="X337" t="s">
        <v>1409</v>
      </c>
      <c r="Y337">
        <v>116</v>
      </c>
      <c r="Z337">
        <v>72</v>
      </c>
      <c r="AA337" t="s">
        <v>35</v>
      </c>
      <c r="AB337">
        <v>186</v>
      </c>
      <c r="AC337" s="23">
        <v>5.03</v>
      </c>
      <c r="AD337" t="str">
        <f>IF(AND('CVD Dataset'!AA337="Normal",'CVD Dataset'!AB337&gt;AVERAGE('CVD Dataset'!AB:AB),'CVD Dataset'!AF337="High"),"High Lipid Category","Normal Category")</f>
        <v>Normal Category</v>
      </c>
      <c r="AE337">
        <v>15.02</v>
      </c>
      <c r="AF337" t="s">
        <v>28</v>
      </c>
      <c r="AG337">
        <v>0</v>
      </c>
      <c r="AH337" t="s">
        <v>1380</v>
      </c>
      <c r="AI337">
        <f t="shared" si="23"/>
        <v>0</v>
      </c>
      <c r="AJ337" t="s">
        <v>1391</v>
      </c>
    </row>
    <row r="338" spans="1:36" x14ac:dyDescent="0.3">
      <c r="A338" t="s">
        <v>33</v>
      </c>
      <c r="B338">
        <v>40</v>
      </c>
      <c r="C338">
        <v>62.1</v>
      </c>
      <c r="D338">
        <v>1.68</v>
      </c>
      <c r="E338">
        <v>22</v>
      </c>
      <c r="F338">
        <f t="shared" si="21"/>
        <v>22.002551020408166</v>
      </c>
      <c r="G338">
        <f t="shared" si="24"/>
        <v>0</v>
      </c>
      <c r="H338" t="s">
        <v>1398</v>
      </c>
      <c r="I338">
        <v>71</v>
      </c>
      <c r="J338" t="s">
        <v>348</v>
      </c>
      <c r="K338" s="24">
        <v>110</v>
      </c>
      <c r="L338" s="24">
        <v>93</v>
      </c>
      <c r="M338">
        <v>184</v>
      </c>
      <c r="N338" t="s">
        <v>1432</v>
      </c>
      <c r="O338">
        <v>51</v>
      </c>
      <c r="P338">
        <v>144</v>
      </c>
      <c r="Q338" t="s">
        <v>25</v>
      </c>
      <c r="R338" t="s">
        <v>25</v>
      </c>
      <c r="S338" t="s">
        <v>26</v>
      </c>
      <c r="T338" t="s">
        <v>24</v>
      </c>
      <c r="U338">
        <f t="shared" si="22"/>
        <v>3</v>
      </c>
      <c r="V338">
        <v>168</v>
      </c>
      <c r="W338">
        <v>0.42299999999999999</v>
      </c>
      <c r="X338" t="s">
        <v>1408</v>
      </c>
      <c r="Y338">
        <v>110</v>
      </c>
      <c r="Z338">
        <v>93</v>
      </c>
      <c r="AA338" t="s">
        <v>40</v>
      </c>
      <c r="AC338" s="23">
        <v>0</v>
      </c>
      <c r="AD338" t="str">
        <f>IF(AND('CVD Dataset'!AA338="Normal",'CVD Dataset'!AB338&gt;AVERAGE('CVD Dataset'!AB:AB),'CVD Dataset'!AF338="High"),"High Lipid Category","Normal Category")</f>
        <v>Normal Category</v>
      </c>
      <c r="AE338">
        <v>15.58</v>
      </c>
      <c r="AF338" t="s">
        <v>28</v>
      </c>
      <c r="AG338">
        <v>0</v>
      </c>
      <c r="AH338" t="s">
        <v>1380</v>
      </c>
      <c r="AI338">
        <f t="shared" si="23"/>
        <v>0</v>
      </c>
      <c r="AJ338" t="s">
        <v>1391</v>
      </c>
    </row>
    <row r="339" spans="1:36" x14ac:dyDescent="0.3">
      <c r="A339" t="s">
        <v>22</v>
      </c>
      <c r="B339">
        <v>41</v>
      </c>
      <c r="C339">
        <v>119</v>
      </c>
      <c r="D339">
        <v>1.64</v>
      </c>
      <c r="E339">
        <v>44.2</v>
      </c>
      <c r="F339">
        <f t="shared" si="21"/>
        <v>44.244497323022017</v>
      </c>
      <c r="G339">
        <f t="shared" si="24"/>
        <v>0</v>
      </c>
      <c r="H339" t="s">
        <v>1399</v>
      </c>
      <c r="I339">
        <v>73.599999999999994</v>
      </c>
      <c r="J339" t="s">
        <v>290</v>
      </c>
      <c r="K339" s="24">
        <v>116</v>
      </c>
      <c r="L339" s="24">
        <v>69</v>
      </c>
      <c r="M339">
        <v>139</v>
      </c>
      <c r="N339" t="s">
        <v>1434</v>
      </c>
      <c r="O339">
        <v>38</v>
      </c>
      <c r="P339">
        <v>128</v>
      </c>
      <c r="Q339" t="s">
        <v>24</v>
      </c>
      <c r="R339" t="s">
        <v>25</v>
      </c>
      <c r="S339" t="s">
        <v>39</v>
      </c>
      <c r="T339" t="s">
        <v>24</v>
      </c>
      <c r="U339">
        <f t="shared" si="22"/>
        <v>1</v>
      </c>
      <c r="V339">
        <v>164</v>
      </c>
      <c r="W339">
        <v>0.44900000000000001</v>
      </c>
      <c r="X339" t="s">
        <v>1408</v>
      </c>
      <c r="Y339">
        <v>116</v>
      </c>
      <c r="Z339">
        <v>69</v>
      </c>
      <c r="AA339" t="s">
        <v>35</v>
      </c>
      <c r="AB339">
        <v>71</v>
      </c>
      <c r="AC339" s="23">
        <v>1.87</v>
      </c>
      <c r="AD339" t="str">
        <f>IF(AND('CVD Dataset'!AA339="Normal",'CVD Dataset'!AB339&gt;AVERAGE('CVD Dataset'!AB:AB),'CVD Dataset'!AF339="High"),"High Lipid Category","Normal Category")</f>
        <v>Normal Category</v>
      </c>
      <c r="AE339">
        <v>19.420000000000002</v>
      </c>
      <c r="AF339" t="s">
        <v>28</v>
      </c>
      <c r="AG339">
        <v>0</v>
      </c>
      <c r="AH339" t="s">
        <v>1380</v>
      </c>
      <c r="AI339">
        <f t="shared" si="23"/>
        <v>0</v>
      </c>
      <c r="AJ339" t="s">
        <v>1391</v>
      </c>
    </row>
    <row r="340" spans="1:36" x14ac:dyDescent="0.3">
      <c r="A340" t="s">
        <v>33</v>
      </c>
      <c r="B340">
        <v>39</v>
      </c>
      <c r="C340">
        <v>88.7</v>
      </c>
      <c r="D340">
        <v>1.62</v>
      </c>
      <c r="E340">
        <v>33.799999999999997</v>
      </c>
      <c r="F340">
        <f t="shared" si="21"/>
        <v>33.798201493674739</v>
      </c>
      <c r="G340">
        <f t="shared" si="24"/>
        <v>0</v>
      </c>
      <c r="H340" t="s">
        <v>1399</v>
      </c>
      <c r="I340">
        <v>109.2</v>
      </c>
      <c r="J340" t="s">
        <v>349</v>
      </c>
      <c r="K340" s="24">
        <v>111</v>
      </c>
      <c r="L340" s="24">
        <v>76</v>
      </c>
      <c r="M340">
        <v>285</v>
      </c>
      <c r="N340" t="s">
        <v>1432</v>
      </c>
      <c r="O340">
        <v>53</v>
      </c>
      <c r="P340">
        <v>120</v>
      </c>
      <c r="Q340" t="s">
        <v>24</v>
      </c>
      <c r="R340" t="s">
        <v>25</v>
      </c>
      <c r="S340" t="s">
        <v>26</v>
      </c>
      <c r="T340" t="s">
        <v>25</v>
      </c>
      <c r="U340">
        <f t="shared" si="22"/>
        <v>3</v>
      </c>
      <c r="V340">
        <v>162</v>
      </c>
      <c r="W340">
        <v>0.67400000000000004</v>
      </c>
      <c r="X340" t="s">
        <v>1409</v>
      </c>
      <c r="Y340">
        <v>111</v>
      </c>
      <c r="AA340" t="s">
        <v>35</v>
      </c>
      <c r="AB340">
        <v>202</v>
      </c>
      <c r="AC340" s="23">
        <v>3.81</v>
      </c>
      <c r="AD340" t="str">
        <f>IF(AND('CVD Dataset'!AA340="Normal",'CVD Dataset'!AB340&gt;AVERAGE('CVD Dataset'!AB:AB),'CVD Dataset'!AF340="High"),"High Lipid Category","Normal Category")</f>
        <v>High Lipid Category</v>
      </c>
      <c r="AE340">
        <v>20.010000000000002</v>
      </c>
      <c r="AF340" t="s">
        <v>32</v>
      </c>
      <c r="AG340">
        <v>0</v>
      </c>
      <c r="AH340" t="s">
        <v>1379</v>
      </c>
      <c r="AI340">
        <f t="shared" si="23"/>
        <v>1</v>
      </c>
      <c r="AJ340" t="s">
        <v>1391</v>
      </c>
    </row>
    <row r="341" spans="1:36" x14ac:dyDescent="0.3">
      <c r="A341" t="s">
        <v>33</v>
      </c>
      <c r="B341">
        <v>56</v>
      </c>
      <c r="C341">
        <v>58.4</v>
      </c>
      <c r="D341">
        <v>1.71</v>
      </c>
      <c r="E341">
        <v>20</v>
      </c>
      <c r="F341">
        <f t="shared" si="21"/>
        <v>19.971957183406861</v>
      </c>
      <c r="G341">
        <f t="shared" si="24"/>
        <v>0</v>
      </c>
      <c r="H341" t="s">
        <v>1398</v>
      </c>
      <c r="I341">
        <v>86.4</v>
      </c>
      <c r="J341" t="s">
        <v>308</v>
      </c>
      <c r="K341" s="24">
        <v>123</v>
      </c>
      <c r="L341" s="24">
        <v>75</v>
      </c>
      <c r="M341">
        <v>210</v>
      </c>
      <c r="N341" t="s">
        <v>1432</v>
      </c>
      <c r="O341">
        <v>43</v>
      </c>
      <c r="P341">
        <v>111</v>
      </c>
      <c r="Q341" t="s">
        <v>24</v>
      </c>
      <c r="R341" t="s">
        <v>24</v>
      </c>
      <c r="S341" t="s">
        <v>30</v>
      </c>
      <c r="T341" t="s">
        <v>25</v>
      </c>
      <c r="U341">
        <f t="shared" si="22"/>
        <v>1</v>
      </c>
      <c r="V341">
        <v>171</v>
      </c>
      <c r="W341">
        <v>0.505</v>
      </c>
      <c r="X341" t="s">
        <v>1406</v>
      </c>
      <c r="Y341">
        <v>123</v>
      </c>
      <c r="Z341">
        <v>75</v>
      </c>
      <c r="AA341" t="s">
        <v>27</v>
      </c>
      <c r="AB341">
        <v>137</v>
      </c>
      <c r="AC341" s="23">
        <v>3.19</v>
      </c>
      <c r="AD341" t="str">
        <f>IF(AND('CVD Dataset'!AA341="Normal",'CVD Dataset'!AB341&gt;AVERAGE('CVD Dataset'!AB:AB),'CVD Dataset'!AF341="High"),"High Lipid Category","Normal Category")</f>
        <v>Normal Category</v>
      </c>
      <c r="AE341">
        <v>14.35</v>
      </c>
      <c r="AF341" t="s">
        <v>28</v>
      </c>
      <c r="AG341">
        <v>0</v>
      </c>
      <c r="AH341" t="s">
        <v>1380</v>
      </c>
      <c r="AI341">
        <f t="shared" si="23"/>
        <v>0</v>
      </c>
      <c r="AJ341" t="s">
        <v>1391</v>
      </c>
    </row>
    <row r="342" spans="1:36" x14ac:dyDescent="0.3">
      <c r="A342" t="s">
        <v>22</v>
      </c>
      <c r="B342">
        <v>60</v>
      </c>
      <c r="C342">
        <v>54.1</v>
      </c>
      <c r="D342">
        <v>1.86</v>
      </c>
      <c r="E342">
        <v>15.6</v>
      </c>
      <c r="F342">
        <f t="shared" si="21"/>
        <v>15.637645970632441</v>
      </c>
      <c r="G342">
        <f t="shared" si="24"/>
        <v>0</v>
      </c>
      <c r="H342" t="s">
        <v>1401</v>
      </c>
      <c r="I342">
        <v>74.099999999999994</v>
      </c>
      <c r="J342" t="s">
        <v>350</v>
      </c>
      <c r="K342" s="24">
        <v>125</v>
      </c>
      <c r="L342" s="24">
        <v>61</v>
      </c>
      <c r="M342">
        <v>299</v>
      </c>
      <c r="N342" t="s">
        <v>1432</v>
      </c>
      <c r="O342">
        <v>32</v>
      </c>
      <c r="P342">
        <v>120</v>
      </c>
      <c r="Q342" t="s">
        <v>24</v>
      </c>
      <c r="R342" t="s">
        <v>25</v>
      </c>
      <c r="S342" t="s">
        <v>30</v>
      </c>
      <c r="T342" t="s">
        <v>25</v>
      </c>
      <c r="U342">
        <f t="shared" si="22"/>
        <v>2</v>
      </c>
      <c r="V342">
        <v>186</v>
      </c>
      <c r="W342">
        <v>0.39800000000000002</v>
      </c>
      <c r="X342" t="s">
        <v>1408</v>
      </c>
      <c r="Y342">
        <v>125</v>
      </c>
      <c r="Z342">
        <v>61</v>
      </c>
      <c r="AA342" t="s">
        <v>27</v>
      </c>
      <c r="AB342">
        <v>237</v>
      </c>
      <c r="AC342" s="23">
        <v>7.41</v>
      </c>
      <c r="AD342" t="str">
        <f>IF(AND('CVD Dataset'!AA342="Normal",'CVD Dataset'!AB342&gt;AVERAGE('CVD Dataset'!AB:AB),'CVD Dataset'!AF342="High"),"High Lipid Category","Normal Category")</f>
        <v>Normal Category</v>
      </c>
      <c r="AE342">
        <v>17.350000000000001</v>
      </c>
      <c r="AF342" t="s">
        <v>32</v>
      </c>
      <c r="AG342">
        <v>0</v>
      </c>
      <c r="AH342" t="s">
        <v>1379</v>
      </c>
      <c r="AI342">
        <f t="shared" si="23"/>
        <v>1</v>
      </c>
      <c r="AJ342" t="s">
        <v>1391</v>
      </c>
    </row>
    <row r="343" spans="1:36" x14ac:dyDescent="0.3">
      <c r="A343" t="s">
        <v>22</v>
      </c>
      <c r="B343">
        <v>40</v>
      </c>
      <c r="C343">
        <v>61.8</v>
      </c>
      <c r="D343">
        <v>1.87</v>
      </c>
      <c r="E343">
        <v>17.7</v>
      </c>
      <c r="F343">
        <f t="shared" si="21"/>
        <v>17.672795904944376</v>
      </c>
      <c r="G343">
        <f t="shared" si="24"/>
        <v>0</v>
      </c>
      <c r="H343" t="s">
        <v>1401</v>
      </c>
      <c r="I343">
        <v>94.3</v>
      </c>
      <c r="J343" t="s">
        <v>351</v>
      </c>
      <c r="K343" s="24">
        <v>93</v>
      </c>
      <c r="L343" s="24">
        <v>63</v>
      </c>
      <c r="M343">
        <v>188</v>
      </c>
      <c r="N343" t="s">
        <v>1432</v>
      </c>
      <c r="O343">
        <v>77</v>
      </c>
      <c r="P343">
        <v>125</v>
      </c>
      <c r="Q343" t="s">
        <v>24</v>
      </c>
      <c r="R343" t="s">
        <v>25</v>
      </c>
      <c r="S343" t="s">
        <v>39</v>
      </c>
      <c r="T343" t="s">
        <v>24</v>
      </c>
      <c r="U343">
        <f t="shared" si="22"/>
        <v>1</v>
      </c>
      <c r="V343">
        <v>187</v>
      </c>
      <c r="W343">
        <v>0.504</v>
      </c>
      <c r="X343" t="s">
        <v>1406</v>
      </c>
      <c r="Y343">
        <v>93</v>
      </c>
      <c r="Z343">
        <v>63</v>
      </c>
      <c r="AA343" t="s">
        <v>35</v>
      </c>
      <c r="AB343">
        <v>81</v>
      </c>
      <c r="AC343" s="23">
        <v>1.05</v>
      </c>
      <c r="AD343" t="str">
        <f>IF(AND('CVD Dataset'!AA343="Normal",'CVD Dataset'!AB343&gt;AVERAGE('CVD Dataset'!AB:AB),'CVD Dataset'!AF343="High"),"High Lipid Category","Normal Category")</f>
        <v>Normal Category</v>
      </c>
      <c r="AE343">
        <v>13.95</v>
      </c>
      <c r="AF343" t="s">
        <v>54</v>
      </c>
      <c r="AG343">
        <v>0</v>
      </c>
      <c r="AH343" t="s">
        <v>1380</v>
      </c>
      <c r="AI343">
        <f t="shared" si="23"/>
        <v>0</v>
      </c>
      <c r="AJ343" t="s">
        <v>1391</v>
      </c>
    </row>
    <row r="344" spans="1:36" x14ac:dyDescent="0.3">
      <c r="A344" t="s">
        <v>22</v>
      </c>
      <c r="B344">
        <v>30</v>
      </c>
      <c r="C344">
        <v>64.900000000000006</v>
      </c>
      <c r="D344">
        <v>1.77</v>
      </c>
      <c r="E344">
        <v>20.7</v>
      </c>
      <c r="F344">
        <f t="shared" si="21"/>
        <v>20.715630885122412</v>
      </c>
      <c r="G344">
        <f t="shared" si="24"/>
        <v>0</v>
      </c>
      <c r="H344" t="s">
        <v>1398</v>
      </c>
      <c r="I344">
        <v>98.2</v>
      </c>
      <c r="J344" t="s">
        <v>352</v>
      </c>
      <c r="K344" s="24">
        <v>141</v>
      </c>
      <c r="L344" s="24">
        <v>79</v>
      </c>
      <c r="M344">
        <v>178</v>
      </c>
      <c r="N344" t="s">
        <v>1433</v>
      </c>
      <c r="O344">
        <v>45</v>
      </c>
      <c r="P344">
        <v>77</v>
      </c>
      <c r="Q344" t="s">
        <v>24</v>
      </c>
      <c r="R344" t="s">
        <v>24</v>
      </c>
      <c r="S344" t="s">
        <v>26</v>
      </c>
      <c r="T344" t="s">
        <v>24</v>
      </c>
      <c r="U344">
        <f t="shared" si="22"/>
        <v>1</v>
      </c>
      <c r="V344">
        <v>177</v>
      </c>
      <c r="W344">
        <v>0.55500000000000005</v>
      </c>
      <c r="X344" t="s">
        <v>1407</v>
      </c>
      <c r="Y344">
        <v>141</v>
      </c>
      <c r="AA344" t="s">
        <v>40</v>
      </c>
      <c r="AB344">
        <v>103</v>
      </c>
      <c r="AC344" s="23">
        <v>2.29</v>
      </c>
      <c r="AD344" t="str">
        <f>IF(AND('CVD Dataset'!AA344="Normal",'CVD Dataset'!AB344&gt;AVERAGE('CVD Dataset'!AB:AB),'CVD Dataset'!AF344="High"),"High Lipid Category","Normal Category")</f>
        <v>Normal Category</v>
      </c>
      <c r="AE344">
        <v>14.75</v>
      </c>
      <c r="AF344" t="s">
        <v>54</v>
      </c>
      <c r="AG344">
        <v>0</v>
      </c>
      <c r="AH344" t="s">
        <v>1380</v>
      </c>
      <c r="AI344">
        <f t="shared" si="23"/>
        <v>0</v>
      </c>
      <c r="AJ344" t="s">
        <v>1391</v>
      </c>
    </row>
    <row r="345" spans="1:36" x14ac:dyDescent="0.3">
      <c r="A345" t="s">
        <v>33</v>
      </c>
      <c r="B345">
        <v>54</v>
      </c>
      <c r="C345">
        <v>91.5</v>
      </c>
      <c r="D345">
        <v>1.84</v>
      </c>
      <c r="E345">
        <v>27</v>
      </c>
      <c r="F345">
        <f t="shared" si="21"/>
        <v>27.026228733459355</v>
      </c>
      <c r="G345">
        <f t="shared" si="24"/>
        <v>0</v>
      </c>
      <c r="H345" t="s">
        <v>1400</v>
      </c>
      <c r="I345">
        <v>106.6</v>
      </c>
      <c r="J345" t="s">
        <v>353</v>
      </c>
      <c r="K345" s="24">
        <v>138</v>
      </c>
      <c r="L345" s="24">
        <v>100</v>
      </c>
      <c r="M345">
        <v>209</v>
      </c>
      <c r="N345" t="s">
        <v>1432</v>
      </c>
      <c r="O345">
        <v>35</v>
      </c>
      <c r="P345">
        <v>107</v>
      </c>
      <c r="Q345" t="s">
        <v>24</v>
      </c>
      <c r="R345" t="s">
        <v>25</v>
      </c>
      <c r="S345" t="s">
        <v>30</v>
      </c>
      <c r="T345" t="s">
        <v>24</v>
      </c>
      <c r="U345">
        <f t="shared" si="22"/>
        <v>1</v>
      </c>
      <c r="V345">
        <v>184</v>
      </c>
      <c r="X345" t="s">
        <v>1410</v>
      </c>
      <c r="Y345">
        <v>138</v>
      </c>
      <c r="Z345">
        <v>100</v>
      </c>
      <c r="AA345" t="s">
        <v>31</v>
      </c>
      <c r="AB345">
        <v>144</v>
      </c>
      <c r="AC345" s="23">
        <v>4.1100000000000003</v>
      </c>
      <c r="AD345" t="str">
        <f>IF(AND('CVD Dataset'!AA345="Normal",'CVD Dataset'!AB345&gt;AVERAGE('CVD Dataset'!AB:AB),'CVD Dataset'!AF345="High"),"High Lipid Category","Normal Category")</f>
        <v>Normal Category</v>
      </c>
      <c r="AE345">
        <v>18.48</v>
      </c>
      <c r="AF345" t="s">
        <v>32</v>
      </c>
      <c r="AG345">
        <v>0</v>
      </c>
      <c r="AH345" t="s">
        <v>1379</v>
      </c>
      <c r="AI345">
        <f t="shared" si="23"/>
        <v>1</v>
      </c>
      <c r="AJ345" t="s">
        <v>1392</v>
      </c>
    </row>
    <row r="346" spans="1:36" x14ac:dyDescent="0.3">
      <c r="A346" t="s">
        <v>22</v>
      </c>
      <c r="B346">
        <v>36</v>
      </c>
      <c r="C346">
        <v>99.2</v>
      </c>
      <c r="D346">
        <v>1.8</v>
      </c>
      <c r="E346">
        <v>30.6</v>
      </c>
      <c r="F346">
        <f t="shared" si="21"/>
        <v>30.617283950617281</v>
      </c>
      <c r="G346">
        <f t="shared" si="24"/>
        <v>0</v>
      </c>
      <c r="H346" t="s">
        <v>1399</v>
      </c>
      <c r="I346">
        <v>71.599999999999994</v>
      </c>
      <c r="J346" t="s">
        <v>354</v>
      </c>
      <c r="K346" s="24">
        <v>108</v>
      </c>
      <c r="L346" s="24">
        <v>65</v>
      </c>
      <c r="M346">
        <v>206</v>
      </c>
      <c r="N346" t="s">
        <v>1432</v>
      </c>
      <c r="O346">
        <v>78</v>
      </c>
      <c r="P346">
        <v>95</v>
      </c>
      <c r="Q346" t="s">
        <v>25</v>
      </c>
      <c r="R346" t="s">
        <v>24</v>
      </c>
      <c r="S346" t="s">
        <v>30</v>
      </c>
      <c r="T346" t="s">
        <v>25</v>
      </c>
      <c r="U346">
        <f t="shared" si="22"/>
        <v>2</v>
      </c>
      <c r="V346">
        <v>180</v>
      </c>
      <c r="X346" t="s">
        <v>1410</v>
      </c>
      <c r="Z346">
        <v>65</v>
      </c>
      <c r="AA346" t="s">
        <v>35</v>
      </c>
      <c r="AB346">
        <v>98</v>
      </c>
      <c r="AC346" s="23">
        <v>1.26</v>
      </c>
      <c r="AD346" t="str">
        <f>IF(AND('CVD Dataset'!AA346="Normal",'CVD Dataset'!AB346&gt;AVERAGE('CVD Dataset'!AB:AB),'CVD Dataset'!AF346="High"),"High Lipid Category","Normal Category")</f>
        <v>Normal Category</v>
      </c>
      <c r="AE346">
        <v>15.64</v>
      </c>
      <c r="AF346" t="s">
        <v>32</v>
      </c>
      <c r="AG346">
        <v>1</v>
      </c>
      <c r="AH346" t="s">
        <v>1379</v>
      </c>
      <c r="AI346">
        <f t="shared" si="23"/>
        <v>1</v>
      </c>
      <c r="AJ346" t="s">
        <v>1391</v>
      </c>
    </row>
    <row r="347" spans="1:36" x14ac:dyDescent="0.3">
      <c r="A347" t="s">
        <v>33</v>
      </c>
      <c r="B347">
        <v>34</v>
      </c>
      <c r="C347">
        <v>102.6</v>
      </c>
      <c r="F347" t="str">
        <f t="shared" si="21"/>
        <v/>
      </c>
      <c r="G347" t="str">
        <f t="shared" si="24"/>
        <v/>
      </c>
      <c r="H347" t="s">
        <v>1401</v>
      </c>
      <c r="I347">
        <v>96.9</v>
      </c>
      <c r="J347" t="s">
        <v>355</v>
      </c>
      <c r="K347" s="24">
        <v>137</v>
      </c>
      <c r="L347" s="24">
        <v>81</v>
      </c>
      <c r="M347">
        <v>240</v>
      </c>
      <c r="N347" t="s">
        <v>1432</v>
      </c>
      <c r="O347">
        <v>77</v>
      </c>
      <c r="P347">
        <v>120</v>
      </c>
      <c r="Q347" t="s">
        <v>25</v>
      </c>
      <c r="R347" t="s">
        <v>24</v>
      </c>
      <c r="S347" t="s">
        <v>30</v>
      </c>
      <c r="T347" t="s">
        <v>24</v>
      </c>
      <c r="U347">
        <f t="shared" si="22"/>
        <v>1</v>
      </c>
      <c r="W347">
        <v>0.58699999999999997</v>
      </c>
      <c r="X347" t="s">
        <v>1409</v>
      </c>
      <c r="Y347">
        <v>137</v>
      </c>
      <c r="Z347">
        <v>81</v>
      </c>
      <c r="AA347" t="s">
        <v>31</v>
      </c>
      <c r="AB347">
        <v>133</v>
      </c>
      <c r="AC347" s="23">
        <v>1.73</v>
      </c>
      <c r="AD347" t="str">
        <f>IF(AND('CVD Dataset'!AA347="Normal",'CVD Dataset'!AB347&gt;AVERAGE('CVD Dataset'!AB:AB),'CVD Dataset'!AF347="High"),"High Lipid Category","Normal Category")</f>
        <v>Normal Category</v>
      </c>
      <c r="AE347">
        <v>19.190000000000001</v>
      </c>
      <c r="AF347" t="s">
        <v>28</v>
      </c>
      <c r="AG347">
        <v>0</v>
      </c>
      <c r="AH347" t="s">
        <v>1380</v>
      </c>
      <c r="AI347">
        <f t="shared" si="23"/>
        <v>0</v>
      </c>
      <c r="AJ347" t="s">
        <v>1391</v>
      </c>
    </row>
    <row r="348" spans="1:36" x14ac:dyDescent="0.3">
      <c r="A348" t="s">
        <v>33</v>
      </c>
      <c r="B348">
        <v>35</v>
      </c>
      <c r="C348">
        <v>87.7</v>
      </c>
      <c r="D348">
        <v>1.86</v>
      </c>
      <c r="E348">
        <v>25.3</v>
      </c>
      <c r="F348">
        <f t="shared" si="21"/>
        <v>25.34975141634871</v>
      </c>
      <c r="G348">
        <f t="shared" si="24"/>
        <v>0</v>
      </c>
      <c r="H348" t="s">
        <v>1400</v>
      </c>
      <c r="I348">
        <v>87.9</v>
      </c>
      <c r="J348" t="s">
        <v>356</v>
      </c>
      <c r="K348" s="24">
        <v>135</v>
      </c>
      <c r="L348" s="24">
        <v>91</v>
      </c>
      <c r="M348">
        <v>253</v>
      </c>
      <c r="N348" t="s">
        <v>1432</v>
      </c>
      <c r="O348">
        <v>74</v>
      </c>
      <c r="P348">
        <v>124</v>
      </c>
      <c r="Q348" t="s">
        <v>25</v>
      </c>
      <c r="R348" t="s">
        <v>24</v>
      </c>
      <c r="S348" t="s">
        <v>30</v>
      </c>
      <c r="T348" t="s">
        <v>25</v>
      </c>
      <c r="U348">
        <f t="shared" si="22"/>
        <v>2</v>
      </c>
      <c r="V348">
        <v>186</v>
      </c>
      <c r="W348">
        <v>0.47299999999999998</v>
      </c>
      <c r="X348" t="s">
        <v>1406</v>
      </c>
      <c r="Y348">
        <v>135</v>
      </c>
      <c r="Z348">
        <v>91</v>
      </c>
      <c r="AA348" t="s">
        <v>31</v>
      </c>
      <c r="AB348">
        <v>149</v>
      </c>
      <c r="AC348" s="23">
        <v>2.0099999999999998</v>
      </c>
      <c r="AD348" t="str">
        <f>IF(AND('CVD Dataset'!AA348="Normal",'CVD Dataset'!AB348&gt;AVERAGE('CVD Dataset'!AB:AB),'CVD Dataset'!AF348="High"),"High Lipid Category","Normal Category")</f>
        <v>Normal Category</v>
      </c>
      <c r="AE348">
        <v>16.87</v>
      </c>
      <c r="AF348" t="s">
        <v>32</v>
      </c>
      <c r="AG348">
        <v>1</v>
      </c>
      <c r="AH348" t="s">
        <v>1379</v>
      </c>
      <c r="AI348">
        <f t="shared" si="23"/>
        <v>1</v>
      </c>
      <c r="AJ348" t="s">
        <v>1391</v>
      </c>
    </row>
    <row r="349" spans="1:36" x14ac:dyDescent="0.3">
      <c r="A349" t="s">
        <v>22</v>
      </c>
      <c r="B349">
        <v>30</v>
      </c>
      <c r="C349">
        <v>103.1</v>
      </c>
      <c r="D349">
        <v>1.81</v>
      </c>
      <c r="E349">
        <v>31.5</v>
      </c>
      <c r="F349">
        <f t="shared" si="21"/>
        <v>31.47034583803913</v>
      </c>
      <c r="G349">
        <f t="shared" si="24"/>
        <v>0</v>
      </c>
      <c r="H349" t="s">
        <v>1399</v>
      </c>
      <c r="I349">
        <v>74</v>
      </c>
      <c r="J349" t="s">
        <v>357</v>
      </c>
      <c r="K349" s="24">
        <v>109</v>
      </c>
      <c r="L349" s="24">
        <v>70</v>
      </c>
      <c r="M349">
        <v>120</v>
      </c>
      <c r="N349" t="s">
        <v>1434</v>
      </c>
      <c r="P349">
        <v>144</v>
      </c>
      <c r="Q349" t="s">
        <v>25</v>
      </c>
      <c r="R349" t="s">
        <v>25</v>
      </c>
      <c r="S349" t="s">
        <v>30</v>
      </c>
      <c r="T349" t="s">
        <v>25</v>
      </c>
      <c r="U349">
        <f t="shared" si="22"/>
        <v>3</v>
      </c>
      <c r="V349">
        <v>181</v>
      </c>
      <c r="W349">
        <v>0.40899999999999997</v>
      </c>
      <c r="X349" t="s">
        <v>1408</v>
      </c>
      <c r="Y349">
        <v>109</v>
      </c>
      <c r="Z349">
        <v>70</v>
      </c>
      <c r="AA349" t="s">
        <v>35</v>
      </c>
      <c r="AB349">
        <v>53</v>
      </c>
      <c r="AC349" s="23" t="s">
        <v>1410</v>
      </c>
      <c r="AD349" t="str">
        <f>IF(AND('CVD Dataset'!AA349="Normal",'CVD Dataset'!AB349&gt;AVERAGE('CVD Dataset'!AB:AB),'CVD Dataset'!AF349="High"),"High Lipid Category","Normal Category")</f>
        <v>Normal Category</v>
      </c>
      <c r="AE349">
        <v>16.149999999999999</v>
      </c>
      <c r="AF349" t="s">
        <v>32</v>
      </c>
      <c r="AG349">
        <v>0</v>
      </c>
      <c r="AH349" t="s">
        <v>1379</v>
      </c>
      <c r="AI349">
        <f t="shared" si="23"/>
        <v>1</v>
      </c>
      <c r="AJ349" t="s">
        <v>1391</v>
      </c>
    </row>
    <row r="350" spans="1:36" x14ac:dyDescent="0.3">
      <c r="A350" t="s">
        <v>22</v>
      </c>
      <c r="C350">
        <v>59.8</v>
      </c>
      <c r="D350">
        <v>1.67</v>
      </c>
      <c r="E350">
        <v>21.4</v>
      </c>
      <c r="F350">
        <f t="shared" si="21"/>
        <v>21.442145648822116</v>
      </c>
      <c r="G350">
        <f t="shared" si="24"/>
        <v>0</v>
      </c>
      <c r="H350" t="s">
        <v>1398</v>
      </c>
      <c r="I350">
        <v>97.1</v>
      </c>
      <c r="J350" t="s">
        <v>358</v>
      </c>
      <c r="K350" s="24">
        <v>129</v>
      </c>
      <c r="L350" s="24">
        <v>80</v>
      </c>
      <c r="M350">
        <v>196</v>
      </c>
      <c r="N350" t="s">
        <v>1432</v>
      </c>
      <c r="O350">
        <v>41</v>
      </c>
      <c r="P350">
        <v>125</v>
      </c>
      <c r="Q350" t="s">
        <v>25</v>
      </c>
      <c r="R350" t="s">
        <v>24</v>
      </c>
      <c r="S350" t="s">
        <v>26</v>
      </c>
      <c r="T350" t="s">
        <v>24</v>
      </c>
      <c r="U350">
        <f t="shared" si="22"/>
        <v>2</v>
      </c>
      <c r="V350">
        <v>167</v>
      </c>
      <c r="W350">
        <v>0.58099999999999996</v>
      </c>
      <c r="X350" t="s">
        <v>1407</v>
      </c>
      <c r="Y350">
        <v>129</v>
      </c>
      <c r="Z350">
        <v>80</v>
      </c>
      <c r="AA350" t="s">
        <v>31</v>
      </c>
      <c r="AB350">
        <v>125</v>
      </c>
      <c r="AC350" s="23">
        <v>3.05</v>
      </c>
      <c r="AD350" t="str">
        <f>IF(AND('CVD Dataset'!AA350="Normal",'CVD Dataset'!AB350&gt;AVERAGE('CVD Dataset'!AB:AB),'CVD Dataset'!AF350="High"),"High Lipid Category","Normal Category")</f>
        <v>Normal Category</v>
      </c>
      <c r="AE350">
        <v>14.65</v>
      </c>
      <c r="AF350" t="s">
        <v>28</v>
      </c>
      <c r="AG350">
        <v>0</v>
      </c>
      <c r="AH350" t="s">
        <v>1380</v>
      </c>
      <c r="AI350">
        <f t="shared" si="23"/>
        <v>0</v>
      </c>
      <c r="AJ350" t="s">
        <v>1391</v>
      </c>
    </row>
    <row r="351" spans="1:36" x14ac:dyDescent="0.3">
      <c r="A351" t="s">
        <v>33</v>
      </c>
      <c r="B351">
        <v>35</v>
      </c>
      <c r="C351">
        <v>53.9</v>
      </c>
      <c r="D351">
        <v>1.79</v>
      </c>
      <c r="E351">
        <v>16.8</v>
      </c>
      <c r="F351">
        <f t="shared" si="21"/>
        <v>16.822196560656657</v>
      </c>
      <c r="G351">
        <f t="shared" si="24"/>
        <v>0</v>
      </c>
      <c r="H351" t="s">
        <v>1401</v>
      </c>
      <c r="I351">
        <v>74.3</v>
      </c>
      <c r="J351" t="s">
        <v>359</v>
      </c>
      <c r="K351" s="24">
        <v>136</v>
      </c>
      <c r="L351" s="24">
        <v>97</v>
      </c>
      <c r="M351">
        <v>129</v>
      </c>
      <c r="N351" t="s">
        <v>1434</v>
      </c>
      <c r="O351">
        <v>47</v>
      </c>
      <c r="P351">
        <v>138</v>
      </c>
      <c r="Q351" t="s">
        <v>24</v>
      </c>
      <c r="R351" t="s">
        <v>25</v>
      </c>
      <c r="S351" t="s">
        <v>30</v>
      </c>
      <c r="T351" t="s">
        <v>24</v>
      </c>
      <c r="U351">
        <f t="shared" si="22"/>
        <v>1</v>
      </c>
      <c r="V351">
        <v>179</v>
      </c>
      <c r="W351">
        <v>0.41499999999999998</v>
      </c>
      <c r="X351" t="s">
        <v>1408</v>
      </c>
      <c r="Y351">
        <v>136</v>
      </c>
      <c r="Z351">
        <v>97</v>
      </c>
      <c r="AA351" t="s">
        <v>31</v>
      </c>
      <c r="AB351">
        <v>52</v>
      </c>
      <c r="AC351" s="23">
        <v>1.1100000000000001</v>
      </c>
      <c r="AD351" t="str">
        <f>IF(AND('CVD Dataset'!AA351="Normal",'CVD Dataset'!AB351&gt;AVERAGE('CVD Dataset'!AB:AB),'CVD Dataset'!AF351="High"),"High Lipid Category","Normal Category")</f>
        <v>Normal Category</v>
      </c>
      <c r="AE351">
        <v>14.74</v>
      </c>
      <c r="AF351" t="s">
        <v>54</v>
      </c>
      <c r="AG351">
        <v>0</v>
      </c>
      <c r="AH351" t="s">
        <v>1380</v>
      </c>
      <c r="AI351">
        <f t="shared" si="23"/>
        <v>0</v>
      </c>
      <c r="AJ351" t="s">
        <v>1391</v>
      </c>
    </row>
    <row r="352" spans="1:36" x14ac:dyDescent="0.3">
      <c r="A352" t="s">
        <v>33</v>
      </c>
      <c r="B352">
        <v>51</v>
      </c>
      <c r="C352">
        <v>108.8</v>
      </c>
      <c r="D352">
        <v>1.77</v>
      </c>
      <c r="E352">
        <v>34.700000000000003</v>
      </c>
      <c r="F352">
        <f t="shared" si="21"/>
        <v>34.728207092470228</v>
      </c>
      <c r="G352">
        <f t="shared" si="24"/>
        <v>0</v>
      </c>
      <c r="H352" t="s">
        <v>1399</v>
      </c>
      <c r="I352">
        <v>104.2</v>
      </c>
      <c r="J352" t="s">
        <v>360</v>
      </c>
      <c r="K352" s="24">
        <v>96</v>
      </c>
      <c r="L352" s="24">
        <v>93</v>
      </c>
      <c r="M352">
        <v>277</v>
      </c>
      <c r="N352" t="s">
        <v>1432</v>
      </c>
      <c r="O352">
        <v>38</v>
      </c>
      <c r="P352">
        <v>113</v>
      </c>
      <c r="Q352" t="s">
        <v>25</v>
      </c>
      <c r="R352" t="s">
        <v>25</v>
      </c>
      <c r="S352" t="s">
        <v>39</v>
      </c>
      <c r="T352" t="s">
        <v>25</v>
      </c>
      <c r="U352">
        <f t="shared" si="22"/>
        <v>3</v>
      </c>
      <c r="V352">
        <v>177</v>
      </c>
      <c r="X352" t="s">
        <v>1410</v>
      </c>
      <c r="Y352">
        <v>96</v>
      </c>
      <c r="Z352">
        <v>93</v>
      </c>
      <c r="AA352" t="s">
        <v>40</v>
      </c>
      <c r="AB352">
        <v>209</v>
      </c>
      <c r="AC352" s="23">
        <v>5.5</v>
      </c>
      <c r="AD352" t="str">
        <f>IF(AND('CVD Dataset'!AA352="Normal",'CVD Dataset'!AB352&gt;AVERAGE('CVD Dataset'!AB:AB),'CVD Dataset'!AF352="High"),"High Lipid Category","Normal Category")</f>
        <v>Normal Category</v>
      </c>
      <c r="AE352">
        <v>19.28</v>
      </c>
      <c r="AF352" t="s">
        <v>32</v>
      </c>
      <c r="AG352">
        <v>0</v>
      </c>
      <c r="AH352" t="s">
        <v>1379</v>
      </c>
      <c r="AI352">
        <f t="shared" si="23"/>
        <v>1</v>
      </c>
      <c r="AJ352" t="s">
        <v>1392</v>
      </c>
    </row>
    <row r="353" spans="1:36" x14ac:dyDescent="0.3">
      <c r="A353" t="s">
        <v>22</v>
      </c>
      <c r="B353">
        <v>32</v>
      </c>
      <c r="C353">
        <v>51.3</v>
      </c>
      <c r="D353">
        <v>1.6</v>
      </c>
      <c r="E353">
        <v>20</v>
      </c>
      <c r="F353">
        <f t="shared" si="21"/>
        <v>20.039062499999996</v>
      </c>
      <c r="G353">
        <f t="shared" si="24"/>
        <v>0</v>
      </c>
      <c r="H353" t="s">
        <v>1398</v>
      </c>
      <c r="I353">
        <v>86.8</v>
      </c>
      <c r="J353" t="s">
        <v>185</v>
      </c>
      <c r="K353" s="24">
        <v>136</v>
      </c>
      <c r="L353" s="24">
        <v>61</v>
      </c>
      <c r="M353">
        <v>162</v>
      </c>
      <c r="N353" t="s">
        <v>1433</v>
      </c>
      <c r="O353">
        <v>46</v>
      </c>
      <c r="P353">
        <v>88</v>
      </c>
      <c r="Q353" t="s">
        <v>25</v>
      </c>
      <c r="R353" t="s">
        <v>24</v>
      </c>
      <c r="S353" t="s">
        <v>30</v>
      </c>
      <c r="T353" t="s">
        <v>24</v>
      </c>
      <c r="U353">
        <f t="shared" si="22"/>
        <v>1</v>
      </c>
      <c r="V353">
        <v>160</v>
      </c>
      <c r="W353">
        <v>0.54200000000000004</v>
      </c>
      <c r="X353" t="s">
        <v>1407</v>
      </c>
      <c r="Y353">
        <v>136</v>
      </c>
      <c r="Z353">
        <v>61</v>
      </c>
      <c r="AA353" t="s">
        <v>31</v>
      </c>
      <c r="AB353">
        <v>86</v>
      </c>
      <c r="AC353" s="23">
        <v>1.87</v>
      </c>
      <c r="AD353" t="str">
        <f>IF(AND('CVD Dataset'!AA353="Normal",'CVD Dataset'!AB353&gt;AVERAGE('CVD Dataset'!AB:AB),'CVD Dataset'!AF353="High"),"High Lipid Category","Normal Category")</f>
        <v>Normal Category</v>
      </c>
      <c r="AE353">
        <v>14.04</v>
      </c>
      <c r="AF353" t="s">
        <v>54</v>
      </c>
      <c r="AG353">
        <v>0</v>
      </c>
      <c r="AH353" t="s">
        <v>1380</v>
      </c>
      <c r="AI353">
        <f t="shared" si="23"/>
        <v>0</v>
      </c>
      <c r="AJ353" t="s">
        <v>1391</v>
      </c>
    </row>
    <row r="354" spans="1:36" x14ac:dyDescent="0.3">
      <c r="A354" t="s">
        <v>33</v>
      </c>
      <c r="B354">
        <v>47</v>
      </c>
      <c r="C354">
        <v>90.9</v>
      </c>
      <c r="D354">
        <v>1.61</v>
      </c>
      <c r="F354">
        <f t="shared" si="21"/>
        <v>35.068091508815243</v>
      </c>
      <c r="G354">
        <f t="shared" si="24"/>
        <v>1</v>
      </c>
      <c r="H354" t="s">
        <v>1401</v>
      </c>
      <c r="I354">
        <v>97.9</v>
      </c>
      <c r="J354" t="s">
        <v>361</v>
      </c>
      <c r="K354" s="24">
        <v>103</v>
      </c>
      <c r="L354" s="24">
        <v>69</v>
      </c>
      <c r="M354">
        <v>233</v>
      </c>
      <c r="N354" t="s">
        <v>1432</v>
      </c>
      <c r="O354">
        <v>72</v>
      </c>
      <c r="P354">
        <v>138</v>
      </c>
      <c r="Q354" t="s">
        <v>25</v>
      </c>
      <c r="R354" t="s">
        <v>24</v>
      </c>
      <c r="S354" t="s">
        <v>39</v>
      </c>
      <c r="T354" t="s">
        <v>25</v>
      </c>
      <c r="U354">
        <f t="shared" si="22"/>
        <v>2</v>
      </c>
      <c r="V354">
        <v>161</v>
      </c>
      <c r="W354">
        <v>0.60799999999999998</v>
      </c>
      <c r="X354" t="s">
        <v>1409</v>
      </c>
      <c r="Y354">
        <v>103</v>
      </c>
      <c r="Z354">
        <v>69</v>
      </c>
      <c r="AA354" t="s">
        <v>35</v>
      </c>
      <c r="AB354">
        <v>131</v>
      </c>
      <c r="AC354" s="23">
        <v>1.82</v>
      </c>
      <c r="AD354" t="str">
        <f>IF(AND('CVD Dataset'!AA354="Normal",'CVD Dataset'!AB354&gt;AVERAGE('CVD Dataset'!AB:AB),'CVD Dataset'!AF354="High"),"High Lipid Category","Normal Category")</f>
        <v>High Lipid Category</v>
      </c>
      <c r="AE354">
        <v>16.829999999999998</v>
      </c>
      <c r="AF354" t="s">
        <v>32</v>
      </c>
      <c r="AG354">
        <v>1</v>
      </c>
      <c r="AH354" t="s">
        <v>1379</v>
      </c>
      <c r="AI354">
        <f t="shared" si="23"/>
        <v>1</v>
      </c>
      <c r="AJ354" t="s">
        <v>1391</v>
      </c>
    </row>
    <row r="355" spans="1:36" x14ac:dyDescent="0.3">
      <c r="A355" t="s">
        <v>33</v>
      </c>
      <c r="B355">
        <v>58</v>
      </c>
      <c r="C355">
        <v>108.5</v>
      </c>
      <c r="E355">
        <v>40.799999999999997</v>
      </c>
      <c r="F355" t="str">
        <f t="shared" si="21"/>
        <v/>
      </c>
      <c r="G355" t="str">
        <f t="shared" si="24"/>
        <v/>
      </c>
      <c r="H355" t="s">
        <v>1399</v>
      </c>
      <c r="I355">
        <v>90.3</v>
      </c>
      <c r="J355" t="s">
        <v>362</v>
      </c>
      <c r="K355" s="24">
        <v>135</v>
      </c>
      <c r="L355" s="24">
        <v>90</v>
      </c>
      <c r="M355">
        <v>208</v>
      </c>
      <c r="N355" t="s">
        <v>1432</v>
      </c>
      <c r="O355">
        <v>40</v>
      </c>
      <c r="P355">
        <v>142</v>
      </c>
      <c r="Q355" t="s">
        <v>25</v>
      </c>
      <c r="R355" t="s">
        <v>25</v>
      </c>
      <c r="S355" t="s">
        <v>39</v>
      </c>
      <c r="T355" t="s">
        <v>25</v>
      </c>
      <c r="U355">
        <f t="shared" si="22"/>
        <v>3</v>
      </c>
      <c r="V355">
        <v>163</v>
      </c>
      <c r="W355">
        <v>0.55400000000000005</v>
      </c>
      <c r="X355" t="s">
        <v>1407</v>
      </c>
      <c r="Y355">
        <v>135</v>
      </c>
      <c r="AA355" t="s">
        <v>31</v>
      </c>
      <c r="AB355">
        <v>138</v>
      </c>
      <c r="AC355" s="23">
        <v>3.45</v>
      </c>
      <c r="AD355" t="str">
        <f>IF(AND('CVD Dataset'!AA355="Normal",'CVD Dataset'!AB355&gt;AVERAGE('CVD Dataset'!AB:AB),'CVD Dataset'!AF355="High"),"High Lipid Category","Normal Category")</f>
        <v>Normal Category</v>
      </c>
      <c r="AE355">
        <v>21.07</v>
      </c>
      <c r="AF355" t="s">
        <v>32</v>
      </c>
      <c r="AG355">
        <v>0</v>
      </c>
      <c r="AH355" t="s">
        <v>1379</v>
      </c>
      <c r="AI355">
        <f t="shared" si="23"/>
        <v>1</v>
      </c>
      <c r="AJ355" t="s">
        <v>1392</v>
      </c>
    </row>
    <row r="356" spans="1:36" x14ac:dyDescent="0.3">
      <c r="A356" t="s">
        <v>33</v>
      </c>
      <c r="B356">
        <v>41</v>
      </c>
      <c r="C356">
        <v>59.3</v>
      </c>
      <c r="D356">
        <v>1.61</v>
      </c>
      <c r="E356">
        <v>22.9</v>
      </c>
      <c r="F356">
        <f t="shared" si="21"/>
        <v>22.877203811581339</v>
      </c>
      <c r="G356">
        <f t="shared" si="24"/>
        <v>0</v>
      </c>
      <c r="H356" t="s">
        <v>1398</v>
      </c>
      <c r="I356">
        <v>87.6</v>
      </c>
      <c r="J356" t="s">
        <v>270</v>
      </c>
      <c r="K356" s="24">
        <v>121</v>
      </c>
      <c r="L356" s="24">
        <v>68</v>
      </c>
      <c r="M356">
        <v>168</v>
      </c>
      <c r="N356" t="s">
        <v>1433</v>
      </c>
      <c r="O356">
        <v>34</v>
      </c>
      <c r="P356">
        <v>124</v>
      </c>
      <c r="Q356" t="s">
        <v>24</v>
      </c>
      <c r="R356" t="s">
        <v>25</v>
      </c>
      <c r="S356" t="s">
        <v>30</v>
      </c>
      <c r="T356" t="s">
        <v>25</v>
      </c>
      <c r="U356">
        <f t="shared" si="22"/>
        <v>2</v>
      </c>
      <c r="V356">
        <v>161</v>
      </c>
      <c r="X356" t="s">
        <v>1410</v>
      </c>
      <c r="Y356">
        <v>121</v>
      </c>
      <c r="Z356">
        <v>68</v>
      </c>
      <c r="AA356" t="s">
        <v>27</v>
      </c>
      <c r="AB356">
        <v>104</v>
      </c>
      <c r="AC356" s="23">
        <v>3.06</v>
      </c>
      <c r="AD356" t="str">
        <f>IF(AND('CVD Dataset'!AA356="Normal",'CVD Dataset'!AB356&gt;AVERAGE('CVD Dataset'!AB:AB),'CVD Dataset'!AF356="High"),"High Lipid Category","Normal Category")</f>
        <v>Normal Category</v>
      </c>
      <c r="AE356">
        <v>15.99</v>
      </c>
      <c r="AF356" t="s">
        <v>28</v>
      </c>
      <c r="AG356">
        <v>0</v>
      </c>
      <c r="AH356" t="s">
        <v>1380</v>
      </c>
      <c r="AI356">
        <f t="shared" si="23"/>
        <v>0</v>
      </c>
      <c r="AJ356" t="s">
        <v>1391</v>
      </c>
    </row>
    <row r="357" spans="1:36" x14ac:dyDescent="0.3">
      <c r="A357" t="s">
        <v>33</v>
      </c>
      <c r="B357">
        <v>36</v>
      </c>
      <c r="C357">
        <v>110.5</v>
      </c>
      <c r="D357">
        <v>1.88</v>
      </c>
      <c r="E357">
        <v>31.3</v>
      </c>
      <c r="F357">
        <f t="shared" si="21"/>
        <v>31.264146672702584</v>
      </c>
      <c r="G357">
        <f t="shared" si="24"/>
        <v>0</v>
      </c>
      <c r="H357" t="s">
        <v>1399</v>
      </c>
      <c r="I357">
        <v>106.6</v>
      </c>
      <c r="J357" t="s">
        <v>363</v>
      </c>
      <c r="K357" s="24">
        <v>148</v>
      </c>
      <c r="L357" s="24">
        <v>64</v>
      </c>
      <c r="M357">
        <v>208</v>
      </c>
      <c r="N357" t="s">
        <v>1432</v>
      </c>
      <c r="O357">
        <v>52</v>
      </c>
      <c r="P357">
        <v>135</v>
      </c>
      <c r="Q357" t="s">
        <v>24</v>
      </c>
      <c r="R357" t="s">
        <v>24</v>
      </c>
      <c r="S357" t="s">
        <v>30</v>
      </c>
      <c r="T357" t="s">
        <v>25</v>
      </c>
      <c r="U357">
        <f t="shared" si="22"/>
        <v>1</v>
      </c>
      <c r="V357">
        <v>188</v>
      </c>
      <c r="W357">
        <v>0.56699999999999995</v>
      </c>
      <c r="X357" t="s">
        <v>1407</v>
      </c>
      <c r="Y357">
        <v>148</v>
      </c>
      <c r="Z357">
        <v>64</v>
      </c>
      <c r="AA357" t="s">
        <v>40</v>
      </c>
      <c r="AB357">
        <v>126</v>
      </c>
      <c r="AC357" s="23">
        <v>2.42</v>
      </c>
      <c r="AD357" t="str">
        <f>IF(AND('CVD Dataset'!AA357="Normal",'CVD Dataset'!AB357&gt;AVERAGE('CVD Dataset'!AB:AB),'CVD Dataset'!AF357="High"),"High Lipid Category","Normal Category")</f>
        <v>Normal Category</v>
      </c>
      <c r="AE357">
        <v>17.82</v>
      </c>
      <c r="AF357" t="s">
        <v>28</v>
      </c>
      <c r="AG357">
        <v>0</v>
      </c>
      <c r="AH357" t="s">
        <v>1380</v>
      </c>
      <c r="AI357">
        <f t="shared" si="23"/>
        <v>0</v>
      </c>
      <c r="AJ357" t="s">
        <v>1391</v>
      </c>
    </row>
    <row r="358" spans="1:36" x14ac:dyDescent="0.3">
      <c r="A358" t="s">
        <v>33</v>
      </c>
      <c r="B358">
        <v>39</v>
      </c>
      <c r="D358">
        <v>1.61</v>
      </c>
      <c r="E358">
        <v>26.7</v>
      </c>
      <c r="F358">
        <f t="shared" si="21"/>
        <v>0</v>
      </c>
      <c r="G358">
        <f t="shared" si="24"/>
        <v>1</v>
      </c>
      <c r="H358" t="s">
        <v>1400</v>
      </c>
      <c r="J358" t="s">
        <v>364</v>
      </c>
      <c r="K358" s="24">
        <v>150</v>
      </c>
      <c r="L358" s="24">
        <v>78</v>
      </c>
      <c r="M358">
        <v>269</v>
      </c>
      <c r="N358" t="s">
        <v>1432</v>
      </c>
      <c r="O358">
        <v>43</v>
      </c>
      <c r="P358">
        <v>122</v>
      </c>
      <c r="Q358" t="s">
        <v>24</v>
      </c>
      <c r="R358" t="s">
        <v>25</v>
      </c>
      <c r="S358" t="s">
        <v>30</v>
      </c>
      <c r="T358" t="s">
        <v>25</v>
      </c>
      <c r="U358">
        <f t="shared" si="22"/>
        <v>2</v>
      </c>
      <c r="V358">
        <v>161</v>
      </c>
      <c r="W358">
        <v>0.61199999999999999</v>
      </c>
      <c r="X358" t="s">
        <v>1409</v>
      </c>
      <c r="Y358">
        <v>150</v>
      </c>
      <c r="Z358">
        <v>78</v>
      </c>
      <c r="AA358" t="s">
        <v>40</v>
      </c>
      <c r="AB358">
        <v>196</v>
      </c>
      <c r="AC358" s="23">
        <v>4.5599999999999996</v>
      </c>
      <c r="AD358" t="str">
        <f>IF(AND('CVD Dataset'!AA358="Normal",'CVD Dataset'!AB358&gt;AVERAGE('CVD Dataset'!AB:AB),'CVD Dataset'!AF358="High"),"High Lipid Category","Normal Category")</f>
        <v>Normal Category</v>
      </c>
      <c r="AE358">
        <v>20.22</v>
      </c>
      <c r="AF358" t="s">
        <v>32</v>
      </c>
      <c r="AG358">
        <v>0</v>
      </c>
      <c r="AH358" t="s">
        <v>1379</v>
      </c>
      <c r="AI358">
        <f t="shared" si="23"/>
        <v>1</v>
      </c>
      <c r="AJ358" t="s">
        <v>1391</v>
      </c>
    </row>
    <row r="359" spans="1:36" x14ac:dyDescent="0.3">
      <c r="A359" t="s">
        <v>22</v>
      </c>
      <c r="B359">
        <v>53</v>
      </c>
      <c r="C359">
        <v>59.8</v>
      </c>
      <c r="D359">
        <v>1.74</v>
      </c>
      <c r="F359">
        <f t="shared" si="21"/>
        <v>19.751618443651736</v>
      </c>
      <c r="G359">
        <f t="shared" si="24"/>
        <v>1</v>
      </c>
      <c r="H359" t="s">
        <v>1401</v>
      </c>
      <c r="I359">
        <v>103.9</v>
      </c>
      <c r="J359" t="s">
        <v>365</v>
      </c>
      <c r="K359" s="24">
        <v>127</v>
      </c>
      <c r="L359" s="24">
        <v>78</v>
      </c>
      <c r="M359">
        <v>208</v>
      </c>
      <c r="N359" t="s">
        <v>1432</v>
      </c>
      <c r="O359">
        <v>73</v>
      </c>
      <c r="P359">
        <v>143</v>
      </c>
      <c r="Q359" t="s">
        <v>24</v>
      </c>
      <c r="R359" t="s">
        <v>24</v>
      </c>
      <c r="S359" t="s">
        <v>30</v>
      </c>
      <c r="T359" t="s">
        <v>25</v>
      </c>
      <c r="U359">
        <f t="shared" si="22"/>
        <v>1</v>
      </c>
      <c r="V359">
        <v>174</v>
      </c>
      <c r="W359">
        <v>0.59699999999999998</v>
      </c>
      <c r="X359" t="s">
        <v>1409</v>
      </c>
      <c r="Y359">
        <v>127</v>
      </c>
      <c r="Z359">
        <v>78</v>
      </c>
      <c r="AA359" t="s">
        <v>27</v>
      </c>
      <c r="AB359">
        <v>105</v>
      </c>
      <c r="AC359" s="23">
        <v>1.44</v>
      </c>
      <c r="AD359" t="str">
        <f>IF(AND('CVD Dataset'!AA359="Normal",'CVD Dataset'!AB359&gt;AVERAGE('CVD Dataset'!AB:AB),'CVD Dataset'!AF359="High"),"High Lipid Category","Normal Category")</f>
        <v>Normal Category</v>
      </c>
      <c r="AE359">
        <v>14.47</v>
      </c>
      <c r="AF359" t="s">
        <v>28</v>
      </c>
      <c r="AG359">
        <v>0</v>
      </c>
      <c r="AH359" t="s">
        <v>1380</v>
      </c>
      <c r="AI359">
        <f t="shared" si="23"/>
        <v>0</v>
      </c>
      <c r="AJ359" t="s">
        <v>1391</v>
      </c>
    </row>
    <row r="360" spans="1:36" x14ac:dyDescent="0.3">
      <c r="A360" t="s">
        <v>22</v>
      </c>
      <c r="B360">
        <v>43</v>
      </c>
      <c r="C360">
        <v>54.2</v>
      </c>
      <c r="D360">
        <v>1.78</v>
      </c>
      <c r="E360">
        <v>17.100000000000001</v>
      </c>
      <c r="F360">
        <f t="shared" si="21"/>
        <v>17.106425956318645</v>
      </c>
      <c r="G360">
        <f t="shared" si="24"/>
        <v>0</v>
      </c>
      <c r="H360" t="s">
        <v>1401</v>
      </c>
      <c r="I360">
        <v>91.8</v>
      </c>
      <c r="J360" t="s">
        <v>366</v>
      </c>
      <c r="K360" s="24">
        <v>117</v>
      </c>
      <c r="L360" s="24">
        <v>81</v>
      </c>
      <c r="M360">
        <v>274</v>
      </c>
      <c r="N360" t="s">
        <v>1432</v>
      </c>
      <c r="O360">
        <v>38</v>
      </c>
      <c r="P360">
        <v>144</v>
      </c>
      <c r="Q360" t="s">
        <v>25</v>
      </c>
      <c r="R360" t="s">
        <v>25</v>
      </c>
      <c r="S360" t="s">
        <v>30</v>
      </c>
      <c r="T360" t="s">
        <v>25</v>
      </c>
      <c r="U360">
        <f t="shared" si="22"/>
        <v>3</v>
      </c>
      <c r="V360">
        <v>178</v>
      </c>
      <c r="W360">
        <v>0.51600000000000001</v>
      </c>
      <c r="X360" t="s">
        <v>1406</v>
      </c>
      <c r="Y360">
        <v>117</v>
      </c>
      <c r="Z360">
        <v>81</v>
      </c>
      <c r="AA360" t="s">
        <v>31</v>
      </c>
      <c r="AB360">
        <v>206</v>
      </c>
      <c r="AC360" s="23">
        <v>5.42</v>
      </c>
      <c r="AD360" t="str">
        <f>IF(AND('CVD Dataset'!AA360="Normal",'CVD Dataset'!AB360&gt;AVERAGE('CVD Dataset'!AB:AB),'CVD Dataset'!AF360="High"),"High Lipid Category","Normal Category")</f>
        <v>Normal Category</v>
      </c>
      <c r="AE360">
        <v>16.75</v>
      </c>
      <c r="AF360" t="s">
        <v>32</v>
      </c>
      <c r="AG360">
        <v>0</v>
      </c>
      <c r="AH360" t="s">
        <v>1379</v>
      </c>
      <c r="AI360">
        <f t="shared" si="23"/>
        <v>1</v>
      </c>
      <c r="AJ360" t="s">
        <v>1391</v>
      </c>
    </row>
    <row r="361" spans="1:36" x14ac:dyDescent="0.3">
      <c r="A361" t="s">
        <v>33</v>
      </c>
      <c r="B361">
        <v>58</v>
      </c>
      <c r="C361">
        <v>91.2</v>
      </c>
      <c r="D361">
        <v>1.78</v>
      </c>
      <c r="F361">
        <f t="shared" si="21"/>
        <v>28.784244413584144</v>
      </c>
      <c r="G361">
        <f t="shared" si="24"/>
        <v>1</v>
      </c>
      <c r="H361" t="s">
        <v>1401</v>
      </c>
      <c r="I361">
        <v>78.599999999999994</v>
      </c>
      <c r="J361" t="s">
        <v>367</v>
      </c>
      <c r="K361" s="24">
        <v>125</v>
      </c>
      <c r="L361" s="24">
        <v>100</v>
      </c>
      <c r="M361">
        <v>190</v>
      </c>
      <c r="N361" t="s">
        <v>1432</v>
      </c>
      <c r="O361">
        <v>74</v>
      </c>
      <c r="P361">
        <v>89</v>
      </c>
      <c r="Q361" t="s">
        <v>25</v>
      </c>
      <c r="R361" t="s">
        <v>25</v>
      </c>
      <c r="S361" t="s">
        <v>26</v>
      </c>
      <c r="T361" t="s">
        <v>24</v>
      </c>
      <c r="U361">
        <f t="shared" si="22"/>
        <v>3</v>
      </c>
      <c r="V361">
        <v>178</v>
      </c>
      <c r="W361">
        <v>0.442</v>
      </c>
      <c r="X361" t="s">
        <v>1408</v>
      </c>
      <c r="Y361">
        <v>125</v>
      </c>
      <c r="Z361">
        <v>100</v>
      </c>
      <c r="AA361" t="s">
        <v>40</v>
      </c>
      <c r="AB361">
        <v>86</v>
      </c>
      <c r="AC361" s="23">
        <v>1.1599999999999999</v>
      </c>
      <c r="AD361" t="str">
        <f>IF(AND('CVD Dataset'!AA361="Normal",'CVD Dataset'!AB361&gt;AVERAGE('CVD Dataset'!AB:AB),'CVD Dataset'!AF361="High"),"High Lipid Category","Normal Category")</f>
        <v>Normal Category</v>
      </c>
      <c r="AE361">
        <v>17.809999999999999</v>
      </c>
      <c r="AF361" t="s">
        <v>32</v>
      </c>
      <c r="AG361">
        <v>1</v>
      </c>
      <c r="AH361" t="s">
        <v>1379</v>
      </c>
      <c r="AI361">
        <f t="shared" si="23"/>
        <v>1</v>
      </c>
      <c r="AJ361" t="s">
        <v>1392</v>
      </c>
    </row>
    <row r="362" spans="1:36" x14ac:dyDescent="0.3">
      <c r="A362" t="s">
        <v>33</v>
      </c>
      <c r="B362">
        <v>59</v>
      </c>
      <c r="C362">
        <v>98.7</v>
      </c>
      <c r="D362">
        <v>1.64</v>
      </c>
      <c r="F362">
        <f t="shared" si="21"/>
        <v>36.696906603212383</v>
      </c>
      <c r="G362">
        <f t="shared" si="24"/>
        <v>1</v>
      </c>
      <c r="H362" t="s">
        <v>1401</v>
      </c>
      <c r="I362">
        <v>72.599999999999994</v>
      </c>
      <c r="J362" t="s">
        <v>368</v>
      </c>
      <c r="K362" s="24">
        <v>126</v>
      </c>
      <c r="L362" s="24">
        <v>80</v>
      </c>
      <c r="M362">
        <v>234</v>
      </c>
      <c r="N362" t="s">
        <v>1432</v>
      </c>
      <c r="O362">
        <v>30</v>
      </c>
      <c r="P362">
        <v>95</v>
      </c>
      <c r="Q362" t="s">
        <v>25</v>
      </c>
      <c r="R362" t="s">
        <v>24</v>
      </c>
      <c r="S362" t="s">
        <v>30</v>
      </c>
      <c r="T362" t="s">
        <v>24</v>
      </c>
      <c r="U362">
        <f t="shared" si="22"/>
        <v>1</v>
      </c>
      <c r="V362">
        <v>164</v>
      </c>
      <c r="W362">
        <v>0.443</v>
      </c>
      <c r="X362" t="s">
        <v>1408</v>
      </c>
      <c r="Y362">
        <v>126</v>
      </c>
      <c r="Z362">
        <v>80</v>
      </c>
      <c r="AA362" t="s">
        <v>31</v>
      </c>
      <c r="AB362">
        <v>174</v>
      </c>
      <c r="AC362" s="23">
        <v>5.8</v>
      </c>
      <c r="AD362" t="str">
        <f>IF(AND('CVD Dataset'!AA362="Normal",'CVD Dataset'!AB362&gt;AVERAGE('CVD Dataset'!AB:AB),'CVD Dataset'!AF362="High"),"High Lipid Category","Normal Category")</f>
        <v>Normal Category</v>
      </c>
      <c r="AE362">
        <v>18.32</v>
      </c>
      <c r="AF362" t="s">
        <v>32</v>
      </c>
      <c r="AG362">
        <v>0</v>
      </c>
      <c r="AH362" t="s">
        <v>1379</v>
      </c>
      <c r="AI362">
        <f t="shared" si="23"/>
        <v>1</v>
      </c>
      <c r="AJ362" t="s">
        <v>1391</v>
      </c>
    </row>
    <row r="363" spans="1:36" x14ac:dyDescent="0.3">
      <c r="A363" t="s">
        <v>22</v>
      </c>
      <c r="B363">
        <v>42</v>
      </c>
      <c r="C363">
        <v>104.1</v>
      </c>
      <c r="D363">
        <v>1.88</v>
      </c>
      <c r="E363">
        <v>29.5</v>
      </c>
      <c r="F363">
        <f t="shared" si="21"/>
        <v>29.453372566772295</v>
      </c>
      <c r="G363">
        <f t="shared" si="24"/>
        <v>0</v>
      </c>
      <c r="H363" t="s">
        <v>1400</v>
      </c>
      <c r="I363">
        <v>83.4</v>
      </c>
      <c r="J363" t="s">
        <v>369</v>
      </c>
      <c r="K363" s="24">
        <v>132</v>
      </c>
      <c r="L363" s="24">
        <v>86</v>
      </c>
      <c r="M363">
        <v>196</v>
      </c>
      <c r="N363" t="s">
        <v>1432</v>
      </c>
      <c r="O363">
        <v>68</v>
      </c>
      <c r="P363">
        <v>110</v>
      </c>
      <c r="Q363" t="s">
        <v>25</v>
      </c>
      <c r="R363" t="s">
        <v>24</v>
      </c>
      <c r="S363" t="s">
        <v>26</v>
      </c>
      <c r="T363" t="s">
        <v>25</v>
      </c>
      <c r="U363">
        <f t="shared" si="22"/>
        <v>3</v>
      </c>
      <c r="V363">
        <v>188</v>
      </c>
      <c r="X363" t="s">
        <v>1410</v>
      </c>
      <c r="Y363">
        <v>132</v>
      </c>
      <c r="Z363">
        <v>86</v>
      </c>
      <c r="AA363" t="s">
        <v>31</v>
      </c>
      <c r="AB363">
        <v>98</v>
      </c>
      <c r="AC363" s="23">
        <v>1.44</v>
      </c>
      <c r="AD363" t="str">
        <f>IF(AND('CVD Dataset'!AA363="Normal",'CVD Dataset'!AB363&gt;AVERAGE('CVD Dataset'!AB:AB),'CVD Dataset'!AF363="High"),"High Lipid Category","Normal Category")</f>
        <v>Normal Category</v>
      </c>
      <c r="AE363">
        <v>16.420000000000002</v>
      </c>
      <c r="AF363" t="s">
        <v>32</v>
      </c>
      <c r="AG363">
        <v>1</v>
      </c>
      <c r="AH363" t="s">
        <v>1379</v>
      </c>
      <c r="AI363">
        <f t="shared" si="23"/>
        <v>1</v>
      </c>
      <c r="AJ363" t="s">
        <v>1391</v>
      </c>
    </row>
    <row r="364" spans="1:36" x14ac:dyDescent="0.3">
      <c r="A364" t="s">
        <v>22</v>
      </c>
      <c r="B364">
        <v>46</v>
      </c>
      <c r="C364">
        <v>73.7</v>
      </c>
      <c r="D364">
        <v>1.66</v>
      </c>
      <c r="E364">
        <v>26.7</v>
      </c>
      <c r="F364">
        <f t="shared" si="21"/>
        <v>26.745536362316738</v>
      </c>
      <c r="G364">
        <f t="shared" si="24"/>
        <v>0</v>
      </c>
      <c r="H364" t="s">
        <v>1400</v>
      </c>
      <c r="I364">
        <v>108.9</v>
      </c>
      <c r="J364" t="s">
        <v>370</v>
      </c>
      <c r="K364" s="24">
        <v>92</v>
      </c>
      <c r="L364" s="24">
        <v>74</v>
      </c>
      <c r="M364">
        <v>173</v>
      </c>
      <c r="N364" t="s">
        <v>1433</v>
      </c>
      <c r="O364">
        <v>45</v>
      </c>
      <c r="P364">
        <v>80</v>
      </c>
      <c r="Q364" t="s">
        <v>25</v>
      </c>
      <c r="R364" t="s">
        <v>25</v>
      </c>
      <c r="S364" t="s">
        <v>30</v>
      </c>
      <c r="T364" t="s">
        <v>24</v>
      </c>
      <c r="U364">
        <f t="shared" si="22"/>
        <v>2</v>
      </c>
      <c r="V364">
        <v>166</v>
      </c>
      <c r="W364">
        <v>0.65600000000000003</v>
      </c>
      <c r="X364" t="s">
        <v>1409</v>
      </c>
      <c r="Y364">
        <v>92</v>
      </c>
      <c r="Z364">
        <v>74</v>
      </c>
      <c r="AA364" t="s">
        <v>35</v>
      </c>
      <c r="AB364">
        <v>98</v>
      </c>
      <c r="AC364" s="23">
        <v>2.1800000000000002</v>
      </c>
      <c r="AD364" t="str">
        <f>IF(AND('CVD Dataset'!AA364="Normal",'CVD Dataset'!AB364&gt;AVERAGE('CVD Dataset'!AB:AB),'CVD Dataset'!AF364="High"),"High Lipid Category","Normal Category")</f>
        <v>Normal Category</v>
      </c>
      <c r="AE364">
        <v>15.4</v>
      </c>
      <c r="AF364" t="s">
        <v>32</v>
      </c>
      <c r="AG364">
        <v>0</v>
      </c>
      <c r="AH364" t="s">
        <v>1379</v>
      </c>
      <c r="AI364">
        <f t="shared" si="23"/>
        <v>1</v>
      </c>
      <c r="AJ364" t="s">
        <v>1391</v>
      </c>
    </row>
    <row r="365" spans="1:36" x14ac:dyDescent="0.3">
      <c r="A365" t="s">
        <v>22</v>
      </c>
      <c r="B365">
        <v>42</v>
      </c>
      <c r="C365">
        <v>114.1</v>
      </c>
      <c r="D365">
        <v>1.66</v>
      </c>
      <c r="E365">
        <v>41.4</v>
      </c>
      <c r="F365">
        <f t="shared" si="21"/>
        <v>41.406590216286837</v>
      </c>
      <c r="G365">
        <f t="shared" si="24"/>
        <v>0</v>
      </c>
      <c r="H365" t="s">
        <v>1399</v>
      </c>
      <c r="J365" t="s">
        <v>371</v>
      </c>
      <c r="K365" s="24">
        <v>93</v>
      </c>
      <c r="L365" s="24">
        <v>88</v>
      </c>
      <c r="M365">
        <v>222</v>
      </c>
      <c r="N365" t="s">
        <v>1432</v>
      </c>
      <c r="O365">
        <v>59</v>
      </c>
      <c r="P365">
        <v>146</v>
      </c>
      <c r="Q365" t="s">
        <v>25</v>
      </c>
      <c r="R365" t="s">
        <v>25</v>
      </c>
      <c r="S365" t="s">
        <v>30</v>
      </c>
      <c r="T365" t="s">
        <v>24</v>
      </c>
      <c r="U365">
        <f t="shared" si="22"/>
        <v>2</v>
      </c>
      <c r="V365">
        <v>166</v>
      </c>
      <c r="W365">
        <v>0.46700000000000003</v>
      </c>
      <c r="X365" t="s">
        <v>1406</v>
      </c>
      <c r="Y365">
        <v>93</v>
      </c>
      <c r="Z365">
        <v>88</v>
      </c>
      <c r="AA365" t="s">
        <v>31</v>
      </c>
      <c r="AB365">
        <v>133</v>
      </c>
      <c r="AC365" s="23">
        <v>2.25</v>
      </c>
      <c r="AD365" t="str">
        <f>IF(AND('CVD Dataset'!AA365="Normal",'CVD Dataset'!AB365&gt;AVERAGE('CVD Dataset'!AB:AB),'CVD Dataset'!AF365="High"),"High Lipid Category","Normal Category")</f>
        <v>Normal Category</v>
      </c>
      <c r="AE365">
        <v>19.37</v>
      </c>
      <c r="AF365" t="s">
        <v>32</v>
      </c>
      <c r="AG365">
        <v>0</v>
      </c>
      <c r="AH365" t="s">
        <v>1379</v>
      </c>
      <c r="AI365">
        <f t="shared" si="23"/>
        <v>1</v>
      </c>
      <c r="AJ365" t="s">
        <v>1391</v>
      </c>
    </row>
    <row r="366" spans="1:36" x14ac:dyDescent="0.3">
      <c r="A366" t="s">
        <v>33</v>
      </c>
      <c r="B366">
        <v>54</v>
      </c>
      <c r="C366">
        <v>98.5</v>
      </c>
      <c r="D366">
        <v>1.69</v>
      </c>
      <c r="E366">
        <v>34.5</v>
      </c>
      <c r="F366">
        <f t="shared" si="21"/>
        <v>34.48758796960891</v>
      </c>
      <c r="G366">
        <f t="shared" si="24"/>
        <v>0</v>
      </c>
      <c r="H366" t="s">
        <v>1399</v>
      </c>
      <c r="I366">
        <v>105.8</v>
      </c>
      <c r="J366" t="s">
        <v>372</v>
      </c>
      <c r="K366" s="24">
        <v>126</v>
      </c>
      <c r="L366" s="24">
        <v>60</v>
      </c>
      <c r="M366">
        <v>257</v>
      </c>
      <c r="N366" t="s">
        <v>1432</v>
      </c>
      <c r="O366">
        <v>34</v>
      </c>
      <c r="P366">
        <v>109</v>
      </c>
      <c r="Q366" t="s">
        <v>25</v>
      </c>
      <c r="R366" t="s">
        <v>25</v>
      </c>
      <c r="S366" t="s">
        <v>39</v>
      </c>
      <c r="T366" t="s">
        <v>25</v>
      </c>
      <c r="U366">
        <f t="shared" si="22"/>
        <v>3</v>
      </c>
      <c r="V366">
        <v>169</v>
      </c>
      <c r="W366">
        <v>0.626</v>
      </c>
      <c r="X366" t="s">
        <v>1409</v>
      </c>
      <c r="Y366">
        <v>126</v>
      </c>
      <c r="Z366">
        <v>60</v>
      </c>
      <c r="AA366" t="s">
        <v>27</v>
      </c>
      <c r="AB366">
        <v>193</v>
      </c>
      <c r="AC366" s="23">
        <v>5.68</v>
      </c>
      <c r="AD366" t="str">
        <f>IF(AND('CVD Dataset'!AA366="Normal",'CVD Dataset'!AB366&gt;AVERAGE('CVD Dataset'!AB:AB),'CVD Dataset'!AF366="High"),"High Lipid Category","Normal Category")</f>
        <v>Normal Category</v>
      </c>
      <c r="AE366">
        <v>20.34</v>
      </c>
      <c r="AF366" t="s">
        <v>32</v>
      </c>
      <c r="AG366">
        <v>0</v>
      </c>
      <c r="AH366" t="s">
        <v>1379</v>
      </c>
      <c r="AI366">
        <f t="shared" si="23"/>
        <v>1</v>
      </c>
      <c r="AJ366" t="s">
        <v>1391</v>
      </c>
    </row>
    <row r="367" spans="1:36" x14ac:dyDescent="0.3">
      <c r="A367" t="s">
        <v>33</v>
      </c>
      <c r="B367">
        <v>59</v>
      </c>
      <c r="C367">
        <v>75.3</v>
      </c>
      <c r="D367">
        <v>1.65</v>
      </c>
      <c r="E367">
        <v>27.7</v>
      </c>
      <c r="F367">
        <f t="shared" si="21"/>
        <v>27.658402203856753</v>
      </c>
      <c r="G367">
        <f t="shared" si="24"/>
        <v>0</v>
      </c>
      <c r="H367" t="s">
        <v>1400</v>
      </c>
      <c r="I367">
        <v>95.6</v>
      </c>
      <c r="J367" t="s">
        <v>373</v>
      </c>
      <c r="K367" s="24">
        <v>120</v>
      </c>
      <c r="L367" s="24">
        <v>83</v>
      </c>
      <c r="M367">
        <v>131</v>
      </c>
      <c r="N367" t="s">
        <v>1434</v>
      </c>
      <c r="O367">
        <v>53</v>
      </c>
      <c r="P367">
        <v>81</v>
      </c>
      <c r="Q367" t="s">
        <v>24</v>
      </c>
      <c r="R367" t="s">
        <v>25</v>
      </c>
      <c r="S367" t="s">
        <v>39</v>
      </c>
      <c r="T367" t="s">
        <v>24</v>
      </c>
      <c r="U367">
        <f t="shared" si="22"/>
        <v>1</v>
      </c>
      <c r="V367">
        <v>165</v>
      </c>
      <c r="W367">
        <v>0.57899999999999996</v>
      </c>
      <c r="X367" t="s">
        <v>1407</v>
      </c>
      <c r="Y367">
        <v>120</v>
      </c>
      <c r="AA367" t="s">
        <v>31</v>
      </c>
      <c r="AB367">
        <v>48</v>
      </c>
      <c r="AC367" s="23">
        <v>0.91</v>
      </c>
      <c r="AD367" t="str">
        <f>IF(AND('CVD Dataset'!AA367="Normal",'CVD Dataset'!AB367&gt;AVERAGE('CVD Dataset'!AB:AB),'CVD Dataset'!AF367="High"),"High Lipid Category","Normal Category")</f>
        <v>Normal Category</v>
      </c>
      <c r="AF367" t="s">
        <v>28</v>
      </c>
      <c r="AG367">
        <v>0</v>
      </c>
      <c r="AH367" t="s">
        <v>1380</v>
      </c>
      <c r="AI367">
        <f t="shared" si="23"/>
        <v>0</v>
      </c>
      <c r="AJ367" t="s">
        <v>1392</v>
      </c>
    </row>
    <row r="368" spans="1:36" x14ac:dyDescent="0.3">
      <c r="A368" t="s">
        <v>22</v>
      </c>
      <c r="B368">
        <v>54</v>
      </c>
      <c r="C368">
        <v>106.6</v>
      </c>
      <c r="D368">
        <v>1.69</v>
      </c>
      <c r="E368">
        <v>37.299999999999997</v>
      </c>
      <c r="F368">
        <f t="shared" si="21"/>
        <v>37.323623122439692</v>
      </c>
      <c r="G368">
        <f t="shared" si="24"/>
        <v>0</v>
      </c>
      <c r="H368" t="s">
        <v>1399</v>
      </c>
      <c r="I368">
        <v>101</v>
      </c>
      <c r="J368" t="s">
        <v>374</v>
      </c>
      <c r="K368" s="24">
        <v>134</v>
      </c>
      <c r="L368" s="24">
        <v>82</v>
      </c>
      <c r="M368">
        <v>252</v>
      </c>
      <c r="N368" t="s">
        <v>1432</v>
      </c>
      <c r="O368">
        <v>44</v>
      </c>
      <c r="P368">
        <v>124</v>
      </c>
      <c r="Q368" t="s">
        <v>24</v>
      </c>
      <c r="R368" t="s">
        <v>24</v>
      </c>
      <c r="S368" t="s">
        <v>26</v>
      </c>
      <c r="T368" t="s">
        <v>24</v>
      </c>
      <c r="U368">
        <f t="shared" si="22"/>
        <v>1</v>
      </c>
      <c r="V368">
        <v>169</v>
      </c>
      <c r="W368">
        <v>0.59799999999999998</v>
      </c>
      <c r="X368" t="s">
        <v>1409</v>
      </c>
      <c r="Y368">
        <v>134</v>
      </c>
      <c r="Z368">
        <v>82</v>
      </c>
      <c r="AA368" t="s">
        <v>31</v>
      </c>
      <c r="AC368" s="23">
        <v>0</v>
      </c>
      <c r="AD368" t="str">
        <f>IF(AND('CVD Dataset'!AA368="Normal",'CVD Dataset'!AB368&gt;AVERAGE('CVD Dataset'!AB:AB),'CVD Dataset'!AF368="High"),"High Lipid Category","Normal Category")</f>
        <v>Normal Category</v>
      </c>
      <c r="AE368">
        <v>19.2</v>
      </c>
      <c r="AF368" t="s">
        <v>32</v>
      </c>
      <c r="AG368">
        <v>0</v>
      </c>
      <c r="AH368" t="s">
        <v>1379</v>
      </c>
      <c r="AI368">
        <f t="shared" si="23"/>
        <v>1</v>
      </c>
      <c r="AJ368" t="s">
        <v>1391</v>
      </c>
    </row>
    <row r="369" spans="1:36" x14ac:dyDescent="0.3">
      <c r="A369" t="s">
        <v>33</v>
      </c>
      <c r="B369">
        <v>47</v>
      </c>
      <c r="C369">
        <v>118.1</v>
      </c>
      <c r="E369">
        <v>35.700000000000003</v>
      </c>
      <c r="F369" t="str">
        <f t="shared" si="21"/>
        <v/>
      </c>
      <c r="G369" t="str">
        <f t="shared" si="24"/>
        <v/>
      </c>
      <c r="H369" t="s">
        <v>1399</v>
      </c>
      <c r="I369">
        <v>93.4</v>
      </c>
      <c r="J369" t="s">
        <v>375</v>
      </c>
      <c r="K369" s="24">
        <v>130</v>
      </c>
      <c r="L369" s="24">
        <v>87</v>
      </c>
      <c r="M369">
        <v>151</v>
      </c>
      <c r="N369" t="s">
        <v>1433</v>
      </c>
      <c r="O369">
        <v>39</v>
      </c>
      <c r="Q369" t="s">
        <v>25</v>
      </c>
      <c r="R369" t="s">
        <v>25</v>
      </c>
      <c r="S369" t="s">
        <v>26</v>
      </c>
      <c r="T369" t="s">
        <v>25</v>
      </c>
      <c r="U369">
        <f t="shared" si="22"/>
        <v>4</v>
      </c>
      <c r="V369">
        <v>182</v>
      </c>
      <c r="W369">
        <v>0.51300000000000001</v>
      </c>
      <c r="X369" t="s">
        <v>1406</v>
      </c>
      <c r="Y369">
        <v>130</v>
      </c>
      <c r="Z369">
        <v>87</v>
      </c>
      <c r="AA369" t="s">
        <v>31</v>
      </c>
      <c r="AB369">
        <v>82</v>
      </c>
      <c r="AC369" s="23">
        <v>2.1</v>
      </c>
      <c r="AD369" t="str">
        <f>IF(AND('CVD Dataset'!AA369="Normal",'CVD Dataset'!AB369&gt;AVERAGE('CVD Dataset'!AB:AB),'CVD Dataset'!AF369="High"),"High Lipid Category","Normal Category")</f>
        <v>Normal Category</v>
      </c>
      <c r="AE369">
        <v>18.66</v>
      </c>
      <c r="AF369" t="s">
        <v>32</v>
      </c>
      <c r="AG369">
        <v>0</v>
      </c>
      <c r="AH369" t="s">
        <v>1379</v>
      </c>
      <c r="AI369">
        <f t="shared" si="23"/>
        <v>1</v>
      </c>
      <c r="AJ369" t="s">
        <v>1391</v>
      </c>
    </row>
    <row r="370" spans="1:36" x14ac:dyDescent="0.3">
      <c r="A370" t="s">
        <v>33</v>
      </c>
      <c r="B370">
        <v>46</v>
      </c>
      <c r="C370">
        <v>73</v>
      </c>
      <c r="D370">
        <v>1.79</v>
      </c>
      <c r="E370">
        <v>22.8</v>
      </c>
      <c r="F370">
        <f t="shared" si="21"/>
        <v>22.783308885490467</v>
      </c>
      <c r="G370">
        <f t="shared" si="24"/>
        <v>0</v>
      </c>
      <c r="H370" t="s">
        <v>1398</v>
      </c>
      <c r="J370" t="s">
        <v>376</v>
      </c>
      <c r="K370" s="24">
        <v>95</v>
      </c>
      <c r="L370" s="24">
        <v>60</v>
      </c>
      <c r="M370">
        <v>260</v>
      </c>
      <c r="N370" t="s">
        <v>1432</v>
      </c>
      <c r="O370">
        <v>61</v>
      </c>
      <c r="P370">
        <v>72</v>
      </c>
      <c r="Q370" t="s">
        <v>25</v>
      </c>
      <c r="R370" t="s">
        <v>24</v>
      </c>
      <c r="S370" t="s">
        <v>39</v>
      </c>
      <c r="T370" t="s">
        <v>25</v>
      </c>
      <c r="U370">
        <f t="shared" si="22"/>
        <v>2</v>
      </c>
      <c r="V370">
        <v>179</v>
      </c>
      <c r="W370">
        <v>0.434</v>
      </c>
      <c r="X370" t="s">
        <v>1408</v>
      </c>
      <c r="Y370">
        <v>95</v>
      </c>
      <c r="Z370">
        <v>60</v>
      </c>
      <c r="AA370" t="s">
        <v>35</v>
      </c>
      <c r="AB370">
        <v>169</v>
      </c>
      <c r="AC370" s="23">
        <v>2.77</v>
      </c>
      <c r="AD370" t="str">
        <f>IF(AND('CVD Dataset'!AA370="Normal",'CVD Dataset'!AB370&gt;AVERAGE('CVD Dataset'!AB:AB),'CVD Dataset'!AF370="High"),"High Lipid Category","Normal Category")</f>
        <v>High Lipid Category</v>
      </c>
      <c r="AE370">
        <v>14.51</v>
      </c>
      <c r="AF370" t="s">
        <v>32</v>
      </c>
      <c r="AG370">
        <v>1</v>
      </c>
      <c r="AH370" t="s">
        <v>1379</v>
      </c>
      <c r="AI370">
        <f t="shared" si="23"/>
        <v>1</v>
      </c>
      <c r="AJ370" t="s">
        <v>1391</v>
      </c>
    </row>
    <row r="371" spans="1:36" x14ac:dyDescent="0.3">
      <c r="A371" t="s">
        <v>33</v>
      </c>
      <c r="B371">
        <v>52</v>
      </c>
      <c r="D371">
        <v>1.85</v>
      </c>
      <c r="E371">
        <v>26.1</v>
      </c>
      <c r="F371">
        <f t="shared" si="21"/>
        <v>0</v>
      </c>
      <c r="G371">
        <f t="shared" si="24"/>
        <v>1</v>
      </c>
      <c r="H371" t="s">
        <v>1400</v>
      </c>
      <c r="I371">
        <v>98.5</v>
      </c>
      <c r="J371" t="s">
        <v>235</v>
      </c>
      <c r="K371" s="24">
        <v>114</v>
      </c>
      <c r="L371" s="24">
        <v>92</v>
      </c>
      <c r="M371">
        <v>295</v>
      </c>
      <c r="N371" t="s">
        <v>1432</v>
      </c>
      <c r="O371">
        <v>39</v>
      </c>
      <c r="Q371" t="s">
        <v>24</v>
      </c>
      <c r="R371" t="s">
        <v>24</v>
      </c>
      <c r="S371" t="s">
        <v>39</v>
      </c>
      <c r="T371" t="s">
        <v>24</v>
      </c>
      <c r="U371">
        <f t="shared" si="22"/>
        <v>0</v>
      </c>
      <c r="V371">
        <v>185</v>
      </c>
      <c r="W371">
        <v>0.53200000000000003</v>
      </c>
      <c r="X371" t="s">
        <v>1407</v>
      </c>
      <c r="Y371">
        <v>114</v>
      </c>
      <c r="Z371">
        <v>92</v>
      </c>
      <c r="AA371" t="s">
        <v>40</v>
      </c>
      <c r="AB371">
        <v>226</v>
      </c>
      <c r="AC371" s="23">
        <v>5.79</v>
      </c>
      <c r="AD371" t="str">
        <f>IF(AND('CVD Dataset'!AA371="Normal",'CVD Dataset'!AB371&gt;AVERAGE('CVD Dataset'!AB:AB),'CVD Dataset'!AF371="High"),"High Lipid Category","Normal Category")</f>
        <v>Normal Category</v>
      </c>
      <c r="AE371">
        <v>16.82</v>
      </c>
      <c r="AF371" t="s">
        <v>32</v>
      </c>
      <c r="AG371">
        <v>0</v>
      </c>
      <c r="AH371" t="s">
        <v>1379</v>
      </c>
      <c r="AI371">
        <f t="shared" si="23"/>
        <v>1</v>
      </c>
      <c r="AJ371" t="s">
        <v>1391</v>
      </c>
    </row>
    <row r="372" spans="1:36" x14ac:dyDescent="0.3">
      <c r="A372" t="s">
        <v>33</v>
      </c>
      <c r="B372">
        <v>43</v>
      </c>
      <c r="C372">
        <v>108.8</v>
      </c>
      <c r="D372">
        <v>1.87</v>
      </c>
      <c r="E372">
        <v>31.1</v>
      </c>
      <c r="F372">
        <f t="shared" si="21"/>
        <v>31.113271754982978</v>
      </c>
      <c r="G372">
        <f t="shared" si="24"/>
        <v>0</v>
      </c>
      <c r="H372" t="s">
        <v>1399</v>
      </c>
      <c r="I372">
        <v>74.2</v>
      </c>
      <c r="J372" t="s">
        <v>377</v>
      </c>
      <c r="K372" s="24">
        <v>128</v>
      </c>
      <c r="L372" s="24">
        <v>75</v>
      </c>
      <c r="M372">
        <v>216</v>
      </c>
      <c r="N372" t="s">
        <v>1432</v>
      </c>
      <c r="O372">
        <v>55</v>
      </c>
      <c r="P372">
        <v>115</v>
      </c>
      <c r="Q372" t="s">
        <v>24</v>
      </c>
      <c r="R372" t="s">
        <v>24</v>
      </c>
      <c r="S372" t="s">
        <v>30</v>
      </c>
      <c r="T372" t="s">
        <v>25</v>
      </c>
      <c r="U372">
        <f t="shared" si="22"/>
        <v>1</v>
      </c>
      <c r="V372">
        <v>187</v>
      </c>
      <c r="W372">
        <v>0.39700000000000002</v>
      </c>
      <c r="X372" t="s">
        <v>1408</v>
      </c>
      <c r="Y372">
        <v>128</v>
      </c>
      <c r="Z372">
        <v>75</v>
      </c>
      <c r="AA372" t="s">
        <v>27</v>
      </c>
      <c r="AB372">
        <v>131</v>
      </c>
      <c r="AC372" s="23">
        <v>2.38</v>
      </c>
      <c r="AD372" t="str">
        <f>IF(AND('CVD Dataset'!AA372="Normal",'CVD Dataset'!AB372&gt;AVERAGE('CVD Dataset'!AB:AB),'CVD Dataset'!AF372="High"),"High Lipid Category","Normal Category")</f>
        <v>Normal Category</v>
      </c>
      <c r="AE372">
        <v>16.940000000000001</v>
      </c>
      <c r="AF372" t="s">
        <v>28</v>
      </c>
      <c r="AG372">
        <v>0</v>
      </c>
      <c r="AH372" t="s">
        <v>1380</v>
      </c>
      <c r="AI372">
        <f t="shared" si="23"/>
        <v>0</v>
      </c>
      <c r="AJ372" t="s">
        <v>1391</v>
      </c>
    </row>
    <row r="373" spans="1:36" x14ac:dyDescent="0.3">
      <c r="A373" t="s">
        <v>22</v>
      </c>
      <c r="B373">
        <v>42</v>
      </c>
      <c r="C373">
        <v>68.5</v>
      </c>
      <c r="D373">
        <v>1.83</v>
      </c>
      <c r="E373">
        <v>20.5</v>
      </c>
      <c r="F373">
        <f t="shared" si="21"/>
        <v>20.454477589656303</v>
      </c>
      <c r="G373">
        <f t="shared" si="24"/>
        <v>0</v>
      </c>
      <c r="H373" t="s">
        <v>1398</v>
      </c>
      <c r="I373">
        <v>84.1</v>
      </c>
      <c r="J373" t="s">
        <v>378</v>
      </c>
      <c r="K373" s="24">
        <v>140</v>
      </c>
      <c r="L373" s="24">
        <v>89</v>
      </c>
      <c r="M373">
        <v>184</v>
      </c>
      <c r="N373" t="s">
        <v>1432</v>
      </c>
      <c r="O373">
        <v>77</v>
      </c>
      <c r="P373">
        <v>122</v>
      </c>
      <c r="Q373" t="s">
        <v>25</v>
      </c>
      <c r="R373" t="s">
        <v>25</v>
      </c>
      <c r="S373" t="s">
        <v>30</v>
      </c>
      <c r="T373" t="s">
        <v>25</v>
      </c>
      <c r="U373">
        <f t="shared" si="22"/>
        <v>3</v>
      </c>
      <c r="V373">
        <v>183</v>
      </c>
      <c r="W373">
        <v>0.46</v>
      </c>
      <c r="X373" t="s">
        <v>1408</v>
      </c>
      <c r="Y373">
        <v>140</v>
      </c>
      <c r="Z373">
        <v>89</v>
      </c>
      <c r="AA373" t="s">
        <v>31</v>
      </c>
      <c r="AB373">
        <v>77</v>
      </c>
      <c r="AC373" s="23">
        <v>1</v>
      </c>
      <c r="AD373" t="str">
        <f>IF(AND('CVD Dataset'!AA373="Normal",'CVD Dataset'!AB373&gt;AVERAGE('CVD Dataset'!AB:AB),'CVD Dataset'!AF373="High"),"High Lipid Category","Normal Category")</f>
        <v>Normal Category</v>
      </c>
      <c r="AE373">
        <v>16.78</v>
      </c>
      <c r="AF373" t="s">
        <v>28</v>
      </c>
      <c r="AG373">
        <v>0</v>
      </c>
      <c r="AH373" t="s">
        <v>1380</v>
      </c>
      <c r="AI373">
        <f t="shared" si="23"/>
        <v>0</v>
      </c>
      <c r="AJ373" t="s">
        <v>1391</v>
      </c>
    </row>
    <row r="374" spans="1:36" x14ac:dyDescent="0.3">
      <c r="A374" t="s">
        <v>22</v>
      </c>
      <c r="B374">
        <v>37</v>
      </c>
      <c r="C374">
        <v>60.7</v>
      </c>
      <c r="D374">
        <v>1.63</v>
      </c>
      <c r="E374">
        <v>22.8</v>
      </c>
      <c r="F374">
        <f t="shared" si="21"/>
        <v>22.84617411268772</v>
      </c>
      <c r="G374">
        <f t="shared" si="24"/>
        <v>0</v>
      </c>
      <c r="H374" t="s">
        <v>1398</v>
      </c>
      <c r="I374">
        <v>78.900000000000006</v>
      </c>
      <c r="J374" t="s">
        <v>379</v>
      </c>
      <c r="K374" s="24">
        <v>116</v>
      </c>
      <c r="L374" s="24">
        <v>100</v>
      </c>
      <c r="M374">
        <v>200</v>
      </c>
      <c r="N374" t="s">
        <v>1432</v>
      </c>
      <c r="O374">
        <v>68</v>
      </c>
      <c r="P374">
        <v>136</v>
      </c>
      <c r="Q374" t="s">
        <v>25</v>
      </c>
      <c r="R374" t="s">
        <v>24</v>
      </c>
      <c r="S374" t="s">
        <v>39</v>
      </c>
      <c r="T374" t="s">
        <v>24</v>
      </c>
      <c r="U374">
        <f t="shared" si="22"/>
        <v>1</v>
      </c>
      <c r="V374">
        <v>163</v>
      </c>
      <c r="W374">
        <v>0.48399999999999999</v>
      </c>
      <c r="X374" t="s">
        <v>1406</v>
      </c>
      <c r="Y374">
        <v>116</v>
      </c>
      <c r="Z374">
        <v>100</v>
      </c>
      <c r="AA374" t="s">
        <v>40</v>
      </c>
      <c r="AB374">
        <v>102</v>
      </c>
      <c r="AC374" s="23">
        <v>1.5</v>
      </c>
      <c r="AD374" t="str">
        <f>IF(AND('CVD Dataset'!AA374="Normal",'CVD Dataset'!AB374&gt;AVERAGE('CVD Dataset'!AB:AB),'CVD Dataset'!AF374="High"),"High Lipid Category","Normal Category")</f>
        <v>Normal Category</v>
      </c>
      <c r="AE374">
        <v>14.36</v>
      </c>
      <c r="AF374" t="s">
        <v>54</v>
      </c>
      <c r="AG374">
        <v>0</v>
      </c>
      <c r="AH374" t="s">
        <v>1380</v>
      </c>
      <c r="AI374">
        <f t="shared" si="23"/>
        <v>0</v>
      </c>
      <c r="AJ374" t="s">
        <v>1391</v>
      </c>
    </row>
    <row r="375" spans="1:36" x14ac:dyDescent="0.3">
      <c r="A375" t="s">
        <v>33</v>
      </c>
      <c r="B375">
        <v>33</v>
      </c>
      <c r="C375">
        <v>99.5</v>
      </c>
      <c r="D375">
        <v>1.75</v>
      </c>
      <c r="E375">
        <v>32.5</v>
      </c>
      <c r="F375">
        <f t="shared" si="21"/>
        <v>32.489795918367349</v>
      </c>
      <c r="G375">
        <f t="shared" si="24"/>
        <v>0</v>
      </c>
      <c r="H375" t="s">
        <v>1399</v>
      </c>
      <c r="I375">
        <v>73.2</v>
      </c>
      <c r="J375" t="s">
        <v>337</v>
      </c>
      <c r="K375" s="24">
        <v>100</v>
      </c>
      <c r="L375" s="24">
        <v>80</v>
      </c>
      <c r="M375">
        <v>149</v>
      </c>
      <c r="N375" t="s">
        <v>1434</v>
      </c>
      <c r="O375">
        <v>78</v>
      </c>
      <c r="P375">
        <v>73</v>
      </c>
      <c r="Q375" t="s">
        <v>25</v>
      </c>
      <c r="R375" t="s">
        <v>24</v>
      </c>
      <c r="S375" t="s">
        <v>26</v>
      </c>
      <c r="T375" t="s">
        <v>25</v>
      </c>
      <c r="U375">
        <f t="shared" si="22"/>
        <v>3</v>
      </c>
      <c r="V375">
        <v>175</v>
      </c>
      <c r="W375">
        <v>0.41799999999999998</v>
      </c>
      <c r="X375" t="s">
        <v>1408</v>
      </c>
      <c r="Y375">
        <v>100</v>
      </c>
      <c r="Z375">
        <v>80</v>
      </c>
      <c r="AA375" t="s">
        <v>31</v>
      </c>
      <c r="AB375">
        <v>41</v>
      </c>
      <c r="AC375" s="23">
        <v>0.53</v>
      </c>
      <c r="AD375" t="str">
        <f>IF(AND('CVD Dataset'!AA375="Normal",'CVD Dataset'!AB375&gt;AVERAGE('CVD Dataset'!AB:AB),'CVD Dataset'!AF375="High"),"High Lipid Category","Normal Category")</f>
        <v>Normal Category</v>
      </c>
      <c r="AE375">
        <v>14.48</v>
      </c>
      <c r="AF375" t="s">
        <v>32</v>
      </c>
      <c r="AG375">
        <v>1</v>
      </c>
      <c r="AH375" t="s">
        <v>1379</v>
      </c>
      <c r="AI375">
        <f t="shared" si="23"/>
        <v>1</v>
      </c>
      <c r="AJ375" t="s">
        <v>1391</v>
      </c>
    </row>
    <row r="376" spans="1:36" x14ac:dyDescent="0.3">
      <c r="A376" t="s">
        <v>33</v>
      </c>
      <c r="B376">
        <v>48</v>
      </c>
      <c r="C376">
        <v>95.2</v>
      </c>
      <c r="D376">
        <v>1.89</v>
      </c>
      <c r="E376">
        <v>26.7</v>
      </c>
      <c r="F376">
        <f t="shared" si="21"/>
        <v>26.650989613952579</v>
      </c>
      <c r="G376">
        <f t="shared" si="24"/>
        <v>0</v>
      </c>
      <c r="H376" t="s">
        <v>1400</v>
      </c>
      <c r="I376">
        <v>81.599999999999994</v>
      </c>
      <c r="J376" t="s">
        <v>380</v>
      </c>
      <c r="K376" s="24">
        <v>133</v>
      </c>
      <c r="L376" s="24">
        <v>94</v>
      </c>
      <c r="M376">
        <v>249</v>
      </c>
      <c r="N376" t="s">
        <v>1432</v>
      </c>
      <c r="O376">
        <v>53</v>
      </c>
      <c r="P376">
        <v>134</v>
      </c>
      <c r="Q376" t="s">
        <v>24</v>
      </c>
      <c r="R376" t="s">
        <v>24</v>
      </c>
      <c r="S376" t="s">
        <v>39</v>
      </c>
      <c r="T376" t="s">
        <v>25</v>
      </c>
      <c r="U376">
        <f t="shared" si="22"/>
        <v>1</v>
      </c>
      <c r="V376">
        <v>189</v>
      </c>
      <c r="W376">
        <v>0.432</v>
      </c>
      <c r="X376" t="s">
        <v>1408</v>
      </c>
      <c r="Y376">
        <v>133</v>
      </c>
      <c r="Z376">
        <v>94</v>
      </c>
      <c r="AA376" t="s">
        <v>31</v>
      </c>
      <c r="AC376" s="23">
        <v>0</v>
      </c>
      <c r="AD376" t="str">
        <f>IF(AND('CVD Dataset'!AA376="Normal",'CVD Dataset'!AB376&gt;AVERAGE('CVD Dataset'!AB:AB),'CVD Dataset'!AF376="High"),"High Lipid Category","Normal Category")</f>
        <v>Normal Category</v>
      </c>
      <c r="AE376">
        <v>16.97</v>
      </c>
      <c r="AF376" t="s">
        <v>32</v>
      </c>
      <c r="AG376">
        <v>0</v>
      </c>
      <c r="AH376" t="s">
        <v>1379</v>
      </c>
      <c r="AI376">
        <f t="shared" si="23"/>
        <v>1</v>
      </c>
      <c r="AJ376" t="s">
        <v>1391</v>
      </c>
    </row>
    <row r="377" spans="1:36" x14ac:dyDescent="0.3">
      <c r="A377" t="s">
        <v>22</v>
      </c>
      <c r="B377">
        <v>40</v>
      </c>
      <c r="C377">
        <v>83.9</v>
      </c>
      <c r="D377">
        <v>1.85</v>
      </c>
      <c r="E377">
        <v>24.5</v>
      </c>
      <c r="F377">
        <f t="shared" si="21"/>
        <v>24.514243973703433</v>
      </c>
      <c r="G377">
        <f t="shared" si="24"/>
        <v>0</v>
      </c>
      <c r="H377" t="s">
        <v>1398</v>
      </c>
      <c r="I377">
        <v>109.2</v>
      </c>
      <c r="J377" t="s">
        <v>381</v>
      </c>
      <c r="K377" s="24">
        <v>143</v>
      </c>
      <c r="L377" s="24">
        <v>93</v>
      </c>
      <c r="M377">
        <v>179</v>
      </c>
      <c r="N377" t="s">
        <v>1433</v>
      </c>
      <c r="P377">
        <v>105</v>
      </c>
      <c r="Q377" t="s">
        <v>24</v>
      </c>
      <c r="R377" t="s">
        <v>25</v>
      </c>
      <c r="S377" t="s">
        <v>26</v>
      </c>
      <c r="T377" t="s">
        <v>24</v>
      </c>
      <c r="U377">
        <f t="shared" si="22"/>
        <v>2</v>
      </c>
      <c r="V377">
        <v>185</v>
      </c>
      <c r="W377">
        <v>0.59</v>
      </c>
      <c r="X377" t="s">
        <v>1409</v>
      </c>
      <c r="Y377">
        <v>143</v>
      </c>
      <c r="Z377">
        <v>93</v>
      </c>
      <c r="AA377" t="s">
        <v>40</v>
      </c>
      <c r="AB377">
        <v>107</v>
      </c>
      <c r="AC377" s="23" t="s">
        <v>1410</v>
      </c>
      <c r="AD377" t="str">
        <f>IF(AND('CVD Dataset'!AA377="Normal",'CVD Dataset'!AB377&gt;AVERAGE('CVD Dataset'!AB:AB),'CVD Dataset'!AF377="High"),"High Lipid Category","Normal Category")</f>
        <v>Normal Category</v>
      </c>
      <c r="AE377">
        <v>17.63</v>
      </c>
      <c r="AF377" t="s">
        <v>28</v>
      </c>
      <c r="AG377">
        <v>0</v>
      </c>
      <c r="AH377" t="s">
        <v>1380</v>
      </c>
      <c r="AI377">
        <f t="shared" si="23"/>
        <v>0</v>
      </c>
      <c r="AJ377" t="s">
        <v>1391</v>
      </c>
    </row>
    <row r="378" spans="1:36" x14ac:dyDescent="0.3">
      <c r="A378" t="s">
        <v>33</v>
      </c>
      <c r="B378">
        <v>31</v>
      </c>
      <c r="C378">
        <v>73.7</v>
      </c>
      <c r="D378">
        <v>1.7</v>
      </c>
      <c r="E378">
        <v>25.5</v>
      </c>
      <c r="F378">
        <f t="shared" si="21"/>
        <v>25.501730103806231</v>
      </c>
      <c r="G378">
        <f t="shared" si="24"/>
        <v>0</v>
      </c>
      <c r="H378" t="s">
        <v>1400</v>
      </c>
      <c r="I378">
        <v>88.2</v>
      </c>
      <c r="J378" t="s">
        <v>382</v>
      </c>
      <c r="K378" s="24">
        <v>146</v>
      </c>
      <c r="L378" s="24">
        <v>61</v>
      </c>
      <c r="M378">
        <v>190</v>
      </c>
      <c r="N378" t="s">
        <v>1432</v>
      </c>
      <c r="O378">
        <v>66</v>
      </c>
      <c r="P378">
        <v>89</v>
      </c>
      <c r="Q378" t="s">
        <v>24</v>
      </c>
      <c r="R378" t="s">
        <v>24</v>
      </c>
      <c r="S378" t="s">
        <v>26</v>
      </c>
      <c r="T378" t="s">
        <v>24</v>
      </c>
      <c r="U378">
        <f t="shared" si="22"/>
        <v>1</v>
      </c>
      <c r="V378">
        <v>170</v>
      </c>
      <c r="W378">
        <v>0.51900000000000002</v>
      </c>
      <c r="X378" t="s">
        <v>1406</v>
      </c>
      <c r="Y378">
        <v>146</v>
      </c>
      <c r="Z378">
        <v>61</v>
      </c>
      <c r="AA378" t="s">
        <v>40</v>
      </c>
      <c r="AB378">
        <v>94</v>
      </c>
      <c r="AC378" s="23">
        <v>1.42</v>
      </c>
      <c r="AD378" t="str">
        <f>IF(AND('CVD Dataset'!AA378="Normal",'CVD Dataset'!AB378&gt;AVERAGE('CVD Dataset'!AB:AB),'CVD Dataset'!AF378="High"),"High Lipid Category","Normal Category")</f>
        <v>Normal Category</v>
      </c>
      <c r="AE378">
        <v>16.2</v>
      </c>
      <c r="AF378" t="s">
        <v>28</v>
      </c>
      <c r="AG378">
        <v>0</v>
      </c>
      <c r="AH378" t="s">
        <v>1380</v>
      </c>
      <c r="AI378">
        <f t="shared" si="23"/>
        <v>0</v>
      </c>
      <c r="AJ378" t="s">
        <v>1391</v>
      </c>
    </row>
    <row r="379" spans="1:36" x14ac:dyDescent="0.3">
      <c r="A379" t="s">
        <v>33</v>
      </c>
      <c r="B379">
        <v>47</v>
      </c>
      <c r="C379">
        <v>67.5</v>
      </c>
      <c r="D379">
        <v>1.83</v>
      </c>
      <c r="E379">
        <v>20.2</v>
      </c>
      <c r="F379">
        <f t="shared" si="21"/>
        <v>20.155872077398545</v>
      </c>
      <c r="G379">
        <f t="shared" si="24"/>
        <v>0</v>
      </c>
      <c r="H379" t="s">
        <v>1398</v>
      </c>
      <c r="I379">
        <v>100</v>
      </c>
      <c r="J379" t="s">
        <v>383</v>
      </c>
      <c r="K379" s="24">
        <v>119</v>
      </c>
      <c r="L379" s="24">
        <v>75</v>
      </c>
      <c r="M379">
        <v>185</v>
      </c>
      <c r="N379" t="s">
        <v>1432</v>
      </c>
      <c r="O379">
        <v>49</v>
      </c>
      <c r="P379">
        <v>79</v>
      </c>
      <c r="Q379" t="s">
        <v>24</v>
      </c>
      <c r="R379" t="s">
        <v>24</v>
      </c>
      <c r="S379" t="s">
        <v>39</v>
      </c>
      <c r="T379" t="s">
        <v>25</v>
      </c>
      <c r="U379">
        <f t="shared" si="22"/>
        <v>1</v>
      </c>
      <c r="V379">
        <v>183</v>
      </c>
      <c r="W379">
        <v>0.54600000000000004</v>
      </c>
      <c r="X379" t="s">
        <v>1407</v>
      </c>
      <c r="Y379">
        <v>119</v>
      </c>
      <c r="AA379" t="s">
        <v>35</v>
      </c>
      <c r="AB379">
        <v>106</v>
      </c>
      <c r="AC379" s="23">
        <v>2.16</v>
      </c>
      <c r="AD379" t="str">
        <f>IF(AND('CVD Dataset'!AA379="Normal",'CVD Dataset'!AB379&gt;AVERAGE('CVD Dataset'!AB:AB),'CVD Dataset'!AF379="High"),"High Lipid Category","Normal Category")</f>
        <v>Normal Category</v>
      </c>
      <c r="AE379">
        <v>13.69</v>
      </c>
      <c r="AF379" t="s">
        <v>28</v>
      </c>
      <c r="AG379">
        <v>0</v>
      </c>
      <c r="AH379" t="s">
        <v>1380</v>
      </c>
      <c r="AI379">
        <f t="shared" si="23"/>
        <v>0</v>
      </c>
      <c r="AJ379" t="s">
        <v>1391</v>
      </c>
    </row>
    <row r="380" spans="1:36" x14ac:dyDescent="0.3">
      <c r="A380" t="s">
        <v>33</v>
      </c>
      <c r="B380">
        <v>49</v>
      </c>
      <c r="C380">
        <v>88.7</v>
      </c>
      <c r="D380">
        <v>1.62</v>
      </c>
      <c r="E380">
        <v>33.799999999999997</v>
      </c>
      <c r="F380">
        <f t="shared" si="21"/>
        <v>33.798201493674739</v>
      </c>
      <c r="G380">
        <f t="shared" si="24"/>
        <v>0</v>
      </c>
      <c r="H380" t="s">
        <v>1399</v>
      </c>
      <c r="I380">
        <v>99.9</v>
      </c>
      <c r="J380" t="s">
        <v>384</v>
      </c>
      <c r="K380" s="24">
        <v>139</v>
      </c>
      <c r="L380" s="24">
        <v>85</v>
      </c>
      <c r="M380">
        <v>257</v>
      </c>
      <c r="N380" t="s">
        <v>1432</v>
      </c>
      <c r="O380">
        <v>76</v>
      </c>
      <c r="P380">
        <v>138</v>
      </c>
      <c r="Q380" t="s">
        <v>24</v>
      </c>
      <c r="R380" t="s">
        <v>25</v>
      </c>
      <c r="S380" t="s">
        <v>26</v>
      </c>
      <c r="T380" t="s">
        <v>24</v>
      </c>
      <c r="U380">
        <f t="shared" si="22"/>
        <v>2</v>
      </c>
      <c r="V380">
        <v>162</v>
      </c>
      <c r="W380">
        <v>0.61699999999999999</v>
      </c>
      <c r="X380" t="s">
        <v>1409</v>
      </c>
      <c r="Y380">
        <v>139</v>
      </c>
      <c r="AA380" t="s">
        <v>31</v>
      </c>
      <c r="AB380">
        <v>151</v>
      </c>
      <c r="AC380" s="23">
        <v>1.99</v>
      </c>
      <c r="AD380" t="str">
        <f>IF(AND('CVD Dataset'!AA380="Normal",'CVD Dataset'!AB380&gt;AVERAGE('CVD Dataset'!AB:AB),'CVD Dataset'!AF380="High"),"High Lipid Category","Normal Category")</f>
        <v>Normal Category</v>
      </c>
      <c r="AE380">
        <v>20.85</v>
      </c>
      <c r="AF380" t="s">
        <v>32</v>
      </c>
      <c r="AG380">
        <v>1</v>
      </c>
      <c r="AH380" t="s">
        <v>1379</v>
      </c>
      <c r="AI380">
        <f t="shared" si="23"/>
        <v>1</v>
      </c>
      <c r="AJ380" t="s">
        <v>1391</v>
      </c>
    </row>
    <row r="381" spans="1:36" x14ac:dyDescent="0.3">
      <c r="A381" t="s">
        <v>33</v>
      </c>
      <c r="B381">
        <v>42</v>
      </c>
      <c r="C381">
        <v>57.2</v>
      </c>
      <c r="D381">
        <v>1.61</v>
      </c>
      <c r="E381">
        <v>22.1</v>
      </c>
      <c r="F381">
        <f t="shared" si="21"/>
        <v>22.067049882334786</v>
      </c>
      <c r="G381">
        <f t="shared" si="24"/>
        <v>0</v>
      </c>
      <c r="H381" t="s">
        <v>1398</v>
      </c>
      <c r="I381">
        <v>98.1</v>
      </c>
      <c r="J381" t="s">
        <v>149</v>
      </c>
      <c r="K381" s="24">
        <v>139</v>
      </c>
      <c r="L381" s="24">
        <v>61</v>
      </c>
      <c r="M381">
        <v>137</v>
      </c>
      <c r="N381" t="s">
        <v>1434</v>
      </c>
      <c r="O381">
        <v>54</v>
      </c>
      <c r="P381">
        <v>75</v>
      </c>
      <c r="Q381" t="s">
        <v>25</v>
      </c>
      <c r="R381" t="s">
        <v>25</v>
      </c>
      <c r="S381" t="s">
        <v>26</v>
      </c>
      <c r="T381" t="s">
        <v>24</v>
      </c>
      <c r="U381">
        <f t="shared" si="22"/>
        <v>3</v>
      </c>
      <c r="V381">
        <v>161</v>
      </c>
      <c r="W381">
        <v>0.60899999999999999</v>
      </c>
      <c r="X381" t="s">
        <v>1409</v>
      </c>
      <c r="Y381">
        <v>139</v>
      </c>
      <c r="AA381" t="s">
        <v>31</v>
      </c>
      <c r="AB381">
        <v>53</v>
      </c>
      <c r="AC381" s="23">
        <v>0.98</v>
      </c>
      <c r="AD381" t="str">
        <f>IF(AND('CVD Dataset'!AA381="Normal",'CVD Dataset'!AB381&gt;AVERAGE('CVD Dataset'!AB:AB),'CVD Dataset'!AF381="High"),"High Lipid Category","Normal Category")</f>
        <v>Normal Category</v>
      </c>
      <c r="AE381">
        <v>16.11</v>
      </c>
      <c r="AF381" t="s">
        <v>28</v>
      </c>
      <c r="AG381">
        <v>0</v>
      </c>
      <c r="AH381" t="s">
        <v>1380</v>
      </c>
      <c r="AI381">
        <f t="shared" si="23"/>
        <v>0</v>
      </c>
      <c r="AJ381" t="s">
        <v>1391</v>
      </c>
    </row>
    <row r="382" spans="1:36" x14ac:dyDescent="0.3">
      <c r="A382" t="s">
        <v>33</v>
      </c>
      <c r="B382">
        <v>58</v>
      </c>
      <c r="D382">
        <v>1.84</v>
      </c>
      <c r="E382">
        <v>25.8</v>
      </c>
      <c r="F382">
        <f t="shared" si="21"/>
        <v>0</v>
      </c>
      <c r="G382">
        <f t="shared" si="24"/>
        <v>1</v>
      </c>
      <c r="H382" t="s">
        <v>1400</v>
      </c>
      <c r="I382">
        <v>70.599999999999994</v>
      </c>
      <c r="J382" t="s">
        <v>385</v>
      </c>
      <c r="K382" s="24">
        <v>113</v>
      </c>
      <c r="L382" s="24">
        <v>96</v>
      </c>
      <c r="M382">
        <v>276</v>
      </c>
      <c r="N382" t="s">
        <v>1432</v>
      </c>
      <c r="O382">
        <v>48</v>
      </c>
      <c r="P382">
        <v>89</v>
      </c>
      <c r="Q382" t="s">
        <v>24</v>
      </c>
      <c r="R382" t="s">
        <v>24</v>
      </c>
      <c r="S382" t="s">
        <v>30</v>
      </c>
      <c r="T382" t="s">
        <v>24</v>
      </c>
      <c r="U382">
        <f t="shared" si="22"/>
        <v>0</v>
      </c>
      <c r="V382">
        <v>184</v>
      </c>
      <c r="W382">
        <v>0.38400000000000001</v>
      </c>
      <c r="X382" t="s">
        <v>1408</v>
      </c>
      <c r="Y382">
        <v>113</v>
      </c>
      <c r="Z382">
        <v>96</v>
      </c>
      <c r="AA382" t="s">
        <v>40</v>
      </c>
      <c r="AB382">
        <v>198</v>
      </c>
      <c r="AC382" s="23">
        <v>4.13</v>
      </c>
      <c r="AD382" t="str">
        <f>IF(AND('CVD Dataset'!AA382="Normal",'CVD Dataset'!AB382&gt;AVERAGE('CVD Dataset'!AB:AB),'CVD Dataset'!AF382="High"),"High Lipid Category","Normal Category")</f>
        <v>Normal Category</v>
      </c>
      <c r="AE382">
        <v>16.329999999999998</v>
      </c>
      <c r="AF382" t="s">
        <v>28</v>
      </c>
      <c r="AG382">
        <v>0</v>
      </c>
      <c r="AH382" t="s">
        <v>1380</v>
      </c>
      <c r="AI382">
        <f t="shared" si="23"/>
        <v>0</v>
      </c>
      <c r="AJ382" t="s">
        <v>1391</v>
      </c>
    </row>
    <row r="383" spans="1:36" x14ac:dyDescent="0.3">
      <c r="A383" t="s">
        <v>33</v>
      </c>
      <c r="B383">
        <v>53</v>
      </c>
      <c r="C383">
        <v>51.5</v>
      </c>
      <c r="D383">
        <v>1.85</v>
      </c>
      <c r="E383">
        <v>15</v>
      </c>
      <c r="F383">
        <f t="shared" si="21"/>
        <v>15.047479912344777</v>
      </c>
      <c r="G383">
        <f t="shared" si="24"/>
        <v>0</v>
      </c>
      <c r="H383" t="s">
        <v>1401</v>
      </c>
      <c r="J383" t="s">
        <v>386</v>
      </c>
      <c r="K383" s="24">
        <v>108</v>
      </c>
      <c r="L383" s="24">
        <v>61</v>
      </c>
      <c r="M383">
        <v>167</v>
      </c>
      <c r="N383" t="s">
        <v>1433</v>
      </c>
      <c r="O383">
        <v>50</v>
      </c>
      <c r="P383">
        <v>117</v>
      </c>
      <c r="Q383" t="s">
        <v>24</v>
      </c>
      <c r="R383" t="s">
        <v>24</v>
      </c>
      <c r="S383" t="s">
        <v>26</v>
      </c>
      <c r="T383" t="s">
        <v>25</v>
      </c>
      <c r="U383">
        <f t="shared" si="22"/>
        <v>2</v>
      </c>
      <c r="V383">
        <v>185</v>
      </c>
      <c r="W383">
        <v>0.59299999999999997</v>
      </c>
      <c r="X383" t="s">
        <v>1409</v>
      </c>
      <c r="Y383">
        <v>108</v>
      </c>
      <c r="Z383">
        <v>61</v>
      </c>
      <c r="AA383" t="s">
        <v>35</v>
      </c>
      <c r="AB383">
        <v>87</v>
      </c>
      <c r="AC383" s="23">
        <v>1.74</v>
      </c>
      <c r="AD383" t="str">
        <f>IF(AND('CVD Dataset'!AA383="Normal",'CVD Dataset'!AB383&gt;AVERAGE('CVD Dataset'!AB:AB),'CVD Dataset'!AF383="High"),"High Lipid Category","Normal Category")</f>
        <v>Normal Category</v>
      </c>
      <c r="AE383">
        <v>11.74</v>
      </c>
      <c r="AF383" t="s">
        <v>28</v>
      </c>
      <c r="AG383">
        <v>0</v>
      </c>
      <c r="AH383" t="s">
        <v>1380</v>
      </c>
      <c r="AI383">
        <f t="shared" si="23"/>
        <v>0</v>
      </c>
      <c r="AJ383" t="s">
        <v>1391</v>
      </c>
    </row>
    <row r="384" spans="1:36" x14ac:dyDescent="0.3">
      <c r="A384" t="s">
        <v>33</v>
      </c>
      <c r="C384">
        <v>82.2</v>
      </c>
      <c r="D384">
        <v>1.77</v>
      </c>
      <c r="E384">
        <v>26.2</v>
      </c>
      <c r="F384">
        <f t="shared" si="21"/>
        <v>26.237671167289093</v>
      </c>
      <c r="G384">
        <f t="shared" si="24"/>
        <v>0</v>
      </c>
      <c r="H384" t="s">
        <v>1400</v>
      </c>
      <c r="I384">
        <v>108.4</v>
      </c>
      <c r="J384" t="s">
        <v>387</v>
      </c>
      <c r="K384" s="24">
        <v>105</v>
      </c>
      <c r="L384" s="24">
        <v>88</v>
      </c>
      <c r="M384">
        <v>237</v>
      </c>
      <c r="N384" t="s">
        <v>1432</v>
      </c>
      <c r="O384">
        <v>72</v>
      </c>
      <c r="P384">
        <v>128</v>
      </c>
      <c r="Q384" t="s">
        <v>25</v>
      </c>
      <c r="R384" t="s">
        <v>25</v>
      </c>
      <c r="S384" t="s">
        <v>26</v>
      </c>
      <c r="T384" t="s">
        <v>25</v>
      </c>
      <c r="U384">
        <f t="shared" si="22"/>
        <v>4</v>
      </c>
      <c r="V384">
        <v>177</v>
      </c>
      <c r="W384">
        <v>0.61199999999999999</v>
      </c>
      <c r="X384" t="s">
        <v>1409</v>
      </c>
      <c r="Y384">
        <v>105</v>
      </c>
      <c r="Z384">
        <v>88</v>
      </c>
      <c r="AA384" t="s">
        <v>31</v>
      </c>
      <c r="AB384">
        <v>135</v>
      </c>
      <c r="AC384" s="23">
        <v>1.88</v>
      </c>
      <c r="AD384" t="str">
        <f>IF(AND('CVD Dataset'!AA384="Normal",'CVD Dataset'!AB384&gt;AVERAGE('CVD Dataset'!AB:AB),'CVD Dataset'!AF384="High"),"High Lipid Category","Normal Category")</f>
        <v>Normal Category</v>
      </c>
      <c r="AE384">
        <v>17.23</v>
      </c>
      <c r="AF384" t="s">
        <v>32</v>
      </c>
      <c r="AG384">
        <v>1</v>
      </c>
      <c r="AH384" t="s">
        <v>1379</v>
      </c>
      <c r="AI384">
        <f t="shared" si="23"/>
        <v>1</v>
      </c>
      <c r="AJ384" t="s">
        <v>1391</v>
      </c>
    </row>
    <row r="385" spans="1:36" x14ac:dyDescent="0.3">
      <c r="A385" t="s">
        <v>22</v>
      </c>
      <c r="B385">
        <v>35</v>
      </c>
      <c r="C385">
        <v>101.7</v>
      </c>
      <c r="D385">
        <v>1.68</v>
      </c>
      <c r="E385">
        <v>36</v>
      </c>
      <c r="F385">
        <f t="shared" si="21"/>
        <v>36.033163265306129</v>
      </c>
      <c r="G385">
        <f t="shared" si="24"/>
        <v>0</v>
      </c>
      <c r="H385" t="s">
        <v>1399</v>
      </c>
      <c r="I385">
        <v>107.2</v>
      </c>
      <c r="J385" t="s">
        <v>388</v>
      </c>
      <c r="K385" s="24">
        <v>143</v>
      </c>
      <c r="L385" s="24">
        <v>98</v>
      </c>
      <c r="M385">
        <v>160</v>
      </c>
      <c r="N385" t="s">
        <v>1433</v>
      </c>
      <c r="O385">
        <v>41</v>
      </c>
      <c r="P385">
        <v>86</v>
      </c>
      <c r="Q385" t="s">
        <v>24</v>
      </c>
      <c r="R385" t="s">
        <v>24</v>
      </c>
      <c r="S385" t="s">
        <v>30</v>
      </c>
      <c r="T385" t="s">
        <v>25</v>
      </c>
      <c r="U385">
        <f t="shared" si="22"/>
        <v>1</v>
      </c>
      <c r="V385">
        <v>168</v>
      </c>
      <c r="W385">
        <v>0.63800000000000001</v>
      </c>
      <c r="X385" t="s">
        <v>1409</v>
      </c>
      <c r="Y385">
        <v>143</v>
      </c>
      <c r="Z385">
        <v>98</v>
      </c>
      <c r="AA385" t="s">
        <v>40</v>
      </c>
      <c r="AB385">
        <v>89</v>
      </c>
      <c r="AC385" s="23">
        <v>2.17</v>
      </c>
      <c r="AD385" t="str">
        <f>IF(AND('CVD Dataset'!AA385="Normal",'CVD Dataset'!AB385&gt;AVERAGE('CVD Dataset'!AB:AB),'CVD Dataset'!AF385="High"),"High Lipid Category","Normal Category")</f>
        <v>Normal Category</v>
      </c>
      <c r="AE385">
        <v>17.55</v>
      </c>
      <c r="AF385" t="s">
        <v>28</v>
      </c>
      <c r="AG385">
        <v>0</v>
      </c>
      <c r="AH385" t="s">
        <v>1380</v>
      </c>
      <c r="AI385">
        <f t="shared" si="23"/>
        <v>0</v>
      </c>
      <c r="AJ385" t="s">
        <v>1391</v>
      </c>
    </row>
    <row r="386" spans="1:36" x14ac:dyDescent="0.3">
      <c r="A386" t="s">
        <v>22</v>
      </c>
      <c r="B386">
        <v>60</v>
      </c>
      <c r="C386">
        <v>93</v>
      </c>
      <c r="D386">
        <v>1.89</v>
      </c>
      <c r="E386">
        <v>26</v>
      </c>
      <c r="F386">
        <f t="shared" si="21"/>
        <v>26.035105400184765</v>
      </c>
      <c r="G386">
        <f t="shared" si="24"/>
        <v>0</v>
      </c>
      <c r="H386" t="s">
        <v>1400</v>
      </c>
      <c r="I386">
        <v>85.3</v>
      </c>
      <c r="J386" t="s">
        <v>389</v>
      </c>
      <c r="K386" s="24">
        <v>117</v>
      </c>
      <c r="L386" s="24">
        <v>84</v>
      </c>
      <c r="M386">
        <v>124</v>
      </c>
      <c r="N386" t="s">
        <v>1434</v>
      </c>
      <c r="O386">
        <v>49</v>
      </c>
      <c r="P386">
        <v>103</v>
      </c>
      <c r="Q386" t="s">
        <v>25</v>
      </c>
      <c r="R386" t="s">
        <v>25</v>
      </c>
      <c r="S386" t="s">
        <v>39</v>
      </c>
      <c r="T386" t="s">
        <v>24</v>
      </c>
      <c r="U386">
        <f t="shared" si="22"/>
        <v>2</v>
      </c>
      <c r="V386">
        <v>189</v>
      </c>
      <c r="W386">
        <v>0.45100000000000001</v>
      </c>
      <c r="X386" t="s">
        <v>1408</v>
      </c>
      <c r="Y386">
        <v>117</v>
      </c>
      <c r="Z386">
        <v>84</v>
      </c>
      <c r="AA386" t="s">
        <v>31</v>
      </c>
      <c r="AB386">
        <v>45</v>
      </c>
      <c r="AC386" s="23">
        <v>0.92</v>
      </c>
      <c r="AD386" t="str">
        <f>IF(AND('CVD Dataset'!AA386="Normal",'CVD Dataset'!AB386&gt;AVERAGE('CVD Dataset'!AB:AB),'CVD Dataset'!AF386="High"),"High Lipid Category","Normal Category")</f>
        <v>Normal Category</v>
      </c>
      <c r="AE386">
        <v>15.53</v>
      </c>
      <c r="AF386" t="s">
        <v>32</v>
      </c>
      <c r="AG386">
        <v>0</v>
      </c>
      <c r="AH386" t="s">
        <v>1379</v>
      </c>
      <c r="AI386">
        <f t="shared" si="23"/>
        <v>1</v>
      </c>
      <c r="AJ386" t="s">
        <v>1392</v>
      </c>
    </row>
    <row r="387" spans="1:36" x14ac:dyDescent="0.3">
      <c r="A387" t="s">
        <v>22</v>
      </c>
      <c r="B387">
        <v>30</v>
      </c>
      <c r="C387">
        <v>115</v>
      </c>
      <c r="D387">
        <v>1.83</v>
      </c>
      <c r="E387">
        <v>34.299999999999997</v>
      </c>
      <c r="F387">
        <f t="shared" ref="F387:F450" si="25">IFERROR(C387/POWER(D387,2),"")</f>
        <v>34.339633909641968</v>
      </c>
      <c r="G387">
        <f t="shared" si="24"/>
        <v>0</v>
      </c>
      <c r="H387" t="s">
        <v>1399</v>
      </c>
      <c r="I387">
        <v>93.6</v>
      </c>
      <c r="J387" t="s">
        <v>390</v>
      </c>
      <c r="K387" s="24">
        <v>139</v>
      </c>
      <c r="L387" s="24">
        <v>79</v>
      </c>
      <c r="M387">
        <v>100</v>
      </c>
      <c r="N387" t="s">
        <v>1434</v>
      </c>
      <c r="O387">
        <v>31</v>
      </c>
      <c r="P387">
        <v>125</v>
      </c>
      <c r="Q387" t="s">
        <v>25</v>
      </c>
      <c r="R387" t="s">
        <v>24</v>
      </c>
      <c r="S387" t="s">
        <v>39</v>
      </c>
      <c r="T387" t="s">
        <v>24</v>
      </c>
      <c r="U387">
        <f t="shared" ref="U387:U450" si="26">SUM(IF(Q387="Y",1,0),IF(R387="Y",1,0),IF(S387="Low",1,0),IF(T387="Y",1,0))</f>
        <v>1</v>
      </c>
      <c r="V387">
        <v>183</v>
      </c>
      <c r="W387">
        <v>0.51100000000000001</v>
      </c>
      <c r="X387" t="s">
        <v>1406</v>
      </c>
      <c r="Y387">
        <v>139</v>
      </c>
      <c r="Z387">
        <v>79</v>
      </c>
      <c r="AA387" t="s">
        <v>31</v>
      </c>
      <c r="AB387">
        <v>39</v>
      </c>
      <c r="AC387" s="23">
        <v>1.26</v>
      </c>
      <c r="AD387" t="str">
        <f>IF(AND('CVD Dataset'!AA387="Normal",'CVD Dataset'!AB387&gt;AVERAGE('CVD Dataset'!AB:AB),'CVD Dataset'!AF387="High"),"High Lipid Category","Normal Category")</f>
        <v>Normal Category</v>
      </c>
      <c r="AE387">
        <v>15.81</v>
      </c>
      <c r="AF387" t="s">
        <v>28</v>
      </c>
      <c r="AG387">
        <v>0</v>
      </c>
      <c r="AH387" t="s">
        <v>1380</v>
      </c>
      <c r="AI387">
        <f t="shared" ref="AI387:AI450" si="27">IF(AF387="HIGH",1,0)</f>
        <v>0</v>
      </c>
      <c r="AJ387" t="s">
        <v>1391</v>
      </c>
    </row>
    <row r="388" spans="1:36" x14ac:dyDescent="0.3">
      <c r="A388" t="s">
        <v>33</v>
      </c>
      <c r="B388">
        <v>58</v>
      </c>
      <c r="C388">
        <v>77.400000000000006</v>
      </c>
      <c r="D388">
        <v>1.65</v>
      </c>
      <c r="E388">
        <v>28.4</v>
      </c>
      <c r="F388">
        <f t="shared" si="25"/>
        <v>28.429752066115707</v>
      </c>
      <c r="G388">
        <f t="shared" si="24"/>
        <v>0</v>
      </c>
      <c r="H388" t="s">
        <v>1400</v>
      </c>
      <c r="I388">
        <v>80.5</v>
      </c>
      <c r="J388" t="s">
        <v>111</v>
      </c>
      <c r="K388" s="24">
        <v>98</v>
      </c>
      <c r="L388" s="24">
        <v>63</v>
      </c>
      <c r="M388">
        <v>265</v>
      </c>
      <c r="N388" t="s">
        <v>1432</v>
      </c>
      <c r="O388">
        <v>31</v>
      </c>
      <c r="P388">
        <v>79</v>
      </c>
      <c r="Q388" t="s">
        <v>24</v>
      </c>
      <c r="R388" t="s">
        <v>24</v>
      </c>
      <c r="S388" t="s">
        <v>39</v>
      </c>
      <c r="T388" t="s">
        <v>25</v>
      </c>
      <c r="U388">
        <f t="shared" si="26"/>
        <v>1</v>
      </c>
      <c r="V388">
        <v>165</v>
      </c>
      <c r="W388">
        <v>0.48799999999999999</v>
      </c>
      <c r="X388" t="s">
        <v>1406</v>
      </c>
      <c r="Y388">
        <v>98</v>
      </c>
      <c r="Z388">
        <v>63</v>
      </c>
      <c r="AA388" t="s">
        <v>35</v>
      </c>
      <c r="AB388">
        <v>204</v>
      </c>
      <c r="AC388" s="23">
        <v>6.58</v>
      </c>
      <c r="AD388" t="str">
        <f>IF(AND('CVD Dataset'!AA388="Normal",'CVD Dataset'!AB388&gt;AVERAGE('CVD Dataset'!AB:AB),'CVD Dataset'!AF388="High"),"High Lipid Category","Normal Category")</f>
        <v>High Lipid Category</v>
      </c>
      <c r="AE388">
        <v>15.88</v>
      </c>
      <c r="AF388" t="s">
        <v>32</v>
      </c>
      <c r="AG388">
        <v>0</v>
      </c>
      <c r="AH388" t="s">
        <v>1379</v>
      </c>
      <c r="AI388">
        <f t="shared" si="27"/>
        <v>1</v>
      </c>
      <c r="AJ388" t="s">
        <v>1391</v>
      </c>
    </row>
    <row r="389" spans="1:36" x14ac:dyDescent="0.3">
      <c r="A389" t="s">
        <v>33</v>
      </c>
      <c r="B389">
        <v>48</v>
      </c>
      <c r="C389">
        <v>110.8</v>
      </c>
      <c r="D389">
        <v>1.82</v>
      </c>
      <c r="E389">
        <v>33.5</v>
      </c>
      <c r="F389">
        <f t="shared" si="25"/>
        <v>33.450066417099379</v>
      </c>
      <c r="G389">
        <f t="shared" si="24"/>
        <v>0</v>
      </c>
      <c r="H389" t="s">
        <v>1399</v>
      </c>
      <c r="I389">
        <v>108.3</v>
      </c>
      <c r="J389" t="s">
        <v>391</v>
      </c>
      <c r="K389" s="24">
        <v>120</v>
      </c>
      <c r="L389" s="24">
        <v>72</v>
      </c>
      <c r="M389">
        <v>177</v>
      </c>
      <c r="N389" t="s">
        <v>1433</v>
      </c>
      <c r="O389">
        <v>39</v>
      </c>
      <c r="P389">
        <v>82</v>
      </c>
      <c r="Q389" t="s">
        <v>24</v>
      </c>
      <c r="R389" t="s">
        <v>25</v>
      </c>
      <c r="S389" t="s">
        <v>30</v>
      </c>
      <c r="T389" t="s">
        <v>24</v>
      </c>
      <c r="U389">
        <f t="shared" si="26"/>
        <v>1</v>
      </c>
      <c r="V389">
        <v>182</v>
      </c>
      <c r="W389">
        <v>0.59499999999999997</v>
      </c>
      <c r="X389" t="s">
        <v>1409</v>
      </c>
      <c r="Y389">
        <v>120</v>
      </c>
      <c r="Z389">
        <v>72</v>
      </c>
      <c r="AA389" t="s">
        <v>27</v>
      </c>
      <c r="AB389">
        <v>108</v>
      </c>
      <c r="AC389" s="23">
        <v>2.77</v>
      </c>
      <c r="AD389" t="str">
        <f>IF(AND('CVD Dataset'!AA389="Normal",'CVD Dataset'!AB389&gt;AVERAGE('CVD Dataset'!AB:AB),'CVD Dataset'!AF389="High"),"High Lipid Category","Normal Category")</f>
        <v>Normal Category</v>
      </c>
      <c r="AE389">
        <v>18.239999999999998</v>
      </c>
      <c r="AF389" t="s">
        <v>32</v>
      </c>
      <c r="AG389">
        <v>0</v>
      </c>
      <c r="AH389" t="s">
        <v>1379</v>
      </c>
      <c r="AI389">
        <f t="shared" si="27"/>
        <v>1</v>
      </c>
      <c r="AJ389" t="s">
        <v>1391</v>
      </c>
    </row>
    <row r="390" spans="1:36" x14ac:dyDescent="0.3">
      <c r="A390" t="s">
        <v>22</v>
      </c>
      <c r="B390">
        <v>58</v>
      </c>
      <c r="D390">
        <v>1.75</v>
      </c>
      <c r="E390">
        <v>31.8</v>
      </c>
      <c r="F390">
        <f t="shared" si="25"/>
        <v>0</v>
      </c>
      <c r="G390">
        <f t="shared" si="24"/>
        <v>1</v>
      </c>
      <c r="H390" t="s">
        <v>1399</v>
      </c>
      <c r="I390">
        <v>71.400000000000006</v>
      </c>
      <c r="J390" t="s">
        <v>392</v>
      </c>
      <c r="K390" s="24">
        <v>135</v>
      </c>
      <c r="L390" s="24">
        <v>88</v>
      </c>
      <c r="M390">
        <v>272</v>
      </c>
      <c r="N390" t="s">
        <v>1432</v>
      </c>
      <c r="O390">
        <v>58</v>
      </c>
      <c r="P390">
        <v>132</v>
      </c>
      <c r="Q390" t="s">
        <v>24</v>
      </c>
      <c r="R390" t="s">
        <v>24</v>
      </c>
      <c r="S390" t="s">
        <v>26</v>
      </c>
      <c r="T390" t="s">
        <v>24</v>
      </c>
      <c r="U390">
        <f t="shared" si="26"/>
        <v>1</v>
      </c>
      <c r="V390">
        <v>175</v>
      </c>
      <c r="W390">
        <v>0.40799999999999997</v>
      </c>
      <c r="X390" t="s">
        <v>1408</v>
      </c>
      <c r="Y390">
        <v>135</v>
      </c>
      <c r="Z390">
        <v>88</v>
      </c>
      <c r="AA390" t="s">
        <v>31</v>
      </c>
      <c r="AB390">
        <v>184</v>
      </c>
      <c r="AC390" s="23">
        <v>3.17</v>
      </c>
      <c r="AD390" t="str">
        <f>IF(AND('CVD Dataset'!AA390="Normal",'CVD Dataset'!AB390&gt;AVERAGE('CVD Dataset'!AB:AB),'CVD Dataset'!AF390="High"),"High Lipid Category","Normal Category")</f>
        <v>Normal Category</v>
      </c>
      <c r="AE390">
        <v>18.55</v>
      </c>
      <c r="AF390" t="s">
        <v>32</v>
      </c>
      <c r="AG390">
        <v>0</v>
      </c>
      <c r="AH390" t="s">
        <v>1379</v>
      </c>
      <c r="AI390">
        <f t="shared" si="27"/>
        <v>1</v>
      </c>
      <c r="AJ390" t="s">
        <v>1391</v>
      </c>
    </row>
    <row r="391" spans="1:36" x14ac:dyDescent="0.3">
      <c r="A391" t="s">
        <v>33</v>
      </c>
      <c r="B391">
        <v>53</v>
      </c>
      <c r="C391">
        <v>82.4</v>
      </c>
      <c r="D391">
        <v>1.74</v>
      </c>
      <c r="E391">
        <v>27.2</v>
      </c>
      <c r="F391">
        <f t="shared" si="25"/>
        <v>27.216276919011761</v>
      </c>
      <c r="G391">
        <f t="shared" si="24"/>
        <v>0</v>
      </c>
      <c r="H391" t="s">
        <v>1400</v>
      </c>
      <c r="I391">
        <v>100.7</v>
      </c>
      <c r="J391" t="s">
        <v>393</v>
      </c>
      <c r="K391" s="24">
        <v>139</v>
      </c>
      <c r="L391" s="24">
        <v>63</v>
      </c>
      <c r="N391" t="s">
        <v>1434</v>
      </c>
      <c r="O391">
        <v>37</v>
      </c>
      <c r="P391">
        <v>140</v>
      </c>
      <c r="Q391" t="s">
        <v>24</v>
      </c>
      <c r="R391" t="s">
        <v>25</v>
      </c>
      <c r="S391" t="s">
        <v>30</v>
      </c>
      <c r="T391" t="s">
        <v>24</v>
      </c>
      <c r="U391">
        <f t="shared" si="26"/>
        <v>1</v>
      </c>
      <c r="V391">
        <v>174</v>
      </c>
      <c r="W391">
        <v>0.57899999999999996</v>
      </c>
      <c r="X391" t="s">
        <v>1407</v>
      </c>
      <c r="Y391">
        <v>139</v>
      </c>
      <c r="Z391">
        <v>63</v>
      </c>
      <c r="AA391" t="s">
        <v>31</v>
      </c>
      <c r="AB391">
        <v>226</v>
      </c>
      <c r="AC391" s="23">
        <v>6.11</v>
      </c>
      <c r="AD391" t="str">
        <f>IF(AND('CVD Dataset'!AA391="Normal",'CVD Dataset'!AB391&gt;AVERAGE('CVD Dataset'!AB:AB),'CVD Dataset'!AF391="High"),"High Lipid Category","Normal Category")</f>
        <v>Normal Category</v>
      </c>
      <c r="AE391">
        <v>20.25</v>
      </c>
      <c r="AF391" t="s">
        <v>32</v>
      </c>
      <c r="AG391">
        <v>0</v>
      </c>
      <c r="AH391" t="s">
        <v>1379</v>
      </c>
      <c r="AI391">
        <f t="shared" si="27"/>
        <v>1</v>
      </c>
      <c r="AJ391" t="s">
        <v>1392</v>
      </c>
    </row>
    <row r="392" spans="1:36" x14ac:dyDescent="0.3">
      <c r="A392" t="s">
        <v>33</v>
      </c>
      <c r="B392">
        <v>52</v>
      </c>
      <c r="C392">
        <v>50.7</v>
      </c>
      <c r="D392">
        <v>1.69</v>
      </c>
      <c r="E392">
        <v>17.8</v>
      </c>
      <c r="F392">
        <f t="shared" si="25"/>
        <v>17.751479289940832</v>
      </c>
      <c r="G392">
        <f t="shared" si="24"/>
        <v>0</v>
      </c>
      <c r="H392" t="s">
        <v>1401</v>
      </c>
      <c r="I392">
        <v>72.7</v>
      </c>
      <c r="J392" t="s">
        <v>394</v>
      </c>
      <c r="K392" s="24">
        <v>107</v>
      </c>
      <c r="L392" s="24">
        <v>74</v>
      </c>
      <c r="M392">
        <v>274</v>
      </c>
      <c r="N392" t="s">
        <v>1432</v>
      </c>
      <c r="O392">
        <v>33</v>
      </c>
      <c r="P392">
        <v>143</v>
      </c>
      <c r="Q392" t="s">
        <v>24</v>
      </c>
      <c r="R392" t="s">
        <v>25</v>
      </c>
      <c r="S392" t="s">
        <v>26</v>
      </c>
      <c r="T392" t="s">
        <v>25</v>
      </c>
      <c r="U392">
        <f t="shared" si="26"/>
        <v>3</v>
      </c>
      <c r="V392">
        <v>169</v>
      </c>
      <c r="W392">
        <v>0.43</v>
      </c>
      <c r="X392" t="s">
        <v>1408</v>
      </c>
      <c r="Y392">
        <v>107</v>
      </c>
      <c r="Z392">
        <v>74</v>
      </c>
      <c r="AA392" t="s">
        <v>35</v>
      </c>
      <c r="AB392">
        <v>211</v>
      </c>
      <c r="AC392" s="23">
        <v>6.39</v>
      </c>
      <c r="AD392" t="str">
        <f>IF(AND('CVD Dataset'!AA392="Normal",'CVD Dataset'!AB392&gt;AVERAGE('CVD Dataset'!AB:AB),'CVD Dataset'!AF392="High"),"High Lipid Category","Normal Category")</f>
        <v>High Lipid Category</v>
      </c>
      <c r="AE392">
        <v>16.39</v>
      </c>
      <c r="AF392" t="s">
        <v>32</v>
      </c>
      <c r="AG392">
        <v>0</v>
      </c>
      <c r="AH392" t="s">
        <v>1379</v>
      </c>
      <c r="AI392">
        <f t="shared" si="27"/>
        <v>1</v>
      </c>
      <c r="AJ392" t="s">
        <v>1391</v>
      </c>
    </row>
    <row r="393" spans="1:36" x14ac:dyDescent="0.3">
      <c r="A393" t="s">
        <v>33</v>
      </c>
      <c r="B393">
        <v>36</v>
      </c>
      <c r="C393">
        <v>110.4</v>
      </c>
      <c r="D393">
        <v>1.6</v>
      </c>
      <c r="E393">
        <v>43.1</v>
      </c>
      <c r="F393">
        <f t="shared" si="25"/>
        <v>43.124999999999993</v>
      </c>
      <c r="G393">
        <f t="shared" si="24"/>
        <v>0</v>
      </c>
      <c r="H393" t="s">
        <v>1399</v>
      </c>
      <c r="I393">
        <v>92.5</v>
      </c>
      <c r="J393" t="s">
        <v>395</v>
      </c>
      <c r="K393" s="24">
        <v>123</v>
      </c>
      <c r="L393" s="24">
        <v>93</v>
      </c>
      <c r="M393">
        <v>159</v>
      </c>
      <c r="N393" t="s">
        <v>1433</v>
      </c>
      <c r="O393">
        <v>38</v>
      </c>
      <c r="P393">
        <v>95</v>
      </c>
      <c r="Q393" t="s">
        <v>25</v>
      </c>
      <c r="R393" t="s">
        <v>25</v>
      </c>
      <c r="S393" t="s">
        <v>39</v>
      </c>
      <c r="T393" t="s">
        <v>25</v>
      </c>
      <c r="U393">
        <f t="shared" si="26"/>
        <v>3</v>
      </c>
      <c r="V393">
        <v>160</v>
      </c>
      <c r="W393">
        <v>0.57799999999999996</v>
      </c>
      <c r="X393" t="s">
        <v>1407</v>
      </c>
      <c r="Y393">
        <v>123</v>
      </c>
      <c r="Z393">
        <v>93</v>
      </c>
      <c r="AA393" t="s">
        <v>40</v>
      </c>
      <c r="AB393">
        <v>91</v>
      </c>
      <c r="AC393" s="23">
        <v>2.39</v>
      </c>
      <c r="AD393" t="str">
        <f>IF(AND('CVD Dataset'!AA393="Normal",'CVD Dataset'!AB393&gt;AVERAGE('CVD Dataset'!AB:AB),'CVD Dataset'!AF393="High"),"High Lipid Category","Normal Category")</f>
        <v>Normal Category</v>
      </c>
      <c r="AE393">
        <v>19.95</v>
      </c>
      <c r="AF393" t="s">
        <v>32</v>
      </c>
      <c r="AG393">
        <v>0</v>
      </c>
      <c r="AH393" t="s">
        <v>1379</v>
      </c>
      <c r="AI393">
        <f t="shared" si="27"/>
        <v>1</v>
      </c>
      <c r="AJ393" t="s">
        <v>1391</v>
      </c>
    </row>
    <row r="394" spans="1:36" x14ac:dyDescent="0.3">
      <c r="A394" t="s">
        <v>22</v>
      </c>
      <c r="B394">
        <v>43</v>
      </c>
      <c r="C394">
        <v>62.7</v>
      </c>
      <c r="D394">
        <v>1.83</v>
      </c>
      <c r="F394">
        <f t="shared" si="25"/>
        <v>18.722565618561315</v>
      </c>
      <c r="G394">
        <f t="shared" si="24"/>
        <v>1</v>
      </c>
      <c r="H394" t="s">
        <v>1401</v>
      </c>
      <c r="I394">
        <v>72.5</v>
      </c>
      <c r="J394" t="s">
        <v>396</v>
      </c>
      <c r="K394" s="24">
        <v>148</v>
      </c>
      <c r="L394" s="24">
        <v>85</v>
      </c>
      <c r="M394">
        <v>134</v>
      </c>
      <c r="N394" t="s">
        <v>1434</v>
      </c>
      <c r="O394">
        <v>55</v>
      </c>
      <c r="P394">
        <v>92</v>
      </c>
      <c r="Q394" t="s">
        <v>25</v>
      </c>
      <c r="R394" t="s">
        <v>25</v>
      </c>
      <c r="S394" t="s">
        <v>26</v>
      </c>
      <c r="T394" t="s">
        <v>24</v>
      </c>
      <c r="U394">
        <f t="shared" si="26"/>
        <v>3</v>
      </c>
      <c r="V394">
        <v>183</v>
      </c>
      <c r="X394" t="s">
        <v>1410</v>
      </c>
      <c r="Y394">
        <v>148</v>
      </c>
      <c r="Z394">
        <v>85</v>
      </c>
      <c r="AA394" t="s">
        <v>31</v>
      </c>
      <c r="AB394">
        <v>49</v>
      </c>
      <c r="AC394" s="23">
        <v>0.89</v>
      </c>
      <c r="AD394" t="str">
        <f>IF(AND('CVD Dataset'!AA394="Normal",'CVD Dataset'!AB394&gt;AVERAGE('CVD Dataset'!AB:AB),'CVD Dataset'!AF394="High"),"High Lipid Category","Normal Category")</f>
        <v>Normal Category</v>
      </c>
      <c r="AE394">
        <v>15.82</v>
      </c>
      <c r="AF394" t="s">
        <v>28</v>
      </c>
      <c r="AG394">
        <v>0</v>
      </c>
      <c r="AH394" t="s">
        <v>1380</v>
      </c>
      <c r="AI394">
        <f t="shared" si="27"/>
        <v>0</v>
      </c>
      <c r="AJ394" t="s">
        <v>1391</v>
      </c>
    </row>
    <row r="395" spans="1:36" x14ac:dyDescent="0.3">
      <c r="A395" t="s">
        <v>22</v>
      </c>
      <c r="B395">
        <v>60</v>
      </c>
      <c r="C395">
        <v>96.7</v>
      </c>
      <c r="D395">
        <v>1.82</v>
      </c>
      <c r="E395">
        <v>29.2</v>
      </c>
      <c r="F395">
        <f t="shared" si="25"/>
        <v>29.193334138389083</v>
      </c>
      <c r="G395">
        <f t="shared" si="24"/>
        <v>0</v>
      </c>
      <c r="H395" t="s">
        <v>1400</v>
      </c>
      <c r="J395" t="s">
        <v>397</v>
      </c>
      <c r="K395" s="24">
        <v>122</v>
      </c>
      <c r="L395" s="24">
        <v>71</v>
      </c>
      <c r="M395">
        <v>195</v>
      </c>
      <c r="N395" t="s">
        <v>1432</v>
      </c>
      <c r="O395">
        <v>57</v>
      </c>
      <c r="P395">
        <v>120</v>
      </c>
      <c r="Q395" t="s">
        <v>25</v>
      </c>
      <c r="R395" t="s">
        <v>24</v>
      </c>
      <c r="S395" t="s">
        <v>30</v>
      </c>
      <c r="T395" t="s">
        <v>24</v>
      </c>
      <c r="U395">
        <f t="shared" si="26"/>
        <v>1</v>
      </c>
      <c r="V395">
        <v>182</v>
      </c>
      <c r="W395">
        <v>0.40100000000000002</v>
      </c>
      <c r="X395" t="s">
        <v>1408</v>
      </c>
      <c r="Y395">
        <v>122</v>
      </c>
      <c r="Z395">
        <v>71</v>
      </c>
      <c r="AA395" t="s">
        <v>27</v>
      </c>
      <c r="AB395">
        <v>108</v>
      </c>
      <c r="AC395" s="23">
        <v>1.89</v>
      </c>
      <c r="AD395" t="str">
        <f>IF(AND('CVD Dataset'!AA395="Normal",'CVD Dataset'!AB395&gt;AVERAGE('CVD Dataset'!AB:AB),'CVD Dataset'!AF395="High"),"High Lipid Category","Normal Category")</f>
        <v>Normal Category</v>
      </c>
      <c r="AE395">
        <v>15.84</v>
      </c>
      <c r="AF395" t="s">
        <v>28</v>
      </c>
      <c r="AG395">
        <v>0</v>
      </c>
      <c r="AH395" t="s">
        <v>1380</v>
      </c>
      <c r="AI395">
        <f t="shared" si="27"/>
        <v>0</v>
      </c>
      <c r="AJ395" t="s">
        <v>1391</v>
      </c>
    </row>
    <row r="396" spans="1:36" x14ac:dyDescent="0.3">
      <c r="A396" t="s">
        <v>22</v>
      </c>
      <c r="B396">
        <v>49</v>
      </c>
      <c r="C396">
        <v>110.5</v>
      </c>
      <c r="D396">
        <v>1.72</v>
      </c>
      <c r="E396">
        <v>37.4</v>
      </c>
      <c r="F396">
        <f t="shared" si="25"/>
        <v>37.35127095727421</v>
      </c>
      <c r="G396">
        <f t="shared" si="24"/>
        <v>0</v>
      </c>
      <c r="H396" t="s">
        <v>1399</v>
      </c>
      <c r="I396">
        <v>70.8</v>
      </c>
      <c r="J396" t="s">
        <v>398</v>
      </c>
      <c r="K396" s="24">
        <v>96</v>
      </c>
      <c r="L396" s="24">
        <v>72</v>
      </c>
      <c r="N396" t="s">
        <v>1434</v>
      </c>
      <c r="O396">
        <v>33</v>
      </c>
      <c r="P396">
        <v>104</v>
      </c>
      <c r="Q396" t="s">
        <v>25</v>
      </c>
      <c r="R396" t="s">
        <v>24</v>
      </c>
      <c r="S396" t="s">
        <v>30</v>
      </c>
      <c r="T396" t="s">
        <v>25</v>
      </c>
      <c r="U396">
        <f t="shared" si="26"/>
        <v>2</v>
      </c>
      <c r="V396">
        <v>172</v>
      </c>
      <c r="W396">
        <v>0.41199999999999998</v>
      </c>
      <c r="X396" t="s">
        <v>1408</v>
      </c>
      <c r="Y396">
        <v>96</v>
      </c>
      <c r="Z396">
        <v>72</v>
      </c>
      <c r="AA396" t="s">
        <v>35</v>
      </c>
      <c r="AB396">
        <v>91</v>
      </c>
      <c r="AC396" s="23">
        <v>2.76</v>
      </c>
      <c r="AD396" t="str">
        <f>IF(AND('CVD Dataset'!AA396="Normal",'CVD Dataset'!AB396&gt;AVERAGE('CVD Dataset'!AB:AB),'CVD Dataset'!AF396="High"),"High Lipid Category","Normal Category")</f>
        <v>Normal Category</v>
      </c>
      <c r="AE396">
        <v>15.36</v>
      </c>
      <c r="AF396" t="s">
        <v>32</v>
      </c>
      <c r="AG396">
        <v>0</v>
      </c>
      <c r="AH396" t="s">
        <v>1379</v>
      </c>
      <c r="AI396">
        <f t="shared" si="27"/>
        <v>1</v>
      </c>
      <c r="AJ396" t="s">
        <v>1391</v>
      </c>
    </row>
    <row r="397" spans="1:36" x14ac:dyDescent="0.3">
      <c r="A397" t="s">
        <v>22</v>
      </c>
      <c r="B397">
        <v>39</v>
      </c>
      <c r="C397">
        <v>94.1</v>
      </c>
      <c r="D397">
        <v>1.79</v>
      </c>
      <c r="E397">
        <v>29.4</v>
      </c>
      <c r="F397">
        <f t="shared" si="25"/>
        <v>29.368621453762366</v>
      </c>
      <c r="G397">
        <f t="shared" si="24"/>
        <v>0</v>
      </c>
      <c r="H397" t="s">
        <v>1400</v>
      </c>
      <c r="I397">
        <v>101.6</v>
      </c>
      <c r="J397" t="s">
        <v>399</v>
      </c>
      <c r="K397" s="24">
        <v>119</v>
      </c>
      <c r="L397" s="24">
        <v>69</v>
      </c>
      <c r="M397">
        <v>276</v>
      </c>
      <c r="N397" t="s">
        <v>1432</v>
      </c>
      <c r="O397">
        <v>36</v>
      </c>
      <c r="P397">
        <v>98</v>
      </c>
      <c r="Q397" t="s">
        <v>25</v>
      </c>
      <c r="R397" t="s">
        <v>24</v>
      </c>
      <c r="S397" t="s">
        <v>39</v>
      </c>
      <c r="T397" t="s">
        <v>24</v>
      </c>
      <c r="U397">
        <f t="shared" si="26"/>
        <v>1</v>
      </c>
      <c r="V397">
        <v>179</v>
      </c>
      <c r="W397">
        <v>0.56799999999999995</v>
      </c>
      <c r="X397" t="s">
        <v>1407</v>
      </c>
      <c r="Y397">
        <v>119</v>
      </c>
      <c r="Z397">
        <v>69</v>
      </c>
      <c r="AA397" t="s">
        <v>35</v>
      </c>
      <c r="AB397">
        <v>210</v>
      </c>
      <c r="AC397" s="23">
        <v>5.83</v>
      </c>
      <c r="AD397" t="str">
        <f>IF(AND('CVD Dataset'!AA397="Normal",'CVD Dataset'!AB397&gt;AVERAGE('CVD Dataset'!AB:AB),'CVD Dataset'!AF397="High"),"High Lipid Category","Normal Category")</f>
        <v>High Lipid Category</v>
      </c>
      <c r="AF397" t="s">
        <v>32</v>
      </c>
      <c r="AG397">
        <v>0</v>
      </c>
      <c r="AH397" t="s">
        <v>1379</v>
      </c>
      <c r="AI397">
        <f t="shared" si="27"/>
        <v>1</v>
      </c>
      <c r="AJ397" t="s">
        <v>1391</v>
      </c>
    </row>
    <row r="398" spans="1:36" x14ac:dyDescent="0.3">
      <c r="A398" t="s">
        <v>33</v>
      </c>
      <c r="B398">
        <v>36</v>
      </c>
      <c r="C398">
        <v>117.6</v>
      </c>
      <c r="D398">
        <v>1.89</v>
      </c>
      <c r="E398">
        <v>32.9</v>
      </c>
      <c r="F398">
        <f t="shared" si="25"/>
        <v>32.921810699588477</v>
      </c>
      <c r="G398">
        <f t="shared" si="24"/>
        <v>0</v>
      </c>
      <c r="H398" t="s">
        <v>1399</v>
      </c>
      <c r="I398">
        <v>76</v>
      </c>
      <c r="J398" t="s">
        <v>400</v>
      </c>
      <c r="K398" s="24">
        <v>97</v>
      </c>
      <c r="L398" s="24">
        <v>87</v>
      </c>
      <c r="M398">
        <v>272</v>
      </c>
      <c r="N398" t="s">
        <v>1432</v>
      </c>
      <c r="O398">
        <v>45</v>
      </c>
      <c r="P398">
        <v>143</v>
      </c>
      <c r="Q398" t="s">
        <v>24</v>
      </c>
      <c r="R398" t="s">
        <v>24</v>
      </c>
      <c r="S398" t="s">
        <v>39</v>
      </c>
      <c r="T398" t="s">
        <v>24</v>
      </c>
      <c r="U398">
        <f t="shared" si="26"/>
        <v>0</v>
      </c>
      <c r="V398">
        <v>189</v>
      </c>
      <c r="W398">
        <v>0.40200000000000002</v>
      </c>
      <c r="X398" t="s">
        <v>1408</v>
      </c>
      <c r="Y398">
        <v>97</v>
      </c>
      <c r="Z398">
        <v>87</v>
      </c>
      <c r="AA398" t="s">
        <v>31</v>
      </c>
      <c r="AB398">
        <v>197</v>
      </c>
      <c r="AC398" s="23">
        <v>4.38</v>
      </c>
      <c r="AD398" t="str">
        <f>IF(AND('CVD Dataset'!AA398="Normal",'CVD Dataset'!AB398&gt;AVERAGE('CVD Dataset'!AB:AB),'CVD Dataset'!AF398="High"),"High Lipid Category","Normal Category")</f>
        <v>Normal Category</v>
      </c>
      <c r="AE398">
        <v>16.87</v>
      </c>
      <c r="AF398" t="s">
        <v>28</v>
      </c>
      <c r="AG398">
        <v>0</v>
      </c>
      <c r="AH398" t="s">
        <v>1380</v>
      </c>
      <c r="AI398">
        <f t="shared" si="27"/>
        <v>0</v>
      </c>
      <c r="AJ398" t="s">
        <v>1391</v>
      </c>
    </row>
    <row r="399" spans="1:36" x14ac:dyDescent="0.3">
      <c r="A399" t="s">
        <v>22</v>
      </c>
      <c r="B399">
        <v>49</v>
      </c>
      <c r="C399">
        <v>93.4</v>
      </c>
      <c r="D399">
        <v>1.73</v>
      </c>
      <c r="E399">
        <v>31.2</v>
      </c>
      <c r="F399">
        <f t="shared" si="25"/>
        <v>31.207190350496177</v>
      </c>
      <c r="G399">
        <f t="shared" ref="G399:G462" si="28">IFERROR(IF(ABS(E399 - F399) &lt;= 0.1, 0, 1),"")</f>
        <v>0</v>
      </c>
      <c r="H399" t="s">
        <v>1399</v>
      </c>
      <c r="I399">
        <v>86.9</v>
      </c>
      <c r="J399" t="s">
        <v>401</v>
      </c>
      <c r="K399" s="24">
        <v>111</v>
      </c>
      <c r="L399" s="24">
        <v>90</v>
      </c>
      <c r="M399">
        <v>167</v>
      </c>
      <c r="N399" t="s">
        <v>1433</v>
      </c>
      <c r="O399">
        <v>36</v>
      </c>
      <c r="P399">
        <v>106</v>
      </c>
      <c r="Q399" t="s">
        <v>24</v>
      </c>
      <c r="R399" t="s">
        <v>25</v>
      </c>
      <c r="S399" t="s">
        <v>39</v>
      </c>
      <c r="T399" t="s">
        <v>25</v>
      </c>
      <c r="U399">
        <f t="shared" si="26"/>
        <v>2</v>
      </c>
      <c r="V399">
        <v>173</v>
      </c>
      <c r="W399">
        <v>0.502</v>
      </c>
      <c r="X399" t="s">
        <v>1406</v>
      </c>
      <c r="Y399">
        <v>111</v>
      </c>
      <c r="Z399">
        <v>90</v>
      </c>
      <c r="AA399" t="s">
        <v>40</v>
      </c>
      <c r="AB399">
        <v>101</v>
      </c>
      <c r="AC399" s="23">
        <v>2.81</v>
      </c>
      <c r="AD399" t="str">
        <f>IF(AND('CVD Dataset'!AA399="Normal",'CVD Dataset'!AB399&gt;AVERAGE('CVD Dataset'!AB:AB),'CVD Dataset'!AF399="High"),"High Lipid Category","Normal Category")</f>
        <v>Normal Category</v>
      </c>
      <c r="AE399">
        <v>17.13</v>
      </c>
      <c r="AF399" t="s">
        <v>32</v>
      </c>
      <c r="AG399">
        <v>0</v>
      </c>
      <c r="AH399" t="s">
        <v>1379</v>
      </c>
      <c r="AI399">
        <f t="shared" si="27"/>
        <v>1</v>
      </c>
      <c r="AJ399" t="s">
        <v>1391</v>
      </c>
    </row>
    <row r="400" spans="1:36" x14ac:dyDescent="0.3">
      <c r="A400" t="s">
        <v>33</v>
      </c>
      <c r="B400">
        <v>38</v>
      </c>
      <c r="D400">
        <v>1.82</v>
      </c>
      <c r="E400">
        <v>22.6</v>
      </c>
      <c r="F400">
        <f t="shared" si="25"/>
        <v>0</v>
      </c>
      <c r="G400">
        <f t="shared" si="28"/>
        <v>1</v>
      </c>
      <c r="H400" t="s">
        <v>1398</v>
      </c>
      <c r="J400" t="s">
        <v>221</v>
      </c>
      <c r="K400" s="24">
        <v>113</v>
      </c>
      <c r="L400" s="24">
        <v>94</v>
      </c>
      <c r="M400">
        <v>165</v>
      </c>
      <c r="N400" t="s">
        <v>1433</v>
      </c>
      <c r="O400">
        <v>56</v>
      </c>
      <c r="P400">
        <v>137</v>
      </c>
      <c r="Q400" t="s">
        <v>25</v>
      </c>
      <c r="R400" t="s">
        <v>24</v>
      </c>
      <c r="S400" t="s">
        <v>39</v>
      </c>
      <c r="T400" t="s">
        <v>25</v>
      </c>
      <c r="U400">
        <f t="shared" si="26"/>
        <v>2</v>
      </c>
      <c r="V400">
        <v>182</v>
      </c>
      <c r="W400">
        <v>0.54100000000000004</v>
      </c>
      <c r="X400" t="s">
        <v>1407</v>
      </c>
      <c r="Y400">
        <v>113</v>
      </c>
      <c r="Z400">
        <v>94</v>
      </c>
      <c r="AA400" t="s">
        <v>40</v>
      </c>
      <c r="AB400">
        <v>79</v>
      </c>
      <c r="AC400" s="23">
        <v>1.41</v>
      </c>
      <c r="AD400" t="str">
        <f>IF(AND('CVD Dataset'!AA400="Normal",'CVD Dataset'!AB400&gt;AVERAGE('CVD Dataset'!AB:AB),'CVD Dataset'!AF400="High"),"High Lipid Category","Normal Category")</f>
        <v>Normal Category</v>
      </c>
      <c r="AE400">
        <v>13.47</v>
      </c>
      <c r="AF400" t="s">
        <v>28</v>
      </c>
      <c r="AG400">
        <v>0</v>
      </c>
      <c r="AH400" t="s">
        <v>1380</v>
      </c>
      <c r="AI400">
        <f t="shared" si="27"/>
        <v>0</v>
      </c>
      <c r="AJ400" t="s">
        <v>1391</v>
      </c>
    </row>
    <row r="401" spans="1:36" x14ac:dyDescent="0.3">
      <c r="A401" t="s">
        <v>22</v>
      </c>
      <c r="B401">
        <v>49</v>
      </c>
      <c r="C401">
        <v>52.5</v>
      </c>
      <c r="D401">
        <v>1.83</v>
      </c>
      <c r="E401">
        <v>15.7</v>
      </c>
      <c r="F401">
        <f t="shared" si="25"/>
        <v>15.676789393532202</v>
      </c>
      <c r="G401">
        <f t="shared" si="28"/>
        <v>0</v>
      </c>
      <c r="H401" t="s">
        <v>1401</v>
      </c>
      <c r="I401">
        <v>75</v>
      </c>
      <c r="J401" t="s">
        <v>402</v>
      </c>
      <c r="K401" s="24">
        <v>113</v>
      </c>
      <c r="L401" s="24">
        <v>95</v>
      </c>
      <c r="M401">
        <v>243</v>
      </c>
      <c r="N401" t="s">
        <v>1432</v>
      </c>
      <c r="O401">
        <v>38</v>
      </c>
      <c r="P401">
        <v>115</v>
      </c>
      <c r="Q401" t="s">
        <v>25</v>
      </c>
      <c r="R401" t="s">
        <v>24</v>
      </c>
      <c r="S401" t="s">
        <v>39</v>
      </c>
      <c r="T401" t="s">
        <v>24</v>
      </c>
      <c r="U401">
        <f t="shared" si="26"/>
        <v>1</v>
      </c>
      <c r="V401">
        <v>183</v>
      </c>
      <c r="W401">
        <v>0.41</v>
      </c>
      <c r="X401" t="s">
        <v>1408</v>
      </c>
      <c r="Y401">
        <v>113</v>
      </c>
      <c r="Z401">
        <v>95</v>
      </c>
      <c r="AA401" t="s">
        <v>40</v>
      </c>
      <c r="AB401">
        <v>175</v>
      </c>
      <c r="AC401" s="23">
        <v>4.6100000000000003</v>
      </c>
      <c r="AD401" t="str">
        <f>IF(AND('CVD Dataset'!AA401="Normal",'CVD Dataset'!AB401&gt;AVERAGE('CVD Dataset'!AB:AB),'CVD Dataset'!AF401="High"),"High Lipid Category","Normal Category")</f>
        <v>Normal Category</v>
      </c>
      <c r="AE401">
        <v>13.65</v>
      </c>
      <c r="AF401" t="s">
        <v>32</v>
      </c>
      <c r="AG401">
        <v>0</v>
      </c>
      <c r="AH401" t="s">
        <v>1379</v>
      </c>
      <c r="AI401">
        <f t="shared" si="27"/>
        <v>1</v>
      </c>
      <c r="AJ401" t="s">
        <v>1391</v>
      </c>
    </row>
    <row r="402" spans="1:36" x14ac:dyDescent="0.3">
      <c r="A402" t="s">
        <v>33</v>
      </c>
      <c r="B402">
        <v>50</v>
      </c>
      <c r="C402">
        <v>66.2</v>
      </c>
      <c r="D402">
        <v>1.86</v>
      </c>
      <c r="E402">
        <v>19.100000000000001</v>
      </c>
      <c r="F402">
        <f t="shared" si="25"/>
        <v>19.135160134119548</v>
      </c>
      <c r="G402">
        <f t="shared" si="28"/>
        <v>0</v>
      </c>
      <c r="H402" t="s">
        <v>1398</v>
      </c>
      <c r="I402">
        <v>93.1</v>
      </c>
      <c r="J402" t="s">
        <v>403</v>
      </c>
      <c r="K402" s="24">
        <v>133</v>
      </c>
      <c r="L402" s="24">
        <v>87</v>
      </c>
      <c r="M402">
        <v>166</v>
      </c>
      <c r="N402" t="s">
        <v>1433</v>
      </c>
      <c r="O402">
        <v>30</v>
      </c>
      <c r="P402">
        <v>132</v>
      </c>
      <c r="Q402" t="s">
        <v>24</v>
      </c>
      <c r="R402" t="s">
        <v>25</v>
      </c>
      <c r="S402" t="s">
        <v>26</v>
      </c>
      <c r="T402" t="s">
        <v>24</v>
      </c>
      <c r="U402">
        <f t="shared" si="26"/>
        <v>2</v>
      </c>
      <c r="V402">
        <v>186</v>
      </c>
      <c r="W402">
        <v>0.501</v>
      </c>
      <c r="X402" t="s">
        <v>1406</v>
      </c>
      <c r="Y402">
        <v>133</v>
      </c>
      <c r="Z402">
        <v>87</v>
      </c>
      <c r="AA402" t="s">
        <v>31</v>
      </c>
      <c r="AB402">
        <v>106</v>
      </c>
      <c r="AC402" s="23">
        <v>3.53</v>
      </c>
      <c r="AD402" t="str">
        <f>IF(AND('CVD Dataset'!AA402="Normal",'CVD Dataset'!AB402&gt;AVERAGE('CVD Dataset'!AB:AB),'CVD Dataset'!AF402="High"),"High Lipid Category","Normal Category")</f>
        <v>Normal Category</v>
      </c>
      <c r="AE402">
        <v>15.79</v>
      </c>
      <c r="AF402" t="s">
        <v>32</v>
      </c>
      <c r="AG402">
        <v>0</v>
      </c>
      <c r="AH402" t="s">
        <v>1379</v>
      </c>
      <c r="AI402">
        <f t="shared" si="27"/>
        <v>1</v>
      </c>
      <c r="AJ402" t="s">
        <v>1391</v>
      </c>
    </row>
    <row r="403" spans="1:36" x14ac:dyDescent="0.3">
      <c r="A403" t="s">
        <v>33</v>
      </c>
      <c r="B403">
        <v>43</v>
      </c>
      <c r="C403">
        <v>111.9</v>
      </c>
      <c r="D403">
        <v>1.71</v>
      </c>
      <c r="E403">
        <v>38.299999999999997</v>
      </c>
      <c r="F403">
        <f t="shared" si="25"/>
        <v>38.268185082589518</v>
      </c>
      <c r="G403">
        <f t="shared" si="28"/>
        <v>0</v>
      </c>
      <c r="H403" t="s">
        <v>1399</v>
      </c>
      <c r="I403">
        <v>109.4</v>
      </c>
      <c r="J403" t="s">
        <v>404</v>
      </c>
      <c r="K403" s="24">
        <v>102</v>
      </c>
      <c r="L403" s="24">
        <v>91</v>
      </c>
      <c r="M403">
        <v>241</v>
      </c>
      <c r="N403" t="s">
        <v>1432</v>
      </c>
      <c r="O403">
        <v>49</v>
      </c>
      <c r="P403">
        <v>96</v>
      </c>
      <c r="Q403" t="s">
        <v>24</v>
      </c>
      <c r="R403" t="s">
        <v>25</v>
      </c>
      <c r="S403" t="s">
        <v>26</v>
      </c>
      <c r="T403" t="s">
        <v>24</v>
      </c>
      <c r="U403">
        <f t="shared" si="26"/>
        <v>2</v>
      </c>
      <c r="V403">
        <v>171</v>
      </c>
      <c r="W403">
        <v>0.64</v>
      </c>
      <c r="X403" t="s">
        <v>1409</v>
      </c>
      <c r="Y403">
        <v>102</v>
      </c>
      <c r="AA403" t="s">
        <v>40</v>
      </c>
      <c r="AB403">
        <v>162</v>
      </c>
      <c r="AC403" s="23">
        <v>3.31</v>
      </c>
      <c r="AD403" t="str">
        <f>IF(AND('CVD Dataset'!AA403="Normal",'CVD Dataset'!AB403&gt;AVERAGE('CVD Dataset'!AB:AB),'CVD Dataset'!AF403="High"),"High Lipid Category","Normal Category")</f>
        <v>Normal Category</v>
      </c>
      <c r="AE403">
        <v>19.579999999999998</v>
      </c>
      <c r="AF403" t="s">
        <v>32</v>
      </c>
      <c r="AG403">
        <v>0</v>
      </c>
      <c r="AH403" t="s">
        <v>1379</v>
      </c>
      <c r="AI403">
        <f t="shared" si="27"/>
        <v>1</v>
      </c>
      <c r="AJ403" t="s">
        <v>1391</v>
      </c>
    </row>
    <row r="404" spans="1:36" x14ac:dyDescent="0.3">
      <c r="A404" t="s">
        <v>33</v>
      </c>
      <c r="B404">
        <v>39</v>
      </c>
      <c r="C404">
        <v>54.7</v>
      </c>
      <c r="D404">
        <v>1.83</v>
      </c>
      <c r="E404">
        <v>16.3</v>
      </c>
      <c r="F404">
        <f t="shared" si="25"/>
        <v>16.333721520499267</v>
      </c>
      <c r="G404">
        <f t="shared" si="28"/>
        <v>0</v>
      </c>
      <c r="H404" t="s">
        <v>1401</v>
      </c>
      <c r="I404">
        <v>101.1</v>
      </c>
      <c r="J404" t="s">
        <v>405</v>
      </c>
      <c r="K404" s="24">
        <v>103</v>
      </c>
      <c r="L404" s="24">
        <v>88</v>
      </c>
      <c r="M404">
        <v>270</v>
      </c>
      <c r="N404" t="s">
        <v>1432</v>
      </c>
      <c r="O404">
        <v>31</v>
      </c>
      <c r="P404">
        <v>97</v>
      </c>
      <c r="Q404" t="s">
        <v>24</v>
      </c>
      <c r="R404" t="s">
        <v>25</v>
      </c>
      <c r="S404" t="s">
        <v>26</v>
      </c>
      <c r="T404" t="s">
        <v>25</v>
      </c>
      <c r="U404">
        <f t="shared" si="26"/>
        <v>3</v>
      </c>
      <c r="V404">
        <v>183</v>
      </c>
      <c r="W404">
        <v>0.55200000000000005</v>
      </c>
      <c r="X404" t="s">
        <v>1407</v>
      </c>
      <c r="Y404">
        <v>103</v>
      </c>
      <c r="Z404">
        <v>88</v>
      </c>
      <c r="AA404" t="s">
        <v>31</v>
      </c>
      <c r="AB404">
        <v>209</v>
      </c>
      <c r="AC404" s="23">
        <v>6.74</v>
      </c>
      <c r="AD404" t="str">
        <f>IF(AND('CVD Dataset'!AA404="Normal",'CVD Dataset'!AB404&gt;AVERAGE('CVD Dataset'!AB:AB),'CVD Dataset'!AF404="High"),"High Lipid Category","Normal Category")</f>
        <v>Normal Category</v>
      </c>
      <c r="AE404">
        <v>15.81</v>
      </c>
      <c r="AF404" t="s">
        <v>32</v>
      </c>
      <c r="AG404">
        <v>0</v>
      </c>
      <c r="AH404" t="s">
        <v>1379</v>
      </c>
      <c r="AI404">
        <f t="shared" si="27"/>
        <v>1</v>
      </c>
      <c r="AJ404" t="s">
        <v>1391</v>
      </c>
    </row>
    <row r="405" spans="1:36" x14ac:dyDescent="0.3">
      <c r="A405" t="s">
        <v>33</v>
      </c>
      <c r="B405">
        <v>50</v>
      </c>
      <c r="C405">
        <v>66</v>
      </c>
      <c r="D405">
        <v>1.75</v>
      </c>
      <c r="E405">
        <v>21.6</v>
      </c>
      <c r="F405">
        <f t="shared" si="25"/>
        <v>21.551020408163264</v>
      </c>
      <c r="G405">
        <f t="shared" si="28"/>
        <v>0</v>
      </c>
      <c r="H405" t="s">
        <v>1398</v>
      </c>
      <c r="I405">
        <v>76.3</v>
      </c>
      <c r="J405" t="s">
        <v>406</v>
      </c>
      <c r="K405" s="24">
        <v>135</v>
      </c>
      <c r="L405" s="24">
        <v>85</v>
      </c>
      <c r="M405">
        <v>241</v>
      </c>
      <c r="N405" t="s">
        <v>1432</v>
      </c>
      <c r="O405">
        <v>41</v>
      </c>
      <c r="P405">
        <v>141</v>
      </c>
      <c r="Q405" t="s">
        <v>24</v>
      </c>
      <c r="R405" t="s">
        <v>25</v>
      </c>
      <c r="S405" t="s">
        <v>39</v>
      </c>
      <c r="T405" t="s">
        <v>25</v>
      </c>
      <c r="U405">
        <f t="shared" si="26"/>
        <v>2</v>
      </c>
      <c r="V405">
        <v>175</v>
      </c>
      <c r="W405">
        <v>0.436</v>
      </c>
      <c r="X405" t="s">
        <v>1408</v>
      </c>
      <c r="Y405">
        <v>135</v>
      </c>
      <c r="Z405">
        <v>85</v>
      </c>
      <c r="AA405" t="s">
        <v>31</v>
      </c>
      <c r="AB405">
        <v>170</v>
      </c>
      <c r="AC405" s="23">
        <v>4.1500000000000004</v>
      </c>
      <c r="AD405" t="str">
        <f>IF(AND('CVD Dataset'!AA405="Normal",'CVD Dataset'!AB405&gt;AVERAGE('CVD Dataset'!AB:AB),'CVD Dataset'!AF405="High"),"High Lipid Category","Normal Category")</f>
        <v>Normal Category</v>
      </c>
      <c r="AE405">
        <v>17.89</v>
      </c>
      <c r="AF405" t="s">
        <v>32</v>
      </c>
      <c r="AG405">
        <v>0</v>
      </c>
      <c r="AH405" t="s">
        <v>1379</v>
      </c>
      <c r="AI405">
        <f t="shared" si="27"/>
        <v>1</v>
      </c>
      <c r="AJ405" t="s">
        <v>1391</v>
      </c>
    </row>
    <row r="406" spans="1:36" x14ac:dyDescent="0.3">
      <c r="A406" t="s">
        <v>33</v>
      </c>
      <c r="B406">
        <v>60</v>
      </c>
      <c r="C406">
        <v>95.2</v>
      </c>
      <c r="D406">
        <v>1.67</v>
      </c>
      <c r="E406">
        <v>34.1</v>
      </c>
      <c r="F406">
        <f t="shared" si="25"/>
        <v>34.135322170031195</v>
      </c>
      <c r="G406">
        <f t="shared" si="28"/>
        <v>0</v>
      </c>
      <c r="H406" t="s">
        <v>1399</v>
      </c>
      <c r="I406">
        <v>91.6</v>
      </c>
      <c r="J406" t="s">
        <v>407</v>
      </c>
      <c r="K406" s="24">
        <v>97</v>
      </c>
      <c r="L406" s="24">
        <v>71</v>
      </c>
      <c r="M406">
        <v>279</v>
      </c>
      <c r="N406" t="s">
        <v>1432</v>
      </c>
      <c r="O406">
        <v>42</v>
      </c>
      <c r="P406">
        <v>98</v>
      </c>
      <c r="Q406" t="s">
        <v>25</v>
      </c>
      <c r="R406" t="s">
        <v>24</v>
      </c>
      <c r="S406" t="s">
        <v>39</v>
      </c>
      <c r="T406" t="s">
        <v>25</v>
      </c>
      <c r="U406">
        <f t="shared" si="26"/>
        <v>2</v>
      </c>
      <c r="V406">
        <v>167</v>
      </c>
      <c r="W406">
        <v>0.54900000000000004</v>
      </c>
      <c r="X406" t="s">
        <v>1407</v>
      </c>
      <c r="Y406">
        <v>97</v>
      </c>
      <c r="Z406">
        <v>71</v>
      </c>
      <c r="AA406" t="s">
        <v>35</v>
      </c>
      <c r="AC406" s="23">
        <v>0</v>
      </c>
      <c r="AD406" t="str">
        <f>IF(AND('CVD Dataset'!AA406="Normal",'CVD Dataset'!AB406&gt;AVERAGE('CVD Dataset'!AB:AB),'CVD Dataset'!AF406="High"),"High Lipid Category","Normal Category")</f>
        <v>Normal Category</v>
      </c>
      <c r="AE406">
        <v>17.25</v>
      </c>
      <c r="AF406" t="s">
        <v>32</v>
      </c>
      <c r="AG406">
        <v>0</v>
      </c>
      <c r="AH406" t="s">
        <v>1379</v>
      </c>
      <c r="AI406">
        <f t="shared" si="27"/>
        <v>1</v>
      </c>
      <c r="AJ406" t="s">
        <v>1391</v>
      </c>
    </row>
    <row r="407" spans="1:36" x14ac:dyDescent="0.3">
      <c r="A407" t="s">
        <v>22</v>
      </c>
      <c r="B407">
        <v>38</v>
      </c>
      <c r="C407">
        <v>61.8</v>
      </c>
      <c r="D407">
        <v>1.78</v>
      </c>
      <c r="E407">
        <v>19.5</v>
      </c>
      <c r="F407">
        <f t="shared" si="25"/>
        <v>19.505112990783989</v>
      </c>
      <c r="G407">
        <f t="shared" si="28"/>
        <v>0</v>
      </c>
      <c r="H407" t="s">
        <v>1398</v>
      </c>
      <c r="I407">
        <v>71</v>
      </c>
      <c r="J407" t="s">
        <v>408</v>
      </c>
      <c r="K407" s="24">
        <v>108</v>
      </c>
      <c r="L407" s="24">
        <v>87</v>
      </c>
      <c r="M407">
        <v>225</v>
      </c>
      <c r="N407" t="s">
        <v>1432</v>
      </c>
      <c r="O407">
        <v>75</v>
      </c>
      <c r="P407">
        <v>138</v>
      </c>
      <c r="Q407" t="s">
        <v>25</v>
      </c>
      <c r="R407" t="s">
        <v>24</v>
      </c>
      <c r="S407" t="s">
        <v>30</v>
      </c>
      <c r="T407" t="s">
        <v>24</v>
      </c>
      <c r="U407">
        <f t="shared" si="26"/>
        <v>1</v>
      </c>
      <c r="V407">
        <v>178</v>
      </c>
      <c r="W407">
        <v>0.39900000000000002</v>
      </c>
      <c r="X407" t="s">
        <v>1408</v>
      </c>
      <c r="Y407">
        <v>108</v>
      </c>
      <c r="Z407">
        <v>87</v>
      </c>
      <c r="AA407" t="s">
        <v>31</v>
      </c>
      <c r="AB407">
        <v>120</v>
      </c>
      <c r="AC407" s="23">
        <v>1.6</v>
      </c>
      <c r="AD407" t="str">
        <f>IF(AND('CVD Dataset'!AA407="Normal",'CVD Dataset'!AB407&gt;AVERAGE('CVD Dataset'!AB:AB),'CVD Dataset'!AF407="High"),"High Lipid Category","Normal Category")</f>
        <v>Normal Category</v>
      </c>
      <c r="AE407">
        <v>13.8</v>
      </c>
      <c r="AF407" t="s">
        <v>28</v>
      </c>
      <c r="AG407">
        <v>0</v>
      </c>
      <c r="AH407" t="s">
        <v>1380</v>
      </c>
      <c r="AI407">
        <f t="shared" si="27"/>
        <v>0</v>
      </c>
      <c r="AJ407" t="s">
        <v>1391</v>
      </c>
    </row>
    <row r="408" spans="1:36" x14ac:dyDescent="0.3">
      <c r="A408" t="s">
        <v>33</v>
      </c>
      <c r="B408">
        <v>51</v>
      </c>
      <c r="C408">
        <v>100.3</v>
      </c>
      <c r="D408">
        <v>1.66</v>
      </c>
      <c r="E408">
        <v>36.4</v>
      </c>
      <c r="F408">
        <f t="shared" si="25"/>
        <v>36.398606474089128</v>
      </c>
      <c r="G408">
        <f t="shared" si="28"/>
        <v>0</v>
      </c>
      <c r="H408" t="s">
        <v>1399</v>
      </c>
      <c r="I408">
        <v>101.3</v>
      </c>
      <c r="J408" t="s">
        <v>386</v>
      </c>
      <c r="K408" s="24">
        <v>108</v>
      </c>
      <c r="L408" s="24">
        <v>61</v>
      </c>
      <c r="M408">
        <v>213</v>
      </c>
      <c r="N408" t="s">
        <v>1432</v>
      </c>
      <c r="O408">
        <v>64</v>
      </c>
      <c r="P408">
        <v>135</v>
      </c>
      <c r="Q408" t="s">
        <v>24</v>
      </c>
      <c r="R408" t="s">
        <v>24</v>
      </c>
      <c r="S408" t="s">
        <v>26</v>
      </c>
      <c r="T408" t="s">
        <v>24</v>
      </c>
      <c r="U408">
        <f t="shared" si="26"/>
        <v>1</v>
      </c>
      <c r="V408">
        <v>166</v>
      </c>
      <c r="W408">
        <v>0.61</v>
      </c>
      <c r="X408" t="s">
        <v>1409</v>
      </c>
      <c r="Y408">
        <v>108</v>
      </c>
      <c r="Z408">
        <v>61</v>
      </c>
      <c r="AA408" t="s">
        <v>35</v>
      </c>
      <c r="AB408">
        <v>119</v>
      </c>
      <c r="AC408" s="23">
        <v>1.86</v>
      </c>
      <c r="AD408" t="str">
        <f>IF(AND('CVD Dataset'!AA408="Normal",'CVD Dataset'!AB408&gt;AVERAGE('CVD Dataset'!AB:AB),'CVD Dataset'!AF408="High"),"High Lipid Category","Normal Category")</f>
        <v>High Lipid Category</v>
      </c>
      <c r="AE408">
        <v>16.940000000000001</v>
      </c>
      <c r="AF408" t="s">
        <v>32</v>
      </c>
      <c r="AG408">
        <v>1</v>
      </c>
      <c r="AH408" t="s">
        <v>1379</v>
      </c>
      <c r="AI408">
        <f t="shared" si="27"/>
        <v>1</v>
      </c>
      <c r="AJ408" t="s">
        <v>1391</v>
      </c>
    </row>
    <row r="409" spans="1:36" x14ac:dyDescent="0.3">
      <c r="A409" t="s">
        <v>22</v>
      </c>
      <c r="B409">
        <v>50</v>
      </c>
      <c r="C409">
        <v>66.5</v>
      </c>
      <c r="D409">
        <v>1.83</v>
      </c>
      <c r="E409">
        <v>19.899999999999999</v>
      </c>
      <c r="F409">
        <f t="shared" si="25"/>
        <v>19.85726656514079</v>
      </c>
      <c r="G409">
        <f t="shared" si="28"/>
        <v>0</v>
      </c>
      <c r="H409" t="s">
        <v>1398</v>
      </c>
      <c r="I409">
        <v>98</v>
      </c>
      <c r="J409" t="s">
        <v>409</v>
      </c>
      <c r="K409" s="24">
        <v>127</v>
      </c>
      <c r="L409" s="24">
        <v>75</v>
      </c>
      <c r="M409">
        <v>200</v>
      </c>
      <c r="N409" t="s">
        <v>1432</v>
      </c>
      <c r="O409">
        <v>39</v>
      </c>
      <c r="P409">
        <v>98</v>
      </c>
      <c r="Q409" t="s">
        <v>24</v>
      </c>
      <c r="R409" t="s">
        <v>25</v>
      </c>
      <c r="S409" t="s">
        <v>30</v>
      </c>
      <c r="T409" t="s">
        <v>25</v>
      </c>
      <c r="U409">
        <f t="shared" si="26"/>
        <v>2</v>
      </c>
      <c r="W409">
        <v>0.53600000000000003</v>
      </c>
      <c r="X409" t="s">
        <v>1407</v>
      </c>
      <c r="Y409">
        <v>127</v>
      </c>
      <c r="Z409">
        <v>75</v>
      </c>
      <c r="AA409" t="s">
        <v>27</v>
      </c>
      <c r="AB409">
        <v>131</v>
      </c>
      <c r="AC409" s="23">
        <v>3.36</v>
      </c>
      <c r="AD409" t="str">
        <f>IF(AND('CVD Dataset'!AA409="Normal",'CVD Dataset'!AB409&gt;AVERAGE('CVD Dataset'!AB:AB),'CVD Dataset'!AF409="High"),"High Lipid Category","Normal Category")</f>
        <v>Normal Category</v>
      </c>
      <c r="AE409">
        <v>16.329999999999998</v>
      </c>
      <c r="AF409" t="s">
        <v>32</v>
      </c>
      <c r="AG409">
        <v>0</v>
      </c>
      <c r="AH409" t="s">
        <v>1379</v>
      </c>
      <c r="AI409">
        <f t="shared" si="27"/>
        <v>1</v>
      </c>
      <c r="AJ409" t="s">
        <v>1391</v>
      </c>
    </row>
    <row r="410" spans="1:36" x14ac:dyDescent="0.3">
      <c r="A410" t="s">
        <v>22</v>
      </c>
      <c r="B410">
        <v>37</v>
      </c>
      <c r="C410">
        <v>75.400000000000006</v>
      </c>
      <c r="D410">
        <v>1.8</v>
      </c>
      <c r="E410">
        <v>23.3</v>
      </c>
      <c r="F410">
        <f t="shared" si="25"/>
        <v>23.271604938271604</v>
      </c>
      <c r="G410">
        <f t="shared" si="28"/>
        <v>0</v>
      </c>
      <c r="H410" t="s">
        <v>1398</v>
      </c>
      <c r="I410">
        <v>86.5</v>
      </c>
      <c r="J410" t="s">
        <v>410</v>
      </c>
      <c r="K410" s="24">
        <v>149</v>
      </c>
      <c r="L410" s="24">
        <v>78</v>
      </c>
      <c r="M410">
        <v>296</v>
      </c>
      <c r="N410" t="s">
        <v>1432</v>
      </c>
      <c r="P410">
        <v>137</v>
      </c>
      <c r="Q410" t="s">
        <v>24</v>
      </c>
      <c r="R410" t="s">
        <v>25</v>
      </c>
      <c r="S410" t="s">
        <v>30</v>
      </c>
      <c r="T410" t="s">
        <v>24</v>
      </c>
      <c r="U410">
        <f t="shared" si="26"/>
        <v>1</v>
      </c>
      <c r="W410">
        <v>0.48099999999999998</v>
      </c>
      <c r="X410" t="s">
        <v>1406</v>
      </c>
      <c r="Y410">
        <v>149</v>
      </c>
      <c r="AA410" t="s">
        <v>40</v>
      </c>
      <c r="AB410">
        <v>209</v>
      </c>
      <c r="AC410" s="23" t="s">
        <v>1410</v>
      </c>
      <c r="AD410" t="str">
        <f>IF(AND('CVD Dataset'!AA410="Normal",'CVD Dataset'!AB410&gt;AVERAGE('CVD Dataset'!AB:AB),'CVD Dataset'!AF410="High"),"High Lipid Category","Normal Category")</f>
        <v>Normal Category</v>
      </c>
      <c r="AE410">
        <v>20.03</v>
      </c>
      <c r="AF410" t="s">
        <v>28</v>
      </c>
      <c r="AG410">
        <v>0</v>
      </c>
      <c r="AH410" t="s">
        <v>1380</v>
      </c>
      <c r="AI410">
        <f t="shared" si="27"/>
        <v>0</v>
      </c>
      <c r="AJ410" t="s">
        <v>1391</v>
      </c>
    </row>
    <row r="411" spans="1:36" x14ac:dyDescent="0.3">
      <c r="A411" t="s">
        <v>22</v>
      </c>
      <c r="B411">
        <v>38</v>
      </c>
      <c r="C411">
        <v>108.3</v>
      </c>
      <c r="D411">
        <v>1.8</v>
      </c>
      <c r="E411">
        <v>33.4</v>
      </c>
      <c r="F411">
        <f t="shared" si="25"/>
        <v>33.425925925925924</v>
      </c>
      <c r="G411">
        <f t="shared" si="28"/>
        <v>0</v>
      </c>
      <c r="H411" t="s">
        <v>1399</v>
      </c>
      <c r="I411">
        <v>76.2</v>
      </c>
      <c r="J411" t="s">
        <v>411</v>
      </c>
      <c r="K411" s="24">
        <v>149</v>
      </c>
      <c r="L411" s="24">
        <v>91</v>
      </c>
      <c r="M411">
        <v>278</v>
      </c>
      <c r="N411" t="s">
        <v>1432</v>
      </c>
      <c r="O411">
        <v>61</v>
      </c>
      <c r="P411">
        <v>106</v>
      </c>
      <c r="Q411" t="s">
        <v>25</v>
      </c>
      <c r="R411" t="s">
        <v>24</v>
      </c>
      <c r="S411" t="s">
        <v>30</v>
      </c>
      <c r="T411" t="s">
        <v>25</v>
      </c>
      <c r="U411">
        <f t="shared" si="26"/>
        <v>2</v>
      </c>
      <c r="V411">
        <v>180</v>
      </c>
      <c r="W411">
        <v>0.42299999999999999</v>
      </c>
      <c r="X411" t="s">
        <v>1408</v>
      </c>
      <c r="Y411">
        <v>149</v>
      </c>
      <c r="Z411">
        <v>91</v>
      </c>
      <c r="AA411" t="s">
        <v>40</v>
      </c>
      <c r="AB411">
        <v>187</v>
      </c>
      <c r="AC411" s="23">
        <v>3.07</v>
      </c>
      <c r="AD411" t="str">
        <f>IF(AND('CVD Dataset'!AA411="Normal",'CVD Dataset'!AB411&gt;AVERAGE('CVD Dataset'!AB:AB),'CVD Dataset'!AF411="High"),"High Lipid Category","Normal Category")</f>
        <v>Normal Category</v>
      </c>
      <c r="AE411">
        <v>19.690000000000001</v>
      </c>
      <c r="AF411" t="s">
        <v>32</v>
      </c>
      <c r="AG411">
        <v>1</v>
      </c>
      <c r="AH411" t="s">
        <v>1379</v>
      </c>
      <c r="AI411">
        <f t="shared" si="27"/>
        <v>1</v>
      </c>
      <c r="AJ411" t="s">
        <v>1391</v>
      </c>
    </row>
    <row r="412" spans="1:36" x14ac:dyDescent="0.3">
      <c r="A412" t="s">
        <v>33</v>
      </c>
      <c r="B412">
        <v>59</v>
      </c>
      <c r="C412">
        <v>69.2</v>
      </c>
      <c r="D412">
        <v>1.87</v>
      </c>
      <c r="E412">
        <v>19.8</v>
      </c>
      <c r="F412">
        <f t="shared" si="25"/>
        <v>19.788955932397265</v>
      </c>
      <c r="G412">
        <f t="shared" si="28"/>
        <v>0</v>
      </c>
      <c r="H412" t="s">
        <v>1398</v>
      </c>
      <c r="I412">
        <v>96.8</v>
      </c>
      <c r="J412" t="s">
        <v>412</v>
      </c>
      <c r="K412" s="24">
        <v>93</v>
      </c>
      <c r="L412" s="24">
        <v>78</v>
      </c>
      <c r="M412">
        <v>218</v>
      </c>
      <c r="N412" t="s">
        <v>1432</v>
      </c>
      <c r="O412">
        <v>56</v>
      </c>
      <c r="P412">
        <v>71</v>
      </c>
      <c r="Q412" t="s">
        <v>24</v>
      </c>
      <c r="R412" t="s">
        <v>25</v>
      </c>
      <c r="S412" t="s">
        <v>39</v>
      </c>
      <c r="T412" t="s">
        <v>24</v>
      </c>
      <c r="U412">
        <f t="shared" si="26"/>
        <v>1</v>
      </c>
      <c r="V412">
        <v>187</v>
      </c>
      <c r="W412">
        <v>0.51800000000000002</v>
      </c>
      <c r="X412" t="s">
        <v>1406</v>
      </c>
      <c r="Y412">
        <v>93</v>
      </c>
      <c r="Z412">
        <v>78</v>
      </c>
      <c r="AA412" t="s">
        <v>35</v>
      </c>
      <c r="AB412">
        <v>132</v>
      </c>
      <c r="AC412" s="23">
        <v>2.36</v>
      </c>
      <c r="AD412" t="str">
        <f>IF(AND('CVD Dataset'!AA412="Normal",'CVD Dataset'!AB412&gt;AVERAGE('CVD Dataset'!AB:AB),'CVD Dataset'!AF412="High"),"High Lipid Category","Normal Category")</f>
        <v>Normal Category</v>
      </c>
      <c r="AE412">
        <v>14.97</v>
      </c>
      <c r="AF412" t="s">
        <v>28</v>
      </c>
      <c r="AG412">
        <v>0</v>
      </c>
      <c r="AH412" t="s">
        <v>1380</v>
      </c>
      <c r="AI412">
        <f t="shared" si="27"/>
        <v>0</v>
      </c>
      <c r="AJ412" t="s">
        <v>1391</v>
      </c>
    </row>
    <row r="413" spans="1:36" x14ac:dyDescent="0.3">
      <c r="A413" t="s">
        <v>22</v>
      </c>
      <c r="B413">
        <v>43</v>
      </c>
      <c r="C413">
        <v>90.5</v>
      </c>
      <c r="D413">
        <v>1.79</v>
      </c>
      <c r="E413">
        <v>28.2</v>
      </c>
      <c r="F413">
        <f t="shared" si="25"/>
        <v>28.245061015573796</v>
      </c>
      <c r="G413">
        <f t="shared" si="28"/>
        <v>0</v>
      </c>
      <c r="H413" t="s">
        <v>1400</v>
      </c>
      <c r="I413">
        <v>82.1</v>
      </c>
      <c r="J413" t="s">
        <v>413</v>
      </c>
      <c r="K413" s="24">
        <v>141</v>
      </c>
      <c r="L413" s="24">
        <v>95</v>
      </c>
      <c r="M413">
        <v>282</v>
      </c>
      <c r="N413" t="s">
        <v>1432</v>
      </c>
      <c r="O413">
        <v>34</v>
      </c>
      <c r="P413">
        <v>101</v>
      </c>
      <c r="Q413" t="s">
        <v>24</v>
      </c>
      <c r="R413" t="s">
        <v>25</v>
      </c>
      <c r="S413" t="s">
        <v>39</v>
      </c>
      <c r="T413" t="s">
        <v>24</v>
      </c>
      <c r="U413">
        <f t="shared" si="26"/>
        <v>1</v>
      </c>
      <c r="V413">
        <v>179</v>
      </c>
      <c r="W413">
        <v>0.45900000000000002</v>
      </c>
      <c r="X413" t="s">
        <v>1408</v>
      </c>
      <c r="Y413">
        <v>141</v>
      </c>
      <c r="Z413">
        <v>95</v>
      </c>
      <c r="AA413" t="s">
        <v>40</v>
      </c>
      <c r="AB413">
        <v>218</v>
      </c>
      <c r="AC413" s="23">
        <v>6.41</v>
      </c>
      <c r="AD413" t="str">
        <f>IF(AND('CVD Dataset'!AA413="Normal",'CVD Dataset'!AB413&gt;AVERAGE('CVD Dataset'!AB:AB),'CVD Dataset'!AF413="High"),"High Lipid Category","Normal Category")</f>
        <v>Normal Category</v>
      </c>
      <c r="AE413">
        <v>20.329999999999998</v>
      </c>
      <c r="AF413" t="s">
        <v>32</v>
      </c>
      <c r="AG413">
        <v>0</v>
      </c>
      <c r="AH413" t="s">
        <v>1379</v>
      </c>
      <c r="AI413">
        <f t="shared" si="27"/>
        <v>1</v>
      </c>
      <c r="AJ413" t="s">
        <v>1391</v>
      </c>
    </row>
    <row r="414" spans="1:36" x14ac:dyDescent="0.3">
      <c r="A414" t="s">
        <v>33</v>
      </c>
      <c r="C414">
        <v>100.8</v>
      </c>
      <c r="D414">
        <v>1.87</v>
      </c>
      <c r="E414">
        <v>28.8</v>
      </c>
      <c r="F414">
        <f t="shared" si="25"/>
        <v>28.825531184763641</v>
      </c>
      <c r="G414">
        <f t="shared" si="28"/>
        <v>0</v>
      </c>
      <c r="H414" t="s">
        <v>1400</v>
      </c>
      <c r="I414">
        <v>96.5</v>
      </c>
      <c r="J414" t="s">
        <v>414</v>
      </c>
      <c r="K414" s="24">
        <v>112</v>
      </c>
      <c r="L414" s="24">
        <v>97</v>
      </c>
      <c r="M414">
        <v>130</v>
      </c>
      <c r="N414" t="s">
        <v>1434</v>
      </c>
      <c r="O414">
        <v>41</v>
      </c>
      <c r="P414">
        <v>84</v>
      </c>
      <c r="Q414" t="s">
        <v>25</v>
      </c>
      <c r="R414" t="s">
        <v>25</v>
      </c>
      <c r="S414" t="s">
        <v>30</v>
      </c>
      <c r="T414" t="s">
        <v>24</v>
      </c>
      <c r="U414">
        <f t="shared" si="26"/>
        <v>2</v>
      </c>
      <c r="V414">
        <v>187</v>
      </c>
      <c r="W414">
        <v>0.51600000000000001</v>
      </c>
      <c r="X414" t="s">
        <v>1406</v>
      </c>
      <c r="Y414">
        <v>112</v>
      </c>
      <c r="Z414">
        <v>97</v>
      </c>
      <c r="AA414" t="s">
        <v>40</v>
      </c>
      <c r="AB414">
        <v>59</v>
      </c>
      <c r="AC414" s="23">
        <v>1.44</v>
      </c>
      <c r="AD414" t="str">
        <f>IF(AND('CVD Dataset'!AA414="Normal",'CVD Dataset'!AB414&gt;AVERAGE('CVD Dataset'!AB:AB),'CVD Dataset'!AF414="High"),"High Lipid Category","Normal Category")</f>
        <v>Normal Category</v>
      </c>
      <c r="AE414">
        <v>15.96</v>
      </c>
      <c r="AF414" t="s">
        <v>32</v>
      </c>
      <c r="AG414">
        <v>0</v>
      </c>
      <c r="AH414" t="s">
        <v>1379</v>
      </c>
      <c r="AI414">
        <f t="shared" si="27"/>
        <v>1</v>
      </c>
      <c r="AJ414" t="s">
        <v>1391</v>
      </c>
    </row>
    <row r="415" spans="1:36" x14ac:dyDescent="0.3">
      <c r="A415" t="s">
        <v>33</v>
      </c>
      <c r="B415">
        <v>32</v>
      </c>
      <c r="C415">
        <v>98.5</v>
      </c>
      <c r="D415">
        <v>1.72</v>
      </c>
      <c r="E415">
        <v>33.299999999999997</v>
      </c>
      <c r="F415">
        <f t="shared" si="25"/>
        <v>33.295024337479724</v>
      </c>
      <c r="G415">
        <f t="shared" si="28"/>
        <v>0</v>
      </c>
      <c r="H415" t="s">
        <v>1399</v>
      </c>
      <c r="I415">
        <v>87.6</v>
      </c>
      <c r="J415" t="s">
        <v>179</v>
      </c>
      <c r="K415" s="24">
        <v>127</v>
      </c>
      <c r="L415" s="24">
        <v>77</v>
      </c>
      <c r="M415">
        <v>245</v>
      </c>
      <c r="N415" t="s">
        <v>1432</v>
      </c>
      <c r="O415">
        <v>60</v>
      </c>
      <c r="P415">
        <v>131</v>
      </c>
      <c r="Q415" t="s">
        <v>25</v>
      </c>
      <c r="R415" t="s">
        <v>25</v>
      </c>
      <c r="S415" t="s">
        <v>39</v>
      </c>
      <c r="T415" t="s">
        <v>24</v>
      </c>
      <c r="U415">
        <f t="shared" si="26"/>
        <v>2</v>
      </c>
      <c r="V415">
        <v>172</v>
      </c>
      <c r="W415">
        <v>0.50900000000000001</v>
      </c>
      <c r="X415" t="s">
        <v>1406</v>
      </c>
      <c r="Y415">
        <v>127</v>
      </c>
      <c r="Z415">
        <v>77</v>
      </c>
      <c r="AA415" t="s">
        <v>27</v>
      </c>
      <c r="AB415">
        <v>155</v>
      </c>
      <c r="AC415" s="23">
        <v>2.58</v>
      </c>
      <c r="AD415" t="str">
        <f>IF(AND('CVD Dataset'!AA415="Normal",'CVD Dataset'!AB415&gt;AVERAGE('CVD Dataset'!AB:AB),'CVD Dataset'!AF415="High"),"High Lipid Category","Normal Category")</f>
        <v>Normal Category</v>
      </c>
      <c r="AE415">
        <v>19.91</v>
      </c>
      <c r="AF415" t="s">
        <v>32</v>
      </c>
      <c r="AG415">
        <v>1</v>
      </c>
      <c r="AH415" t="s">
        <v>1379</v>
      </c>
      <c r="AI415">
        <f t="shared" si="27"/>
        <v>1</v>
      </c>
      <c r="AJ415" t="s">
        <v>1391</v>
      </c>
    </row>
    <row r="416" spans="1:36" x14ac:dyDescent="0.3">
      <c r="A416" t="s">
        <v>33</v>
      </c>
      <c r="B416">
        <v>32</v>
      </c>
      <c r="C416">
        <v>68.099999999999994</v>
      </c>
      <c r="D416">
        <v>1.88</v>
      </c>
      <c r="E416">
        <v>19.3</v>
      </c>
      <c r="F416">
        <f t="shared" si="25"/>
        <v>19.267768220914441</v>
      </c>
      <c r="G416">
        <f t="shared" si="28"/>
        <v>0</v>
      </c>
      <c r="H416" t="s">
        <v>1398</v>
      </c>
      <c r="I416">
        <v>70.900000000000006</v>
      </c>
      <c r="J416" t="s">
        <v>178</v>
      </c>
      <c r="K416" s="24">
        <v>145</v>
      </c>
      <c r="L416" s="24">
        <v>96</v>
      </c>
      <c r="M416">
        <v>285</v>
      </c>
      <c r="N416" t="s">
        <v>1432</v>
      </c>
      <c r="O416">
        <v>32</v>
      </c>
      <c r="P416">
        <v>77</v>
      </c>
      <c r="Q416" t="s">
        <v>24</v>
      </c>
      <c r="R416" t="s">
        <v>25</v>
      </c>
      <c r="S416" t="s">
        <v>39</v>
      </c>
      <c r="T416" t="s">
        <v>25</v>
      </c>
      <c r="U416">
        <f t="shared" si="26"/>
        <v>2</v>
      </c>
      <c r="V416">
        <v>188</v>
      </c>
      <c r="W416">
        <v>0.377</v>
      </c>
      <c r="X416" t="s">
        <v>1408</v>
      </c>
      <c r="Y416">
        <v>145</v>
      </c>
      <c r="Z416">
        <v>96</v>
      </c>
      <c r="AA416" t="s">
        <v>40</v>
      </c>
      <c r="AB416">
        <v>223</v>
      </c>
      <c r="AC416" s="23">
        <v>6.97</v>
      </c>
      <c r="AD416" t="str">
        <f>IF(AND('CVD Dataset'!AA416="Normal",'CVD Dataset'!AB416&gt;AVERAGE('CVD Dataset'!AB:AB),'CVD Dataset'!AF416="High"),"High Lipid Category","Normal Category")</f>
        <v>Normal Category</v>
      </c>
      <c r="AE416">
        <v>18.809999999999999</v>
      </c>
      <c r="AF416" t="s">
        <v>32</v>
      </c>
      <c r="AG416">
        <v>0</v>
      </c>
      <c r="AH416" t="s">
        <v>1379</v>
      </c>
      <c r="AI416">
        <f t="shared" si="27"/>
        <v>1</v>
      </c>
      <c r="AJ416" t="s">
        <v>1391</v>
      </c>
    </row>
    <row r="417" spans="1:36" x14ac:dyDescent="0.3">
      <c r="A417" t="s">
        <v>22</v>
      </c>
      <c r="B417">
        <v>32</v>
      </c>
      <c r="C417">
        <v>54.2</v>
      </c>
      <c r="D417">
        <v>1.85</v>
      </c>
      <c r="E417">
        <v>15.8</v>
      </c>
      <c r="F417">
        <f t="shared" si="25"/>
        <v>15.836376917457997</v>
      </c>
      <c r="G417">
        <f t="shared" si="28"/>
        <v>0</v>
      </c>
      <c r="H417" t="s">
        <v>1401</v>
      </c>
      <c r="I417">
        <v>89.8</v>
      </c>
      <c r="J417" t="s">
        <v>114</v>
      </c>
      <c r="K417" s="24">
        <v>94</v>
      </c>
      <c r="L417" s="24">
        <v>78</v>
      </c>
      <c r="M417">
        <v>223</v>
      </c>
      <c r="N417" t="s">
        <v>1432</v>
      </c>
      <c r="O417">
        <v>78</v>
      </c>
      <c r="P417">
        <v>71</v>
      </c>
      <c r="Q417" t="s">
        <v>24</v>
      </c>
      <c r="R417" t="s">
        <v>25</v>
      </c>
      <c r="S417" t="s">
        <v>39</v>
      </c>
      <c r="T417" t="s">
        <v>24</v>
      </c>
      <c r="U417">
        <f t="shared" si="26"/>
        <v>1</v>
      </c>
      <c r="V417">
        <v>185</v>
      </c>
      <c r="W417">
        <v>0.48499999999999999</v>
      </c>
      <c r="X417" t="s">
        <v>1406</v>
      </c>
      <c r="Y417">
        <v>94</v>
      </c>
      <c r="Z417">
        <v>78</v>
      </c>
      <c r="AA417" t="s">
        <v>35</v>
      </c>
      <c r="AB417">
        <v>115</v>
      </c>
      <c r="AC417" s="23">
        <v>1.47</v>
      </c>
      <c r="AD417" t="str">
        <f>IF(AND('CVD Dataset'!AA417="Normal",'CVD Dataset'!AB417&gt;AVERAGE('CVD Dataset'!AB:AB),'CVD Dataset'!AF417="High"),"High Lipid Category","Normal Category")</f>
        <v>Normal Category</v>
      </c>
      <c r="AE417">
        <v>14.32</v>
      </c>
      <c r="AF417" t="s">
        <v>28</v>
      </c>
      <c r="AG417">
        <v>0</v>
      </c>
      <c r="AH417" t="s">
        <v>1380</v>
      </c>
      <c r="AI417">
        <f t="shared" si="27"/>
        <v>0</v>
      </c>
      <c r="AJ417" t="s">
        <v>1391</v>
      </c>
    </row>
    <row r="418" spans="1:36" x14ac:dyDescent="0.3">
      <c r="A418" t="s">
        <v>33</v>
      </c>
      <c r="B418">
        <v>47</v>
      </c>
      <c r="C418">
        <v>89.7</v>
      </c>
      <c r="D418">
        <v>1.6</v>
      </c>
      <c r="E418">
        <v>35</v>
      </c>
      <c r="F418">
        <f t="shared" si="25"/>
        <v>35.039062499999993</v>
      </c>
      <c r="G418">
        <f t="shared" si="28"/>
        <v>0</v>
      </c>
      <c r="H418" t="s">
        <v>1399</v>
      </c>
      <c r="I418">
        <v>95.5</v>
      </c>
      <c r="J418" t="s">
        <v>415</v>
      </c>
      <c r="K418" s="24">
        <v>133</v>
      </c>
      <c r="L418" s="24">
        <v>64</v>
      </c>
      <c r="M418">
        <v>172</v>
      </c>
      <c r="N418" t="s">
        <v>1433</v>
      </c>
      <c r="O418">
        <v>45</v>
      </c>
      <c r="P418">
        <v>142</v>
      </c>
      <c r="Q418" t="s">
        <v>24</v>
      </c>
      <c r="R418" t="s">
        <v>24</v>
      </c>
      <c r="S418" t="s">
        <v>26</v>
      </c>
      <c r="T418" t="s">
        <v>25</v>
      </c>
      <c r="U418">
        <f t="shared" si="26"/>
        <v>2</v>
      </c>
      <c r="V418">
        <v>160</v>
      </c>
      <c r="W418">
        <v>0.59699999999999998</v>
      </c>
      <c r="X418" t="s">
        <v>1409</v>
      </c>
      <c r="Y418">
        <v>133</v>
      </c>
      <c r="Z418">
        <v>64</v>
      </c>
      <c r="AA418" t="s">
        <v>31</v>
      </c>
      <c r="AB418">
        <v>97</v>
      </c>
      <c r="AC418" s="23">
        <v>2.16</v>
      </c>
      <c r="AD418" t="str">
        <f>IF(AND('CVD Dataset'!AA418="Normal",'CVD Dataset'!AB418&gt;AVERAGE('CVD Dataset'!AB:AB),'CVD Dataset'!AF418="High"),"High Lipid Category","Normal Category")</f>
        <v>Normal Category</v>
      </c>
      <c r="AE418">
        <v>17.09</v>
      </c>
      <c r="AF418" t="s">
        <v>32</v>
      </c>
      <c r="AG418">
        <v>0</v>
      </c>
      <c r="AH418" t="s">
        <v>1379</v>
      </c>
      <c r="AI418">
        <f t="shared" si="27"/>
        <v>1</v>
      </c>
      <c r="AJ418" t="s">
        <v>1391</v>
      </c>
    </row>
    <row r="419" spans="1:36" x14ac:dyDescent="0.3">
      <c r="A419" t="s">
        <v>22</v>
      </c>
      <c r="B419">
        <v>37</v>
      </c>
      <c r="C419">
        <v>85.1</v>
      </c>
      <c r="D419">
        <v>1.73</v>
      </c>
      <c r="E419">
        <v>28.4</v>
      </c>
      <c r="F419">
        <f t="shared" si="25"/>
        <v>28.433960372882485</v>
      </c>
      <c r="G419">
        <f t="shared" si="28"/>
        <v>0</v>
      </c>
      <c r="H419" t="s">
        <v>1400</v>
      </c>
      <c r="I419">
        <v>75.099999999999994</v>
      </c>
      <c r="J419" t="s">
        <v>416</v>
      </c>
      <c r="K419" s="24">
        <v>150</v>
      </c>
      <c r="L419" s="24">
        <v>64</v>
      </c>
      <c r="M419">
        <v>292</v>
      </c>
      <c r="N419" t="s">
        <v>1432</v>
      </c>
      <c r="O419">
        <v>59</v>
      </c>
      <c r="P419">
        <v>89</v>
      </c>
      <c r="Q419" t="s">
        <v>25</v>
      </c>
      <c r="R419" t="s">
        <v>24</v>
      </c>
      <c r="S419" t="s">
        <v>39</v>
      </c>
      <c r="T419" t="s">
        <v>25</v>
      </c>
      <c r="U419">
        <f t="shared" si="26"/>
        <v>2</v>
      </c>
      <c r="V419">
        <v>173</v>
      </c>
      <c r="W419">
        <v>0.434</v>
      </c>
      <c r="X419" t="s">
        <v>1408</v>
      </c>
      <c r="Y419">
        <v>150</v>
      </c>
      <c r="Z419">
        <v>64</v>
      </c>
      <c r="AA419" t="s">
        <v>40</v>
      </c>
      <c r="AB419">
        <v>203</v>
      </c>
      <c r="AC419" s="23">
        <v>3.44</v>
      </c>
      <c r="AD419" t="str">
        <f>IF(AND('CVD Dataset'!AA419="Normal",'CVD Dataset'!AB419&gt;AVERAGE('CVD Dataset'!AB:AB),'CVD Dataset'!AF419="High"),"High Lipid Category","Normal Category")</f>
        <v>Normal Category</v>
      </c>
      <c r="AE419">
        <v>19.02</v>
      </c>
      <c r="AF419" t="s">
        <v>32</v>
      </c>
      <c r="AG419">
        <v>0</v>
      </c>
      <c r="AH419" t="s">
        <v>1379</v>
      </c>
      <c r="AI419">
        <f t="shared" si="27"/>
        <v>1</v>
      </c>
      <c r="AJ419" t="s">
        <v>1391</v>
      </c>
    </row>
    <row r="420" spans="1:36" x14ac:dyDescent="0.3">
      <c r="A420" t="s">
        <v>22</v>
      </c>
      <c r="B420">
        <v>33</v>
      </c>
      <c r="C420">
        <v>94.7</v>
      </c>
      <c r="D420">
        <v>1.82</v>
      </c>
      <c r="E420">
        <v>28.6</v>
      </c>
      <c r="F420">
        <f t="shared" si="25"/>
        <v>28.589542325806061</v>
      </c>
      <c r="G420">
        <f t="shared" si="28"/>
        <v>0</v>
      </c>
      <c r="H420" t="s">
        <v>1400</v>
      </c>
      <c r="I420">
        <v>76.7</v>
      </c>
      <c r="J420" t="s">
        <v>56</v>
      </c>
      <c r="K420" s="24">
        <v>132</v>
      </c>
      <c r="L420" s="24">
        <v>92</v>
      </c>
      <c r="M420">
        <v>243</v>
      </c>
      <c r="N420" t="s">
        <v>1432</v>
      </c>
      <c r="O420">
        <v>34</v>
      </c>
      <c r="P420">
        <v>121</v>
      </c>
      <c r="Q420" t="s">
        <v>25</v>
      </c>
      <c r="R420" t="s">
        <v>24</v>
      </c>
      <c r="S420" t="s">
        <v>39</v>
      </c>
      <c r="T420" t="s">
        <v>25</v>
      </c>
      <c r="U420">
        <f t="shared" si="26"/>
        <v>2</v>
      </c>
      <c r="V420">
        <v>182</v>
      </c>
      <c r="W420">
        <v>0.42099999999999999</v>
      </c>
      <c r="X420" t="s">
        <v>1408</v>
      </c>
      <c r="Y420">
        <v>132</v>
      </c>
      <c r="Z420">
        <v>92</v>
      </c>
      <c r="AA420" t="s">
        <v>31</v>
      </c>
      <c r="AB420">
        <v>179</v>
      </c>
      <c r="AC420" s="23">
        <v>5.26</v>
      </c>
      <c r="AD420" t="str">
        <f>IF(AND('CVD Dataset'!AA420="Normal",'CVD Dataset'!AB420&gt;AVERAGE('CVD Dataset'!AB:AB),'CVD Dataset'!AF420="High"),"High Lipid Category","Normal Category")</f>
        <v>Normal Category</v>
      </c>
      <c r="AE420">
        <v>17.18</v>
      </c>
      <c r="AF420" t="s">
        <v>32</v>
      </c>
      <c r="AG420">
        <v>0</v>
      </c>
      <c r="AH420" t="s">
        <v>1379</v>
      </c>
      <c r="AI420">
        <f t="shared" si="27"/>
        <v>1</v>
      </c>
      <c r="AJ420" t="s">
        <v>1391</v>
      </c>
    </row>
    <row r="421" spans="1:36" x14ac:dyDescent="0.3">
      <c r="A421" t="s">
        <v>22</v>
      </c>
      <c r="B421">
        <v>47</v>
      </c>
      <c r="C421">
        <v>110.2</v>
      </c>
      <c r="D421">
        <v>1.75</v>
      </c>
      <c r="E421">
        <v>36</v>
      </c>
      <c r="F421">
        <f t="shared" si="25"/>
        <v>35.983673469387753</v>
      </c>
      <c r="G421">
        <f t="shared" si="28"/>
        <v>0</v>
      </c>
      <c r="H421" t="s">
        <v>1399</v>
      </c>
      <c r="I421">
        <v>93.4</v>
      </c>
      <c r="J421" t="s">
        <v>229</v>
      </c>
      <c r="K421" s="24">
        <v>143</v>
      </c>
      <c r="L421" s="24">
        <v>89</v>
      </c>
      <c r="M421">
        <v>269</v>
      </c>
      <c r="N421" t="s">
        <v>1432</v>
      </c>
      <c r="O421">
        <v>73</v>
      </c>
      <c r="P421">
        <v>77</v>
      </c>
      <c r="Q421" t="s">
        <v>24</v>
      </c>
      <c r="R421" t="s">
        <v>25</v>
      </c>
      <c r="S421" t="s">
        <v>26</v>
      </c>
      <c r="T421" t="s">
        <v>24</v>
      </c>
      <c r="U421">
        <f t="shared" si="26"/>
        <v>2</v>
      </c>
      <c r="V421">
        <v>175</v>
      </c>
      <c r="W421">
        <v>0.53400000000000003</v>
      </c>
      <c r="X421" t="s">
        <v>1407</v>
      </c>
      <c r="Y421">
        <v>143</v>
      </c>
      <c r="Z421">
        <v>89</v>
      </c>
      <c r="AA421" t="s">
        <v>31</v>
      </c>
      <c r="AC421" s="23">
        <v>0</v>
      </c>
      <c r="AD421" t="str">
        <f>IF(AND('CVD Dataset'!AA421="Normal",'CVD Dataset'!AB421&gt;AVERAGE('CVD Dataset'!AB:AB),'CVD Dataset'!AF421="High"),"High Lipid Category","Normal Category")</f>
        <v>Normal Category</v>
      </c>
      <c r="AE421">
        <v>21.73</v>
      </c>
      <c r="AF421" t="s">
        <v>32</v>
      </c>
      <c r="AG421">
        <v>1</v>
      </c>
      <c r="AH421" t="s">
        <v>1379</v>
      </c>
      <c r="AI421">
        <f t="shared" si="27"/>
        <v>1</v>
      </c>
      <c r="AJ421" t="s">
        <v>1391</v>
      </c>
    </row>
    <row r="422" spans="1:36" x14ac:dyDescent="0.3">
      <c r="A422" t="s">
        <v>22</v>
      </c>
      <c r="B422">
        <v>58</v>
      </c>
      <c r="C422">
        <v>91.2</v>
      </c>
      <c r="E422">
        <v>33.5</v>
      </c>
      <c r="F422" t="str">
        <f t="shared" si="25"/>
        <v/>
      </c>
      <c r="G422" t="str">
        <f t="shared" si="28"/>
        <v/>
      </c>
      <c r="H422" t="s">
        <v>1399</v>
      </c>
      <c r="I422">
        <v>76.400000000000006</v>
      </c>
      <c r="J422" t="s">
        <v>417</v>
      </c>
      <c r="K422" s="24">
        <v>98</v>
      </c>
      <c r="L422" s="24">
        <v>88</v>
      </c>
      <c r="M422">
        <v>189</v>
      </c>
      <c r="N422" t="s">
        <v>1432</v>
      </c>
      <c r="O422">
        <v>45</v>
      </c>
      <c r="P422">
        <v>141</v>
      </c>
      <c r="Q422" t="s">
        <v>24</v>
      </c>
      <c r="R422" t="s">
        <v>25</v>
      </c>
      <c r="S422" t="s">
        <v>26</v>
      </c>
      <c r="T422" t="s">
        <v>25</v>
      </c>
      <c r="U422">
        <f t="shared" si="26"/>
        <v>3</v>
      </c>
      <c r="V422">
        <v>165</v>
      </c>
      <c r="W422">
        <v>0.46300000000000002</v>
      </c>
      <c r="X422" t="s">
        <v>1406</v>
      </c>
      <c r="Y422">
        <v>98</v>
      </c>
      <c r="Z422">
        <v>88</v>
      </c>
      <c r="AA422" t="s">
        <v>31</v>
      </c>
      <c r="AB422">
        <v>114</v>
      </c>
      <c r="AC422" s="23">
        <v>2.5299999999999998</v>
      </c>
      <c r="AD422" t="str">
        <f>IF(AND('CVD Dataset'!AA422="Normal",'CVD Dataset'!AB422&gt;AVERAGE('CVD Dataset'!AB:AB),'CVD Dataset'!AF422="High"),"High Lipid Category","Normal Category")</f>
        <v>Normal Category</v>
      </c>
      <c r="AE422">
        <v>17.38</v>
      </c>
      <c r="AF422" t="s">
        <v>32</v>
      </c>
      <c r="AG422">
        <v>0</v>
      </c>
      <c r="AH422" t="s">
        <v>1379</v>
      </c>
      <c r="AI422">
        <f t="shared" si="27"/>
        <v>1</v>
      </c>
      <c r="AJ422" t="s">
        <v>1392</v>
      </c>
    </row>
    <row r="423" spans="1:36" x14ac:dyDescent="0.3">
      <c r="A423" t="s">
        <v>33</v>
      </c>
      <c r="B423">
        <v>42</v>
      </c>
      <c r="C423">
        <v>61.7</v>
      </c>
      <c r="D423">
        <v>1.86</v>
      </c>
      <c r="E423">
        <v>17.8</v>
      </c>
      <c r="F423">
        <f t="shared" si="25"/>
        <v>17.834431726211122</v>
      </c>
      <c r="G423">
        <f t="shared" si="28"/>
        <v>0</v>
      </c>
      <c r="H423" t="s">
        <v>1401</v>
      </c>
      <c r="I423">
        <v>74.400000000000006</v>
      </c>
      <c r="J423" t="s">
        <v>418</v>
      </c>
      <c r="K423" s="24">
        <v>128</v>
      </c>
      <c r="L423" s="24">
        <v>64</v>
      </c>
      <c r="M423">
        <v>181</v>
      </c>
      <c r="N423" t="s">
        <v>1432</v>
      </c>
      <c r="O423">
        <v>46</v>
      </c>
      <c r="P423">
        <v>71</v>
      </c>
      <c r="Q423" t="s">
        <v>24</v>
      </c>
      <c r="R423" t="s">
        <v>25</v>
      </c>
      <c r="S423" t="s">
        <v>39</v>
      </c>
      <c r="T423" t="s">
        <v>24</v>
      </c>
      <c r="U423">
        <f t="shared" si="26"/>
        <v>1</v>
      </c>
      <c r="V423">
        <v>186</v>
      </c>
      <c r="W423">
        <v>0.4</v>
      </c>
      <c r="X423" t="s">
        <v>1408</v>
      </c>
      <c r="Y423">
        <v>128</v>
      </c>
      <c r="Z423">
        <v>64</v>
      </c>
      <c r="AA423" t="s">
        <v>27</v>
      </c>
      <c r="AB423">
        <v>105</v>
      </c>
      <c r="AC423" s="23">
        <v>2.2799999999999998</v>
      </c>
      <c r="AD423" t="str">
        <f>IF(AND('CVD Dataset'!AA423="Normal",'CVD Dataset'!AB423&gt;AVERAGE('CVD Dataset'!AB:AB),'CVD Dataset'!AF423="High"),"High Lipid Category","Normal Category")</f>
        <v>Normal Category</v>
      </c>
      <c r="AF423" t="s">
        <v>54</v>
      </c>
      <c r="AG423">
        <v>0</v>
      </c>
      <c r="AH423" t="s">
        <v>1380</v>
      </c>
      <c r="AI423">
        <f t="shared" si="27"/>
        <v>0</v>
      </c>
      <c r="AJ423" t="s">
        <v>1391</v>
      </c>
    </row>
    <row r="424" spans="1:36" x14ac:dyDescent="0.3">
      <c r="A424" t="s">
        <v>22</v>
      </c>
      <c r="B424">
        <v>59</v>
      </c>
      <c r="C424">
        <v>87</v>
      </c>
      <c r="D424">
        <v>1.62</v>
      </c>
      <c r="E424">
        <v>33.200000000000003</v>
      </c>
      <c r="F424">
        <f t="shared" si="25"/>
        <v>33.150434385002278</v>
      </c>
      <c r="G424">
        <f t="shared" si="28"/>
        <v>0</v>
      </c>
      <c r="H424" t="s">
        <v>1399</v>
      </c>
      <c r="I424">
        <v>109.8</v>
      </c>
      <c r="J424" t="s">
        <v>419</v>
      </c>
      <c r="K424" s="24">
        <v>142</v>
      </c>
      <c r="L424" s="24">
        <v>87</v>
      </c>
      <c r="M424">
        <v>120</v>
      </c>
      <c r="N424" t="s">
        <v>1434</v>
      </c>
      <c r="O424">
        <v>78</v>
      </c>
      <c r="P424">
        <v>85</v>
      </c>
      <c r="Q424" t="s">
        <v>25</v>
      </c>
      <c r="R424" t="s">
        <v>24</v>
      </c>
      <c r="S424" t="s">
        <v>30</v>
      </c>
      <c r="T424" t="s">
        <v>25</v>
      </c>
      <c r="U424">
        <f t="shared" si="26"/>
        <v>2</v>
      </c>
      <c r="V424">
        <v>162</v>
      </c>
      <c r="W424">
        <v>0.67800000000000005</v>
      </c>
      <c r="X424" t="s">
        <v>1409</v>
      </c>
      <c r="Z424">
        <v>87</v>
      </c>
      <c r="AA424" t="s">
        <v>31</v>
      </c>
      <c r="AB424">
        <v>12</v>
      </c>
      <c r="AC424" s="23">
        <v>0.15</v>
      </c>
      <c r="AD424" t="str">
        <f>IF(AND('CVD Dataset'!AA424="Normal",'CVD Dataset'!AB424&gt;AVERAGE('CVD Dataset'!AB:AB),'CVD Dataset'!AF424="High"),"High Lipid Category","Normal Category")</f>
        <v>Normal Category</v>
      </c>
      <c r="AE424">
        <v>16.14</v>
      </c>
      <c r="AF424" t="s">
        <v>32</v>
      </c>
      <c r="AG424">
        <v>1</v>
      </c>
      <c r="AH424" t="s">
        <v>1379</v>
      </c>
      <c r="AI424">
        <f t="shared" si="27"/>
        <v>1</v>
      </c>
      <c r="AJ424" t="s">
        <v>1391</v>
      </c>
    </row>
    <row r="425" spans="1:36" x14ac:dyDescent="0.3">
      <c r="A425" t="s">
        <v>33</v>
      </c>
      <c r="B425">
        <v>56</v>
      </c>
      <c r="C425">
        <v>77</v>
      </c>
      <c r="D425">
        <v>1.61</v>
      </c>
      <c r="E425">
        <v>29.7</v>
      </c>
      <c r="F425">
        <f t="shared" si="25"/>
        <v>29.705644072373747</v>
      </c>
      <c r="G425">
        <f t="shared" si="28"/>
        <v>0</v>
      </c>
      <c r="H425" t="s">
        <v>1400</v>
      </c>
      <c r="I425">
        <v>99.7</v>
      </c>
      <c r="J425" t="s">
        <v>420</v>
      </c>
      <c r="K425" s="24">
        <v>96</v>
      </c>
      <c r="L425" s="24">
        <v>85</v>
      </c>
      <c r="M425">
        <v>220</v>
      </c>
      <c r="N425" t="s">
        <v>1432</v>
      </c>
      <c r="O425">
        <v>55</v>
      </c>
      <c r="P425">
        <v>105</v>
      </c>
      <c r="Q425" t="s">
        <v>25</v>
      </c>
      <c r="R425" t="s">
        <v>24</v>
      </c>
      <c r="S425" t="s">
        <v>26</v>
      </c>
      <c r="T425" t="s">
        <v>25</v>
      </c>
      <c r="U425">
        <f t="shared" si="26"/>
        <v>3</v>
      </c>
      <c r="V425">
        <v>161</v>
      </c>
      <c r="W425">
        <v>0.61899999999999999</v>
      </c>
      <c r="X425" t="s">
        <v>1409</v>
      </c>
      <c r="Y425">
        <v>96</v>
      </c>
      <c r="Z425">
        <v>85</v>
      </c>
      <c r="AA425" t="s">
        <v>31</v>
      </c>
      <c r="AB425">
        <v>135</v>
      </c>
      <c r="AC425" s="23">
        <v>2.4500000000000002</v>
      </c>
      <c r="AD425" t="str">
        <f>IF(AND('CVD Dataset'!AA425="Normal",'CVD Dataset'!AB425&gt;AVERAGE('CVD Dataset'!AB:AB),'CVD Dataset'!AF425="High"),"High Lipid Category","Normal Category")</f>
        <v>Normal Category</v>
      </c>
      <c r="AE425">
        <v>15.14</v>
      </c>
      <c r="AF425" t="s">
        <v>32</v>
      </c>
      <c r="AG425">
        <v>0</v>
      </c>
      <c r="AH425" t="s">
        <v>1379</v>
      </c>
      <c r="AI425">
        <f t="shared" si="27"/>
        <v>1</v>
      </c>
      <c r="AJ425" t="s">
        <v>1391</v>
      </c>
    </row>
    <row r="426" spans="1:36" x14ac:dyDescent="0.3">
      <c r="A426" t="s">
        <v>33</v>
      </c>
      <c r="B426">
        <v>33</v>
      </c>
      <c r="C426">
        <v>79.8</v>
      </c>
      <c r="D426">
        <v>1.67</v>
      </c>
      <c r="E426">
        <v>28.6</v>
      </c>
      <c r="F426">
        <f t="shared" si="25"/>
        <v>28.613431818996737</v>
      </c>
      <c r="G426">
        <f t="shared" si="28"/>
        <v>0</v>
      </c>
      <c r="H426" t="s">
        <v>1400</v>
      </c>
      <c r="I426">
        <v>93.5</v>
      </c>
      <c r="J426" t="s">
        <v>421</v>
      </c>
      <c r="K426" s="24">
        <v>104</v>
      </c>
      <c r="L426" s="24">
        <v>84</v>
      </c>
      <c r="M426">
        <v>174</v>
      </c>
      <c r="N426" t="s">
        <v>1433</v>
      </c>
      <c r="O426">
        <v>56</v>
      </c>
      <c r="P426">
        <v>119</v>
      </c>
      <c r="Q426" t="s">
        <v>25</v>
      </c>
      <c r="R426" t="s">
        <v>25</v>
      </c>
      <c r="S426" t="s">
        <v>39</v>
      </c>
      <c r="T426" t="s">
        <v>25</v>
      </c>
      <c r="U426">
        <f t="shared" si="26"/>
        <v>3</v>
      </c>
      <c r="V426">
        <v>167</v>
      </c>
      <c r="W426">
        <v>0.56000000000000005</v>
      </c>
      <c r="X426" t="s">
        <v>1407</v>
      </c>
      <c r="Y426">
        <v>104</v>
      </c>
      <c r="Z426">
        <v>84</v>
      </c>
      <c r="AA426" t="s">
        <v>31</v>
      </c>
      <c r="AB426">
        <v>88</v>
      </c>
      <c r="AC426" s="23">
        <v>1.57</v>
      </c>
      <c r="AD426" t="str">
        <f>IF(AND('CVD Dataset'!AA426="Normal",'CVD Dataset'!AB426&gt;AVERAGE('CVD Dataset'!AB:AB),'CVD Dataset'!AF426="High"),"High Lipid Category","Normal Category")</f>
        <v>Normal Category</v>
      </c>
      <c r="AE426">
        <v>16.399999999999999</v>
      </c>
      <c r="AF426" t="s">
        <v>32</v>
      </c>
      <c r="AG426">
        <v>0</v>
      </c>
      <c r="AH426" t="s">
        <v>1379</v>
      </c>
      <c r="AI426">
        <f t="shared" si="27"/>
        <v>1</v>
      </c>
      <c r="AJ426" t="s">
        <v>1391</v>
      </c>
    </row>
    <row r="427" spans="1:36" x14ac:dyDescent="0.3">
      <c r="A427" t="s">
        <v>33</v>
      </c>
      <c r="B427">
        <v>56</v>
      </c>
      <c r="C427">
        <v>70.400000000000006</v>
      </c>
      <c r="D427">
        <v>1.69</v>
      </c>
      <c r="E427">
        <v>24.6</v>
      </c>
      <c r="F427">
        <f t="shared" si="25"/>
        <v>24.648996883862615</v>
      </c>
      <c r="G427">
        <f t="shared" si="28"/>
        <v>0</v>
      </c>
      <c r="H427" t="s">
        <v>1398</v>
      </c>
      <c r="I427">
        <v>75.900000000000006</v>
      </c>
      <c r="J427" t="s">
        <v>422</v>
      </c>
      <c r="K427" s="24">
        <v>132</v>
      </c>
      <c r="L427" s="24">
        <v>87</v>
      </c>
      <c r="M427">
        <v>113</v>
      </c>
      <c r="N427" t="s">
        <v>1434</v>
      </c>
      <c r="O427">
        <v>33</v>
      </c>
      <c r="P427">
        <v>130</v>
      </c>
      <c r="Q427" t="s">
        <v>24</v>
      </c>
      <c r="R427" t="s">
        <v>24</v>
      </c>
      <c r="S427" t="s">
        <v>26</v>
      </c>
      <c r="T427" t="s">
        <v>25</v>
      </c>
      <c r="U427">
        <f t="shared" si="26"/>
        <v>2</v>
      </c>
      <c r="W427">
        <v>0.44900000000000001</v>
      </c>
      <c r="X427" t="s">
        <v>1408</v>
      </c>
      <c r="Y427">
        <v>132</v>
      </c>
      <c r="Z427">
        <v>87</v>
      </c>
      <c r="AA427" t="s">
        <v>31</v>
      </c>
      <c r="AB427">
        <v>50</v>
      </c>
      <c r="AC427" s="23">
        <v>1.52</v>
      </c>
      <c r="AD427" t="str">
        <f>IF(AND('CVD Dataset'!AA427="Normal",'CVD Dataset'!AB427&gt;AVERAGE('CVD Dataset'!AB:AB),'CVD Dataset'!AF427="High"),"High Lipid Category","Normal Category")</f>
        <v>Normal Category</v>
      </c>
      <c r="AE427">
        <v>13.78</v>
      </c>
      <c r="AF427" t="s">
        <v>32</v>
      </c>
      <c r="AG427">
        <v>0</v>
      </c>
      <c r="AH427" t="s">
        <v>1379</v>
      </c>
      <c r="AI427">
        <f t="shared" si="27"/>
        <v>1</v>
      </c>
      <c r="AJ427" t="s">
        <v>1391</v>
      </c>
    </row>
    <row r="428" spans="1:36" x14ac:dyDescent="0.3">
      <c r="A428" t="s">
        <v>22</v>
      </c>
      <c r="B428">
        <v>44</v>
      </c>
      <c r="C428">
        <v>113.6</v>
      </c>
      <c r="D428">
        <v>1.85</v>
      </c>
      <c r="E428">
        <v>33.200000000000003</v>
      </c>
      <c r="F428">
        <f t="shared" si="25"/>
        <v>33.192111029948862</v>
      </c>
      <c r="G428">
        <f t="shared" si="28"/>
        <v>0</v>
      </c>
      <c r="H428" t="s">
        <v>1399</v>
      </c>
      <c r="I428">
        <v>107.6</v>
      </c>
      <c r="J428" t="s">
        <v>423</v>
      </c>
      <c r="K428" s="24">
        <v>131</v>
      </c>
      <c r="L428" s="24">
        <v>88</v>
      </c>
      <c r="M428">
        <v>123</v>
      </c>
      <c r="N428" t="s">
        <v>1434</v>
      </c>
      <c r="P428">
        <v>132</v>
      </c>
      <c r="Q428" t="s">
        <v>24</v>
      </c>
      <c r="R428" t="s">
        <v>25</v>
      </c>
      <c r="S428" t="s">
        <v>30</v>
      </c>
      <c r="T428" t="s">
        <v>25</v>
      </c>
      <c r="U428">
        <f t="shared" si="26"/>
        <v>2</v>
      </c>
      <c r="V428">
        <v>185</v>
      </c>
      <c r="W428">
        <v>0.58199999999999996</v>
      </c>
      <c r="X428" t="s">
        <v>1407</v>
      </c>
      <c r="Y428">
        <v>131</v>
      </c>
      <c r="Z428">
        <v>88</v>
      </c>
      <c r="AA428" t="s">
        <v>31</v>
      </c>
      <c r="AB428">
        <v>15</v>
      </c>
      <c r="AC428" s="23" t="s">
        <v>1410</v>
      </c>
      <c r="AD428" t="str">
        <f>IF(AND('CVD Dataset'!AA428="Normal",'CVD Dataset'!AB428&gt;AVERAGE('CVD Dataset'!AB:AB),'CVD Dataset'!AF428="High"),"High Lipid Category","Normal Category")</f>
        <v>Normal Category</v>
      </c>
      <c r="AE428">
        <v>17.649999999999999</v>
      </c>
      <c r="AF428" t="s">
        <v>28</v>
      </c>
      <c r="AG428">
        <v>0</v>
      </c>
      <c r="AH428" t="s">
        <v>1380</v>
      </c>
      <c r="AI428">
        <f t="shared" si="27"/>
        <v>0</v>
      </c>
      <c r="AJ428" t="s">
        <v>1391</v>
      </c>
    </row>
    <row r="429" spans="1:36" x14ac:dyDescent="0.3">
      <c r="A429" t="s">
        <v>33</v>
      </c>
      <c r="B429">
        <v>32</v>
      </c>
      <c r="C429">
        <v>108.8</v>
      </c>
      <c r="D429">
        <v>1.89</v>
      </c>
      <c r="E429">
        <v>30.5</v>
      </c>
      <c r="F429">
        <f t="shared" si="25"/>
        <v>30.45827384451723</v>
      </c>
      <c r="G429">
        <f t="shared" si="28"/>
        <v>0</v>
      </c>
      <c r="H429" t="s">
        <v>1399</v>
      </c>
      <c r="I429">
        <v>83</v>
      </c>
      <c r="J429" t="s">
        <v>424</v>
      </c>
      <c r="K429" s="24">
        <v>122</v>
      </c>
      <c r="L429" s="24">
        <v>75</v>
      </c>
      <c r="M429">
        <v>228</v>
      </c>
      <c r="N429" t="s">
        <v>1432</v>
      </c>
      <c r="O429">
        <v>46</v>
      </c>
      <c r="P429">
        <v>116</v>
      </c>
      <c r="Q429" t="s">
        <v>25</v>
      </c>
      <c r="R429" t="s">
        <v>25</v>
      </c>
      <c r="S429" t="s">
        <v>26</v>
      </c>
      <c r="T429" t="s">
        <v>25</v>
      </c>
      <c r="U429">
        <f t="shared" si="26"/>
        <v>4</v>
      </c>
      <c r="V429">
        <v>189</v>
      </c>
      <c r="W429">
        <v>0.439</v>
      </c>
      <c r="X429" t="s">
        <v>1408</v>
      </c>
      <c r="Y429">
        <v>122</v>
      </c>
      <c r="Z429">
        <v>75</v>
      </c>
      <c r="AA429" t="s">
        <v>27</v>
      </c>
      <c r="AB429">
        <v>152</v>
      </c>
      <c r="AC429" s="23">
        <v>3.3</v>
      </c>
      <c r="AD429" t="str">
        <f>IF(AND('CVD Dataset'!AA429="Normal",'CVD Dataset'!AB429&gt;AVERAGE('CVD Dataset'!AB:AB),'CVD Dataset'!AF429="High"),"High Lipid Category","Normal Category")</f>
        <v>Normal Category</v>
      </c>
      <c r="AE429">
        <v>18.760000000000002</v>
      </c>
      <c r="AF429" t="s">
        <v>32</v>
      </c>
      <c r="AG429">
        <v>0</v>
      </c>
      <c r="AH429" t="s">
        <v>1379</v>
      </c>
      <c r="AI429">
        <f t="shared" si="27"/>
        <v>1</v>
      </c>
      <c r="AJ429" t="s">
        <v>1391</v>
      </c>
    </row>
    <row r="430" spans="1:36" x14ac:dyDescent="0.3">
      <c r="A430" t="s">
        <v>33</v>
      </c>
      <c r="B430">
        <v>58</v>
      </c>
      <c r="C430">
        <v>118.1</v>
      </c>
      <c r="D430">
        <v>1.66</v>
      </c>
      <c r="E430">
        <v>42.9</v>
      </c>
      <c r="F430">
        <f t="shared" si="25"/>
        <v>42.858179706778927</v>
      </c>
      <c r="G430">
        <f t="shared" si="28"/>
        <v>0</v>
      </c>
      <c r="H430" t="s">
        <v>1399</v>
      </c>
      <c r="I430">
        <v>99.9</v>
      </c>
      <c r="J430" t="s">
        <v>197</v>
      </c>
      <c r="K430" s="24">
        <v>142</v>
      </c>
      <c r="L430" s="24">
        <v>79</v>
      </c>
      <c r="M430">
        <v>295</v>
      </c>
      <c r="N430" t="s">
        <v>1432</v>
      </c>
      <c r="O430">
        <v>60</v>
      </c>
      <c r="P430">
        <v>115</v>
      </c>
      <c r="Q430" t="s">
        <v>24</v>
      </c>
      <c r="R430" t="s">
        <v>25</v>
      </c>
      <c r="S430" t="s">
        <v>30</v>
      </c>
      <c r="T430" t="s">
        <v>25</v>
      </c>
      <c r="U430">
        <f t="shared" si="26"/>
        <v>2</v>
      </c>
      <c r="V430">
        <v>166</v>
      </c>
      <c r="W430">
        <v>0.60199999999999998</v>
      </c>
      <c r="X430" t="s">
        <v>1409</v>
      </c>
      <c r="Y430">
        <v>142</v>
      </c>
      <c r="Z430">
        <v>79</v>
      </c>
      <c r="AA430" t="s">
        <v>40</v>
      </c>
      <c r="AB430">
        <v>205</v>
      </c>
      <c r="AC430" s="23">
        <v>3.42</v>
      </c>
      <c r="AD430" t="str">
        <f>IF(AND('CVD Dataset'!AA430="Normal",'CVD Dataset'!AB430&gt;AVERAGE('CVD Dataset'!AB:AB),'CVD Dataset'!AF430="High"),"High Lipid Category","Normal Category")</f>
        <v>Normal Category</v>
      </c>
      <c r="AE430">
        <v>23.58</v>
      </c>
      <c r="AF430" t="s">
        <v>32</v>
      </c>
      <c r="AG430">
        <v>1</v>
      </c>
      <c r="AH430" t="s">
        <v>1379</v>
      </c>
      <c r="AI430">
        <f t="shared" si="27"/>
        <v>1</v>
      </c>
      <c r="AJ430" t="s">
        <v>1392</v>
      </c>
    </row>
    <row r="431" spans="1:36" x14ac:dyDescent="0.3">
      <c r="A431" t="s">
        <v>22</v>
      </c>
      <c r="B431">
        <v>60</v>
      </c>
      <c r="D431">
        <v>1.62</v>
      </c>
      <c r="F431">
        <f t="shared" si="25"/>
        <v>0</v>
      </c>
      <c r="G431">
        <f t="shared" si="28"/>
        <v>0</v>
      </c>
      <c r="H431" t="s">
        <v>1401</v>
      </c>
      <c r="I431">
        <v>87.2</v>
      </c>
      <c r="J431" t="s">
        <v>425</v>
      </c>
      <c r="K431" s="24">
        <v>141</v>
      </c>
      <c r="L431" s="24">
        <v>70</v>
      </c>
      <c r="M431">
        <v>174</v>
      </c>
      <c r="N431" t="s">
        <v>1433</v>
      </c>
      <c r="O431">
        <v>71</v>
      </c>
      <c r="P431">
        <v>94</v>
      </c>
      <c r="Q431" t="s">
        <v>24</v>
      </c>
      <c r="R431" t="s">
        <v>25</v>
      </c>
      <c r="S431" t="s">
        <v>26</v>
      </c>
      <c r="T431" t="s">
        <v>24</v>
      </c>
      <c r="U431">
        <f t="shared" si="26"/>
        <v>2</v>
      </c>
      <c r="V431">
        <v>162</v>
      </c>
      <c r="W431">
        <v>0.53800000000000003</v>
      </c>
      <c r="X431" t="s">
        <v>1407</v>
      </c>
      <c r="Y431">
        <v>141</v>
      </c>
      <c r="Z431">
        <v>70</v>
      </c>
      <c r="AA431" t="s">
        <v>40</v>
      </c>
      <c r="AB431">
        <v>73</v>
      </c>
      <c r="AC431" s="23">
        <v>1.03</v>
      </c>
      <c r="AD431" t="str">
        <f>IF(AND('CVD Dataset'!AA431="Normal",'CVD Dataset'!AB431&gt;AVERAGE('CVD Dataset'!AB:AB),'CVD Dataset'!AF431="High"),"High Lipid Category","Normal Category")</f>
        <v>Normal Category</v>
      </c>
      <c r="AE431">
        <v>17.89</v>
      </c>
      <c r="AF431" t="s">
        <v>32</v>
      </c>
      <c r="AG431">
        <v>1</v>
      </c>
      <c r="AH431" t="s">
        <v>1379</v>
      </c>
      <c r="AI431">
        <f t="shared" si="27"/>
        <v>1</v>
      </c>
      <c r="AJ431" t="s">
        <v>1392</v>
      </c>
    </row>
    <row r="432" spans="1:36" x14ac:dyDescent="0.3">
      <c r="A432" t="s">
        <v>33</v>
      </c>
      <c r="B432">
        <v>35</v>
      </c>
      <c r="C432">
        <v>105.7</v>
      </c>
      <c r="E432">
        <v>36.1</v>
      </c>
      <c r="F432" t="str">
        <f t="shared" si="25"/>
        <v/>
      </c>
      <c r="G432" t="str">
        <f t="shared" si="28"/>
        <v/>
      </c>
      <c r="H432" t="s">
        <v>1399</v>
      </c>
      <c r="I432">
        <v>78.8</v>
      </c>
      <c r="J432" t="s">
        <v>107</v>
      </c>
      <c r="K432" s="24">
        <v>101</v>
      </c>
      <c r="L432" s="24">
        <v>81</v>
      </c>
      <c r="M432">
        <v>232</v>
      </c>
      <c r="N432" t="s">
        <v>1432</v>
      </c>
      <c r="O432">
        <v>79</v>
      </c>
      <c r="P432">
        <v>82</v>
      </c>
      <c r="Q432" t="s">
        <v>24</v>
      </c>
      <c r="R432" t="s">
        <v>24</v>
      </c>
      <c r="S432" t="s">
        <v>39</v>
      </c>
      <c r="T432" t="s">
        <v>25</v>
      </c>
      <c r="U432">
        <f t="shared" si="26"/>
        <v>1</v>
      </c>
      <c r="V432">
        <v>171</v>
      </c>
      <c r="W432">
        <v>0.46100000000000002</v>
      </c>
      <c r="X432" t="s">
        <v>1406</v>
      </c>
      <c r="Y432">
        <v>101</v>
      </c>
      <c r="Z432">
        <v>81</v>
      </c>
      <c r="AA432" t="s">
        <v>31</v>
      </c>
      <c r="AB432">
        <v>123</v>
      </c>
      <c r="AC432" s="23">
        <v>1.56</v>
      </c>
      <c r="AD432" t="str">
        <f>IF(AND('CVD Dataset'!AA432="Normal",'CVD Dataset'!AB432&gt;AVERAGE('CVD Dataset'!AB:AB),'CVD Dataset'!AF432="High"),"High Lipid Category","Normal Category")</f>
        <v>Normal Category</v>
      </c>
      <c r="AE432">
        <v>16.91</v>
      </c>
      <c r="AF432" t="s">
        <v>28</v>
      </c>
      <c r="AG432">
        <v>0</v>
      </c>
      <c r="AH432" t="s">
        <v>1380</v>
      </c>
      <c r="AI432">
        <f t="shared" si="27"/>
        <v>0</v>
      </c>
      <c r="AJ432" t="s">
        <v>1391</v>
      </c>
    </row>
    <row r="433" spans="1:36" x14ac:dyDescent="0.3">
      <c r="A433" t="s">
        <v>33</v>
      </c>
      <c r="B433">
        <v>55</v>
      </c>
      <c r="C433">
        <v>67.400000000000006</v>
      </c>
      <c r="D433">
        <v>1.75</v>
      </c>
      <c r="E433">
        <v>22</v>
      </c>
      <c r="F433">
        <f t="shared" si="25"/>
        <v>22.008163265306123</v>
      </c>
      <c r="G433">
        <f t="shared" si="28"/>
        <v>0</v>
      </c>
      <c r="H433" t="s">
        <v>1398</v>
      </c>
      <c r="I433">
        <v>71.099999999999994</v>
      </c>
      <c r="J433" t="s">
        <v>426</v>
      </c>
      <c r="K433" s="24">
        <v>95</v>
      </c>
      <c r="L433" s="24">
        <v>97</v>
      </c>
      <c r="M433">
        <v>293</v>
      </c>
      <c r="N433" t="s">
        <v>1432</v>
      </c>
      <c r="O433">
        <v>70</v>
      </c>
      <c r="P433">
        <v>87</v>
      </c>
      <c r="Q433" t="s">
        <v>25</v>
      </c>
      <c r="R433" t="s">
        <v>24</v>
      </c>
      <c r="S433" t="s">
        <v>39</v>
      </c>
      <c r="T433" t="s">
        <v>25</v>
      </c>
      <c r="U433">
        <f t="shared" si="26"/>
        <v>2</v>
      </c>
      <c r="V433">
        <v>175</v>
      </c>
      <c r="W433">
        <v>0.40600000000000003</v>
      </c>
      <c r="X433" t="s">
        <v>1408</v>
      </c>
      <c r="Y433">
        <v>95</v>
      </c>
      <c r="Z433">
        <v>97</v>
      </c>
      <c r="AA433" t="s">
        <v>40</v>
      </c>
      <c r="AB433">
        <v>193</v>
      </c>
      <c r="AC433" s="23">
        <v>2.76</v>
      </c>
      <c r="AD433" t="str">
        <f>IF(AND('CVD Dataset'!AA433="Normal",'CVD Dataset'!AB433&gt;AVERAGE('CVD Dataset'!AB:AB),'CVD Dataset'!AF433="High"),"High Lipid Category","Normal Category")</f>
        <v>Normal Category</v>
      </c>
      <c r="AE433">
        <v>15.01</v>
      </c>
      <c r="AF433" t="s">
        <v>32</v>
      </c>
      <c r="AG433">
        <v>1</v>
      </c>
      <c r="AH433" t="s">
        <v>1379</v>
      </c>
      <c r="AI433">
        <f t="shared" si="27"/>
        <v>1</v>
      </c>
      <c r="AJ433" t="s">
        <v>1391</v>
      </c>
    </row>
    <row r="434" spans="1:36" x14ac:dyDescent="0.3">
      <c r="A434" t="s">
        <v>22</v>
      </c>
      <c r="B434">
        <v>42</v>
      </c>
      <c r="C434">
        <v>107.6</v>
      </c>
      <c r="D434">
        <v>1.87</v>
      </c>
      <c r="E434">
        <v>30.8</v>
      </c>
      <c r="F434">
        <f t="shared" si="25"/>
        <v>30.770110669450077</v>
      </c>
      <c r="G434">
        <f t="shared" si="28"/>
        <v>0</v>
      </c>
      <c r="H434" t="s">
        <v>1399</v>
      </c>
      <c r="I434">
        <v>97.8</v>
      </c>
      <c r="J434" t="s">
        <v>427</v>
      </c>
      <c r="K434" s="24">
        <v>108</v>
      </c>
      <c r="L434" s="24">
        <v>64</v>
      </c>
      <c r="M434">
        <v>176</v>
      </c>
      <c r="N434" t="s">
        <v>1433</v>
      </c>
      <c r="O434">
        <v>73</v>
      </c>
      <c r="P434">
        <v>98</v>
      </c>
      <c r="Q434" t="s">
        <v>25</v>
      </c>
      <c r="R434" t="s">
        <v>24</v>
      </c>
      <c r="S434" t="s">
        <v>26</v>
      </c>
      <c r="T434" t="s">
        <v>24</v>
      </c>
      <c r="U434">
        <f t="shared" si="26"/>
        <v>2</v>
      </c>
      <c r="V434">
        <v>187</v>
      </c>
      <c r="W434">
        <v>0.52300000000000002</v>
      </c>
      <c r="X434" t="s">
        <v>1407</v>
      </c>
      <c r="Y434">
        <v>108</v>
      </c>
      <c r="Z434">
        <v>64</v>
      </c>
      <c r="AA434" t="s">
        <v>35</v>
      </c>
      <c r="AB434">
        <v>73</v>
      </c>
      <c r="AC434" s="23">
        <v>1</v>
      </c>
      <c r="AD434" t="str">
        <f>IF(AND('CVD Dataset'!AA434="Normal",'CVD Dataset'!AB434&gt;AVERAGE('CVD Dataset'!AB:AB),'CVD Dataset'!AF434="High"),"High Lipid Category","Normal Category")</f>
        <v>Normal Category</v>
      </c>
      <c r="AE434">
        <v>15.08</v>
      </c>
      <c r="AF434" t="s">
        <v>28</v>
      </c>
      <c r="AG434">
        <v>0</v>
      </c>
      <c r="AH434" t="s">
        <v>1380</v>
      </c>
      <c r="AI434">
        <f t="shared" si="27"/>
        <v>0</v>
      </c>
      <c r="AJ434" t="s">
        <v>1391</v>
      </c>
    </row>
    <row r="435" spans="1:36" x14ac:dyDescent="0.3">
      <c r="A435" t="s">
        <v>22</v>
      </c>
      <c r="B435">
        <v>39</v>
      </c>
      <c r="C435">
        <v>89.8</v>
      </c>
      <c r="D435">
        <v>1.84</v>
      </c>
      <c r="E435">
        <v>26.5</v>
      </c>
      <c r="F435">
        <f t="shared" si="25"/>
        <v>26.524102079395082</v>
      </c>
      <c r="G435">
        <f t="shared" si="28"/>
        <v>0</v>
      </c>
      <c r="H435" t="s">
        <v>1400</v>
      </c>
      <c r="I435">
        <v>97.7</v>
      </c>
      <c r="J435" t="s">
        <v>428</v>
      </c>
      <c r="K435" s="24">
        <v>91</v>
      </c>
      <c r="L435" s="24">
        <v>65</v>
      </c>
      <c r="M435">
        <v>260</v>
      </c>
      <c r="N435" t="s">
        <v>1432</v>
      </c>
      <c r="O435">
        <v>75</v>
      </c>
      <c r="P435">
        <v>85</v>
      </c>
      <c r="Q435" t="s">
        <v>25</v>
      </c>
      <c r="R435" t="s">
        <v>25</v>
      </c>
      <c r="S435" t="s">
        <v>39</v>
      </c>
      <c r="T435" t="s">
        <v>25</v>
      </c>
      <c r="U435">
        <f t="shared" si="26"/>
        <v>3</v>
      </c>
      <c r="V435">
        <v>184</v>
      </c>
      <c r="W435">
        <v>0.53100000000000003</v>
      </c>
      <c r="X435" t="s">
        <v>1407</v>
      </c>
      <c r="Y435">
        <v>91</v>
      </c>
      <c r="Z435">
        <v>65</v>
      </c>
      <c r="AA435" t="s">
        <v>35</v>
      </c>
      <c r="AB435">
        <v>155</v>
      </c>
      <c r="AC435" s="23">
        <v>2.0699999999999998</v>
      </c>
      <c r="AD435" t="str">
        <f>IF(AND('CVD Dataset'!AA435="Normal",'CVD Dataset'!AB435&gt;AVERAGE('CVD Dataset'!AB:AB),'CVD Dataset'!AF435="High"),"High Lipid Category","Normal Category")</f>
        <v>High Lipid Category</v>
      </c>
      <c r="AE435">
        <v>17.05</v>
      </c>
      <c r="AF435" t="s">
        <v>32</v>
      </c>
      <c r="AG435">
        <v>1</v>
      </c>
      <c r="AH435" t="s">
        <v>1379</v>
      </c>
      <c r="AI435">
        <f t="shared" si="27"/>
        <v>1</v>
      </c>
      <c r="AJ435" t="s">
        <v>1391</v>
      </c>
    </row>
    <row r="436" spans="1:36" x14ac:dyDescent="0.3">
      <c r="A436" t="s">
        <v>33</v>
      </c>
      <c r="B436">
        <v>50</v>
      </c>
      <c r="C436">
        <v>116.2</v>
      </c>
      <c r="D436">
        <v>1.9</v>
      </c>
      <c r="E436">
        <v>32.200000000000003</v>
      </c>
      <c r="F436">
        <f t="shared" si="25"/>
        <v>32.18836565096953</v>
      </c>
      <c r="G436">
        <f t="shared" si="28"/>
        <v>0</v>
      </c>
      <c r="H436" t="s">
        <v>1399</v>
      </c>
      <c r="I436">
        <v>96.2</v>
      </c>
      <c r="J436" t="s">
        <v>429</v>
      </c>
      <c r="K436" s="24">
        <v>143</v>
      </c>
      <c r="L436" s="24">
        <v>70</v>
      </c>
      <c r="M436">
        <v>105</v>
      </c>
      <c r="N436" t="s">
        <v>1434</v>
      </c>
      <c r="O436">
        <v>40</v>
      </c>
      <c r="P436">
        <v>130</v>
      </c>
      <c r="Q436" t="s">
        <v>25</v>
      </c>
      <c r="R436" t="s">
        <v>25</v>
      </c>
      <c r="S436" t="s">
        <v>26</v>
      </c>
      <c r="T436" t="s">
        <v>25</v>
      </c>
      <c r="U436">
        <f t="shared" si="26"/>
        <v>4</v>
      </c>
      <c r="V436">
        <v>190</v>
      </c>
      <c r="W436">
        <v>0.50600000000000001</v>
      </c>
      <c r="X436" t="s">
        <v>1406</v>
      </c>
      <c r="Y436">
        <v>143</v>
      </c>
      <c r="AA436" t="s">
        <v>40</v>
      </c>
      <c r="AB436">
        <v>35</v>
      </c>
      <c r="AC436" s="23">
        <v>0.88</v>
      </c>
      <c r="AD436" t="str">
        <f>IF(AND('CVD Dataset'!AA436="Normal",'CVD Dataset'!AB436&gt;AVERAGE('CVD Dataset'!AB:AB),'CVD Dataset'!AF436="High"),"High Lipid Category","Normal Category")</f>
        <v>Normal Category</v>
      </c>
      <c r="AE436">
        <v>17.690000000000001</v>
      </c>
      <c r="AF436" t="s">
        <v>32</v>
      </c>
      <c r="AG436">
        <v>0</v>
      </c>
      <c r="AH436" t="s">
        <v>1379</v>
      </c>
      <c r="AI436">
        <f t="shared" si="27"/>
        <v>1</v>
      </c>
      <c r="AJ436" t="s">
        <v>1391</v>
      </c>
    </row>
    <row r="437" spans="1:36" x14ac:dyDescent="0.3">
      <c r="A437" t="s">
        <v>22</v>
      </c>
      <c r="B437">
        <v>30</v>
      </c>
      <c r="C437">
        <v>105</v>
      </c>
      <c r="D437">
        <v>1.73</v>
      </c>
      <c r="E437">
        <v>35.1</v>
      </c>
      <c r="F437">
        <f t="shared" si="25"/>
        <v>35.083029837281565</v>
      </c>
      <c r="G437">
        <f t="shared" si="28"/>
        <v>0</v>
      </c>
      <c r="H437" t="s">
        <v>1399</v>
      </c>
      <c r="I437">
        <v>93.4</v>
      </c>
      <c r="J437" t="s">
        <v>430</v>
      </c>
      <c r="K437" s="24">
        <v>126</v>
      </c>
      <c r="L437" s="24">
        <v>74</v>
      </c>
      <c r="N437" t="s">
        <v>1434</v>
      </c>
      <c r="O437">
        <v>34</v>
      </c>
      <c r="P437">
        <v>94</v>
      </c>
      <c r="Q437" t="s">
        <v>24</v>
      </c>
      <c r="R437" t="s">
        <v>25</v>
      </c>
      <c r="S437" t="s">
        <v>26</v>
      </c>
      <c r="T437" t="s">
        <v>25</v>
      </c>
      <c r="U437">
        <f t="shared" si="26"/>
        <v>3</v>
      </c>
      <c r="V437">
        <v>173</v>
      </c>
      <c r="W437">
        <v>0.54</v>
      </c>
      <c r="X437" t="s">
        <v>1407</v>
      </c>
      <c r="Y437">
        <v>126</v>
      </c>
      <c r="Z437">
        <v>74</v>
      </c>
      <c r="AA437" t="s">
        <v>27</v>
      </c>
      <c r="AB437">
        <v>66</v>
      </c>
      <c r="AC437" s="23">
        <v>1.94</v>
      </c>
      <c r="AD437" t="str">
        <f>IF(AND('CVD Dataset'!AA437="Normal",'CVD Dataset'!AB437&gt;AVERAGE('CVD Dataset'!AB:AB),'CVD Dataset'!AF437="High"),"High Lipid Category","Normal Category")</f>
        <v>Normal Category</v>
      </c>
      <c r="AE437">
        <v>17.920000000000002</v>
      </c>
      <c r="AF437" t="s">
        <v>32</v>
      </c>
      <c r="AG437">
        <v>0</v>
      </c>
      <c r="AH437" t="s">
        <v>1379</v>
      </c>
      <c r="AI437">
        <f t="shared" si="27"/>
        <v>1</v>
      </c>
      <c r="AJ437" t="s">
        <v>1391</v>
      </c>
    </row>
    <row r="438" spans="1:36" x14ac:dyDescent="0.3">
      <c r="A438" t="s">
        <v>33</v>
      </c>
      <c r="B438">
        <v>37</v>
      </c>
      <c r="C438">
        <v>74.099999999999994</v>
      </c>
      <c r="D438">
        <v>1.89</v>
      </c>
      <c r="E438">
        <v>20.7</v>
      </c>
      <c r="F438">
        <f t="shared" si="25"/>
        <v>20.744100109179474</v>
      </c>
      <c r="G438">
        <f t="shared" si="28"/>
        <v>0</v>
      </c>
      <c r="H438" t="s">
        <v>1398</v>
      </c>
      <c r="I438">
        <v>105.9</v>
      </c>
      <c r="J438" t="s">
        <v>431</v>
      </c>
      <c r="K438" s="24">
        <v>135</v>
      </c>
      <c r="L438" s="24">
        <v>66</v>
      </c>
      <c r="M438">
        <v>147</v>
      </c>
      <c r="N438" t="s">
        <v>1434</v>
      </c>
      <c r="O438">
        <v>64</v>
      </c>
      <c r="P438">
        <v>142</v>
      </c>
      <c r="Q438" t="s">
        <v>24</v>
      </c>
      <c r="R438" t="s">
        <v>24</v>
      </c>
      <c r="S438" t="s">
        <v>26</v>
      </c>
      <c r="T438" t="s">
        <v>24</v>
      </c>
      <c r="U438">
        <f t="shared" si="26"/>
        <v>1</v>
      </c>
      <c r="V438">
        <v>189</v>
      </c>
      <c r="W438">
        <v>0.56000000000000005</v>
      </c>
      <c r="X438" t="s">
        <v>1407</v>
      </c>
      <c r="Y438">
        <v>135</v>
      </c>
      <c r="Z438">
        <v>66</v>
      </c>
      <c r="AA438" t="s">
        <v>31</v>
      </c>
      <c r="AB438">
        <v>53</v>
      </c>
      <c r="AC438" s="23">
        <v>0.83</v>
      </c>
      <c r="AD438" t="str">
        <f>IF(AND('CVD Dataset'!AA438="Normal",'CVD Dataset'!AB438&gt;AVERAGE('CVD Dataset'!AB:AB),'CVD Dataset'!AF438="High"),"High Lipid Category","Normal Category")</f>
        <v>Normal Category</v>
      </c>
      <c r="AE438">
        <v>13.83</v>
      </c>
      <c r="AF438" t="s">
        <v>54</v>
      </c>
      <c r="AG438">
        <v>0</v>
      </c>
      <c r="AH438" t="s">
        <v>1380</v>
      </c>
      <c r="AI438">
        <f t="shared" si="27"/>
        <v>0</v>
      </c>
      <c r="AJ438" t="s">
        <v>1391</v>
      </c>
    </row>
    <row r="439" spans="1:36" x14ac:dyDescent="0.3">
      <c r="A439" t="s">
        <v>33</v>
      </c>
      <c r="B439">
        <v>44</v>
      </c>
      <c r="C439">
        <v>112.6</v>
      </c>
      <c r="D439">
        <v>1.87</v>
      </c>
      <c r="E439">
        <v>32.200000000000003</v>
      </c>
      <c r="F439">
        <f t="shared" si="25"/>
        <v>32.199948525837165</v>
      </c>
      <c r="G439">
        <f t="shared" si="28"/>
        <v>0</v>
      </c>
      <c r="H439" t="s">
        <v>1399</v>
      </c>
      <c r="I439">
        <v>82.8</v>
      </c>
      <c r="J439" t="s">
        <v>432</v>
      </c>
      <c r="K439" s="24">
        <v>115</v>
      </c>
      <c r="L439" s="24">
        <v>64</v>
      </c>
      <c r="M439">
        <v>226</v>
      </c>
      <c r="N439" t="s">
        <v>1432</v>
      </c>
      <c r="O439">
        <v>33</v>
      </c>
      <c r="P439">
        <v>112</v>
      </c>
      <c r="Q439" t="s">
        <v>24</v>
      </c>
      <c r="R439" t="s">
        <v>25</v>
      </c>
      <c r="S439" t="s">
        <v>39</v>
      </c>
      <c r="T439" t="s">
        <v>25</v>
      </c>
      <c r="U439">
        <f t="shared" si="26"/>
        <v>2</v>
      </c>
      <c r="V439">
        <v>187</v>
      </c>
      <c r="W439">
        <v>0.443</v>
      </c>
      <c r="X439" t="s">
        <v>1408</v>
      </c>
      <c r="Y439">
        <v>115</v>
      </c>
      <c r="Z439">
        <v>64</v>
      </c>
      <c r="AA439" t="s">
        <v>35</v>
      </c>
      <c r="AB439">
        <v>163</v>
      </c>
      <c r="AC439" s="23">
        <v>4.9400000000000004</v>
      </c>
      <c r="AD439" t="str">
        <f>IF(AND('CVD Dataset'!AA439="Normal",'CVD Dataset'!AB439&gt;AVERAGE('CVD Dataset'!AB:AB),'CVD Dataset'!AF439="High"),"High Lipid Category","Normal Category")</f>
        <v>High Lipid Category</v>
      </c>
      <c r="AE439">
        <v>18.71</v>
      </c>
      <c r="AF439" t="s">
        <v>32</v>
      </c>
      <c r="AG439">
        <v>0</v>
      </c>
      <c r="AH439" t="s">
        <v>1379</v>
      </c>
      <c r="AI439">
        <f t="shared" si="27"/>
        <v>1</v>
      </c>
      <c r="AJ439" t="s">
        <v>1391</v>
      </c>
    </row>
    <row r="440" spans="1:36" x14ac:dyDescent="0.3">
      <c r="A440" t="s">
        <v>33</v>
      </c>
      <c r="B440">
        <v>47</v>
      </c>
      <c r="C440">
        <v>71.900000000000006</v>
      </c>
      <c r="D440">
        <v>1.86</v>
      </c>
      <c r="E440">
        <v>20.8</v>
      </c>
      <c r="F440">
        <f t="shared" si="25"/>
        <v>20.782749450803561</v>
      </c>
      <c r="G440">
        <f t="shared" si="28"/>
        <v>0</v>
      </c>
      <c r="H440" t="s">
        <v>1398</v>
      </c>
      <c r="I440">
        <v>88.6</v>
      </c>
      <c r="J440" t="s">
        <v>433</v>
      </c>
      <c r="K440" s="24">
        <v>121</v>
      </c>
      <c r="L440" s="24">
        <v>92</v>
      </c>
      <c r="M440">
        <v>211</v>
      </c>
      <c r="N440" t="s">
        <v>1432</v>
      </c>
      <c r="O440">
        <v>45</v>
      </c>
      <c r="P440">
        <v>106</v>
      </c>
      <c r="Q440" t="s">
        <v>25</v>
      </c>
      <c r="R440" t="s">
        <v>25</v>
      </c>
      <c r="S440" t="s">
        <v>39</v>
      </c>
      <c r="T440" t="s">
        <v>25</v>
      </c>
      <c r="U440">
        <f t="shared" si="26"/>
        <v>3</v>
      </c>
      <c r="V440">
        <v>186</v>
      </c>
      <c r="W440">
        <v>0.47599999999999998</v>
      </c>
      <c r="X440" t="s">
        <v>1406</v>
      </c>
      <c r="Y440">
        <v>121</v>
      </c>
      <c r="Z440">
        <v>92</v>
      </c>
      <c r="AA440" t="s">
        <v>40</v>
      </c>
      <c r="AB440">
        <v>136</v>
      </c>
      <c r="AC440" s="23">
        <v>3.02</v>
      </c>
      <c r="AD440" t="str">
        <f>IF(AND('CVD Dataset'!AA440="Normal",'CVD Dataset'!AB440&gt;AVERAGE('CVD Dataset'!AB:AB),'CVD Dataset'!AF440="High"),"High Lipid Category","Normal Category")</f>
        <v>Normal Category</v>
      </c>
      <c r="AE440">
        <v>16.43</v>
      </c>
      <c r="AF440" t="s">
        <v>32</v>
      </c>
      <c r="AG440">
        <v>0</v>
      </c>
      <c r="AH440" t="s">
        <v>1379</v>
      </c>
      <c r="AI440">
        <f t="shared" si="27"/>
        <v>1</v>
      </c>
      <c r="AJ440" t="s">
        <v>1391</v>
      </c>
    </row>
    <row r="441" spans="1:36" x14ac:dyDescent="0.3">
      <c r="A441" t="s">
        <v>33</v>
      </c>
      <c r="B441">
        <v>47</v>
      </c>
      <c r="D441">
        <v>1.88</v>
      </c>
      <c r="E441">
        <v>29.1</v>
      </c>
      <c r="F441">
        <f t="shared" si="25"/>
        <v>0</v>
      </c>
      <c r="G441">
        <f t="shared" si="28"/>
        <v>1</v>
      </c>
      <c r="H441" t="s">
        <v>1400</v>
      </c>
      <c r="I441">
        <v>78.400000000000006</v>
      </c>
      <c r="J441" t="s">
        <v>434</v>
      </c>
      <c r="K441" s="24">
        <v>119</v>
      </c>
      <c r="L441" s="24">
        <v>99</v>
      </c>
      <c r="M441">
        <v>213</v>
      </c>
      <c r="N441" t="s">
        <v>1432</v>
      </c>
      <c r="O441">
        <v>54</v>
      </c>
      <c r="Q441" t="s">
        <v>24</v>
      </c>
      <c r="R441" t="s">
        <v>25</v>
      </c>
      <c r="S441" t="s">
        <v>39</v>
      </c>
      <c r="T441" t="s">
        <v>25</v>
      </c>
      <c r="U441">
        <f t="shared" si="26"/>
        <v>2</v>
      </c>
      <c r="V441">
        <v>188</v>
      </c>
      <c r="W441">
        <v>0.41699999999999998</v>
      </c>
      <c r="X441" t="s">
        <v>1408</v>
      </c>
      <c r="Y441">
        <v>119</v>
      </c>
      <c r="Z441">
        <v>99</v>
      </c>
      <c r="AA441" t="s">
        <v>40</v>
      </c>
      <c r="AB441">
        <v>129</v>
      </c>
      <c r="AC441" s="23">
        <v>2.39</v>
      </c>
      <c r="AD441" t="str">
        <f>IF(AND('CVD Dataset'!AA441="Normal",'CVD Dataset'!AB441&gt;AVERAGE('CVD Dataset'!AB:AB),'CVD Dataset'!AF441="High"),"High Lipid Category","Normal Category")</f>
        <v>Normal Category</v>
      </c>
      <c r="AE441">
        <v>18.03</v>
      </c>
      <c r="AF441" t="s">
        <v>32</v>
      </c>
      <c r="AG441">
        <v>0</v>
      </c>
      <c r="AH441" t="s">
        <v>1379</v>
      </c>
      <c r="AI441">
        <f t="shared" si="27"/>
        <v>1</v>
      </c>
      <c r="AJ441" t="s">
        <v>1391</v>
      </c>
    </row>
    <row r="442" spans="1:36" x14ac:dyDescent="0.3">
      <c r="A442" t="s">
        <v>33</v>
      </c>
      <c r="B442">
        <v>39</v>
      </c>
      <c r="C442">
        <v>112.8</v>
      </c>
      <c r="D442">
        <v>1.88</v>
      </c>
      <c r="E442">
        <v>31.9</v>
      </c>
      <c r="F442">
        <f t="shared" si="25"/>
        <v>31.914893617021278</v>
      </c>
      <c r="G442">
        <f t="shared" si="28"/>
        <v>0</v>
      </c>
      <c r="H442" t="s">
        <v>1399</v>
      </c>
      <c r="I442">
        <v>90.6</v>
      </c>
      <c r="J442" t="s">
        <v>435</v>
      </c>
      <c r="K442" s="24">
        <v>134</v>
      </c>
      <c r="L442" s="24">
        <v>89</v>
      </c>
      <c r="M442">
        <v>123</v>
      </c>
      <c r="N442" t="s">
        <v>1434</v>
      </c>
      <c r="O442">
        <v>30</v>
      </c>
      <c r="P442">
        <v>131</v>
      </c>
      <c r="Q442" t="s">
        <v>25</v>
      </c>
      <c r="R442" t="s">
        <v>24</v>
      </c>
      <c r="S442" t="s">
        <v>30</v>
      </c>
      <c r="T442" t="s">
        <v>25</v>
      </c>
      <c r="U442">
        <f t="shared" si="26"/>
        <v>2</v>
      </c>
      <c r="V442">
        <v>188</v>
      </c>
      <c r="W442">
        <v>0.48199999999999998</v>
      </c>
      <c r="X442" t="s">
        <v>1406</v>
      </c>
      <c r="Y442">
        <v>134</v>
      </c>
      <c r="Z442">
        <v>89</v>
      </c>
      <c r="AA442" t="s">
        <v>31</v>
      </c>
      <c r="AB442">
        <v>63</v>
      </c>
      <c r="AC442" s="23">
        <v>2.1</v>
      </c>
      <c r="AD442" t="str">
        <f>IF(AND('CVD Dataset'!AA442="Normal",'CVD Dataset'!AB442&gt;AVERAGE('CVD Dataset'!AB:AB),'CVD Dataset'!AF442="High"),"High Lipid Category","Normal Category")</f>
        <v>Normal Category</v>
      </c>
      <c r="AE442">
        <v>15.54</v>
      </c>
      <c r="AF442" t="s">
        <v>32</v>
      </c>
      <c r="AG442">
        <v>0</v>
      </c>
      <c r="AH442" t="s">
        <v>1379</v>
      </c>
      <c r="AI442">
        <f t="shared" si="27"/>
        <v>1</v>
      </c>
      <c r="AJ442" t="s">
        <v>1391</v>
      </c>
    </row>
    <row r="443" spans="1:36" x14ac:dyDescent="0.3">
      <c r="A443" t="s">
        <v>22</v>
      </c>
      <c r="B443">
        <v>36</v>
      </c>
      <c r="C443">
        <v>81.2</v>
      </c>
      <c r="D443">
        <v>1.75</v>
      </c>
      <c r="E443">
        <v>26.5</v>
      </c>
      <c r="F443">
        <f t="shared" si="25"/>
        <v>26.514285714285716</v>
      </c>
      <c r="G443">
        <f t="shared" si="28"/>
        <v>0</v>
      </c>
      <c r="H443" t="s">
        <v>1400</v>
      </c>
      <c r="I443">
        <v>74</v>
      </c>
      <c r="J443" t="s">
        <v>436</v>
      </c>
      <c r="K443" s="24">
        <v>141</v>
      </c>
      <c r="L443" s="24">
        <v>76</v>
      </c>
      <c r="M443">
        <v>225</v>
      </c>
      <c r="N443" t="s">
        <v>1432</v>
      </c>
      <c r="O443">
        <v>31</v>
      </c>
      <c r="P443">
        <v>124</v>
      </c>
      <c r="Q443" t="s">
        <v>25</v>
      </c>
      <c r="R443" t="s">
        <v>24</v>
      </c>
      <c r="S443" t="s">
        <v>39</v>
      </c>
      <c r="T443" t="s">
        <v>25</v>
      </c>
      <c r="U443">
        <f t="shared" si="26"/>
        <v>2</v>
      </c>
      <c r="V443">
        <v>175</v>
      </c>
      <c r="W443">
        <v>0.42299999999999999</v>
      </c>
      <c r="X443" t="s">
        <v>1408</v>
      </c>
      <c r="Y443">
        <v>141</v>
      </c>
      <c r="AA443" t="s">
        <v>40</v>
      </c>
      <c r="AB443">
        <v>164</v>
      </c>
      <c r="AC443" s="23">
        <v>5.29</v>
      </c>
      <c r="AD443" t="str">
        <f>IF(AND('CVD Dataset'!AA443="Normal",'CVD Dataset'!AB443&gt;AVERAGE('CVD Dataset'!AB:AB),'CVD Dataset'!AF443="High"),"High Lipid Category","Normal Category")</f>
        <v>Normal Category</v>
      </c>
      <c r="AE443">
        <v>16.850000000000001</v>
      </c>
      <c r="AF443" t="s">
        <v>32</v>
      </c>
      <c r="AG443">
        <v>0</v>
      </c>
      <c r="AH443" t="s">
        <v>1379</v>
      </c>
      <c r="AI443">
        <f t="shared" si="27"/>
        <v>1</v>
      </c>
      <c r="AJ443" t="s">
        <v>1391</v>
      </c>
    </row>
    <row r="444" spans="1:36" x14ac:dyDescent="0.3">
      <c r="A444" t="s">
        <v>22</v>
      </c>
      <c r="B444">
        <v>50</v>
      </c>
      <c r="C444">
        <v>73.900000000000006</v>
      </c>
      <c r="D444">
        <v>1.75</v>
      </c>
      <c r="E444">
        <v>24.1</v>
      </c>
      <c r="F444">
        <f t="shared" si="25"/>
        <v>24.130612244897961</v>
      </c>
      <c r="G444">
        <f t="shared" si="28"/>
        <v>0</v>
      </c>
      <c r="H444" t="s">
        <v>1398</v>
      </c>
      <c r="I444">
        <v>95.8</v>
      </c>
      <c r="J444" t="s">
        <v>437</v>
      </c>
      <c r="K444" s="24">
        <v>145</v>
      </c>
      <c r="L444" s="24">
        <v>71</v>
      </c>
      <c r="N444" t="s">
        <v>1434</v>
      </c>
      <c r="P444">
        <v>144</v>
      </c>
      <c r="Q444" t="s">
        <v>25</v>
      </c>
      <c r="R444" t="s">
        <v>24</v>
      </c>
      <c r="S444" t="s">
        <v>30</v>
      </c>
      <c r="T444" t="s">
        <v>25</v>
      </c>
      <c r="U444">
        <f t="shared" si="26"/>
        <v>2</v>
      </c>
      <c r="V444">
        <v>175</v>
      </c>
      <c r="W444">
        <v>0.54700000000000004</v>
      </c>
      <c r="X444" t="s">
        <v>1407</v>
      </c>
      <c r="Y444">
        <v>145</v>
      </c>
      <c r="Z444">
        <v>71</v>
      </c>
      <c r="AA444" t="s">
        <v>40</v>
      </c>
      <c r="AB444">
        <v>31</v>
      </c>
      <c r="AC444" s="23" t="s">
        <v>1410</v>
      </c>
      <c r="AD444" t="str">
        <f>IF(AND('CVD Dataset'!AA444="Normal",'CVD Dataset'!AB444&gt;AVERAGE('CVD Dataset'!AB:AB),'CVD Dataset'!AF444="High"),"High Lipid Category","Normal Category")</f>
        <v>Normal Category</v>
      </c>
      <c r="AE444">
        <v>14.67</v>
      </c>
      <c r="AF444" t="s">
        <v>28</v>
      </c>
      <c r="AG444">
        <v>0</v>
      </c>
      <c r="AH444" t="s">
        <v>1380</v>
      </c>
      <c r="AI444">
        <f t="shared" si="27"/>
        <v>0</v>
      </c>
      <c r="AJ444" t="s">
        <v>1391</v>
      </c>
    </row>
    <row r="445" spans="1:36" x14ac:dyDescent="0.3">
      <c r="A445" t="s">
        <v>33</v>
      </c>
      <c r="B445">
        <v>40</v>
      </c>
      <c r="C445">
        <v>110.6</v>
      </c>
      <c r="D445">
        <v>1.7</v>
      </c>
      <c r="E445">
        <v>38.299999999999997</v>
      </c>
      <c r="F445">
        <f t="shared" si="25"/>
        <v>38.269896193771629</v>
      </c>
      <c r="G445">
        <f t="shared" si="28"/>
        <v>0</v>
      </c>
      <c r="H445" t="s">
        <v>1399</v>
      </c>
      <c r="I445">
        <v>80.3</v>
      </c>
      <c r="J445" t="s">
        <v>438</v>
      </c>
      <c r="K445" s="24">
        <v>148</v>
      </c>
      <c r="L445" s="24">
        <v>95</v>
      </c>
      <c r="M445">
        <v>177</v>
      </c>
      <c r="N445" t="s">
        <v>1433</v>
      </c>
      <c r="O445">
        <v>65</v>
      </c>
      <c r="P445">
        <v>121</v>
      </c>
      <c r="Q445" t="s">
        <v>25</v>
      </c>
      <c r="R445" t="s">
        <v>25</v>
      </c>
      <c r="S445" t="s">
        <v>26</v>
      </c>
      <c r="T445" t="s">
        <v>25</v>
      </c>
      <c r="U445">
        <f t="shared" si="26"/>
        <v>4</v>
      </c>
      <c r="V445">
        <v>170</v>
      </c>
      <c r="W445">
        <v>0.47199999999999998</v>
      </c>
      <c r="X445" t="s">
        <v>1406</v>
      </c>
      <c r="Y445">
        <v>148</v>
      </c>
      <c r="Z445">
        <v>95</v>
      </c>
      <c r="AA445" t="s">
        <v>40</v>
      </c>
      <c r="AB445">
        <v>82</v>
      </c>
      <c r="AC445" s="23">
        <v>1.26</v>
      </c>
      <c r="AD445" t="str">
        <f>IF(AND('CVD Dataset'!AA445="Normal",'CVD Dataset'!AB445&gt;AVERAGE('CVD Dataset'!AB:AB),'CVD Dataset'!AF445="High"),"High Lipid Category","Normal Category")</f>
        <v>Normal Category</v>
      </c>
      <c r="AE445">
        <v>20.6</v>
      </c>
      <c r="AF445" t="s">
        <v>32</v>
      </c>
      <c r="AG445">
        <v>1</v>
      </c>
      <c r="AH445" t="s">
        <v>1379</v>
      </c>
      <c r="AI445">
        <f t="shared" si="27"/>
        <v>1</v>
      </c>
      <c r="AJ445" t="s">
        <v>1391</v>
      </c>
    </row>
    <row r="446" spans="1:36" x14ac:dyDescent="0.3">
      <c r="A446" t="s">
        <v>22</v>
      </c>
      <c r="B446">
        <v>52</v>
      </c>
      <c r="C446">
        <v>107.8</v>
      </c>
      <c r="D446">
        <v>1.78</v>
      </c>
      <c r="E446">
        <v>34</v>
      </c>
      <c r="F446">
        <f t="shared" si="25"/>
        <v>34.023481883600553</v>
      </c>
      <c r="G446">
        <f t="shared" si="28"/>
        <v>0</v>
      </c>
      <c r="H446" t="s">
        <v>1399</v>
      </c>
      <c r="I446">
        <v>103.5</v>
      </c>
      <c r="J446" t="s">
        <v>439</v>
      </c>
      <c r="K446" s="24">
        <v>111</v>
      </c>
      <c r="L446" s="24">
        <v>69</v>
      </c>
      <c r="M446">
        <v>179</v>
      </c>
      <c r="N446" t="s">
        <v>1433</v>
      </c>
      <c r="O446">
        <v>73</v>
      </c>
      <c r="P446">
        <v>132</v>
      </c>
      <c r="Q446" t="s">
        <v>24</v>
      </c>
      <c r="R446" t="s">
        <v>24</v>
      </c>
      <c r="S446" t="s">
        <v>26</v>
      </c>
      <c r="T446" t="s">
        <v>25</v>
      </c>
      <c r="U446">
        <f t="shared" si="26"/>
        <v>2</v>
      </c>
      <c r="V446">
        <v>178</v>
      </c>
      <c r="W446">
        <v>0.58099999999999996</v>
      </c>
      <c r="X446" t="s">
        <v>1407</v>
      </c>
      <c r="Y446">
        <v>111</v>
      </c>
      <c r="Z446">
        <v>69</v>
      </c>
      <c r="AA446" t="s">
        <v>35</v>
      </c>
      <c r="AB446">
        <v>76</v>
      </c>
      <c r="AC446" s="23">
        <v>1.04</v>
      </c>
      <c r="AD446" t="str">
        <f>IF(AND('CVD Dataset'!AA446="Normal",'CVD Dataset'!AB446&gt;AVERAGE('CVD Dataset'!AB:AB),'CVD Dataset'!AF446="High"),"High Lipid Category","Normal Category")</f>
        <v>Normal Category</v>
      </c>
      <c r="AE446">
        <v>15.93</v>
      </c>
      <c r="AF446" t="s">
        <v>32</v>
      </c>
      <c r="AG446">
        <v>1</v>
      </c>
      <c r="AH446" t="s">
        <v>1379</v>
      </c>
      <c r="AI446">
        <f t="shared" si="27"/>
        <v>1</v>
      </c>
      <c r="AJ446" t="s">
        <v>1391</v>
      </c>
    </row>
    <row r="447" spans="1:36" x14ac:dyDescent="0.3">
      <c r="A447" t="s">
        <v>22</v>
      </c>
      <c r="B447">
        <v>39</v>
      </c>
      <c r="C447">
        <v>61.4</v>
      </c>
      <c r="D447">
        <v>1.71</v>
      </c>
      <c r="E447">
        <v>21</v>
      </c>
      <c r="F447">
        <f t="shared" si="25"/>
        <v>20.997913888033928</v>
      </c>
      <c r="G447">
        <f t="shared" si="28"/>
        <v>0</v>
      </c>
      <c r="H447" t="s">
        <v>1398</v>
      </c>
      <c r="I447">
        <v>83.6</v>
      </c>
      <c r="J447" t="s">
        <v>440</v>
      </c>
      <c r="K447" s="24">
        <v>134</v>
      </c>
      <c r="L447" s="24">
        <v>69</v>
      </c>
      <c r="M447">
        <v>246</v>
      </c>
      <c r="N447" t="s">
        <v>1432</v>
      </c>
      <c r="O447">
        <v>72</v>
      </c>
      <c r="P447">
        <v>136</v>
      </c>
      <c r="Q447" t="s">
        <v>24</v>
      </c>
      <c r="R447" t="s">
        <v>25</v>
      </c>
      <c r="S447" t="s">
        <v>30</v>
      </c>
      <c r="T447" t="s">
        <v>25</v>
      </c>
      <c r="U447">
        <f t="shared" si="26"/>
        <v>2</v>
      </c>
      <c r="W447">
        <v>0.48899999999999999</v>
      </c>
      <c r="X447" t="s">
        <v>1406</v>
      </c>
      <c r="Y447">
        <v>134</v>
      </c>
      <c r="Z447">
        <v>69</v>
      </c>
      <c r="AA447" t="s">
        <v>31</v>
      </c>
      <c r="AB447">
        <v>144</v>
      </c>
      <c r="AC447" s="23">
        <v>2</v>
      </c>
      <c r="AD447" t="str">
        <f>IF(AND('CVD Dataset'!AA447="Normal",'CVD Dataset'!AB447&gt;AVERAGE('CVD Dataset'!AB:AB),'CVD Dataset'!AF447="High"),"High Lipid Category","Normal Category")</f>
        <v>Normal Category</v>
      </c>
      <c r="AE447">
        <v>17.82</v>
      </c>
      <c r="AF447" t="s">
        <v>28</v>
      </c>
      <c r="AG447">
        <v>0</v>
      </c>
      <c r="AH447" t="s">
        <v>1380</v>
      </c>
      <c r="AI447">
        <f t="shared" si="27"/>
        <v>0</v>
      </c>
      <c r="AJ447" t="s">
        <v>1391</v>
      </c>
    </row>
    <row r="448" spans="1:36" x14ac:dyDescent="0.3">
      <c r="A448" t="s">
        <v>22</v>
      </c>
      <c r="B448">
        <v>46</v>
      </c>
      <c r="D448">
        <v>1.82</v>
      </c>
      <c r="E448">
        <v>35.799999999999997</v>
      </c>
      <c r="F448">
        <f t="shared" si="25"/>
        <v>0</v>
      </c>
      <c r="G448">
        <f t="shared" si="28"/>
        <v>1</v>
      </c>
      <c r="H448" t="s">
        <v>1399</v>
      </c>
      <c r="I448">
        <v>93.5</v>
      </c>
      <c r="J448" t="s">
        <v>441</v>
      </c>
      <c r="K448" s="24">
        <v>120</v>
      </c>
      <c r="L448" s="24">
        <v>70</v>
      </c>
      <c r="M448">
        <v>260</v>
      </c>
      <c r="N448" t="s">
        <v>1432</v>
      </c>
      <c r="O448">
        <v>37</v>
      </c>
      <c r="P448">
        <v>125</v>
      </c>
      <c r="Q448" t="s">
        <v>25</v>
      </c>
      <c r="R448" t="s">
        <v>24</v>
      </c>
      <c r="S448" t="s">
        <v>30</v>
      </c>
      <c r="T448" t="s">
        <v>25</v>
      </c>
      <c r="U448">
        <f t="shared" si="26"/>
        <v>2</v>
      </c>
      <c r="V448">
        <v>182</v>
      </c>
      <c r="W448">
        <v>0.51400000000000001</v>
      </c>
      <c r="X448" t="s">
        <v>1406</v>
      </c>
      <c r="Y448">
        <v>120</v>
      </c>
      <c r="Z448">
        <v>70</v>
      </c>
      <c r="AA448" t="s">
        <v>27</v>
      </c>
      <c r="AB448">
        <v>193</v>
      </c>
      <c r="AC448" s="23">
        <v>5.22</v>
      </c>
      <c r="AD448" t="str">
        <f>IF(AND('CVD Dataset'!AA448="Normal",'CVD Dataset'!AB448&gt;AVERAGE('CVD Dataset'!AB:AB),'CVD Dataset'!AF448="High"),"High Lipid Category","Normal Category")</f>
        <v>Normal Category</v>
      </c>
      <c r="AE448">
        <v>18.36</v>
      </c>
      <c r="AF448" t="s">
        <v>32</v>
      </c>
      <c r="AG448">
        <v>0</v>
      </c>
      <c r="AH448" t="s">
        <v>1379</v>
      </c>
      <c r="AI448">
        <f t="shared" si="27"/>
        <v>1</v>
      </c>
      <c r="AJ448" t="s">
        <v>1391</v>
      </c>
    </row>
    <row r="449" spans="1:36" x14ac:dyDescent="0.3">
      <c r="A449" t="s">
        <v>33</v>
      </c>
      <c r="B449">
        <v>39</v>
      </c>
      <c r="C449">
        <v>80</v>
      </c>
      <c r="D449">
        <v>1.64</v>
      </c>
      <c r="E449">
        <v>29.7</v>
      </c>
      <c r="F449">
        <f t="shared" si="25"/>
        <v>29.744199881023206</v>
      </c>
      <c r="G449">
        <f t="shared" si="28"/>
        <v>0</v>
      </c>
      <c r="H449" t="s">
        <v>1400</v>
      </c>
      <c r="I449">
        <v>103.6</v>
      </c>
      <c r="J449" t="s">
        <v>442</v>
      </c>
      <c r="K449" s="24">
        <v>114</v>
      </c>
      <c r="L449" s="24">
        <v>70</v>
      </c>
      <c r="M449">
        <v>299</v>
      </c>
      <c r="N449" t="s">
        <v>1432</v>
      </c>
      <c r="O449">
        <v>46</v>
      </c>
      <c r="P449">
        <v>148</v>
      </c>
      <c r="Q449" t="s">
        <v>24</v>
      </c>
      <c r="R449" t="s">
        <v>24</v>
      </c>
      <c r="S449" t="s">
        <v>26</v>
      </c>
      <c r="T449" t="s">
        <v>25</v>
      </c>
      <c r="U449">
        <f t="shared" si="26"/>
        <v>2</v>
      </c>
      <c r="V449">
        <v>164</v>
      </c>
      <c r="W449">
        <v>0.63200000000000001</v>
      </c>
      <c r="X449" t="s">
        <v>1409</v>
      </c>
      <c r="Y449">
        <v>114</v>
      </c>
      <c r="Z449">
        <v>70</v>
      </c>
      <c r="AA449" t="s">
        <v>35</v>
      </c>
      <c r="AB449">
        <v>223</v>
      </c>
      <c r="AC449" s="23">
        <v>4.8499999999999996</v>
      </c>
      <c r="AD449" t="str">
        <f>IF(AND('CVD Dataset'!AA449="Normal",'CVD Dataset'!AB449&gt;AVERAGE('CVD Dataset'!AB:AB),'CVD Dataset'!AF449="High"),"High Lipid Category","Normal Category")</f>
        <v>High Lipid Category</v>
      </c>
      <c r="AE449">
        <v>17.62</v>
      </c>
      <c r="AF449" t="s">
        <v>32</v>
      </c>
      <c r="AG449">
        <v>0</v>
      </c>
      <c r="AH449" t="s">
        <v>1379</v>
      </c>
      <c r="AI449">
        <f t="shared" si="27"/>
        <v>1</v>
      </c>
      <c r="AJ449" t="s">
        <v>1391</v>
      </c>
    </row>
    <row r="450" spans="1:36" x14ac:dyDescent="0.3">
      <c r="A450" t="s">
        <v>22</v>
      </c>
      <c r="B450">
        <v>35</v>
      </c>
      <c r="C450">
        <v>64.2</v>
      </c>
      <c r="D450">
        <v>1.87</v>
      </c>
      <c r="E450">
        <v>18.399999999999999</v>
      </c>
      <c r="F450">
        <f t="shared" si="25"/>
        <v>18.35911807601018</v>
      </c>
      <c r="G450">
        <f t="shared" si="28"/>
        <v>0</v>
      </c>
      <c r="H450" t="s">
        <v>1401</v>
      </c>
      <c r="I450">
        <v>100.8</v>
      </c>
      <c r="J450" t="s">
        <v>443</v>
      </c>
      <c r="K450" s="24">
        <v>134</v>
      </c>
      <c r="L450" s="24">
        <v>67</v>
      </c>
      <c r="M450">
        <v>193</v>
      </c>
      <c r="N450" t="s">
        <v>1432</v>
      </c>
      <c r="O450">
        <v>49</v>
      </c>
      <c r="P450">
        <v>134</v>
      </c>
      <c r="Q450" t="s">
        <v>25</v>
      </c>
      <c r="R450" t="s">
        <v>25</v>
      </c>
      <c r="S450" t="s">
        <v>39</v>
      </c>
      <c r="T450" t="s">
        <v>24</v>
      </c>
      <c r="U450">
        <f t="shared" si="26"/>
        <v>2</v>
      </c>
      <c r="V450">
        <v>187</v>
      </c>
      <c r="W450">
        <v>0.53900000000000003</v>
      </c>
      <c r="X450" t="s">
        <v>1407</v>
      </c>
      <c r="Z450">
        <v>67</v>
      </c>
      <c r="AA450" t="s">
        <v>31</v>
      </c>
      <c r="AB450">
        <v>114</v>
      </c>
      <c r="AC450" s="23">
        <v>2.33</v>
      </c>
      <c r="AD450" t="str">
        <f>IF(AND('CVD Dataset'!AA450="Normal",'CVD Dataset'!AB450&gt;AVERAGE('CVD Dataset'!AB:AB),'CVD Dataset'!AF450="High"),"High Lipid Category","Normal Category")</f>
        <v>Normal Category</v>
      </c>
      <c r="AE450">
        <v>16.239999999999998</v>
      </c>
      <c r="AF450" t="s">
        <v>28</v>
      </c>
      <c r="AG450">
        <v>0</v>
      </c>
      <c r="AH450" t="s">
        <v>1380</v>
      </c>
      <c r="AI450">
        <f t="shared" si="27"/>
        <v>0</v>
      </c>
      <c r="AJ450" t="s">
        <v>1391</v>
      </c>
    </row>
    <row r="451" spans="1:36" x14ac:dyDescent="0.3">
      <c r="A451" t="s">
        <v>33</v>
      </c>
      <c r="B451">
        <v>53</v>
      </c>
      <c r="C451">
        <v>62.3</v>
      </c>
      <c r="D451">
        <v>1.84</v>
      </c>
      <c r="E451">
        <v>18.399999999999999</v>
      </c>
      <c r="F451">
        <f t="shared" ref="F451:F514" si="29">IFERROR(C451/POWER(D451,2),"")</f>
        <v>18.401465028355386</v>
      </c>
      <c r="G451">
        <f t="shared" si="28"/>
        <v>0</v>
      </c>
      <c r="H451" t="s">
        <v>1401</v>
      </c>
      <c r="I451">
        <v>90.9</v>
      </c>
      <c r="J451" t="s">
        <v>444</v>
      </c>
      <c r="K451" s="24">
        <v>95</v>
      </c>
      <c r="L451" s="24">
        <v>94</v>
      </c>
      <c r="M451">
        <v>208</v>
      </c>
      <c r="N451" t="s">
        <v>1432</v>
      </c>
      <c r="O451">
        <v>30</v>
      </c>
      <c r="P451">
        <v>101</v>
      </c>
      <c r="Q451" t="s">
        <v>25</v>
      </c>
      <c r="R451" t="s">
        <v>24</v>
      </c>
      <c r="S451" t="s">
        <v>26</v>
      </c>
      <c r="T451" t="s">
        <v>25</v>
      </c>
      <c r="U451">
        <f t="shared" ref="U451:U514" si="30">SUM(IF(Q451="Y",1,0),IF(R451="Y",1,0),IF(S451="Low",1,0),IF(T451="Y",1,0))</f>
        <v>3</v>
      </c>
      <c r="V451">
        <v>184</v>
      </c>
      <c r="W451">
        <v>0.49399999999999999</v>
      </c>
      <c r="X451" t="s">
        <v>1406</v>
      </c>
      <c r="Y451">
        <v>95</v>
      </c>
      <c r="Z451">
        <v>94</v>
      </c>
      <c r="AA451" t="s">
        <v>40</v>
      </c>
      <c r="AB451">
        <v>148</v>
      </c>
      <c r="AC451" s="23">
        <v>4.93</v>
      </c>
      <c r="AD451" t="str">
        <f>IF(AND('CVD Dataset'!AA451="Normal",'CVD Dataset'!AB451&gt;AVERAGE('CVD Dataset'!AB:AB),'CVD Dataset'!AF451="High"),"High Lipid Category","Normal Category")</f>
        <v>Normal Category</v>
      </c>
      <c r="AE451">
        <v>12.59</v>
      </c>
      <c r="AF451" t="s">
        <v>32</v>
      </c>
      <c r="AG451">
        <v>0</v>
      </c>
      <c r="AH451" t="s">
        <v>1379</v>
      </c>
      <c r="AI451">
        <f t="shared" ref="AI451:AI514" si="31">IF(AF451="HIGH",1,0)</f>
        <v>1</v>
      </c>
      <c r="AJ451" t="s">
        <v>1391</v>
      </c>
    </row>
    <row r="452" spans="1:36" x14ac:dyDescent="0.3">
      <c r="A452" t="s">
        <v>22</v>
      </c>
      <c r="B452">
        <v>54</v>
      </c>
      <c r="C452">
        <v>78.2</v>
      </c>
      <c r="D452">
        <v>1.83</v>
      </c>
      <c r="E452">
        <v>23.4</v>
      </c>
      <c r="F452">
        <f t="shared" si="29"/>
        <v>23.350951058556539</v>
      </c>
      <c r="G452">
        <f t="shared" si="28"/>
        <v>0</v>
      </c>
      <c r="H452" t="s">
        <v>1398</v>
      </c>
      <c r="I452">
        <v>82.8</v>
      </c>
      <c r="J452" t="s">
        <v>445</v>
      </c>
      <c r="K452" s="24">
        <v>116</v>
      </c>
      <c r="L452" s="24">
        <v>86</v>
      </c>
      <c r="M452">
        <v>180</v>
      </c>
      <c r="N452" t="s">
        <v>1433</v>
      </c>
      <c r="O452">
        <v>33</v>
      </c>
      <c r="P452">
        <v>89</v>
      </c>
      <c r="Q452" t="s">
        <v>25</v>
      </c>
      <c r="R452" t="s">
        <v>24</v>
      </c>
      <c r="S452" t="s">
        <v>39</v>
      </c>
      <c r="T452" t="s">
        <v>25</v>
      </c>
      <c r="U452">
        <f t="shared" si="30"/>
        <v>2</v>
      </c>
      <c r="V452">
        <v>183</v>
      </c>
      <c r="W452">
        <v>0.45200000000000001</v>
      </c>
      <c r="X452" t="s">
        <v>1408</v>
      </c>
      <c r="Y452">
        <v>116</v>
      </c>
      <c r="Z452">
        <v>86</v>
      </c>
      <c r="AA452" t="s">
        <v>31</v>
      </c>
      <c r="AB452">
        <v>117</v>
      </c>
      <c r="AC452" s="23">
        <v>3.55</v>
      </c>
      <c r="AD452" t="str">
        <f>IF(AND('CVD Dataset'!AA452="Normal",'CVD Dataset'!AB452&gt;AVERAGE('CVD Dataset'!AB:AB),'CVD Dataset'!AF452="High"),"High Lipid Category","Normal Category")</f>
        <v>Normal Category</v>
      </c>
      <c r="AE452">
        <v>14.08</v>
      </c>
      <c r="AF452" t="s">
        <v>32</v>
      </c>
      <c r="AG452">
        <v>0</v>
      </c>
      <c r="AH452" t="s">
        <v>1379</v>
      </c>
      <c r="AI452">
        <f t="shared" si="31"/>
        <v>1</v>
      </c>
      <c r="AJ452" t="s">
        <v>1391</v>
      </c>
    </row>
    <row r="453" spans="1:36" x14ac:dyDescent="0.3">
      <c r="A453" t="s">
        <v>33</v>
      </c>
      <c r="B453">
        <v>48</v>
      </c>
      <c r="C453">
        <v>50.1</v>
      </c>
      <c r="D453">
        <v>1.77</v>
      </c>
      <c r="E453">
        <v>16</v>
      </c>
      <c r="F453">
        <f t="shared" si="29"/>
        <v>15.991573302690798</v>
      </c>
      <c r="G453">
        <f t="shared" si="28"/>
        <v>0</v>
      </c>
      <c r="H453" t="s">
        <v>1401</v>
      </c>
      <c r="I453">
        <v>104.1</v>
      </c>
      <c r="J453" t="s">
        <v>446</v>
      </c>
      <c r="K453" s="24">
        <v>146</v>
      </c>
      <c r="L453" s="24">
        <v>95</v>
      </c>
      <c r="M453">
        <v>210</v>
      </c>
      <c r="N453" t="s">
        <v>1432</v>
      </c>
      <c r="O453">
        <v>70</v>
      </c>
      <c r="P453">
        <v>108</v>
      </c>
      <c r="Q453" t="s">
        <v>24</v>
      </c>
      <c r="R453" t="s">
        <v>24</v>
      </c>
      <c r="S453" t="s">
        <v>26</v>
      </c>
      <c r="T453" t="s">
        <v>25</v>
      </c>
      <c r="U453">
        <f t="shared" si="30"/>
        <v>2</v>
      </c>
      <c r="V453">
        <v>177</v>
      </c>
      <c r="W453">
        <v>0.58799999999999997</v>
      </c>
      <c r="X453" t="s">
        <v>1409</v>
      </c>
      <c r="Y453">
        <v>146</v>
      </c>
      <c r="AA453" t="s">
        <v>40</v>
      </c>
      <c r="AB453">
        <v>110</v>
      </c>
      <c r="AC453" s="23">
        <v>1.57</v>
      </c>
      <c r="AD453" t="str">
        <f>IF(AND('CVD Dataset'!AA453="Normal",'CVD Dataset'!AB453&gt;AVERAGE('CVD Dataset'!AB:AB),'CVD Dataset'!AF453="High"),"High Lipid Category","Normal Category")</f>
        <v>Normal Category</v>
      </c>
      <c r="AF453" t="s">
        <v>32</v>
      </c>
      <c r="AG453">
        <v>1</v>
      </c>
      <c r="AH453" t="s">
        <v>1379</v>
      </c>
      <c r="AI453">
        <f t="shared" si="31"/>
        <v>1</v>
      </c>
      <c r="AJ453" t="s">
        <v>1391</v>
      </c>
    </row>
    <row r="454" spans="1:36" x14ac:dyDescent="0.3">
      <c r="A454" t="s">
        <v>33</v>
      </c>
      <c r="B454">
        <v>36</v>
      </c>
      <c r="C454">
        <v>53.9</v>
      </c>
      <c r="D454">
        <v>1.67</v>
      </c>
      <c r="E454">
        <v>19.3</v>
      </c>
      <c r="F454">
        <f t="shared" si="29"/>
        <v>19.326616228620605</v>
      </c>
      <c r="G454">
        <f t="shared" si="28"/>
        <v>0</v>
      </c>
      <c r="H454" t="s">
        <v>1398</v>
      </c>
      <c r="I454">
        <v>79.3</v>
      </c>
      <c r="J454" t="s">
        <v>34</v>
      </c>
      <c r="K454" s="24">
        <v>104</v>
      </c>
      <c r="L454" s="24">
        <v>77</v>
      </c>
      <c r="M454">
        <v>193</v>
      </c>
      <c r="N454" t="s">
        <v>1432</v>
      </c>
      <c r="O454">
        <v>69</v>
      </c>
      <c r="P454">
        <v>131</v>
      </c>
      <c r="Q454" t="s">
        <v>25</v>
      </c>
      <c r="R454" t="s">
        <v>25</v>
      </c>
      <c r="S454" t="s">
        <v>26</v>
      </c>
      <c r="T454" t="s">
        <v>25</v>
      </c>
      <c r="U454">
        <f t="shared" si="30"/>
        <v>4</v>
      </c>
      <c r="V454">
        <v>167</v>
      </c>
      <c r="W454">
        <v>0.47499999999999998</v>
      </c>
      <c r="X454" t="s">
        <v>1406</v>
      </c>
      <c r="Y454">
        <v>104</v>
      </c>
      <c r="Z454">
        <v>77</v>
      </c>
      <c r="AA454" t="s">
        <v>35</v>
      </c>
      <c r="AB454">
        <v>94</v>
      </c>
      <c r="AC454" s="23">
        <v>1.36</v>
      </c>
      <c r="AD454" t="str">
        <f>IF(AND('CVD Dataset'!AA454="Normal",'CVD Dataset'!AB454&gt;AVERAGE('CVD Dataset'!AB:AB),'CVD Dataset'!AF454="High"),"High Lipid Category","Normal Category")</f>
        <v>Normal Category</v>
      </c>
      <c r="AE454">
        <v>14.92</v>
      </c>
      <c r="AF454" t="s">
        <v>32</v>
      </c>
      <c r="AG454">
        <v>1</v>
      </c>
      <c r="AH454" t="s">
        <v>1379</v>
      </c>
      <c r="AI454">
        <f t="shared" si="31"/>
        <v>1</v>
      </c>
      <c r="AJ454" t="s">
        <v>1391</v>
      </c>
    </row>
    <row r="455" spans="1:36" x14ac:dyDescent="0.3">
      <c r="A455" t="s">
        <v>33</v>
      </c>
      <c r="B455">
        <v>52</v>
      </c>
      <c r="C455">
        <v>59</v>
      </c>
      <c r="D455">
        <v>1.86</v>
      </c>
      <c r="E455">
        <v>17.100000000000001</v>
      </c>
      <c r="F455">
        <f t="shared" si="29"/>
        <v>17.053994681466062</v>
      </c>
      <c r="G455">
        <f t="shared" si="28"/>
        <v>0</v>
      </c>
      <c r="H455" t="s">
        <v>1401</v>
      </c>
      <c r="I455">
        <v>92</v>
      </c>
      <c r="J455" t="s">
        <v>94</v>
      </c>
      <c r="K455" s="24">
        <v>98</v>
      </c>
      <c r="L455" s="24">
        <v>73</v>
      </c>
      <c r="M455">
        <v>156</v>
      </c>
      <c r="N455" t="s">
        <v>1433</v>
      </c>
      <c r="P455">
        <v>134</v>
      </c>
      <c r="Q455" t="s">
        <v>24</v>
      </c>
      <c r="R455" t="s">
        <v>25</v>
      </c>
      <c r="S455" t="s">
        <v>26</v>
      </c>
      <c r="T455" t="s">
        <v>24</v>
      </c>
      <c r="U455">
        <f t="shared" si="30"/>
        <v>2</v>
      </c>
      <c r="V455">
        <v>186</v>
      </c>
      <c r="W455">
        <v>0.495</v>
      </c>
      <c r="X455" t="s">
        <v>1406</v>
      </c>
      <c r="Y455">
        <v>98</v>
      </c>
      <c r="Z455">
        <v>73</v>
      </c>
      <c r="AA455" t="s">
        <v>35</v>
      </c>
      <c r="AB455">
        <v>81</v>
      </c>
      <c r="AC455" s="23" t="s">
        <v>1410</v>
      </c>
      <c r="AD455" t="str">
        <f>IF(AND('CVD Dataset'!AA455="Normal",'CVD Dataset'!AB455&gt;AVERAGE('CVD Dataset'!AB:AB),'CVD Dataset'!AF455="High"),"High Lipid Category","Normal Category")</f>
        <v>Normal Category</v>
      </c>
      <c r="AE455">
        <v>13.44</v>
      </c>
      <c r="AF455" t="s">
        <v>28</v>
      </c>
      <c r="AG455">
        <v>0</v>
      </c>
      <c r="AH455" t="s">
        <v>1380</v>
      </c>
      <c r="AI455">
        <f t="shared" si="31"/>
        <v>0</v>
      </c>
      <c r="AJ455" t="s">
        <v>1391</v>
      </c>
    </row>
    <row r="456" spans="1:36" x14ac:dyDescent="0.3">
      <c r="A456" t="s">
        <v>33</v>
      </c>
      <c r="B456">
        <v>39</v>
      </c>
      <c r="C456">
        <v>109.9</v>
      </c>
      <c r="D456">
        <v>1.8</v>
      </c>
      <c r="E456">
        <v>33.9</v>
      </c>
      <c r="F456">
        <f t="shared" si="29"/>
        <v>33.919753086419753</v>
      </c>
      <c r="G456">
        <f t="shared" si="28"/>
        <v>0</v>
      </c>
      <c r="H456" t="s">
        <v>1399</v>
      </c>
      <c r="I456">
        <v>89.4</v>
      </c>
      <c r="J456" t="s">
        <v>447</v>
      </c>
      <c r="K456" s="24">
        <v>130</v>
      </c>
      <c r="L456" s="24">
        <v>94</v>
      </c>
      <c r="M456">
        <v>267</v>
      </c>
      <c r="N456" t="s">
        <v>1432</v>
      </c>
      <c r="O456">
        <v>35</v>
      </c>
      <c r="P456">
        <v>116</v>
      </c>
      <c r="Q456" t="s">
        <v>25</v>
      </c>
      <c r="R456" t="s">
        <v>24</v>
      </c>
      <c r="S456" t="s">
        <v>26</v>
      </c>
      <c r="T456" t="s">
        <v>25</v>
      </c>
      <c r="U456">
        <f t="shared" si="30"/>
        <v>3</v>
      </c>
      <c r="V456">
        <v>180</v>
      </c>
      <c r="W456">
        <v>0.497</v>
      </c>
      <c r="X456" t="s">
        <v>1406</v>
      </c>
      <c r="Y456">
        <v>130</v>
      </c>
      <c r="Z456">
        <v>94</v>
      </c>
      <c r="AA456" t="s">
        <v>31</v>
      </c>
      <c r="AB456">
        <v>202</v>
      </c>
      <c r="AC456" s="23">
        <v>5.77</v>
      </c>
      <c r="AD456" t="str">
        <f>IF(AND('CVD Dataset'!AA456="Normal",'CVD Dataset'!AB456&gt;AVERAGE('CVD Dataset'!AB:AB),'CVD Dataset'!AF456="High"),"High Lipid Category","Normal Category")</f>
        <v>Normal Category</v>
      </c>
      <c r="AE456">
        <v>18.62</v>
      </c>
      <c r="AF456" t="s">
        <v>32</v>
      </c>
      <c r="AG456">
        <v>0</v>
      </c>
      <c r="AH456" t="s">
        <v>1379</v>
      </c>
      <c r="AI456">
        <f t="shared" si="31"/>
        <v>1</v>
      </c>
      <c r="AJ456" t="s">
        <v>1391</v>
      </c>
    </row>
    <row r="457" spans="1:36" x14ac:dyDescent="0.3">
      <c r="A457" t="s">
        <v>33</v>
      </c>
      <c r="B457">
        <v>38</v>
      </c>
      <c r="C457">
        <v>109.2</v>
      </c>
      <c r="D457">
        <v>1.87</v>
      </c>
      <c r="E457">
        <v>31.2</v>
      </c>
      <c r="F457">
        <f t="shared" si="29"/>
        <v>31.227658783493947</v>
      </c>
      <c r="G457">
        <f t="shared" si="28"/>
        <v>0</v>
      </c>
      <c r="H457" t="s">
        <v>1399</v>
      </c>
      <c r="I457">
        <v>81</v>
      </c>
      <c r="J457" t="s">
        <v>448</v>
      </c>
      <c r="K457" s="24">
        <v>129</v>
      </c>
      <c r="L457" s="24">
        <v>61</v>
      </c>
      <c r="M457">
        <v>159</v>
      </c>
      <c r="N457" t="s">
        <v>1433</v>
      </c>
      <c r="O457">
        <v>51</v>
      </c>
      <c r="P457">
        <v>123</v>
      </c>
      <c r="Q457" t="s">
        <v>24</v>
      </c>
      <c r="R457" t="s">
        <v>24</v>
      </c>
      <c r="S457" t="s">
        <v>30</v>
      </c>
      <c r="T457" t="s">
        <v>25</v>
      </c>
      <c r="U457">
        <f t="shared" si="30"/>
        <v>1</v>
      </c>
      <c r="V457">
        <v>187</v>
      </c>
      <c r="W457">
        <v>0.433</v>
      </c>
      <c r="X457" t="s">
        <v>1408</v>
      </c>
      <c r="Y457">
        <v>129</v>
      </c>
      <c r="Z457">
        <v>61</v>
      </c>
      <c r="AA457" t="s">
        <v>27</v>
      </c>
      <c r="AB457">
        <v>78</v>
      </c>
      <c r="AC457" s="23">
        <v>1.53</v>
      </c>
      <c r="AD457" t="str">
        <f>IF(AND('CVD Dataset'!AA457="Normal",'CVD Dataset'!AB457&gt;AVERAGE('CVD Dataset'!AB:AB),'CVD Dataset'!AF457="High"),"High Lipid Category","Normal Category")</f>
        <v>Normal Category</v>
      </c>
      <c r="AE457">
        <v>15.87</v>
      </c>
      <c r="AF457" t="s">
        <v>28</v>
      </c>
      <c r="AG457">
        <v>0</v>
      </c>
      <c r="AH457" t="s">
        <v>1380</v>
      </c>
      <c r="AI457">
        <f t="shared" si="31"/>
        <v>0</v>
      </c>
      <c r="AJ457" t="s">
        <v>1391</v>
      </c>
    </row>
    <row r="458" spans="1:36" x14ac:dyDescent="0.3">
      <c r="A458" t="s">
        <v>33</v>
      </c>
      <c r="B458">
        <v>38</v>
      </c>
      <c r="C458">
        <v>58.8</v>
      </c>
      <c r="D458">
        <v>1.79</v>
      </c>
      <c r="E458">
        <v>18.399999999999999</v>
      </c>
      <c r="F458">
        <f t="shared" si="29"/>
        <v>18.35148715707999</v>
      </c>
      <c r="G458">
        <f t="shared" si="28"/>
        <v>0</v>
      </c>
      <c r="H458" t="s">
        <v>1401</v>
      </c>
      <c r="I458">
        <v>93.6</v>
      </c>
      <c r="J458" t="s">
        <v>449</v>
      </c>
      <c r="K458" s="24">
        <v>112</v>
      </c>
      <c r="L458" s="24">
        <v>85</v>
      </c>
      <c r="M458">
        <v>201</v>
      </c>
      <c r="N458" t="s">
        <v>1432</v>
      </c>
      <c r="O458">
        <v>57</v>
      </c>
      <c r="P458">
        <v>103</v>
      </c>
      <c r="Q458" t="s">
        <v>25</v>
      </c>
      <c r="R458" t="s">
        <v>24</v>
      </c>
      <c r="S458" t="s">
        <v>39</v>
      </c>
      <c r="T458" t="s">
        <v>24</v>
      </c>
      <c r="U458">
        <f t="shared" si="30"/>
        <v>1</v>
      </c>
      <c r="V458">
        <v>179</v>
      </c>
      <c r="W458">
        <v>0.52300000000000002</v>
      </c>
      <c r="X458" t="s">
        <v>1407</v>
      </c>
      <c r="Z458">
        <v>85</v>
      </c>
      <c r="AA458" t="s">
        <v>31</v>
      </c>
      <c r="AB458">
        <v>114</v>
      </c>
      <c r="AC458" s="23">
        <v>2</v>
      </c>
      <c r="AD458" t="str">
        <f>IF(AND('CVD Dataset'!AA458="Normal",'CVD Dataset'!AB458&gt;AVERAGE('CVD Dataset'!AB:AB),'CVD Dataset'!AF458="High"),"High Lipid Category","Normal Category")</f>
        <v>Normal Category</v>
      </c>
      <c r="AE458">
        <v>13.3</v>
      </c>
      <c r="AF458" t="s">
        <v>28</v>
      </c>
      <c r="AG458">
        <v>0</v>
      </c>
      <c r="AH458" t="s">
        <v>1380</v>
      </c>
      <c r="AI458">
        <f t="shared" si="31"/>
        <v>0</v>
      </c>
      <c r="AJ458" t="s">
        <v>1391</v>
      </c>
    </row>
    <row r="459" spans="1:36" x14ac:dyDescent="0.3">
      <c r="A459" t="s">
        <v>22</v>
      </c>
      <c r="B459">
        <v>57</v>
      </c>
      <c r="C459">
        <v>80</v>
      </c>
      <c r="D459">
        <v>1.61</v>
      </c>
      <c r="E459">
        <v>30.9</v>
      </c>
      <c r="F459">
        <f t="shared" si="29"/>
        <v>30.863006828440259</v>
      </c>
      <c r="G459">
        <f t="shared" si="28"/>
        <v>0</v>
      </c>
      <c r="H459" t="s">
        <v>1399</v>
      </c>
      <c r="I459">
        <v>93</v>
      </c>
      <c r="J459" t="s">
        <v>450</v>
      </c>
      <c r="K459" s="24">
        <v>112</v>
      </c>
      <c r="L459" s="24">
        <v>71</v>
      </c>
      <c r="M459">
        <v>296</v>
      </c>
      <c r="N459" t="s">
        <v>1432</v>
      </c>
      <c r="O459">
        <v>67</v>
      </c>
      <c r="P459">
        <v>101</v>
      </c>
      <c r="Q459" t="s">
        <v>25</v>
      </c>
      <c r="R459" t="s">
        <v>24</v>
      </c>
      <c r="S459" t="s">
        <v>26</v>
      </c>
      <c r="T459" t="s">
        <v>24</v>
      </c>
      <c r="U459">
        <f t="shared" si="30"/>
        <v>2</v>
      </c>
      <c r="V459">
        <v>161</v>
      </c>
      <c r="W459">
        <v>0.57799999999999996</v>
      </c>
      <c r="X459" t="s">
        <v>1407</v>
      </c>
      <c r="Y459">
        <v>112</v>
      </c>
      <c r="Z459">
        <v>71</v>
      </c>
      <c r="AA459" t="s">
        <v>35</v>
      </c>
      <c r="AB459">
        <v>199</v>
      </c>
      <c r="AC459" s="23">
        <v>2.97</v>
      </c>
      <c r="AD459" t="str">
        <f>IF(AND('CVD Dataset'!AA459="Normal",'CVD Dataset'!AB459&gt;AVERAGE('CVD Dataset'!AB:AB),'CVD Dataset'!AF459="High"),"High Lipid Category","Normal Category")</f>
        <v>High Lipid Category</v>
      </c>
      <c r="AE459">
        <v>17.7</v>
      </c>
      <c r="AF459" t="s">
        <v>32</v>
      </c>
      <c r="AG459">
        <v>1</v>
      </c>
      <c r="AH459" t="s">
        <v>1379</v>
      </c>
      <c r="AI459">
        <f t="shared" si="31"/>
        <v>1</v>
      </c>
      <c r="AJ459" t="s">
        <v>1391</v>
      </c>
    </row>
    <row r="460" spans="1:36" x14ac:dyDescent="0.3">
      <c r="A460" t="s">
        <v>33</v>
      </c>
      <c r="B460">
        <v>44</v>
      </c>
      <c r="C460">
        <v>63.7</v>
      </c>
      <c r="D460">
        <v>1.86</v>
      </c>
      <c r="F460">
        <f t="shared" si="29"/>
        <v>18.412533240837089</v>
      </c>
      <c r="G460">
        <f t="shared" si="28"/>
        <v>1</v>
      </c>
      <c r="H460" t="s">
        <v>1401</v>
      </c>
      <c r="I460">
        <v>70.5</v>
      </c>
      <c r="J460" t="s">
        <v>451</v>
      </c>
      <c r="K460" s="24">
        <v>123</v>
      </c>
      <c r="L460" s="24">
        <v>83</v>
      </c>
      <c r="M460">
        <v>262</v>
      </c>
      <c r="N460" t="s">
        <v>1432</v>
      </c>
      <c r="O460">
        <v>48</v>
      </c>
      <c r="P460">
        <v>106</v>
      </c>
      <c r="Q460" t="s">
        <v>25</v>
      </c>
      <c r="R460" t="s">
        <v>24</v>
      </c>
      <c r="S460" t="s">
        <v>30</v>
      </c>
      <c r="T460" t="s">
        <v>24</v>
      </c>
      <c r="U460">
        <f t="shared" si="30"/>
        <v>1</v>
      </c>
      <c r="V460">
        <v>186</v>
      </c>
      <c r="W460">
        <v>0.379</v>
      </c>
      <c r="X460" t="s">
        <v>1408</v>
      </c>
      <c r="Y460">
        <v>123</v>
      </c>
      <c r="Z460">
        <v>83</v>
      </c>
      <c r="AA460" t="s">
        <v>31</v>
      </c>
      <c r="AB460">
        <v>184</v>
      </c>
      <c r="AC460" s="23">
        <v>3.83</v>
      </c>
      <c r="AD460" t="str">
        <f>IF(AND('CVD Dataset'!AA460="Normal",'CVD Dataset'!AB460&gt;AVERAGE('CVD Dataset'!AB:AB),'CVD Dataset'!AF460="High"),"High Lipid Category","Normal Category")</f>
        <v>Normal Category</v>
      </c>
      <c r="AE460">
        <v>15.07</v>
      </c>
      <c r="AF460" t="s">
        <v>28</v>
      </c>
      <c r="AG460">
        <v>0</v>
      </c>
      <c r="AH460" t="s">
        <v>1380</v>
      </c>
      <c r="AI460">
        <f t="shared" si="31"/>
        <v>0</v>
      </c>
      <c r="AJ460" t="s">
        <v>1391</v>
      </c>
    </row>
    <row r="461" spans="1:36" x14ac:dyDescent="0.3">
      <c r="A461" t="s">
        <v>22</v>
      </c>
      <c r="C461">
        <v>65.8</v>
      </c>
      <c r="D461">
        <v>1.9</v>
      </c>
      <c r="E461">
        <v>18.2</v>
      </c>
      <c r="F461">
        <f t="shared" si="29"/>
        <v>18.227146814404431</v>
      </c>
      <c r="G461">
        <f t="shared" si="28"/>
        <v>0</v>
      </c>
      <c r="H461" t="s">
        <v>1401</v>
      </c>
      <c r="I461">
        <v>102.8</v>
      </c>
      <c r="J461" t="s">
        <v>452</v>
      </c>
      <c r="K461" s="24">
        <v>116</v>
      </c>
      <c r="L461" s="24">
        <v>89</v>
      </c>
      <c r="M461">
        <v>136</v>
      </c>
      <c r="N461" t="s">
        <v>1434</v>
      </c>
      <c r="O461">
        <v>35</v>
      </c>
      <c r="P461">
        <v>128</v>
      </c>
      <c r="Q461" t="s">
        <v>24</v>
      </c>
      <c r="R461" t="s">
        <v>24</v>
      </c>
      <c r="S461" t="s">
        <v>39</v>
      </c>
      <c r="T461" t="s">
        <v>25</v>
      </c>
      <c r="U461">
        <f t="shared" si="30"/>
        <v>1</v>
      </c>
      <c r="V461">
        <v>190</v>
      </c>
      <c r="W461">
        <v>0.54100000000000004</v>
      </c>
      <c r="X461" t="s">
        <v>1407</v>
      </c>
      <c r="Y461">
        <v>116</v>
      </c>
      <c r="Z461">
        <v>89</v>
      </c>
      <c r="AA461" t="s">
        <v>31</v>
      </c>
      <c r="AB461">
        <v>71</v>
      </c>
      <c r="AC461" s="23">
        <v>2.0299999999999998</v>
      </c>
      <c r="AD461" t="str">
        <f>IF(AND('CVD Dataset'!AA461="Normal",'CVD Dataset'!AB461&gt;AVERAGE('CVD Dataset'!AB:AB),'CVD Dataset'!AF461="High"),"High Lipid Category","Normal Category")</f>
        <v>Normal Category</v>
      </c>
      <c r="AE461">
        <v>12.16</v>
      </c>
      <c r="AF461" t="s">
        <v>28</v>
      </c>
      <c r="AG461">
        <v>0</v>
      </c>
      <c r="AH461" t="s">
        <v>1380</v>
      </c>
      <c r="AI461">
        <f t="shared" si="31"/>
        <v>0</v>
      </c>
      <c r="AJ461" t="s">
        <v>1391</v>
      </c>
    </row>
    <row r="462" spans="1:36" x14ac:dyDescent="0.3">
      <c r="A462" t="s">
        <v>22</v>
      </c>
      <c r="B462">
        <v>46</v>
      </c>
      <c r="C462">
        <v>96.9</v>
      </c>
      <c r="D462">
        <v>1.81</v>
      </c>
      <c r="E462">
        <v>29.6</v>
      </c>
      <c r="F462">
        <f t="shared" si="29"/>
        <v>29.577851713928148</v>
      </c>
      <c r="G462">
        <f t="shared" si="28"/>
        <v>0</v>
      </c>
      <c r="H462" t="s">
        <v>1400</v>
      </c>
      <c r="I462">
        <v>77.599999999999994</v>
      </c>
      <c r="J462" t="s">
        <v>453</v>
      </c>
      <c r="K462" s="24">
        <v>122</v>
      </c>
      <c r="L462" s="24">
        <v>91</v>
      </c>
      <c r="M462">
        <v>167</v>
      </c>
      <c r="N462" t="s">
        <v>1433</v>
      </c>
      <c r="O462">
        <v>49</v>
      </c>
      <c r="P462">
        <v>111</v>
      </c>
      <c r="Q462" t="s">
        <v>25</v>
      </c>
      <c r="R462" t="s">
        <v>24</v>
      </c>
      <c r="S462" t="s">
        <v>30</v>
      </c>
      <c r="T462" t="s">
        <v>25</v>
      </c>
      <c r="U462">
        <f t="shared" si="30"/>
        <v>2</v>
      </c>
      <c r="V462">
        <v>181</v>
      </c>
      <c r="W462">
        <v>0.42899999999999999</v>
      </c>
      <c r="X462" t="s">
        <v>1408</v>
      </c>
      <c r="Y462">
        <v>122</v>
      </c>
      <c r="Z462">
        <v>91</v>
      </c>
      <c r="AA462" t="s">
        <v>40</v>
      </c>
      <c r="AB462">
        <v>88</v>
      </c>
      <c r="AC462" s="23">
        <v>1.8</v>
      </c>
      <c r="AD462" t="str">
        <f>IF(AND('CVD Dataset'!AA462="Normal",'CVD Dataset'!AB462&gt;AVERAGE('CVD Dataset'!AB:AB),'CVD Dataset'!AF462="High"),"High Lipid Category","Normal Category")</f>
        <v>Normal Category</v>
      </c>
      <c r="AE462">
        <v>15.36</v>
      </c>
      <c r="AF462" t="s">
        <v>32</v>
      </c>
      <c r="AG462">
        <v>0</v>
      </c>
      <c r="AH462" t="s">
        <v>1379</v>
      </c>
      <c r="AI462">
        <f t="shared" si="31"/>
        <v>1</v>
      </c>
      <c r="AJ462" t="s">
        <v>1391</v>
      </c>
    </row>
    <row r="463" spans="1:36" x14ac:dyDescent="0.3">
      <c r="A463" t="s">
        <v>33</v>
      </c>
      <c r="B463">
        <v>39</v>
      </c>
      <c r="C463">
        <v>102.5</v>
      </c>
      <c r="D463">
        <v>1.87</v>
      </c>
      <c r="E463">
        <v>29.3</v>
      </c>
      <c r="F463">
        <f t="shared" si="29"/>
        <v>29.311676055935251</v>
      </c>
      <c r="G463">
        <f t="shared" ref="G463:G526" si="32">IFERROR(IF(ABS(E463 - F463) &lt;= 0.1, 0, 1),"")</f>
        <v>0</v>
      </c>
      <c r="H463" t="s">
        <v>1400</v>
      </c>
      <c r="I463">
        <v>97.3</v>
      </c>
      <c r="J463" t="s">
        <v>454</v>
      </c>
      <c r="K463" s="24">
        <v>99</v>
      </c>
      <c r="L463" s="24">
        <v>89</v>
      </c>
      <c r="M463">
        <v>239</v>
      </c>
      <c r="N463" t="s">
        <v>1432</v>
      </c>
      <c r="O463">
        <v>41</v>
      </c>
      <c r="P463">
        <v>118</v>
      </c>
      <c r="Q463" t="s">
        <v>25</v>
      </c>
      <c r="R463" t="s">
        <v>24</v>
      </c>
      <c r="S463" t="s">
        <v>39</v>
      </c>
      <c r="T463" t="s">
        <v>24</v>
      </c>
      <c r="U463">
        <f t="shared" si="30"/>
        <v>1</v>
      </c>
      <c r="V463">
        <v>187</v>
      </c>
      <c r="W463">
        <v>0.52</v>
      </c>
      <c r="X463" t="s">
        <v>1406</v>
      </c>
      <c r="Y463">
        <v>99</v>
      </c>
      <c r="Z463">
        <v>89</v>
      </c>
      <c r="AA463" t="s">
        <v>31</v>
      </c>
      <c r="AC463" s="23">
        <v>0</v>
      </c>
      <c r="AD463" t="str">
        <f>IF(AND('CVD Dataset'!AA463="Normal",'CVD Dataset'!AB463&gt;AVERAGE('CVD Dataset'!AB:AB),'CVD Dataset'!AF463="High"),"High Lipid Category","Normal Category")</f>
        <v>Normal Category</v>
      </c>
      <c r="AE463">
        <v>15.59</v>
      </c>
      <c r="AF463" t="s">
        <v>28</v>
      </c>
      <c r="AG463">
        <v>0</v>
      </c>
      <c r="AH463" t="s">
        <v>1380</v>
      </c>
      <c r="AI463">
        <f t="shared" si="31"/>
        <v>0</v>
      </c>
      <c r="AJ463" t="s">
        <v>1391</v>
      </c>
    </row>
    <row r="464" spans="1:36" x14ac:dyDescent="0.3">
      <c r="A464" t="s">
        <v>33</v>
      </c>
      <c r="B464">
        <v>60</v>
      </c>
      <c r="D464">
        <v>1.77</v>
      </c>
      <c r="E464">
        <v>32.799999999999997</v>
      </c>
      <c r="F464">
        <f t="shared" si="29"/>
        <v>0</v>
      </c>
      <c r="G464">
        <f t="shared" si="32"/>
        <v>1</v>
      </c>
      <c r="H464" t="s">
        <v>1399</v>
      </c>
      <c r="I464">
        <v>102.9</v>
      </c>
      <c r="J464" t="s">
        <v>455</v>
      </c>
      <c r="K464" s="24">
        <v>102</v>
      </c>
      <c r="L464" s="24">
        <v>93</v>
      </c>
      <c r="M464">
        <v>235</v>
      </c>
      <c r="N464" t="s">
        <v>1432</v>
      </c>
      <c r="O464">
        <v>68</v>
      </c>
      <c r="P464">
        <v>126</v>
      </c>
      <c r="Q464" t="s">
        <v>25</v>
      </c>
      <c r="R464" t="s">
        <v>25</v>
      </c>
      <c r="S464" t="s">
        <v>30</v>
      </c>
      <c r="T464" t="s">
        <v>24</v>
      </c>
      <c r="U464">
        <f t="shared" si="30"/>
        <v>2</v>
      </c>
      <c r="V464">
        <v>177</v>
      </c>
      <c r="W464">
        <v>0.58099999999999996</v>
      </c>
      <c r="X464" t="s">
        <v>1407</v>
      </c>
      <c r="Y464">
        <v>102</v>
      </c>
      <c r="Z464">
        <v>93</v>
      </c>
      <c r="AA464" t="s">
        <v>40</v>
      </c>
      <c r="AB464">
        <v>137</v>
      </c>
      <c r="AC464" s="23">
        <v>2.0099999999999998</v>
      </c>
      <c r="AD464" t="str">
        <f>IF(AND('CVD Dataset'!AA464="Normal",'CVD Dataset'!AB464&gt;AVERAGE('CVD Dataset'!AB:AB),'CVD Dataset'!AF464="High"),"High Lipid Category","Normal Category")</f>
        <v>Normal Category</v>
      </c>
      <c r="AE464">
        <v>18.36</v>
      </c>
      <c r="AF464" t="s">
        <v>32</v>
      </c>
      <c r="AG464">
        <v>1</v>
      </c>
      <c r="AH464" t="s">
        <v>1379</v>
      </c>
      <c r="AI464">
        <f t="shared" si="31"/>
        <v>1</v>
      </c>
      <c r="AJ464" t="s">
        <v>1392</v>
      </c>
    </row>
    <row r="465" spans="1:36" x14ac:dyDescent="0.3">
      <c r="A465" t="s">
        <v>22</v>
      </c>
      <c r="B465">
        <v>58</v>
      </c>
      <c r="C465">
        <v>111.7</v>
      </c>
      <c r="D465">
        <v>1.88</v>
      </c>
      <c r="E465">
        <v>31.6</v>
      </c>
      <c r="F465">
        <f t="shared" si="29"/>
        <v>31.603666817564513</v>
      </c>
      <c r="G465">
        <f t="shared" si="32"/>
        <v>0</v>
      </c>
      <c r="H465" t="s">
        <v>1399</v>
      </c>
      <c r="I465">
        <v>107.3</v>
      </c>
      <c r="J465" t="s">
        <v>456</v>
      </c>
      <c r="K465" s="24">
        <v>126</v>
      </c>
      <c r="L465" s="24">
        <v>66</v>
      </c>
      <c r="M465">
        <v>290</v>
      </c>
      <c r="N465" t="s">
        <v>1432</v>
      </c>
      <c r="O465">
        <v>46</v>
      </c>
      <c r="P465">
        <v>148</v>
      </c>
      <c r="Q465" t="s">
        <v>24</v>
      </c>
      <c r="R465" t="s">
        <v>24</v>
      </c>
      <c r="S465" t="s">
        <v>30</v>
      </c>
      <c r="T465" t="s">
        <v>25</v>
      </c>
      <c r="U465">
        <f t="shared" si="30"/>
        <v>1</v>
      </c>
      <c r="V465">
        <v>188</v>
      </c>
      <c r="X465" t="s">
        <v>1410</v>
      </c>
      <c r="Y465">
        <v>126</v>
      </c>
      <c r="AA465" t="s">
        <v>27</v>
      </c>
      <c r="AB465">
        <v>214</v>
      </c>
      <c r="AC465" s="23">
        <v>4.6500000000000004</v>
      </c>
      <c r="AD465" t="str">
        <f>IF(AND('CVD Dataset'!AA465="Normal",'CVD Dataset'!AB465&gt;AVERAGE('CVD Dataset'!AB:AB),'CVD Dataset'!AF465="High"),"High Lipid Category","Normal Category")</f>
        <v>Normal Category</v>
      </c>
      <c r="AE465">
        <v>18.420000000000002</v>
      </c>
      <c r="AF465" t="s">
        <v>32</v>
      </c>
      <c r="AG465">
        <v>0</v>
      </c>
      <c r="AH465" t="s">
        <v>1379</v>
      </c>
      <c r="AI465">
        <f t="shared" si="31"/>
        <v>1</v>
      </c>
      <c r="AJ465" t="s">
        <v>1391</v>
      </c>
    </row>
    <row r="466" spans="1:36" x14ac:dyDescent="0.3">
      <c r="A466" t="s">
        <v>33</v>
      </c>
      <c r="B466">
        <v>51</v>
      </c>
      <c r="C466">
        <v>116</v>
      </c>
      <c r="D466">
        <v>1.64</v>
      </c>
      <c r="E466">
        <v>43.1</v>
      </c>
      <c r="F466">
        <f t="shared" si="29"/>
        <v>43.129089827483647</v>
      </c>
      <c r="G466">
        <f t="shared" si="32"/>
        <v>0</v>
      </c>
      <c r="H466" t="s">
        <v>1399</v>
      </c>
      <c r="I466">
        <v>80.3</v>
      </c>
      <c r="J466" t="s">
        <v>412</v>
      </c>
      <c r="K466" s="24">
        <v>93</v>
      </c>
      <c r="L466" s="24">
        <v>78</v>
      </c>
      <c r="M466">
        <v>252</v>
      </c>
      <c r="N466" t="s">
        <v>1432</v>
      </c>
      <c r="O466">
        <v>49</v>
      </c>
      <c r="P466">
        <v>119</v>
      </c>
      <c r="Q466" t="s">
        <v>25</v>
      </c>
      <c r="R466" t="s">
        <v>25</v>
      </c>
      <c r="S466" t="s">
        <v>30</v>
      </c>
      <c r="T466" t="s">
        <v>24</v>
      </c>
      <c r="U466">
        <f t="shared" si="30"/>
        <v>2</v>
      </c>
      <c r="W466">
        <v>0.49</v>
      </c>
      <c r="X466" t="s">
        <v>1406</v>
      </c>
      <c r="Y466">
        <v>93</v>
      </c>
      <c r="Z466">
        <v>78</v>
      </c>
      <c r="AA466" t="s">
        <v>35</v>
      </c>
      <c r="AB466">
        <v>173</v>
      </c>
      <c r="AC466" s="23">
        <v>3.53</v>
      </c>
      <c r="AD466" t="str">
        <f>IF(AND('CVD Dataset'!AA466="Normal",'CVD Dataset'!AB466&gt;AVERAGE('CVD Dataset'!AB:AB),'CVD Dataset'!AF466="High"),"High Lipid Category","Normal Category")</f>
        <v>High Lipid Category</v>
      </c>
      <c r="AE466">
        <v>20.309999999999999</v>
      </c>
      <c r="AF466" t="s">
        <v>32</v>
      </c>
      <c r="AG466">
        <v>0</v>
      </c>
      <c r="AH466" t="s">
        <v>1379</v>
      </c>
      <c r="AI466">
        <f t="shared" si="31"/>
        <v>1</v>
      </c>
      <c r="AJ466" t="s">
        <v>1391</v>
      </c>
    </row>
    <row r="467" spans="1:36" x14ac:dyDescent="0.3">
      <c r="A467" t="s">
        <v>22</v>
      </c>
      <c r="B467">
        <v>39</v>
      </c>
      <c r="C467">
        <v>91</v>
      </c>
      <c r="D467">
        <v>1.78</v>
      </c>
      <c r="E467">
        <v>28.7</v>
      </c>
      <c r="F467">
        <f t="shared" si="29"/>
        <v>28.721121070571897</v>
      </c>
      <c r="G467">
        <f t="shared" si="32"/>
        <v>0</v>
      </c>
      <c r="H467" t="s">
        <v>1400</v>
      </c>
      <c r="I467">
        <v>91</v>
      </c>
      <c r="J467" t="s">
        <v>57</v>
      </c>
      <c r="K467" s="24">
        <v>120</v>
      </c>
      <c r="L467" s="24">
        <v>89</v>
      </c>
      <c r="M467">
        <v>274</v>
      </c>
      <c r="N467" t="s">
        <v>1432</v>
      </c>
      <c r="O467">
        <v>62</v>
      </c>
      <c r="P467">
        <v>81</v>
      </c>
      <c r="Q467" t="s">
        <v>25</v>
      </c>
      <c r="R467" t="s">
        <v>25</v>
      </c>
      <c r="S467" t="s">
        <v>30</v>
      </c>
      <c r="T467" t="s">
        <v>25</v>
      </c>
      <c r="U467">
        <f t="shared" si="30"/>
        <v>3</v>
      </c>
      <c r="V467">
        <v>178</v>
      </c>
      <c r="X467" t="s">
        <v>1410</v>
      </c>
      <c r="Y467">
        <v>120</v>
      </c>
      <c r="Z467">
        <v>89</v>
      </c>
      <c r="AA467" t="s">
        <v>31</v>
      </c>
      <c r="AB467">
        <v>182</v>
      </c>
      <c r="AC467" s="23">
        <v>2.94</v>
      </c>
      <c r="AD467" t="str">
        <f>IF(AND('CVD Dataset'!AA467="Normal",'CVD Dataset'!AB467&gt;AVERAGE('CVD Dataset'!AB:AB),'CVD Dataset'!AF467="High"),"High Lipid Category","Normal Category")</f>
        <v>Normal Category</v>
      </c>
      <c r="AF467" t="s">
        <v>32</v>
      </c>
      <c r="AG467">
        <v>1</v>
      </c>
      <c r="AH467" t="s">
        <v>1379</v>
      </c>
      <c r="AI467">
        <f t="shared" si="31"/>
        <v>1</v>
      </c>
      <c r="AJ467" t="s">
        <v>1391</v>
      </c>
    </row>
    <row r="468" spans="1:36" x14ac:dyDescent="0.3">
      <c r="A468" t="s">
        <v>22</v>
      </c>
      <c r="B468">
        <v>42</v>
      </c>
      <c r="C468">
        <v>106.3</v>
      </c>
      <c r="D468">
        <v>1.84</v>
      </c>
      <c r="E468">
        <v>31.4</v>
      </c>
      <c r="F468">
        <f t="shared" si="29"/>
        <v>31.397684310018903</v>
      </c>
      <c r="G468">
        <f t="shared" si="32"/>
        <v>0</v>
      </c>
      <c r="H468" t="s">
        <v>1399</v>
      </c>
      <c r="I468">
        <v>97.5</v>
      </c>
      <c r="J468" t="s">
        <v>156</v>
      </c>
      <c r="K468" s="24">
        <v>149</v>
      </c>
      <c r="L468" s="24">
        <v>66</v>
      </c>
      <c r="M468">
        <v>203</v>
      </c>
      <c r="N468" t="s">
        <v>1432</v>
      </c>
      <c r="O468">
        <v>75</v>
      </c>
      <c r="P468">
        <v>146</v>
      </c>
      <c r="Q468" t="s">
        <v>24</v>
      </c>
      <c r="R468" t="s">
        <v>25</v>
      </c>
      <c r="S468" t="s">
        <v>26</v>
      </c>
      <c r="T468" t="s">
        <v>24</v>
      </c>
      <c r="U468">
        <f t="shared" si="30"/>
        <v>2</v>
      </c>
      <c r="V468">
        <v>184</v>
      </c>
      <c r="W468">
        <v>0.53</v>
      </c>
      <c r="X468" t="s">
        <v>1407</v>
      </c>
      <c r="Y468">
        <v>149</v>
      </c>
      <c r="Z468">
        <v>66</v>
      </c>
      <c r="AA468" t="s">
        <v>40</v>
      </c>
      <c r="AC468" s="23">
        <v>0</v>
      </c>
      <c r="AD468" t="str">
        <f>IF(AND('CVD Dataset'!AA468="Normal",'CVD Dataset'!AB468&gt;AVERAGE('CVD Dataset'!AB:AB),'CVD Dataset'!AF468="High"),"High Lipid Category","Normal Category")</f>
        <v>Normal Category</v>
      </c>
      <c r="AE468">
        <v>19.79</v>
      </c>
      <c r="AF468" t="s">
        <v>32</v>
      </c>
      <c r="AG468">
        <v>1</v>
      </c>
      <c r="AH468" t="s">
        <v>1379</v>
      </c>
      <c r="AI468">
        <f t="shared" si="31"/>
        <v>1</v>
      </c>
      <c r="AJ468" t="s">
        <v>1391</v>
      </c>
    </row>
    <row r="469" spans="1:36" x14ac:dyDescent="0.3">
      <c r="A469" t="s">
        <v>33</v>
      </c>
      <c r="B469">
        <v>31</v>
      </c>
      <c r="C469">
        <v>112.9</v>
      </c>
      <c r="D469">
        <v>1.69</v>
      </c>
      <c r="E469">
        <v>39.5</v>
      </c>
      <c r="F469">
        <f t="shared" si="29"/>
        <v>39.529428241308082</v>
      </c>
      <c r="G469">
        <f t="shared" si="32"/>
        <v>0</v>
      </c>
      <c r="H469" t="s">
        <v>1399</v>
      </c>
      <c r="I469">
        <v>84.4</v>
      </c>
      <c r="J469" t="s">
        <v>200</v>
      </c>
      <c r="K469" s="24">
        <v>125</v>
      </c>
      <c r="L469" s="24">
        <v>73</v>
      </c>
      <c r="M469">
        <v>132</v>
      </c>
      <c r="N469" t="s">
        <v>1434</v>
      </c>
      <c r="O469">
        <v>74</v>
      </c>
      <c r="P469">
        <v>92</v>
      </c>
      <c r="Q469" t="s">
        <v>24</v>
      </c>
      <c r="R469" t="s">
        <v>25</v>
      </c>
      <c r="S469" t="s">
        <v>26</v>
      </c>
      <c r="T469" t="s">
        <v>25</v>
      </c>
      <c r="U469">
        <f t="shared" si="30"/>
        <v>3</v>
      </c>
      <c r="V469">
        <v>169</v>
      </c>
      <c r="W469">
        <v>0.499</v>
      </c>
      <c r="X469" t="s">
        <v>1406</v>
      </c>
      <c r="Y469">
        <v>125</v>
      </c>
      <c r="Z469">
        <v>73</v>
      </c>
      <c r="AA469" t="s">
        <v>27</v>
      </c>
      <c r="AB469">
        <v>28</v>
      </c>
      <c r="AC469" s="23">
        <v>0.38</v>
      </c>
      <c r="AD469" t="str">
        <f>IF(AND('CVD Dataset'!AA469="Normal",'CVD Dataset'!AB469&gt;AVERAGE('CVD Dataset'!AB:AB),'CVD Dataset'!AF469="High"),"High Lipid Category","Normal Category")</f>
        <v>Normal Category</v>
      </c>
      <c r="AE469">
        <v>18.79</v>
      </c>
      <c r="AF469" t="s">
        <v>32</v>
      </c>
      <c r="AG469">
        <v>1</v>
      </c>
      <c r="AH469" t="s">
        <v>1379</v>
      </c>
      <c r="AI469">
        <f t="shared" si="31"/>
        <v>1</v>
      </c>
      <c r="AJ469" t="s">
        <v>1391</v>
      </c>
    </row>
    <row r="470" spans="1:36" x14ac:dyDescent="0.3">
      <c r="A470" t="s">
        <v>33</v>
      </c>
      <c r="B470">
        <v>31</v>
      </c>
      <c r="C470">
        <v>67.5</v>
      </c>
      <c r="D470">
        <v>1.86</v>
      </c>
      <c r="E470">
        <v>19.5</v>
      </c>
      <c r="F470">
        <f t="shared" si="29"/>
        <v>19.510926118626429</v>
      </c>
      <c r="G470">
        <f t="shared" si="32"/>
        <v>0</v>
      </c>
      <c r="H470" t="s">
        <v>1398</v>
      </c>
      <c r="I470">
        <v>87.7</v>
      </c>
      <c r="J470" t="s">
        <v>457</v>
      </c>
      <c r="K470" s="24">
        <v>139</v>
      </c>
      <c r="L470" s="24">
        <v>82</v>
      </c>
      <c r="M470">
        <v>101</v>
      </c>
      <c r="N470" t="s">
        <v>1434</v>
      </c>
      <c r="O470">
        <v>67</v>
      </c>
      <c r="P470">
        <v>103</v>
      </c>
      <c r="Q470" t="s">
        <v>25</v>
      </c>
      <c r="R470" t="s">
        <v>24</v>
      </c>
      <c r="S470" t="s">
        <v>26</v>
      </c>
      <c r="T470" t="s">
        <v>25</v>
      </c>
      <c r="U470">
        <f t="shared" si="30"/>
        <v>3</v>
      </c>
      <c r="V470">
        <v>186</v>
      </c>
      <c r="W470">
        <v>0.47199999999999998</v>
      </c>
      <c r="X470" t="s">
        <v>1406</v>
      </c>
      <c r="Y470">
        <v>139</v>
      </c>
      <c r="Z470">
        <v>82</v>
      </c>
      <c r="AA470" t="s">
        <v>31</v>
      </c>
      <c r="AC470" s="23">
        <v>0</v>
      </c>
      <c r="AD470" t="str">
        <f>IF(AND('CVD Dataset'!AA470="Normal",'CVD Dataset'!AB470&gt;AVERAGE('CVD Dataset'!AB:AB),'CVD Dataset'!AF470="High"),"High Lipid Category","Normal Category")</f>
        <v>Normal Category</v>
      </c>
      <c r="AE470">
        <v>12.87</v>
      </c>
      <c r="AF470" t="s">
        <v>28</v>
      </c>
      <c r="AG470">
        <v>0</v>
      </c>
      <c r="AH470" t="s">
        <v>1380</v>
      </c>
      <c r="AI470">
        <f t="shared" si="31"/>
        <v>0</v>
      </c>
      <c r="AJ470" t="s">
        <v>1391</v>
      </c>
    </row>
    <row r="471" spans="1:36" x14ac:dyDescent="0.3">
      <c r="A471" t="s">
        <v>22</v>
      </c>
      <c r="B471">
        <v>37</v>
      </c>
      <c r="C471">
        <v>73.2</v>
      </c>
      <c r="D471">
        <v>1.65</v>
      </c>
      <c r="E471">
        <v>26.9</v>
      </c>
      <c r="F471">
        <f t="shared" si="29"/>
        <v>26.887052341597801</v>
      </c>
      <c r="G471">
        <f t="shared" si="32"/>
        <v>0</v>
      </c>
      <c r="H471" t="s">
        <v>1400</v>
      </c>
      <c r="I471">
        <v>91</v>
      </c>
      <c r="J471" t="s">
        <v>458</v>
      </c>
      <c r="K471" s="24">
        <v>141</v>
      </c>
      <c r="L471" s="24">
        <v>82</v>
      </c>
      <c r="M471">
        <v>109</v>
      </c>
      <c r="N471" t="s">
        <v>1434</v>
      </c>
      <c r="O471">
        <v>69</v>
      </c>
      <c r="P471">
        <v>90</v>
      </c>
      <c r="Q471" t="s">
        <v>25</v>
      </c>
      <c r="R471" t="s">
        <v>25</v>
      </c>
      <c r="S471" t="s">
        <v>26</v>
      </c>
      <c r="T471" t="s">
        <v>24</v>
      </c>
      <c r="U471">
        <f t="shared" si="30"/>
        <v>3</v>
      </c>
      <c r="V471">
        <v>165</v>
      </c>
      <c r="W471">
        <v>0.55200000000000005</v>
      </c>
      <c r="X471" t="s">
        <v>1407</v>
      </c>
      <c r="Y471">
        <v>141</v>
      </c>
      <c r="Z471">
        <v>82</v>
      </c>
      <c r="AA471" t="s">
        <v>31</v>
      </c>
      <c r="AB471">
        <v>10</v>
      </c>
      <c r="AC471" s="23">
        <v>0.14000000000000001</v>
      </c>
      <c r="AD471" t="str">
        <f>IF(AND('CVD Dataset'!AA471="Normal",'CVD Dataset'!AB471&gt;AVERAGE('CVD Dataset'!AB:AB),'CVD Dataset'!AF471="High"),"High Lipid Category","Normal Category")</f>
        <v>Normal Category</v>
      </c>
      <c r="AE471">
        <v>16.61</v>
      </c>
      <c r="AF471" t="s">
        <v>32</v>
      </c>
      <c r="AG471">
        <v>1</v>
      </c>
      <c r="AH471" t="s">
        <v>1379</v>
      </c>
      <c r="AI471">
        <f t="shared" si="31"/>
        <v>1</v>
      </c>
      <c r="AJ471" t="s">
        <v>1391</v>
      </c>
    </row>
    <row r="472" spans="1:36" x14ac:dyDescent="0.3">
      <c r="A472" t="s">
        <v>22</v>
      </c>
      <c r="C472">
        <v>73.7</v>
      </c>
      <c r="D472">
        <v>1.7</v>
      </c>
      <c r="E472">
        <v>25.5</v>
      </c>
      <c r="F472">
        <f t="shared" si="29"/>
        <v>25.501730103806231</v>
      </c>
      <c r="G472">
        <f t="shared" si="32"/>
        <v>0</v>
      </c>
      <c r="H472" t="s">
        <v>1400</v>
      </c>
      <c r="I472">
        <v>84.2</v>
      </c>
      <c r="J472" t="s">
        <v>459</v>
      </c>
      <c r="K472" s="24">
        <v>129</v>
      </c>
      <c r="L472" s="24">
        <v>92</v>
      </c>
      <c r="M472">
        <v>192</v>
      </c>
      <c r="N472" t="s">
        <v>1432</v>
      </c>
      <c r="O472">
        <v>74</v>
      </c>
      <c r="P472">
        <v>144</v>
      </c>
      <c r="Q472" t="s">
        <v>25</v>
      </c>
      <c r="R472" t="s">
        <v>25</v>
      </c>
      <c r="S472" t="s">
        <v>39</v>
      </c>
      <c r="T472" t="s">
        <v>25</v>
      </c>
      <c r="U472">
        <f t="shared" si="30"/>
        <v>3</v>
      </c>
      <c r="V472">
        <v>170</v>
      </c>
      <c r="W472">
        <v>0.495</v>
      </c>
      <c r="X472" t="s">
        <v>1406</v>
      </c>
      <c r="Y472">
        <v>129</v>
      </c>
      <c r="Z472">
        <v>92</v>
      </c>
      <c r="AA472" t="s">
        <v>40</v>
      </c>
      <c r="AB472">
        <v>88</v>
      </c>
      <c r="AC472" s="23">
        <v>1.19</v>
      </c>
      <c r="AD472" t="str">
        <f>IF(AND('CVD Dataset'!AA472="Normal",'CVD Dataset'!AB472&gt;AVERAGE('CVD Dataset'!AB:AB),'CVD Dataset'!AF472="High"),"High Lipid Category","Normal Category")</f>
        <v>Normal Category</v>
      </c>
      <c r="AE472">
        <v>17.39</v>
      </c>
      <c r="AF472" t="s">
        <v>32</v>
      </c>
      <c r="AG472">
        <v>1</v>
      </c>
      <c r="AH472" t="s">
        <v>1379</v>
      </c>
      <c r="AI472">
        <f t="shared" si="31"/>
        <v>1</v>
      </c>
      <c r="AJ472" t="s">
        <v>1391</v>
      </c>
    </row>
    <row r="473" spans="1:36" x14ac:dyDescent="0.3">
      <c r="A473" t="s">
        <v>33</v>
      </c>
      <c r="B473">
        <v>32</v>
      </c>
      <c r="C473">
        <v>111.8</v>
      </c>
      <c r="E473">
        <v>41.6</v>
      </c>
      <c r="F473" t="str">
        <f t="shared" si="29"/>
        <v/>
      </c>
      <c r="G473" t="str">
        <f t="shared" si="32"/>
        <v/>
      </c>
      <c r="H473" t="s">
        <v>1399</v>
      </c>
      <c r="I473">
        <v>95.8</v>
      </c>
      <c r="J473" t="s">
        <v>460</v>
      </c>
      <c r="K473" s="24">
        <v>95</v>
      </c>
      <c r="L473" s="24">
        <v>96</v>
      </c>
      <c r="M473">
        <v>199</v>
      </c>
      <c r="N473" t="s">
        <v>1432</v>
      </c>
      <c r="O473">
        <v>41</v>
      </c>
      <c r="P473">
        <v>122</v>
      </c>
      <c r="Q473" t="s">
        <v>25</v>
      </c>
      <c r="R473" t="s">
        <v>24</v>
      </c>
      <c r="S473" t="s">
        <v>30</v>
      </c>
      <c r="T473" t="s">
        <v>24</v>
      </c>
      <c r="U473">
        <f t="shared" si="30"/>
        <v>1</v>
      </c>
      <c r="W473">
        <v>0.58399999999999996</v>
      </c>
      <c r="X473" t="s">
        <v>1407</v>
      </c>
      <c r="Y473">
        <v>95</v>
      </c>
      <c r="Z473">
        <v>96</v>
      </c>
      <c r="AA473" t="s">
        <v>40</v>
      </c>
      <c r="AB473">
        <v>128</v>
      </c>
      <c r="AC473" s="23">
        <v>3.12</v>
      </c>
      <c r="AD473" t="str">
        <f>IF(AND('CVD Dataset'!AA473="Normal",'CVD Dataset'!AB473&gt;AVERAGE('CVD Dataset'!AB:AB),'CVD Dataset'!AF473="High"),"High Lipid Category","Normal Category")</f>
        <v>Normal Category</v>
      </c>
      <c r="AE473">
        <v>17.05</v>
      </c>
      <c r="AF473" t="s">
        <v>28</v>
      </c>
      <c r="AG473">
        <v>0</v>
      </c>
      <c r="AH473" t="s">
        <v>1380</v>
      </c>
      <c r="AI473">
        <f t="shared" si="31"/>
        <v>0</v>
      </c>
      <c r="AJ473" t="s">
        <v>1391</v>
      </c>
    </row>
    <row r="474" spans="1:36" x14ac:dyDescent="0.3">
      <c r="A474" t="s">
        <v>22</v>
      </c>
      <c r="B474">
        <v>37</v>
      </c>
      <c r="C474">
        <v>92.9</v>
      </c>
      <c r="D474">
        <v>1.87</v>
      </c>
      <c r="E474">
        <v>26.6</v>
      </c>
      <c r="F474">
        <f t="shared" si="29"/>
        <v>26.56638737167205</v>
      </c>
      <c r="G474">
        <f t="shared" si="32"/>
        <v>0</v>
      </c>
      <c r="H474" t="s">
        <v>1400</v>
      </c>
      <c r="I474">
        <v>71.8</v>
      </c>
      <c r="J474" t="s">
        <v>461</v>
      </c>
      <c r="K474" s="24">
        <v>113</v>
      </c>
      <c r="L474" s="24">
        <v>79</v>
      </c>
      <c r="M474">
        <v>115</v>
      </c>
      <c r="N474" t="s">
        <v>1434</v>
      </c>
      <c r="O474">
        <v>79</v>
      </c>
      <c r="P474">
        <v>125</v>
      </c>
      <c r="Q474" t="s">
        <v>24</v>
      </c>
      <c r="R474" t="s">
        <v>24</v>
      </c>
      <c r="S474" t="s">
        <v>30</v>
      </c>
      <c r="T474" t="s">
        <v>25</v>
      </c>
      <c r="U474">
        <f t="shared" si="30"/>
        <v>1</v>
      </c>
      <c r="V474">
        <v>187</v>
      </c>
      <c r="W474">
        <v>0.38400000000000001</v>
      </c>
      <c r="X474" t="s">
        <v>1408</v>
      </c>
      <c r="Y474">
        <v>113</v>
      </c>
      <c r="Z474">
        <v>79</v>
      </c>
      <c r="AA474" t="s">
        <v>35</v>
      </c>
      <c r="AB474">
        <v>6</v>
      </c>
      <c r="AC474" s="23">
        <v>0.08</v>
      </c>
      <c r="AD474" t="str">
        <f>IF(AND('CVD Dataset'!AA474="Normal",'CVD Dataset'!AB474&gt;AVERAGE('CVD Dataset'!AB:AB),'CVD Dataset'!AF474="High"),"High Lipid Category","Normal Category")</f>
        <v>Normal Category</v>
      </c>
      <c r="AE474">
        <v>13.27</v>
      </c>
      <c r="AF474" t="s">
        <v>28</v>
      </c>
      <c r="AG474">
        <v>0</v>
      </c>
      <c r="AH474" t="s">
        <v>1380</v>
      </c>
      <c r="AI474">
        <f t="shared" si="31"/>
        <v>0</v>
      </c>
      <c r="AJ474" t="s">
        <v>1391</v>
      </c>
    </row>
    <row r="475" spans="1:36" x14ac:dyDescent="0.3">
      <c r="A475" t="s">
        <v>22</v>
      </c>
      <c r="B475">
        <v>57</v>
      </c>
      <c r="C475">
        <v>106.3</v>
      </c>
      <c r="D475">
        <v>1.88</v>
      </c>
      <c r="E475">
        <v>30.1</v>
      </c>
      <c r="F475">
        <f t="shared" si="29"/>
        <v>30.075826165685832</v>
      </c>
      <c r="G475">
        <f t="shared" si="32"/>
        <v>0</v>
      </c>
      <c r="H475" t="s">
        <v>1399</v>
      </c>
      <c r="I475">
        <v>102.2</v>
      </c>
      <c r="J475" t="s">
        <v>462</v>
      </c>
      <c r="K475" s="24">
        <v>140</v>
      </c>
      <c r="L475" s="24">
        <v>98</v>
      </c>
      <c r="N475" t="s">
        <v>1434</v>
      </c>
      <c r="O475">
        <v>40</v>
      </c>
      <c r="P475">
        <v>82</v>
      </c>
      <c r="Q475" t="s">
        <v>24</v>
      </c>
      <c r="R475" t="s">
        <v>25</v>
      </c>
      <c r="S475" t="s">
        <v>30</v>
      </c>
      <c r="T475" t="s">
        <v>24</v>
      </c>
      <c r="U475">
        <f t="shared" si="30"/>
        <v>1</v>
      </c>
      <c r="W475">
        <v>0.54400000000000004</v>
      </c>
      <c r="X475" t="s">
        <v>1407</v>
      </c>
      <c r="Y475">
        <v>140</v>
      </c>
      <c r="Z475">
        <v>98</v>
      </c>
      <c r="AA475" t="s">
        <v>40</v>
      </c>
      <c r="AB475">
        <v>74</v>
      </c>
      <c r="AC475" s="23">
        <v>1.85</v>
      </c>
      <c r="AD475" t="str">
        <f>IF(AND('CVD Dataset'!AA475="Normal",'CVD Dataset'!AB475&gt;AVERAGE('CVD Dataset'!AB:AB),'CVD Dataset'!AF475="High"),"High Lipid Category","Normal Category")</f>
        <v>Normal Category</v>
      </c>
      <c r="AE475">
        <v>17.899999999999999</v>
      </c>
      <c r="AF475" t="s">
        <v>28</v>
      </c>
      <c r="AG475">
        <v>0</v>
      </c>
      <c r="AH475" t="s">
        <v>1380</v>
      </c>
      <c r="AI475">
        <f t="shared" si="31"/>
        <v>0</v>
      </c>
      <c r="AJ475" t="s">
        <v>1392</v>
      </c>
    </row>
    <row r="476" spans="1:36" x14ac:dyDescent="0.3">
      <c r="A476" t="s">
        <v>22</v>
      </c>
      <c r="B476">
        <v>56</v>
      </c>
      <c r="C476">
        <v>50.4</v>
      </c>
      <c r="D476">
        <v>1.61</v>
      </c>
      <c r="E476">
        <v>19.399999999999999</v>
      </c>
      <c r="F476">
        <f t="shared" si="29"/>
        <v>19.443694301917361</v>
      </c>
      <c r="G476">
        <f t="shared" si="32"/>
        <v>0</v>
      </c>
      <c r="H476" t="s">
        <v>1398</v>
      </c>
      <c r="I476">
        <v>97.3</v>
      </c>
      <c r="J476" t="s">
        <v>463</v>
      </c>
      <c r="K476" s="24">
        <v>106</v>
      </c>
      <c r="L476" s="24">
        <v>73</v>
      </c>
      <c r="M476">
        <v>104</v>
      </c>
      <c r="N476" t="s">
        <v>1434</v>
      </c>
      <c r="O476">
        <v>39</v>
      </c>
      <c r="P476">
        <v>117</v>
      </c>
      <c r="Q476" t="s">
        <v>24</v>
      </c>
      <c r="R476" t="s">
        <v>25</v>
      </c>
      <c r="S476" t="s">
        <v>30</v>
      </c>
      <c r="T476" t="s">
        <v>24</v>
      </c>
      <c r="U476">
        <f t="shared" si="30"/>
        <v>1</v>
      </c>
      <c r="V476">
        <v>161</v>
      </c>
      <c r="W476">
        <v>0.60399999999999998</v>
      </c>
      <c r="X476" t="s">
        <v>1409</v>
      </c>
      <c r="Z476">
        <v>73</v>
      </c>
      <c r="AA476" t="s">
        <v>35</v>
      </c>
      <c r="AB476">
        <v>35</v>
      </c>
      <c r="AC476" s="23">
        <v>0.9</v>
      </c>
      <c r="AD476" t="str">
        <f>IF(AND('CVD Dataset'!AA476="Normal",'CVD Dataset'!AB476&gt;AVERAGE('CVD Dataset'!AB:AB),'CVD Dataset'!AF476="High"),"High Lipid Category","Normal Category")</f>
        <v>Normal Category</v>
      </c>
      <c r="AE476">
        <v>13.26</v>
      </c>
      <c r="AF476" t="s">
        <v>28</v>
      </c>
      <c r="AG476">
        <v>0</v>
      </c>
      <c r="AH476" t="s">
        <v>1380</v>
      </c>
      <c r="AI476">
        <f t="shared" si="31"/>
        <v>0</v>
      </c>
      <c r="AJ476" t="s">
        <v>1391</v>
      </c>
    </row>
    <row r="477" spans="1:36" x14ac:dyDescent="0.3">
      <c r="A477" t="s">
        <v>33</v>
      </c>
      <c r="B477">
        <v>60</v>
      </c>
      <c r="C477">
        <v>110.4</v>
      </c>
      <c r="D477">
        <v>1.68</v>
      </c>
      <c r="E477">
        <v>39.1</v>
      </c>
      <c r="F477">
        <f t="shared" si="29"/>
        <v>39.115646258503411</v>
      </c>
      <c r="G477">
        <f t="shared" si="32"/>
        <v>0</v>
      </c>
      <c r="H477" t="s">
        <v>1399</v>
      </c>
      <c r="I477">
        <v>102.1</v>
      </c>
      <c r="J477" t="s">
        <v>464</v>
      </c>
      <c r="K477" s="24">
        <v>115</v>
      </c>
      <c r="L477" s="24">
        <v>94</v>
      </c>
      <c r="M477">
        <v>113</v>
      </c>
      <c r="N477" t="s">
        <v>1434</v>
      </c>
      <c r="O477">
        <v>59</v>
      </c>
      <c r="P477">
        <v>136</v>
      </c>
      <c r="Q477" t="s">
        <v>25</v>
      </c>
      <c r="R477" t="s">
        <v>25</v>
      </c>
      <c r="S477" t="s">
        <v>30</v>
      </c>
      <c r="T477" t="s">
        <v>25</v>
      </c>
      <c r="U477">
        <f t="shared" si="30"/>
        <v>3</v>
      </c>
      <c r="V477">
        <v>168</v>
      </c>
      <c r="W477">
        <v>0.60799999999999998</v>
      </c>
      <c r="X477" t="s">
        <v>1409</v>
      </c>
      <c r="Y477">
        <v>115</v>
      </c>
      <c r="AA477" t="s">
        <v>40</v>
      </c>
      <c r="AB477">
        <v>24</v>
      </c>
      <c r="AC477" s="23">
        <v>0.41</v>
      </c>
      <c r="AD477" t="str">
        <f>IF(AND('CVD Dataset'!AA477="Normal",'CVD Dataset'!AB477&gt;AVERAGE('CVD Dataset'!AB:AB),'CVD Dataset'!AF477="High"),"High Lipid Category","Normal Category")</f>
        <v>Normal Category</v>
      </c>
      <c r="AE477">
        <v>17.829999999999998</v>
      </c>
      <c r="AF477" t="s">
        <v>32</v>
      </c>
      <c r="AG477">
        <v>0</v>
      </c>
      <c r="AH477" t="s">
        <v>1379</v>
      </c>
      <c r="AI477">
        <f t="shared" si="31"/>
        <v>1</v>
      </c>
      <c r="AJ477" t="s">
        <v>1392</v>
      </c>
    </row>
    <row r="478" spans="1:36" x14ac:dyDescent="0.3">
      <c r="A478" t="s">
        <v>22</v>
      </c>
      <c r="B478">
        <v>54</v>
      </c>
      <c r="C478">
        <v>51.8</v>
      </c>
      <c r="D478">
        <v>1.61</v>
      </c>
      <c r="E478">
        <v>20</v>
      </c>
      <c r="F478">
        <f t="shared" si="29"/>
        <v>19.983796921415067</v>
      </c>
      <c r="G478">
        <f t="shared" si="32"/>
        <v>0</v>
      </c>
      <c r="H478" t="s">
        <v>1398</v>
      </c>
      <c r="I478">
        <v>73.5</v>
      </c>
      <c r="J478" t="s">
        <v>229</v>
      </c>
      <c r="K478" s="24">
        <v>143</v>
      </c>
      <c r="L478" s="24">
        <v>89</v>
      </c>
      <c r="M478">
        <v>209</v>
      </c>
      <c r="N478" t="s">
        <v>1432</v>
      </c>
      <c r="O478">
        <v>41</v>
      </c>
      <c r="Q478" t="s">
        <v>25</v>
      </c>
      <c r="R478" t="s">
        <v>25</v>
      </c>
      <c r="S478" t="s">
        <v>39</v>
      </c>
      <c r="T478" t="s">
        <v>25</v>
      </c>
      <c r="U478">
        <f t="shared" si="30"/>
        <v>3</v>
      </c>
      <c r="V478">
        <v>161</v>
      </c>
      <c r="W478">
        <v>0.45700000000000002</v>
      </c>
      <c r="X478" t="s">
        <v>1408</v>
      </c>
      <c r="Y478">
        <v>143</v>
      </c>
      <c r="Z478">
        <v>89</v>
      </c>
      <c r="AA478" t="s">
        <v>31</v>
      </c>
      <c r="AB478">
        <v>138</v>
      </c>
      <c r="AC478" s="23">
        <v>3.37</v>
      </c>
      <c r="AD478" t="str">
        <f>IF(AND('CVD Dataset'!AA478="Normal",'CVD Dataset'!AB478&gt;AVERAGE('CVD Dataset'!AB:AB),'CVD Dataset'!AF478="High"),"High Lipid Category","Normal Category")</f>
        <v>Normal Category</v>
      </c>
      <c r="AE478">
        <v>17.329999999999998</v>
      </c>
      <c r="AF478" t="s">
        <v>32</v>
      </c>
      <c r="AG478">
        <v>0</v>
      </c>
      <c r="AH478" t="s">
        <v>1379</v>
      </c>
      <c r="AI478">
        <f t="shared" si="31"/>
        <v>1</v>
      </c>
      <c r="AJ478" t="s">
        <v>1392</v>
      </c>
    </row>
    <row r="479" spans="1:36" x14ac:dyDescent="0.3">
      <c r="A479" t="s">
        <v>22</v>
      </c>
      <c r="B479">
        <v>36</v>
      </c>
      <c r="C479">
        <v>84.2</v>
      </c>
      <c r="D479">
        <v>1.66</v>
      </c>
      <c r="E479">
        <v>30.6</v>
      </c>
      <c r="F479">
        <f t="shared" si="29"/>
        <v>30.555958774858475</v>
      </c>
      <c r="G479">
        <f t="shared" si="32"/>
        <v>0</v>
      </c>
      <c r="H479" t="s">
        <v>1399</v>
      </c>
      <c r="I479">
        <v>96.1</v>
      </c>
      <c r="J479" t="s">
        <v>149</v>
      </c>
      <c r="K479" s="24">
        <v>139</v>
      </c>
      <c r="L479" s="24">
        <v>61</v>
      </c>
      <c r="M479">
        <v>281</v>
      </c>
      <c r="N479" t="s">
        <v>1432</v>
      </c>
      <c r="O479">
        <v>59</v>
      </c>
      <c r="P479">
        <v>136</v>
      </c>
      <c r="Q479" t="s">
        <v>24</v>
      </c>
      <c r="R479" t="s">
        <v>25</v>
      </c>
      <c r="S479" t="s">
        <v>30</v>
      </c>
      <c r="T479" t="s">
        <v>24</v>
      </c>
      <c r="U479">
        <f t="shared" si="30"/>
        <v>1</v>
      </c>
      <c r="V479">
        <v>166</v>
      </c>
      <c r="W479">
        <v>0.57899999999999996</v>
      </c>
      <c r="X479" t="s">
        <v>1407</v>
      </c>
      <c r="Y479">
        <v>139</v>
      </c>
      <c r="Z479">
        <v>61</v>
      </c>
      <c r="AA479" t="s">
        <v>31</v>
      </c>
      <c r="AB479">
        <v>192</v>
      </c>
      <c r="AC479" s="23">
        <v>3.25</v>
      </c>
      <c r="AD479" t="str">
        <f>IF(AND('CVD Dataset'!AA479="Normal",'CVD Dataset'!AB479&gt;AVERAGE('CVD Dataset'!AB:AB),'CVD Dataset'!AF479="High"),"High Lipid Category","Normal Category")</f>
        <v>Normal Category</v>
      </c>
      <c r="AE479">
        <v>20.69</v>
      </c>
      <c r="AF479" t="s">
        <v>28</v>
      </c>
      <c r="AG479">
        <v>0</v>
      </c>
      <c r="AH479" t="s">
        <v>1380</v>
      </c>
      <c r="AI479">
        <f t="shared" si="31"/>
        <v>0</v>
      </c>
      <c r="AJ479" t="s">
        <v>1391</v>
      </c>
    </row>
    <row r="480" spans="1:36" x14ac:dyDescent="0.3">
      <c r="A480" t="s">
        <v>33</v>
      </c>
      <c r="B480">
        <v>58</v>
      </c>
      <c r="D480">
        <v>1.87</v>
      </c>
      <c r="E480">
        <v>33.799999999999997</v>
      </c>
      <c r="F480">
        <f t="shared" si="29"/>
        <v>0</v>
      </c>
      <c r="G480">
        <f t="shared" si="32"/>
        <v>1</v>
      </c>
      <c r="H480" t="s">
        <v>1399</v>
      </c>
      <c r="I480">
        <v>99.6</v>
      </c>
      <c r="J480" t="s">
        <v>465</v>
      </c>
      <c r="K480" s="24">
        <v>113</v>
      </c>
      <c r="L480" s="24">
        <v>91</v>
      </c>
      <c r="M480">
        <v>106</v>
      </c>
      <c r="N480" t="s">
        <v>1434</v>
      </c>
      <c r="P480">
        <v>115</v>
      </c>
      <c r="Q480" t="s">
        <v>25</v>
      </c>
      <c r="R480" t="s">
        <v>25</v>
      </c>
      <c r="S480" t="s">
        <v>26</v>
      </c>
      <c r="T480" t="s">
        <v>24</v>
      </c>
      <c r="U480">
        <f t="shared" si="30"/>
        <v>3</v>
      </c>
      <c r="V480">
        <v>187</v>
      </c>
      <c r="W480">
        <v>0.53300000000000003</v>
      </c>
      <c r="X480" t="s">
        <v>1407</v>
      </c>
      <c r="Z480">
        <v>91</v>
      </c>
      <c r="AA480" t="s">
        <v>40</v>
      </c>
      <c r="AB480">
        <v>33</v>
      </c>
      <c r="AC480" s="23" t="s">
        <v>1410</v>
      </c>
      <c r="AD480" t="str">
        <f>IF(AND('CVD Dataset'!AA480="Normal",'CVD Dataset'!AB480&gt;AVERAGE('CVD Dataset'!AB:AB),'CVD Dataset'!AF480="High"),"High Lipid Category","Normal Category")</f>
        <v>Normal Category</v>
      </c>
      <c r="AE480">
        <v>16.53</v>
      </c>
      <c r="AF480" t="s">
        <v>32</v>
      </c>
      <c r="AG480">
        <v>0</v>
      </c>
      <c r="AH480" t="s">
        <v>1379</v>
      </c>
      <c r="AI480">
        <f t="shared" si="31"/>
        <v>1</v>
      </c>
      <c r="AJ480" t="s">
        <v>1392</v>
      </c>
    </row>
    <row r="481" spans="1:36" x14ac:dyDescent="0.3">
      <c r="A481" t="s">
        <v>22</v>
      </c>
      <c r="B481">
        <v>40</v>
      </c>
      <c r="C481">
        <v>86.8</v>
      </c>
      <c r="D481">
        <v>1.81</v>
      </c>
      <c r="E481">
        <v>26.5</v>
      </c>
      <c r="F481">
        <f t="shared" si="29"/>
        <v>26.494917737553799</v>
      </c>
      <c r="G481">
        <f t="shared" si="32"/>
        <v>0</v>
      </c>
      <c r="H481" t="s">
        <v>1400</v>
      </c>
      <c r="I481">
        <v>101.6</v>
      </c>
      <c r="J481" t="s">
        <v>466</v>
      </c>
      <c r="K481" s="24">
        <v>92</v>
      </c>
      <c r="L481" s="24">
        <v>66</v>
      </c>
      <c r="M481">
        <v>128</v>
      </c>
      <c r="N481" t="s">
        <v>1434</v>
      </c>
      <c r="P481">
        <v>140</v>
      </c>
      <c r="Q481" t="s">
        <v>24</v>
      </c>
      <c r="R481" t="s">
        <v>24</v>
      </c>
      <c r="S481" t="s">
        <v>30</v>
      </c>
      <c r="T481" t="s">
        <v>25</v>
      </c>
      <c r="U481">
        <f t="shared" si="30"/>
        <v>1</v>
      </c>
      <c r="W481">
        <v>0.56100000000000005</v>
      </c>
      <c r="X481" t="s">
        <v>1407</v>
      </c>
      <c r="Y481">
        <v>92</v>
      </c>
      <c r="Z481">
        <v>66</v>
      </c>
      <c r="AA481" t="s">
        <v>35</v>
      </c>
      <c r="AB481">
        <v>49</v>
      </c>
      <c r="AC481" s="23" t="s">
        <v>1410</v>
      </c>
      <c r="AD481" t="str">
        <f>IF(AND('CVD Dataset'!AA481="Normal",'CVD Dataset'!AB481&gt;AVERAGE('CVD Dataset'!AB:AB),'CVD Dataset'!AF481="High"),"High Lipid Category","Normal Category")</f>
        <v>Normal Category</v>
      </c>
      <c r="AE481">
        <v>12.46</v>
      </c>
      <c r="AF481" t="s">
        <v>28</v>
      </c>
      <c r="AG481">
        <v>0</v>
      </c>
      <c r="AH481" t="s">
        <v>1380</v>
      </c>
      <c r="AI481">
        <f t="shared" si="31"/>
        <v>0</v>
      </c>
      <c r="AJ481" t="s">
        <v>1391</v>
      </c>
    </row>
    <row r="482" spans="1:36" x14ac:dyDescent="0.3">
      <c r="A482" t="s">
        <v>22</v>
      </c>
      <c r="B482">
        <v>55</v>
      </c>
      <c r="C482">
        <v>82.4</v>
      </c>
      <c r="D482">
        <v>1.6</v>
      </c>
      <c r="E482">
        <v>32.200000000000003</v>
      </c>
      <c r="F482">
        <f t="shared" si="29"/>
        <v>32.187499999999993</v>
      </c>
      <c r="G482">
        <f t="shared" si="32"/>
        <v>0</v>
      </c>
      <c r="H482" t="s">
        <v>1399</v>
      </c>
      <c r="J482" t="s">
        <v>467</v>
      </c>
      <c r="K482" s="24">
        <v>115</v>
      </c>
      <c r="L482" s="24">
        <v>75</v>
      </c>
      <c r="M482">
        <v>175</v>
      </c>
      <c r="N482" t="s">
        <v>1433</v>
      </c>
      <c r="O482">
        <v>73</v>
      </c>
      <c r="P482">
        <v>148</v>
      </c>
      <c r="Q482" t="s">
        <v>24</v>
      </c>
      <c r="R482" t="s">
        <v>24</v>
      </c>
      <c r="S482" t="s">
        <v>39</v>
      </c>
      <c r="T482" t="s">
        <v>24</v>
      </c>
      <c r="U482">
        <f t="shared" si="30"/>
        <v>0</v>
      </c>
      <c r="V482">
        <v>160</v>
      </c>
      <c r="X482" t="s">
        <v>1410</v>
      </c>
      <c r="Y482">
        <v>115</v>
      </c>
      <c r="Z482">
        <v>75</v>
      </c>
      <c r="AA482" t="s">
        <v>35</v>
      </c>
      <c r="AC482" s="23">
        <v>0</v>
      </c>
      <c r="AD482" t="str">
        <f>IF(AND('CVD Dataset'!AA482="Normal",'CVD Dataset'!AB482&gt;AVERAGE('CVD Dataset'!AB:AB),'CVD Dataset'!AF482="High"),"High Lipid Category","Normal Category")</f>
        <v>Normal Category</v>
      </c>
      <c r="AE482">
        <v>15.69</v>
      </c>
      <c r="AF482" t="s">
        <v>28</v>
      </c>
      <c r="AG482">
        <v>0</v>
      </c>
      <c r="AH482" t="s">
        <v>1380</v>
      </c>
      <c r="AI482">
        <f t="shared" si="31"/>
        <v>0</v>
      </c>
      <c r="AJ482" t="s">
        <v>1391</v>
      </c>
    </row>
    <row r="483" spans="1:36" x14ac:dyDescent="0.3">
      <c r="A483" t="s">
        <v>33</v>
      </c>
      <c r="B483">
        <v>42</v>
      </c>
      <c r="C483">
        <v>110.5</v>
      </c>
      <c r="D483">
        <v>1.61</v>
      </c>
      <c r="E483">
        <v>42.6</v>
      </c>
      <c r="F483">
        <f t="shared" si="29"/>
        <v>42.629528181783108</v>
      </c>
      <c r="G483">
        <f t="shared" si="32"/>
        <v>0</v>
      </c>
      <c r="H483" t="s">
        <v>1399</v>
      </c>
      <c r="I483">
        <v>96.1</v>
      </c>
      <c r="J483" t="s">
        <v>468</v>
      </c>
      <c r="K483" s="24">
        <v>132</v>
      </c>
      <c r="L483" s="24">
        <v>69</v>
      </c>
      <c r="M483">
        <v>114</v>
      </c>
      <c r="N483" t="s">
        <v>1434</v>
      </c>
      <c r="O483">
        <v>77</v>
      </c>
      <c r="P483">
        <v>115</v>
      </c>
      <c r="Q483" t="s">
        <v>24</v>
      </c>
      <c r="R483" t="s">
        <v>24</v>
      </c>
      <c r="S483" t="s">
        <v>39</v>
      </c>
      <c r="T483" t="s">
        <v>25</v>
      </c>
      <c r="U483">
        <f t="shared" si="30"/>
        <v>1</v>
      </c>
      <c r="W483">
        <v>0.59699999999999998</v>
      </c>
      <c r="X483" t="s">
        <v>1409</v>
      </c>
      <c r="Y483">
        <v>132</v>
      </c>
      <c r="Z483">
        <v>69</v>
      </c>
      <c r="AA483" t="s">
        <v>31</v>
      </c>
      <c r="AB483">
        <v>7</v>
      </c>
      <c r="AC483" s="23">
        <v>0.09</v>
      </c>
      <c r="AD483" t="str">
        <f>IF(AND('CVD Dataset'!AA483="Normal",'CVD Dataset'!AB483&gt;AVERAGE('CVD Dataset'!AB:AB),'CVD Dataset'!AF483="High"),"High Lipid Category","Normal Category")</f>
        <v>Normal Category</v>
      </c>
      <c r="AE483">
        <v>17.399999999999999</v>
      </c>
      <c r="AF483" t="s">
        <v>28</v>
      </c>
      <c r="AG483">
        <v>0</v>
      </c>
      <c r="AH483" t="s">
        <v>1380</v>
      </c>
      <c r="AI483">
        <f t="shared" si="31"/>
        <v>0</v>
      </c>
      <c r="AJ483" t="s">
        <v>1391</v>
      </c>
    </row>
    <row r="484" spans="1:36" x14ac:dyDescent="0.3">
      <c r="A484" t="s">
        <v>33</v>
      </c>
      <c r="B484">
        <v>42</v>
      </c>
      <c r="C484">
        <v>107.5</v>
      </c>
      <c r="D484">
        <v>1.65</v>
      </c>
      <c r="E484">
        <v>39.5</v>
      </c>
      <c r="F484">
        <f t="shared" si="29"/>
        <v>39.485766758494037</v>
      </c>
      <c r="G484">
        <f t="shared" si="32"/>
        <v>0</v>
      </c>
      <c r="H484" t="s">
        <v>1399</v>
      </c>
      <c r="I484">
        <v>106.7</v>
      </c>
      <c r="J484" t="s">
        <v>469</v>
      </c>
      <c r="K484" s="24">
        <v>103</v>
      </c>
      <c r="L484" s="24">
        <v>64</v>
      </c>
      <c r="M484">
        <v>186</v>
      </c>
      <c r="N484" t="s">
        <v>1432</v>
      </c>
      <c r="O484">
        <v>79</v>
      </c>
      <c r="P484">
        <v>73</v>
      </c>
      <c r="Q484" t="s">
        <v>24</v>
      </c>
      <c r="R484" t="s">
        <v>25</v>
      </c>
      <c r="S484" t="s">
        <v>30</v>
      </c>
      <c r="T484" t="s">
        <v>25</v>
      </c>
      <c r="U484">
        <f t="shared" si="30"/>
        <v>2</v>
      </c>
      <c r="V484">
        <v>165</v>
      </c>
      <c r="W484">
        <v>0.64700000000000002</v>
      </c>
      <c r="X484" t="s">
        <v>1409</v>
      </c>
      <c r="Y484">
        <v>103</v>
      </c>
      <c r="AA484" t="s">
        <v>35</v>
      </c>
      <c r="AB484">
        <v>77</v>
      </c>
      <c r="AC484" s="23">
        <v>0.97</v>
      </c>
      <c r="AD484" t="str">
        <f>IF(AND('CVD Dataset'!AA484="Normal",'CVD Dataset'!AB484&gt;AVERAGE('CVD Dataset'!AB:AB),'CVD Dataset'!AF484="High"),"High Lipid Category","Normal Category")</f>
        <v>Normal Category</v>
      </c>
      <c r="AE484">
        <v>18.77</v>
      </c>
      <c r="AF484" t="s">
        <v>28</v>
      </c>
      <c r="AG484">
        <v>0</v>
      </c>
      <c r="AH484" t="s">
        <v>1380</v>
      </c>
      <c r="AI484">
        <f t="shared" si="31"/>
        <v>0</v>
      </c>
      <c r="AJ484" t="s">
        <v>1391</v>
      </c>
    </row>
    <row r="485" spans="1:36" x14ac:dyDescent="0.3">
      <c r="A485" t="s">
        <v>33</v>
      </c>
      <c r="B485">
        <v>35</v>
      </c>
      <c r="C485">
        <v>107.8</v>
      </c>
      <c r="D485">
        <v>1.82</v>
      </c>
      <c r="E485">
        <v>32.5</v>
      </c>
      <c r="F485">
        <f t="shared" si="29"/>
        <v>32.544378698224847</v>
      </c>
      <c r="G485">
        <f t="shared" si="32"/>
        <v>0</v>
      </c>
      <c r="H485" t="s">
        <v>1399</v>
      </c>
      <c r="I485">
        <v>87.8</v>
      </c>
      <c r="J485" t="s">
        <v>407</v>
      </c>
      <c r="K485" s="24">
        <v>97</v>
      </c>
      <c r="L485" s="24">
        <v>71</v>
      </c>
      <c r="N485" t="s">
        <v>1434</v>
      </c>
      <c r="P485">
        <v>103</v>
      </c>
      <c r="Q485" t="s">
        <v>25</v>
      </c>
      <c r="R485" t="s">
        <v>25</v>
      </c>
      <c r="S485" t="s">
        <v>30</v>
      </c>
      <c r="T485" t="s">
        <v>24</v>
      </c>
      <c r="U485">
        <f t="shared" si="30"/>
        <v>2</v>
      </c>
      <c r="V485">
        <v>182</v>
      </c>
      <c r="W485">
        <v>0.48199999999999998</v>
      </c>
      <c r="X485" t="s">
        <v>1406</v>
      </c>
      <c r="Y485">
        <v>97</v>
      </c>
      <c r="Z485">
        <v>71</v>
      </c>
      <c r="AA485" t="s">
        <v>35</v>
      </c>
      <c r="AB485">
        <v>39</v>
      </c>
      <c r="AC485" s="23" t="s">
        <v>1410</v>
      </c>
      <c r="AD485" t="str">
        <f>IF(AND('CVD Dataset'!AA485="Normal",'CVD Dataset'!AB485&gt;AVERAGE('CVD Dataset'!AB:AB),'CVD Dataset'!AF485="High"),"High Lipid Category","Normal Category")</f>
        <v>Normal Category</v>
      </c>
      <c r="AE485">
        <v>15.87</v>
      </c>
      <c r="AF485" t="s">
        <v>28</v>
      </c>
      <c r="AG485">
        <v>0</v>
      </c>
      <c r="AH485" t="s">
        <v>1380</v>
      </c>
      <c r="AI485">
        <f t="shared" si="31"/>
        <v>0</v>
      </c>
      <c r="AJ485" t="s">
        <v>1391</v>
      </c>
    </row>
    <row r="486" spans="1:36" x14ac:dyDescent="0.3">
      <c r="A486" t="s">
        <v>22</v>
      </c>
      <c r="B486">
        <v>51</v>
      </c>
      <c r="C486">
        <v>86.9</v>
      </c>
      <c r="D486">
        <v>1.76</v>
      </c>
      <c r="E486">
        <v>28.1</v>
      </c>
      <c r="F486">
        <f t="shared" si="29"/>
        <v>28.053977272727277</v>
      </c>
      <c r="G486">
        <f t="shared" si="32"/>
        <v>0</v>
      </c>
      <c r="H486" t="s">
        <v>1400</v>
      </c>
      <c r="J486" t="s">
        <v>470</v>
      </c>
      <c r="K486" s="24">
        <v>96</v>
      </c>
      <c r="L486" s="24">
        <v>78</v>
      </c>
      <c r="M486">
        <v>179</v>
      </c>
      <c r="N486" t="s">
        <v>1433</v>
      </c>
      <c r="O486">
        <v>37</v>
      </c>
      <c r="P486">
        <v>96</v>
      </c>
      <c r="Q486" t="s">
        <v>24</v>
      </c>
      <c r="R486" t="s">
        <v>25</v>
      </c>
      <c r="S486" t="s">
        <v>26</v>
      </c>
      <c r="T486" t="s">
        <v>24</v>
      </c>
      <c r="U486">
        <f t="shared" si="30"/>
        <v>2</v>
      </c>
      <c r="V486">
        <v>176</v>
      </c>
      <c r="W486">
        <v>0.53200000000000003</v>
      </c>
      <c r="X486" t="s">
        <v>1407</v>
      </c>
      <c r="Y486">
        <v>96</v>
      </c>
      <c r="Z486">
        <v>78</v>
      </c>
      <c r="AA486" t="s">
        <v>35</v>
      </c>
      <c r="AB486">
        <v>112</v>
      </c>
      <c r="AC486" s="23">
        <v>3.03</v>
      </c>
      <c r="AD486" t="str">
        <f>IF(AND('CVD Dataset'!AA486="Normal",'CVD Dataset'!AB486&gt;AVERAGE('CVD Dataset'!AB:AB),'CVD Dataset'!AF486="High"),"High Lipid Category","Normal Category")</f>
        <v>High Lipid Category</v>
      </c>
      <c r="AE486">
        <v>16</v>
      </c>
      <c r="AF486" t="s">
        <v>32</v>
      </c>
      <c r="AG486">
        <v>0</v>
      </c>
      <c r="AH486" t="s">
        <v>1379</v>
      </c>
      <c r="AI486">
        <f t="shared" si="31"/>
        <v>1</v>
      </c>
      <c r="AJ486" t="s">
        <v>1391</v>
      </c>
    </row>
    <row r="487" spans="1:36" x14ac:dyDescent="0.3">
      <c r="A487" t="s">
        <v>22</v>
      </c>
      <c r="B487">
        <v>47</v>
      </c>
      <c r="C487">
        <v>55.7</v>
      </c>
      <c r="D487">
        <v>1.76</v>
      </c>
      <c r="E487">
        <v>18</v>
      </c>
      <c r="F487">
        <f t="shared" si="29"/>
        <v>17.981663223140497</v>
      </c>
      <c r="G487">
        <f t="shared" si="32"/>
        <v>0</v>
      </c>
      <c r="H487" t="s">
        <v>1401</v>
      </c>
      <c r="I487">
        <v>106.8</v>
      </c>
      <c r="J487" t="s">
        <v>471</v>
      </c>
      <c r="K487" s="24">
        <v>111</v>
      </c>
      <c r="L487" s="24">
        <v>85</v>
      </c>
      <c r="M487">
        <v>105</v>
      </c>
      <c r="N487" t="s">
        <v>1434</v>
      </c>
      <c r="O487">
        <v>31</v>
      </c>
      <c r="P487">
        <v>146</v>
      </c>
      <c r="Q487" t="s">
        <v>25</v>
      </c>
      <c r="R487" t="s">
        <v>24</v>
      </c>
      <c r="S487" t="s">
        <v>26</v>
      </c>
      <c r="T487" t="s">
        <v>25</v>
      </c>
      <c r="U487">
        <f t="shared" si="30"/>
        <v>3</v>
      </c>
      <c r="V487">
        <v>176</v>
      </c>
      <c r="W487">
        <v>0.60699999999999998</v>
      </c>
      <c r="X487" t="s">
        <v>1409</v>
      </c>
      <c r="Y487">
        <v>111</v>
      </c>
      <c r="Z487">
        <v>85</v>
      </c>
      <c r="AA487" t="s">
        <v>31</v>
      </c>
      <c r="AB487">
        <v>44</v>
      </c>
      <c r="AC487" s="23">
        <v>1.42</v>
      </c>
      <c r="AD487" t="str">
        <f>IF(AND('CVD Dataset'!AA487="Normal",'CVD Dataset'!AB487&gt;AVERAGE('CVD Dataset'!AB:AB),'CVD Dataset'!AF487="High"),"High Lipid Category","Normal Category")</f>
        <v>Normal Category</v>
      </c>
      <c r="AE487">
        <v>11.25</v>
      </c>
      <c r="AF487" t="s">
        <v>32</v>
      </c>
      <c r="AG487">
        <v>0</v>
      </c>
      <c r="AH487" t="s">
        <v>1379</v>
      </c>
      <c r="AI487">
        <f t="shared" si="31"/>
        <v>1</v>
      </c>
      <c r="AJ487" t="s">
        <v>1391</v>
      </c>
    </row>
    <row r="488" spans="1:36" x14ac:dyDescent="0.3">
      <c r="A488" t="s">
        <v>22</v>
      </c>
      <c r="B488">
        <v>34</v>
      </c>
      <c r="C488">
        <v>52.9</v>
      </c>
      <c r="D488">
        <v>1.88</v>
      </c>
      <c r="E488">
        <v>15</v>
      </c>
      <c r="F488">
        <f t="shared" si="29"/>
        <v>14.967179719330014</v>
      </c>
      <c r="G488">
        <f t="shared" si="32"/>
        <v>0</v>
      </c>
      <c r="H488" t="s">
        <v>1401</v>
      </c>
      <c r="I488">
        <v>75.099999999999994</v>
      </c>
      <c r="J488" t="s">
        <v>472</v>
      </c>
      <c r="K488" s="24">
        <v>132</v>
      </c>
      <c r="L488" s="24">
        <v>95</v>
      </c>
      <c r="M488">
        <v>203</v>
      </c>
      <c r="N488" t="s">
        <v>1432</v>
      </c>
      <c r="O488">
        <v>70</v>
      </c>
      <c r="P488">
        <v>124</v>
      </c>
      <c r="Q488" t="s">
        <v>25</v>
      </c>
      <c r="R488" t="s">
        <v>24</v>
      </c>
      <c r="S488" t="s">
        <v>30</v>
      </c>
      <c r="T488" t="s">
        <v>24</v>
      </c>
      <c r="U488">
        <f t="shared" si="30"/>
        <v>1</v>
      </c>
      <c r="V488">
        <v>188</v>
      </c>
      <c r="W488">
        <v>0.39900000000000002</v>
      </c>
      <c r="X488" t="s">
        <v>1408</v>
      </c>
      <c r="Y488">
        <v>132</v>
      </c>
      <c r="Z488">
        <v>95</v>
      </c>
      <c r="AA488" t="s">
        <v>31</v>
      </c>
      <c r="AB488">
        <v>103</v>
      </c>
      <c r="AC488" s="23">
        <v>1.47</v>
      </c>
      <c r="AD488" t="str">
        <f>IF(AND('CVD Dataset'!AA488="Normal",'CVD Dataset'!AB488&gt;AVERAGE('CVD Dataset'!AB:AB),'CVD Dataset'!AF488="High"),"High Lipid Category","Normal Category")</f>
        <v>Normal Category</v>
      </c>
      <c r="AE488">
        <v>13.66</v>
      </c>
      <c r="AF488" t="s">
        <v>28</v>
      </c>
      <c r="AG488">
        <v>0</v>
      </c>
      <c r="AH488" t="s">
        <v>1380</v>
      </c>
      <c r="AI488">
        <f t="shared" si="31"/>
        <v>0</v>
      </c>
      <c r="AJ488" t="s">
        <v>1391</v>
      </c>
    </row>
    <row r="489" spans="1:36" x14ac:dyDescent="0.3">
      <c r="A489" t="s">
        <v>22</v>
      </c>
      <c r="B489">
        <v>57</v>
      </c>
      <c r="C489">
        <v>58.5</v>
      </c>
      <c r="D489">
        <v>1.82</v>
      </c>
      <c r="E489">
        <v>17.7</v>
      </c>
      <c r="F489">
        <f t="shared" si="29"/>
        <v>17.660910518053374</v>
      </c>
      <c r="G489">
        <f t="shared" si="32"/>
        <v>0</v>
      </c>
      <c r="H489" t="s">
        <v>1401</v>
      </c>
      <c r="I489">
        <v>83.9</v>
      </c>
      <c r="J489" t="s">
        <v>473</v>
      </c>
      <c r="K489" s="24">
        <v>97</v>
      </c>
      <c r="L489" s="24">
        <v>80</v>
      </c>
      <c r="N489" t="s">
        <v>1434</v>
      </c>
      <c r="O489">
        <v>55</v>
      </c>
      <c r="P489">
        <v>112</v>
      </c>
      <c r="Q489" t="s">
        <v>24</v>
      </c>
      <c r="R489" t="s">
        <v>24</v>
      </c>
      <c r="S489" t="s">
        <v>39</v>
      </c>
      <c r="T489" t="s">
        <v>24</v>
      </c>
      <c r="U489">
        <f t="shared" si="30"/>
        <v>0</v>
      </c>
      <c r="V489">
        <v>182</v>
      </c>
      <c r="W489">
        <v>0.46100000000000002</v>
      </c>
      <c r="X489" t="s">
        <v>1406</v>
      </c>
      <c r="Y489">
        <v>97</v>
      </c>
      <c r="Z489">
        <v>80</v>
      </c>
      <c r="AA489" t="s">
        <v>31</v>
      </c>
      <c r="AB489">
        <v>206</v>
      </c>
      <c r="AC489" s="23">
        <v>3.75</v>
      </c>
      <c r="AD489" t="str">
        <f>IF(AND('CVD Dataset'!AA489="Normal",'CVD Dataset'!AB489&gt;AVERAGE('CVD Dataset'!AB:AB),'CVD Dataset'!AF489="High"),"High Lipid Category","Normal Category")</f>
        <v>Normal Category</v>
      </c>
      <c r="AE489">
        <v>14.21</v>
      </c>
      <c r="AF489" t="s">
        <v>28</v>
      </c>
      <c r="AG489">
        <v>0</v>
      </c>
      <c r="AH489" t="s">
        <v>1380</v>
      </c>
      <c r="AI489">
        <f t="shared" si="31"/>
        <v>0</v>
      </c>
      <c r="AJ489" t="s">
        <v>1391</v>
      </c>
    </row>
    <row r="490" spans="1:36" x14ac:dyDescent="0.3">
      <c r="A490" t="s">
        <v>22</v>
      </c>
      <c r="B490">
        <v>39</v>
      </c>
      <c r="C490">
        <v>65.7</v>
      </c>
      <c r="D490">
        <v>1.81</v>
      </c>
      <c r="E490">
        <v>20.100000000000001</v>
      </c>
      <c r="F490">
        <f t="shared" si="29"/>
        <v>20.054332895821251</v>
      </c>
      <c r="G490">
        <f t="shared" si="32"/>
        <v>0</v>
      </c>
      <c r="H490" t="s">
        <v>1398</v>
      </c>
      <c r="I490">
        <v>102.4</v>
      </c>
      <c r="J490" t="s">
        <v>474</v>
      </c>
      <c r="K490" s="24">
        <v>92</v>
      </c>
      <c r="L490" s="24">
        <v>96</v>
      </c>
      <c r="M490">
        <v>297</v>
      </c>
      <c r="N490" t="s">
        <v>1432</v>
      </c>
      <c r="O490">
        <v>65</v>
      </c>
      <c r="P490">
        <v>115</v>
      </c>
      <c r="Q490" t="s">
        <v>24</v>
      </c>
      <c r="R490" t="s">
        <v>25</v>
      </c>
      <c r="S490" t="s">
        <v>26</v>
      </c>
      <c r="T490" t="s">
        <v>25</v>
      </c>
      <c r="U490">
        <f t="shared" si="30"/>
        <v>3</v>
      </c>
      <c r="W490">
        <v>0.56599999999999995</v>
      </c>
      <c r="X490" t="s">
        <v>1407</v>
      </c>
      <c r="Y490">
        <v>92</v>
      </c>
      <c r="Z490">
        <v>96</v>
      </c>
      <c r="AA490" t="s">
        <v>40</v>
      </c>
      <c r="AB490">
        <v>202</v>
      </c>
      <c r="AC490" s="23">
        <v>3.11</v>
      </c>
      <c r="AD490" t="str">
        <f>IF(AND('CVD Dataset'!AA490="Normal",'CVD Dataset'!AB490&gt;AVERAGE('CVD Dataset'!AB:AB),'CVD Dataset'!AF490="High"),"High Lipid Category","Normal Category")</f>
        <v>Normal Category</v>
      </c>
      <c r="AE490">
        <v>16.559999999999999</v>
      </c>
      <c r="AF490" t="s">
        <v>32</v>
      </c>
      <c r="AG490">
        <v>1</v>
      </c>
      <c r="AH490" t="s">
        <v>1379</v>
      </c>
      <c r="AI490">
        <f t="shared" si="31"/>
        <v>1</v>
      </c>
      <c r="AJ490" t="s">
        <v>1391</v>
      </c>
    </row>
    <row r="491" spans="1:36" x14ac:dyDescent="0.3">
      <c r="A491" t="s">
        <v>33</v>
      </c>
      <c r="B491">
        <v>57</v>
      </c>
      <c r="C491">
        <v>53.1</v>
      </c>
      <c r="D491">
        <v>1.63</v>
      </c>
      <c r="E491">
        <v>20</v>
      </c>
      <c r="F491">
        <f t="shared" si="29"/>
        <v>19.985697617524185</v>
      </c>
      <c r="G491">
        <f t="shared" si="32"/>
        <v>0</v>
      </c>
      <c r="H491" t="s">
        <v>1398</v>
      </c>
      <c r="I491">
        <v>105.9</v>
      </c>
      <c r="J491" t="s">
        <v>168</v>
      </c>
      <c r="K491" s="24">
        <v>140</v>
      </c>
      <c r="L491" s="24">
        <v>85</v>
      </c>
      <c r="M491">
        <v>153</v>
      </c>
      <c r="N491" t="s">
        <v>1433</v>
      </c>
      <c r="O491">
        <v>80</v>
      </c>
      <c r="P491">
        <v>114</v>
      </c>
      <c r="Q491" t="s">
        <v>24</v>
      </c>
      <c r="R491" t="s">
        <v>25</v>
      </c>
      <c r="S491" t="s">
        <v>26</v>
      </c>
      <c r="T491" t="s">
        <v>25</v>
      </c>
      <c r="U491">
        <f t="shared" si="30"/>
        <v>3</v>
      </c>
      <c r="V491">
        <v>163</v>
      </c>
      <c r="W491">
        <v>0.65</v>
      </c>
      <c r="X491" t="s">
        <v>1409</v>
      </c>
      <c r="Y491">
        <v>140</v>
      </c>
      <c r="Z491">
        <v>85</v>
      </c>
      <c r="AA491" t="s">
        <v>31</v>
      </c>
      <c r="AB491">
        <v>43</v>
      </c>
      <c r="AC491" s="23">
        <v>0.54</v>
      </c>
      <c r="AD491" t="str">
        <f>IF(AND('CVD Dataset'!AA491="Normal",'CVD Dataset'!AB491&gt;AVERAGE('CVD Dataset'!AB:AB),'CVD Dataset'!AF491="High"),"High Lipid Category","Normal Category")</f>
        <v>Normal Category</v>
      </c>
      <c r="AF491" t="s">
        <v>32</v>
      </c>
      <c r="AG491">
        <v>1</v>
      </c>
      <c r="AH491" t="s">
        <v>1379</v>
      </c>
      <c r="AI491">
        <f t="shared" si="31"/>
        <v>1</v>
      </c>
      <c r="AJ491" t="s">
        <v>1392</v>
      </c>
    </row>
    <row r="492" spans="1:36" x14ac:dyDescent="0.3">
      <c r="A492" t="s">
        <v>33</v>
      </c>
      <c r="B492">
        <v>30</v>
      </c>
      <c r="C492">
        <v>106.2</v>
      </c>
      <c r="D492">
        <v>1.87</v>
      </c>
      <c r="E492">
        <v>30.4</v>
      </c>
      <c r="F492">
        <f t="shared" si="29"/>
        <v>30.369756069661697</v>
      </c>
      <c r="G492">
        <f t="shared" si="32"/>
        <v>0</v>
      </c>
      <c r="H492" t="s">
        <v>1399</v>
      </c>
      <c r="I492">
        <v>105.5</v>
      </c>
      <c r="J492" t="s">
        <v>192</v>
      </c>
      <c r="K492" s="24">
        <v>119</v>
      </c>
      <c r="L492" s="24">
        <v>92</v>
      </c>
      <c r="M492">
        <v>268</v>
      </c>
      <c r="N492" t="s">
        <v>1432</v>
      </c>
      <c r="O492">
        <v>50</v>
      </c>
      <c r="P492">
        <v>139</v>
      </c>
      <c r="Q492" t="s">
        <v>25</v>
      </c>
      <c r="R492" t="s">
        <v>25</v>
      </c>
      <c r="S492" t="s">
        <v>39</v>
      </c>
      <c r="T492" t="s">
        <v>24</v>
      </c>
      <c r="U492">
        <f t="shared" si="30"/>
        <v>2</v>
      </c>
      <c r="V492">
        <v>187</v>
      </c>
      <c r="W492">
        <v>0.56399999999999995</v>
      </c>
      <c r="X492" t="s">
        <v>1407</v>
      </c>
      <c r="Z492">
        <v>92</v>
      </c>
      <c r="AA492" t="s">
        <v>40</v>
      </c>
      <c r="AB492">
        <v>188</v>
      </c>
      <c r="AC492" s="23">
        <v>3.76</v>
      </c>
      <c r="AD492" t="str">
        <f>IF(AND('CVD Dataset'!AA492="Normal",'CVD Dataset'!AB492&gt;AVERAGE('CVD Dataset'!AB:AB),'CVD Dataset'!AF492="High"),"High Lipid Category","Normal Category")</f>
        <v>Normal Category</v>
      </c>
      <c r="AE492">
        <v>19.39</v>
      </c>
      <c r="AF492" t="s">
        <v>32</v>
      </c>
      <c r="AG492">
        <v>0</v>
      </c>
      <c r="AH492" t="s">
        <v>1379</v>
      </c>
      <c r="AI492">
        <f t="shared" si="31"/>
        <v>1</v>
      </c>
      <c r="AJ492" t="s">
        <v>1391</v>
      </c>
    </row>
    <row r="493" spans="1:36" x14ac:dyDescent="0.3">
      <c r="A493" t="s">
        <v>22</v>
      </c>
      <c r="B493">
        <v>51</v>
      </c>
      <c r="C493">
        <v>118.4</v>
      </c>
      <c r="D493">
        <v>1.9</v>
      </c>
      <c r="E493">
        <v>32.799999999999997</v>
      </c>
      <c r="F493">
        <f t="shared" si="29"/>
        <v>32.797783933518005</v>
      </c>
      <c r="G493">
        <f t="shared" si="32"/>
        <v>0</v>
      </c>
      <c r="H493" t="s">
        <v>1399</v>
      </c>
      <c r="I493">
        <v>80.900000000000006</v>
      </c>
      <c r="J493" t="s">
        <v>475</v>
      </c>
      <c r="K493" s="24">
        <v>91</v>
      </c>
      <c r="L493" s="24">
        <v>71</v>
      </c>
      <c r="M493">
        <v>202</v>
      </c>
      <c r="N493" t="s">
        <v>1432</v>
      </c>
      <c r="O493">
        <v>48</v>
      </c>
      <c r="P493">
        <v>148</v>
      </c>
      <c r="Q493" t="s">
        <v>24</v>
      </c>
      <c r="R493" t="s">
        <v>25</v>
      </c>
      <c r="S493" t="s">
        <v>30</v>
      </c>
      <c r="T493" t="s">
        <v>24</v>
      </c>
      <c r="U493">
        <f t="shared" si="30"/>
        <v>1</v>
      </c>
      <c r="V493">
        <v>190</v>
      </c>
      <c r="W493">
        <v>0.42599999999999999</v>
      </c>
      <c r="X493" t="s">
        <v>1408</v>
      </c>
      <c r="Y493">
        <v>91</v>
      </c>
      <c r="Z493">
        <v>71</v>
      </c>
      <c r="AA493" t="s">
        <v>35</v>
      </c>
      <c r="AB493">
        <v>124</v>
      </c>
      <c r="AC493" s="23">
        <v>2.58</v>
      </c>
      <c r="AD493" t="str">
        <f>IF(AND('CVD Dataset'!AA493="Normal",'CVD Dataset'!AB493&gt;AVERAGE('CVD Dataset'!AB:AB),'CVD Dataset'!AF493="High"),"High Lipid Category","Normal Category")</f>
        <v>High Lipid Category</v>
      </c>
      <c r="AE493">
        <v>17.149999999999999</v>
      </c>
      <c r="AF493" t="s">
        <v>32</v>
      </c>
      <c r="AG493">
        <v>0</v>
      </c>
      <c r="AH493" t="s">
        <v>1379</v>
      </c>
      <c r="AI493">
        <f t="shared" si="31"/>
        <v>1</v>
      </c>
      <c r="AJ493" t="s">
        <v>1391</v>
      </c>
    </row>
    <row r="494" spans="1:36" x14ac:dyDescent="0.3">
      <c r="A494" t="s">
        <v>33</v>
      </c>
      <c r="B494">
        <v>55</v>
      </c>
      <c r="C494">
        <v>70.2</v>
      </c>
      <c r="D494">
        <v>1.72</v>
      </c>
      <c r="E494">
        <v>23.7</v>
      </c>
      <c r="F494">
        <f t="shared" si="29"/>
        <v>23.729042725797733</v>
      </c>
      <c r="G494">
        <f t="shared" si="32"/>
        <v>0</v>
      </c>
      <c r="H494" t="s">
        <v>1398</v>
      </c>
      <c r="I494">
        <v>70</v>
      </c>
      <c r="J494" t="s">
        <v>270</v>
      </c>
      <c r="K494" s="24">
        <v>121</v>
      </c>
      <c r="L494" s="24">
        <v>68</v>
      </c>
      <c r="M494">
        <v>300</v>
      </c>
      <c r="N494" t="s">
        <v>1432</v>
      </c>
      <c r="O494">
        <v>77</v>
      </c>
      <c r="P494">
        <v>141</v>
      </c>
      <c r="Q494" t="s">
        <v>25</v>
      </c>
      <c r="R494" t="s">
        <v>24</v>
      </c>
      <c r="S494" t="s">
        <v>30</v>
      </c>
      <c r="T494" t="s">
        <v>25</v>
      </c>
      <c r="U494">
        <f t="shared" si="30"/>
        <v>2</v>
      </c>
      <c r="V494">
        <v>172</v>
      </c>
      <c r="W494">
        <v>0.40699999999999997</v>
      </c>
      <c r="X494" t="s">
        <v>1408</v>
      </c>
      <c r="Y494">
        <v>121</v>
      </c>
      <c r="AA494" t="s">
        <v>27</v>
      </c>
      <c r="AB494">
        <v>193</v>
      </c>
      <c r="AC494" s="23">
        <v>2.5099999999999998</v>
      </c>
      <c r="AD494" t="str">
        <f>IF(AND('CVD Dataset'!AA494="Normal",'CVD Dataset'!AB494&gt;AVERAGE('CVD Dataset'!AB:AB),'CVD Dataset'!AF494="High"),"High Lipid Category","Normal Category")</f>
        <v>Normal Category</v>
      </c>
      <c r="AE494">
        <v>16.79</v>
      </c>
      <c r="AF494" t="s">
        <v>32</v>
      </c>
      <c r="AG494">
        <v>1</v>
      </c>
      <c r="AH494" t="s">
        <v>1379</v>
      </c>
      <c r="AI494">
        <f t="shared" si="31"/>
        <v>1</v>
      </c>
      <c r="AJ494" t="s">
        <v>1391</v>
      </c>
    </row>
    <row r="495" spans="1:36" x14ac:dyDescent="0.3">
      <c r="A495" t="s">
        <v>22</v>
      </c>
      <c r="B495">
        <v>46</v>
      </c>
      <c r="C495">
        <v>76.099999999999994</v>
      </c>
      <c r="D495">
        <v>1.88</v>
      </c>
      <c r="E495">
        <v>21.5</v>
      </c>
      <c r="F495">
        <f t="shared" si="29"/>
        <v>21.531235853327296</v>
      </c>
      <c r="G495">
        <f t="shared" si="32"/>
        <v>0</v>
      </c>
      <c r="H495" t="s">
        <v>1398</v>
      </c>
      <c r="I495">
        <v>98.2</v>
      </c>
      <c r="J495" t="s">
        <v>476</v>
      </c>
      <c r="K495" s="24">
        <v>98</v>
      </c>
      <c r="L495" s="24">
        <v>90</v>
      </c>
      <c r="M495">
        <v>149</v>
      </c>
      <c r="N495" t="s">
        <v>1434</v>
      </c>
      <c r="O495">
        <v>64</v>
      </c>
      <c r="P495">
        <v>105</v>
      </c>
      <c r="Q495" t="s">
        <v>25</v>
      </c>
      <c r="R495" t="s">
        <v>24</v>
      </c>
      <c r="S495" t="s">
        <v>26</v>
      </c>
      <c r="T495" t="s">
        <v>25</v>
      </c>
      <c r="U495">
        <f t="shared" si="30"/>
        <v>3</v>
      </c>
      <c r="V495">
        <v>188</v>
      </c>
      <c r="W495">
        <v>0.52200000000000002</v>
      </c>
      <c r="X495" t="s">
        <v>1406</v>
      </c>
      <c r="Y495">
        <v>98</v>
      </c>
      <c r="Z495">
        <v>90</v>
      </c>
      <c r="AA495" t="s">
        <v>40</v>
      </c>
      <c r="AB495">
        <v>55</v>
      </c>
      <c r="AC495" s="23">
        <v>0.86</v>
      </c>
      <c r="AD495" t="str">
        <f>IF(AND('CVD Dataset'!AA495="Normal",'CVD Dataset'!AB495&gt;AVERAGE('CVD Dataset'!AB:AB),'CVD Dataset'!AF495="High"),"High Lipid Category","Normal Category")</f>
        <v>Normal Category</v>
      </c>
      <c r="AE495">
        <v>12.18</v>
      </c>
      <c r="AF495" t="s">
        <v>32</v>
      </c>
      <c r="AG495">
        <v>1</v>
      </c>
      <c r="AH495" t="s">
        <v>1379</v>
      </c>
      <c r="AI495">
        <f t="shared" si="31"/>
        <v>1</v>
      </c>
      <c r="AJ495" t="s">
        <v>1391</v>
      </c>
    </row>
    <row r="496" spans="1:36" x14ac:dyDescent="0.3">
      <c r="A496" t="s">
        <v>22</v>
      </c>
      <c r="B496">
        <v>57</v>
      </c>
      <c r="C496">
        <v>104.8</v>
      </c>
      <c r="D496">
        <v>1.84</v>
      </c>
      <c r="E496">
        <v>31</v>
      </c>
      <c r="F496">
        <f t="shared" si="29"/>
        <v>30.954631379962191</v>
      </c>
      <c r="G496">
        <f t="shared" si="32"/>
        <v>0</v>
      </c>
      <c r="H496" t="s">
        <v>1399</v>
      </c>
      <c r="I496">
        <v>104.6</v>
      </c>
      <c r="J496" t="s">
        <v>477</v>
      </c>
      <c r="K496" s="24">
        <v>150</v>
      </c>
      <c r="L496" s="24">
        <v>97</v>
      </c>
      <c r="M496">
        <v>192</v>
      </c>
      <c r="N496" t="s">
        <v>1432</v>
      </c>
      <c r="O496">
        <v>78</v>
      </c>
      <c r="P496">
        <v>106</v>
      </c>
      <c r="Q496" t="s">
        <v>25</v>
      </c>
      <c r="R496" t="s">
        <v>25</v>
      </c>
      <c r="S496" t="s">
        <v>30</v>
      </c>
      <c r="T496" t="s">
        <v>25</v>
      </c>
      <c r="U496">
        <f t="shared" si="30"/>
        <v>3</v>
      </c>
      <c r="V496">
        <v>184</v>
      </c>
      <c r="W496">
        <v>0.56799999999999995</v>
      </c>
      <c r="X496" t="s">
        <v>1407</v>
      </c>
      <c r="Y496">
        <v>150</v>
      </c>
      <c r="Z496">
        <v>97</v>
      </c>
      <c r="AA496" t="s">
        <v>40</v>
      </c>
      <c r="AB496">
        <v>84</v>
      </c>
      <c r="AC496" s="23">
        <v>1.08</v>
      </c>
      <c r="AD496" t="str">
        <f>IF(AND('CVD Dataset'!AA496="Normal",'CVD Dataset'!AB496&gt;AVERAGE('CVD Dataset'!AB:AB),'CVD Dataset'!AF496="High"),"High Lipid Category","Normal Category")</f>
        <v>Normal Category</v>
      </c>
      <c r="AE496">
        <v>19.54</v>
      </c>
      <c r="AF496" t="s">
        <v>32</v>
      </c>
      <c r="AG496">
        <v>1</v>
      </c>
      <c r="AH496" t="s">
        <v>1379</v>
      </c>
      <c r="AI496">
        <f t="shared" si="31"/>
        <v>1</v>
      </c>
      <c r="AJ496" t="s">
        <v>1392</v>
      </c>
    </row>
    <row r="497" spans="1:36" x14ac:dyDescent="0.3">
      <c r="A497" t="s">
        <v>33</v>
      </c>
      <c r="B497">
        <v>35</v>
      </c>
      <c r="C497">
        <v>50.4</v>
      </c>
      <c r="D497">
        <v>1.67</v>
      </c>
      <c r="E497">
        <v>18.100000000000001</v>
      </c>
      <c r="F497">
        <f t="shared" si="29"/>
        <v>18.071641148840044</v>
      </c>
      <c r="G497">
        <f t="shared" si="32"/>
        <v>0</v>
      </c>
      <c r="H497" t="s">
        <v>1401</v>
      </c>
      <c r="I497">
        <v>108.8</v>
      </c>
      <c r="J497" t="s">
        <v>478</v>
      </c>
      <c r="K497" s="24">
        <v>133</v>
      </c>
      <c r="L497" s="24">
        <v>71</v>
      </c>
      <c r="N497" t="s">
        <v>1434</v>
      </c>
      <c r="O497">
        <v>39</v>
      </c>
      <c r="P497">
        <v>144</v>
      </c>
      <c r="Q497" t="s">
        <v>25</v>
      </c>
      <c r="R497" t="s">
        <v>24</v>
      </c>
      <c r="S497" t="s">
        <v>39</v>
      </c>
      <c r="T497" t="s">
        <v>25</v>
      </c>
      <c r="U497">
        <f t="shared" si="30"/>
        <v>2</v>
      </c>
      <c r="V497">
        <v>167</v>
      </c>
      <c r="W497">
        <v>0.65100000000000002</v>
      </c>
      <c r="X497" t="s">
        <v>1409</v>
      </c>
      <c r="Y497">
        <v>133</v>
      </c>
      <c r="Z497">
        <v>71</v>
      </c>
      <c r="AA497" t="s">
        <v>31</v>
      </c>
      <c r="AB497">
        <v>188</v>
      </c>
      <c r="AC497" s="23">
        <v>4.82</v>
      </c>
      <c r="AD497" t="str">
        <f>IF(AND('CVD Dataset'!AA497="Normal",'CVD Dataset'!AB497&gt;AVERAGE('CVD Dataset'!AB:AB),'CVD Dataset'!AF497="High"),"High Lipid Category","Normal Category")</f>
        <v>Normal Category</v>
      </c>
      <c r="AE497">
        <v>15.41</v>
      </c>
      <c r="AF497" t="s">
        <v>32</v>
      </c>
      <c r="AG497">
        <v>0</v>
      </c>
      <c r="AH497" t="s">
        <v>1379</v>
      </c>
      <c r="AI497">
        <f t="shared" si="31"/>
        <v>1</v>
      </c>
      <c r="AJ497" t="s">
        <v>1391</v>
      </c>
    </row>
    <row r="498" spans="1:36" x14ac:dyDescent="0.3">
      <c r="A498" t="s">
        <v>33</v>
      </c>
      <c r="B498">
        <v>51</v>
      </c>
      <c r="C498">
        <v>113.8</v>
      </c>
      <c r="D498">
        <v>1.8</v>
      </c>
      <c r="E498">
        <v>35.1</v>
      </c>
      <c r="F498">
        <f t="shared" si="29"/>
        <v>35.123456790123456</v>
      </c>
      <c r="G498">
        <f t="shared" si="32"/>
        <v>0</v>
      </c>
      <c r="H498" t="s">
        <v>1399</v>
      </c>
      <c r="I498">
        <v>109</v>
      </c>
      <c r="J498" t="s">
        <v>479</v>
      </c>
      <c r="K498" s="24">
        <v>127</v>
      </c>
      <c r="L498" s="24">
        <v>80</v>
      </c>
      <c r="M498">
        <v>237</v>
      </c>
      <c r="N498" t="s">
        <v>1432</v>
      </c>
      <c r="O498">
        <v>40</v>
      </c>
      <c r="P498">
        <v>129</v>
      </c>
      <c r="Q498" t="s">
        <v>25</v>
      </c>
      <c r="R498" t="s">
        <v>25</v>
      </c>
      <c r="S498" t="s">
        <v>30</v>
      </c>
      <c r="T498" t="s">
        <v>24</v>
      </c>
      <c r="U498">
        <f t="shared" si="30"/>
        <v>2</v>
      </c>
      <c r="V498">
        <v>180</v>
      </c>
      <c r="W498">
        <v>0.60599999999999998</v>
      </c>
      <c r="X498" t="s">
        <v>1409</v>
      </c>
      <c r="Y498">
        <v>127</v>
      </c>
      <c r="Z498">
        <v>80</v>
      </c>
      <c r="AA498" t="s">
        <v>31</v>
      </c>
      <c r="AB498">
        <v>167</v>
      </c>
      <c r="AC498" s="23">
        <v>4.18</v>
      </c>
      <c r="AD498" t="str">
        <f>IF(AND('CVD Dataset'!AA498="Normal",'CVD Dataset'!AB498&gt;AVERAGE('CVD Dataset'!AB:AB),'CVD Dataset'!AF498="High"),"High Lipid Category","Normal Category")</f>
        <v>Normal Category</v>
      </c>
      <c r="AE498">
        <v>20.11</v>
      </c>
      <c r="AF498" t="s">
        <v>32</v>
      </c>
      <c r="AG498">
        <v>0</v>
      </c>
      <c r="AH498" t="s">
        <v>1379</v>
      </c>
      <c r="AI498">
        <f t="shared" si="31"/>
        <v>1</v>
      </c>
      <c r="AJ498" t="s">
        <v>1392</v>
      </c>
    </row>
    <row r="499" spans="1:36" x14ac:dyDescent="0.3">
      <c r="A499" t="s">
        <v>22</v>
      </c>
      <c r="B499">
        <v>58</v>
      </c>
      <c r="C499">
        <v>73.3</v>
      </c>
      <c r="D499">
        <v>1.87</v>
      </c>
      <c r="F499">
        <f t="shared" si="29"/>
        <v>20.961422974634672</v>
      </c>
      <c r="G499">
        <f t="shared" si="32"/>
        <v>1</v>
      </c>
      <c r="H499" t="s">
        <v>1401</v>
      </c>
      <c r="I499">
        <v>74.599999999999994</v>
      </c>
      <c r="J499" t="s">
        <v>461</v>
      </c>
      <c r="K499" s="24">
        <v>113</v>
      </c>
      <c r="L499" s="24">
        <v>79</v>
      </c>
      <c r="M499">
        <v>144</v>
      </c>
      <c r="N499" t="s">
        <v>1434</v>
      </c>
      <c r="O499">
        <v>73</v>
      </c>
      <c r="P499">
        <v>129</v>
      </c>
      <c r="Q499" t="s">
        <v>24</v>
      </c>
      <c r="R499" t="s">
        <v>25</v>
      </c>
      <c r="S499" t="s">
        <v>39</v>
      </c>
      <c r="T499" t="s">
        <v>24</v>
      </c>
      <c r="U499">
        <f t="shared" si="30"/>
        <v>1</v>
      </c>
      <c r="V499">
        <v>187</v>
      </c>
      <c r="W499">
        <v>0.39900000000000002</v>
      </c>
      <c r="X499" t="s">
        <v>1408</v>
      </c>
      <c r="Y499">
        <v>113</v>
      </c>
      <c r="Z499">
        <v>79</v>
      </c>
      <c r="AA499" t="s">
        <v>35</v>
      </c>
      <c r="AB499">
        <v>41</v>
      </c>
      <c r="AC499" s="23">
        <v>0.56000000000000005</v>
      </c>
      <c r="AD499" t="str">
        <f>IF(AND('CVD Dataset'!AA499="Normal",'CVD Dataset'!AB499&gt;AVERAGE('CVD Dataset'!AB:AB),'CVD Dataset'!AF499="High"),"High Lipid Category","Normal Category")</f>
        <v>Normal Category</v>
      </c>
      <c r="AE499">
        <v>14.73</v>
      </c>
      <c r="AF499" t="s">
        <v>28</v>
      </c>
      <c r="AG499">
        <v>0</v>
      </c>
      <c r="AH499" t="s">
        <v>1380</v>
      </c>
      <c r="AI499">
        <f t="shared" si="31"/>
        <v>0</v>
      </c>
      <c r="AJ499" t="s">
        <v>1391</v>
      </c>
    </row>
    <row r="500" spans="1:36" x14ac:dyDescent="0.3">
      <c r="A500" t="s">
        <v>22</v>
      </c>
      <c r="B500">
        <v>36</v>
      </c>
      <c r="C500">
        <v>78.400000000000006</v>
      </c>
      <c r="D500">
        <v>1.89</v>
      </c>
      <c r="E500">
        <v>21.9</v>
      </c>
      <c r="F500">
        <f t="shared" si="29"/>
        <v>21.947873799725656</v>
      </c>
      <c r="G500">
        <f t="shared" si="32"/>
        <v>0</v>
      </c>
      <c r="H500" t="s">
        <v>1398</v>
      </c>
      <c r="I500">
        <v>106.4</v>
      </c>
      <c r="J500" t="s">
        <v>480</v>
      </c>
      <c r="K500" s="24">
        <v>143</v>
      </c>
      <c r="L500" s="24">
        <v>75</v>
      </c>
      <c r="M500">
        <v>295</v>
      </c>
      <c r="N500" t="s">
        <v>1432</v>
      </c>
      <c r="O500">
        <v>36</v>
      </c>
      <c r="P500">
        <v>77</v>
      </c>
      <c r="Q500" t="s">
        <v>25</v>
      </c>
      <c r="R500" t="s">
        <v>25</v>
      </c>
      <c r="S500" t="s">
        <v>30</v>
      </c>
      <c r="T500" t="s">
        <v>25</v>
      </c>
      <c r="U500">
        <f t="shared" si="30"/>
        <v>3</v>
      </c>
      <c r="V500">
        <v>189</v>
      </c>
      <c r="W500">
        <v>0.56299999999999994</v>
      </c>
      <c r="X500" t="s">
        <v>1407</v>
      </c>
      <c r="Y500">
        <v>143</v>
      </c>
      <c r="Z500">
        <v>75</v>
      </c>
      <c r="AA500" t="s">
        <v>40</v>
      </c>
      <c r="AB500">
        <v>229</v>
      </c>
      <c r="AC500" s="23">
        <v>6.36</v>
      </c>
      <c r="AD500" t="str">
        <f>IF(AND('CVD Dataset'!AA500="Normal",'CVD Dataset'!AB500&gt;AVERAGE('CVD Dataset'!AB:AB),'CVD Dataset'!AF500="High"),"High Lipid Category","Normal Category")</f>
        <v>Normal Category</v>
      </c>
      <c r="AE500">
        <v>19.43</v>
      </c>
      <c r="AF500" t="s">
        <v>32</v>
      </c>
      <c r="AG500">
        <v>0</v>
      </c>
      <c r="AH500" t="s">
        <v>1379</v>
      </c>
      <c r="AI500">
        <f t="shared" si="31"/>
        <v>1</v>
      </c>
      <c r="AJ500" t="s">
        <v>1391</v>
      </c>
    </row>
    <row r="501" spans="1:36" x14ac:dyDescent="0.3">
      <c r="A501" t="s">
        <v>33</v>
      </c>
      <c r="B501">
        <v>34</v>
      </c>
      <c r="C501">
        <v>103.8</v>
      </c>
      <c r="D501">
        <v>1.84</v>
      </c>
      <c r="E501">
        <v>30.7</v>
      </c>
      <c r="F501">
        <f t="shared" si="29"/>
        <v>30.659262759924385</v>
      </c>
      <c r="G501">
        <f t="shared" si="32"/>
        <v>0</v>
      </c>
      <c r="H501" t="s">
        <v>1399</v>
      </c>
      <c r="I501">
        <v>82.1</v>
      </c>
      <c r="J501" t="s">
        <v>481</v>
      </c>
      <c r="K501" s="24">
        <v>123</v>
      </c>
      <c r="L501" s="24">
        <v>87</v>
      </c>
      <c r="M501">
        <v>267</v>
      </c>
      <c r="N501" t="s">
        <v>1432</v>
      </c>
      <c r="O501">
        <v>68</v>
      </c>
      <c r="P501">
        <v>75</v>
      </c>
      <c r="Q501" t="s">
        <v>24</v>
      </c>
      <c r="R501" t="s">
        <v>24</v>
      </c>
      <c r="S501" t="s">
        <v>39</v>
      </c>
      <c r="T501" t="s">
        <v>24</v>
      </c>
      <c r="U501">
        <f t="shared" si="30"/>
        <v>0</v>
      </c>
      <c r="V501">
        <v>184</v>
      </c>
      <c r="W501">
        <v>0.44600000000000001</v>
      </c>
      <c r="X501" t="s">
        <v>1408</v>
      </c>
      <c r="Y501">
        <v>123</v>
      </c>
      <c r="Z501">
        <v>87</v>
      </c>
      <c r="AA501" t="s">
        <v>31</v>
      </c>
      <c r="AB501">
        <v>169</v>
      </c>
      <c r="AC501" s="23">
        <v>2.4900000000000002</v>
      </c>
      <c r="AD501" t="str">
        <f>IF(AND('CVD Dataset'!AA501="Normal",'CVD Dataset'!AB501&gt;AVERAGE('CVD Dataset'!AB:AB),'CVD Dataset'!AF501="High"),"High Lipid Category","Normal Category")</f>
        <v>Normal Category</v>
      </c>
      <c r="AE501">
        <v>17.63</v>
      </c>
      <c r="AF501" t="s">
        <v>28</v>
      </c>
      <c r="AG501">
        <v>0</v>
      </c>
      <c r="AH501" t="s">
        <v>1380</v>
      </c>
      <c r="AI501">
        <f t="shared" si="31"/>
        <v>0</v>
      </c>
      <c r="AJ501" t="s">
        <v>1391</v>
      </c>
    </row>
    <row r="502" spans="1:36" x14ac:dyDescent="0.3">
      <c r="A502" t="s">
        <v>22</v>
      </c>
      <c r="B502">
        <v>30</v>
      </c>
      <c r="C502">
        <v>68</v>
      </c>
      <c r="D502">
        <v>1.86</v>
      </c>
      <c r="E502">
        <v>19.7</v>
      </c>
      <c r="F502">
        <f t="shared" si="29"/>
        <v>19.655451497282922</v>
      </c>
      <c r="G502">
        <f t="shared" si="32"/>
        <v>0</v>
      </c>
      <c r="H502" t="s">
        <v>1398</v>
      </c>
      <c r="I502">
        <v>72.5</v>
      </c>
      <c r="J502" t="s">
        <v>482</v>
      </c>
      <c r="K502" s="24">
        <v>125</v>
      </c>
      <c r="L502" s="24">
        <v>63</v>
      </c>
      <c r="M502">
        <v>267</v>
      </c>
      <c r="N502" t="s">
        <v>1432</v>
      </c>
      <c r="O502">
        <v>69</v>
      </c>
      <c r="P502">
        <v>101</v>
      </c>
      <c r="Q502" t="s">
        <v>25</v>
      </c>
      <c r="R502" t="s">
        <v>25</v>
      </c>
      <c r="S502" t="s">
        <v>26</v>
      </c>
      <c r="T502" t="s">
        <v>25</v>
      </c>
      <c r="U502">
        <f t="shared" si="30"/>
        <v>4</v>
      </c>
      <c r="V502">
        <v>186</v>
      </c>
      <c r="W502">
        <v>0.39</v>
      </c>
      <c r="X502" t="s">
        <v>1408</v>
      </c>
      <c r="Y502">
        <v>125</v>
      </c>
      <c r="Z502">
        <v>63</v>
      </c>
      <c r="AA502" t="s">
        <v>27</v>
      </c>
      <c r="AB502">
        <v>168</v>
      </c>
      <c r="AC502" s="23">
        <v>2.4300000000000002</v>
      </c>
      <c r="AD502" t="str">
        <f>IF(AND('CVD Dataset'!AA502="Normal",'CVD Dataset'!AB502&gt;AVERAGE('CVD Dataset'!AB:AB),'CVD Dataset'!AF502="High"),"High Lipid Category","Normal Category")</f>
        <v>Normal Category</v>
      </c>
      <c r="AE502">
        <v>17.53</v>
      </c>
      <c r="AF502" t="s">
        <v>32</v>
      </c>
      <c r="AG502">
        <v>1</v>
      </c>
      <c r="AH502" t="s">
        <v>1379</v>
      </c>
      <c r="AI502">
        <f t="shared" si="31"/>
        <v>1</v>
      </c>
      <c r="AJ502" t="s">
        <v>1391</v>
      </c>
    </row>
    <row r="503" spans="1:36" x14ac:dyDescent="0.3">
      <c r="A503" t="s">
        <v>33</v>
      </c>
      <c r="B503">
        <v>38</v>
      </c>
      <c r="C503">
        <v>58.3</v>
      </c>
      <c r="D503">
        <v>1.81</v>
      </c>
      <c r="E503">
        <v>17.8</v>
      </c>
      <c r="F503">
        <f t="shared" si="29"/>
        <v>17.795549586398462</v>
      </c>
      <c r="G503">
        <f t="shared" si="32"/>
        <v>0</v>
      </c>
      <c r="H503" t="s">
        <v>1401</v>
      </c>
      <c r="I503">
        <v>94.4</v>
      </c>
      <c r="J503" t="s">
        <v>483</v>
      </c>
      <c r="K503" s="24">
        <v>115</v>
      </c>
      <c r="L503" s="24">
        <v>71</v>
      </c>
      <c r="M503">
        <v>182</v>
      </c>
      <c r="N503" t="s">
        <v>1432</v>
      </c>
      <c r="O503">
        <v>61</v>
      </c>
      <c r="P503">
        <v>125</v>
      </c>
      <c r="Q503" t="s">
        <v>24</v>
      </c>
      <c r="R503" t="s">
        <v>25</v>
      </c>
      <c r="S503" t="s">
        <v>26</v>
      </c>
      <c r="T503" t="s">
        <v>25</v>
      </c>
      <c r="U503">
        <f t="shared" si="30"/>
        <v>3</v>
      </c>
      <c r="V503">
        <v>181</v>
      </c>
      <c r="W503">
        <v>0.52200000000000002</v>
      </c>
      <c r="X503" t="s">
        <v>1406</v>
      </c>
      <c r="Z503">
        <v>71</v>
      </c>
      <c r="AA503" t="s">
        <v>35</v>
      </c>
      <c r="AB503">
        <v>91</v>
      </c>
      <c r="AC503" s="23">
        <v>1.49</v>
      </c>
      <c r="AD503" t="str">
        <f>IF(AND('CVD Dataset'!AA503="Normal",'CVD Dataset'!AB503&gt;AVERAGE('CVD Dataset'!AB:AB),'CVD Dataset'!AF503="High"),"High Lipid Category","Normal Category")</f>
        <v>Normal Category</v>
      </c>
      <c r="AE503">
        <v>14.95</v>
      </c>
      <c r="AF503" t="s">
        <v>28</v>
      </c>
      <c r="AG503">
        <v>0</v>
      </c>
      <c r="AH503" t="s">
        <v>1380</v>
      </c>
      <c r="AI503">
        <f t="shared" si="31"/>
        <v>0</v>
      </c>
      <c r="AJ503" t="s">
        <v>1391</v>
      </c>
    </row>
    <row r="504" spans="1:36" x14ac:dyDescent="0.3">
      <c r="A504" t="s">
        <v>33</v>
      </c>
      <c r="B504">
        <v>51</v>
      </c>
      <c r="C504">
        <v>75.8</v>
      </c>
      <c r="D504">
        <v>1.9</v>
      </c>
      <c r="E504">
        <v>21</v>
      </c>
      <c r="F504">
        <f t="shared" si="29"/>
        <v>20.997229916897506</v>
      </c>
      <c r="G504">
        <f t="shared" si="32"/>
        <v>0</v>
      </c>
      <c r="H504" t="s">
        <v>1398</v>
      </c>
      <c r="I504">
        <v>96.8</v>
      </c>
      <c r="J504" t="s">
        <v>102</v>
      </c>
      <c r="K504" s="24">
        <v>142</v>
      </c>
      <c r="L504" s="24">
        <v>66</v>
      </c>
      <c r="M504">
        <v>280</v>
      </c>
      <c r="N504" t="s">
        <v>1432</v>
      </c>
      <c r="O504">
        <v>52</v>
      </c>
      <c r="P504">
        <v>91</v>
      </c>
      <c r="Q504" t="s">
        <v>24</v>
      </c>
      <c r="R504" t="s">
        <v>25</v>
      </c>
      <c r="S504" t="s">
        <v>26</v>
      </c>
      <c r="T504" t="s">
        <v>25</v>
      </c>
      <c r="U504">
        <f t="shared" si="30"/>
        <v>3</v>
      </c>
      <c r="V504">
        <v>190</v>
      </c>
      <c r="W504">
        <v>0.50900000000000001</v>
      </c>
      <c r="X504" t="s">
        <v>1406</v>
      </c>
      <c r="Y504">
        <v>142</v>
      </c>
      <c r="Z504">
        <v>66</v>
      </c>
      <c r="AA504" t="s">
        <v>40</v>
      </c>
      <c r="AB504">
        <v>198</v>
      </c>
      <c r="AC504" s="23">
        <v>3.81</v>
      </c>
      <c r="AD504" t="str">
        <f>IF(AND('CVD Dataset'!AA504="Normal",'CVD Dataset'!AB504&gt;AVERAGE('CVD Dataset'!AB:AB),'CVD Dataset'!AF504="High"),"High Lipid Category","Normal Category")</f>
        <v>Normal Category</v>
      </c>
      <c r="AE504">
        <v>18.899999999999999</v>
      </c>
      <c r="AF504" t="s">
        <v>32</v>
      </c>
      <c r="AG504">
        <v>0</v>
      </c>
      <c r="AH504" t="s">
        <v>1379</v>
      </c>
      <c r="AI504">
        <f t="shared" si="31"/>
        <v>1</v>
      </c>
      <c r="AJ504" t="s">
        <v>1392</v>
      </c>
    </row>
    <row r="505" spans="1:36" x14ac:dyDescent="0.3">
      <c r="A505" t="s">
        <v>22</v>
      </c>
      <c r="B505">
        <v>35</v>
      </c>
      <c r="C505">
        <v>66.599999999999994</v>
      </c>
      <c r="D505">
        <v>1.75</v>
      </c>
      <c r="E505">
        <v>21.7</v>
      </c>
      <c r="F505">
        <f t="shared" si="29"/>
        <v>21.746938775510202</v>
      </c>
      <c r="G505">
        <f t="shared" si="32"/>
        <v>0</v>
      </c>
      <c r="H505" t="s">
        <v>1398</v>
      </c>
      <c r="I505">
        <v>109</v>
      </c>
      <c r="J505" t="s">
        <v>285</v>
      </c>
      <c r="K505" s="24">
        <v>124</v>
      </c>
      <c r="L505" s="24">
        <v>66</v>
      </c>
      <c r="M505">
        <v>160</v>
      </c>
      <c r="N505" t="s">
        <v>1433</v>
      </c>
      <c r="O505">
        <v>73</v>
      </c>
      <c r="P505">
        <v>114</v>
      </c>
      <c r="Q505" t="s">
        <v>25</v>
      </c>
      <c r="R505" t="s">
        <v>24</v>
      </c>
      <c r="S505" t="s">
        <v>30</v>
      </c>
      <c r="T505" t="s">
        <v>24</v>
      </c>
      <c r="U505">
        <f t="shared" si="30"/>
        <v>1</v>
      </c>
      <c r="V505">
        <v>175</v>
      </c>
      <c r="W505">
        <v>0.623</v>
      </c>
      <c r="X505" t="s">
        <v>1409</v>
      </c>
      <c r="Z505">
        <v>66</v>
      </c>
      <c r="AA505" t="s">
        <v>27</v>
      </c>
      <c r="AB505">
        <v>57</v>
      </c>
      <c r="AC505" s="23">
        <v>0.78</v>
      </c>
      <c r="AD505" t="str">
        <f>IF(AND('CVD Dataset'!AA505="Normal",'CVD Dataset'!AB505&gt;AVERAGE('CVD Dataset'!AB:AB),'CVD Dataset'!AF505="High"),"High Lipid Category","Normal Category")</f>
        <v>Normal Category</v>
      </c>
      <c r="AE505">
        <v>13.74</v>
      </c>
      <c r="AF505" t="s">
        <v>54</v>
      </c>
      <c r="AG505">
        <v>0</v>
      </c>
      <c r="AH505" t="s">
        <v>1380</v>
      </c>
      <c r="AI505">
        <f t="shared" si="31"/>
        <v>0</v>
      </c>
      <c r="AJ505" t="s">
        <v>1391</v>
      </c>
    </row>
    <row r="506" spans="1:36" x14ac:dyDescent="0.3">
      <c r="A506" t="s">
        <v>33</v>
      </c>
      <c r="C506">
        <v>92.5</v>
      </c>
      <c r="D506">
        <v>1.66</v>
      </c>
      <c r="E506">
        <v>33.6</v>
      </c>
      <c r="F506">
        <f t="shared" si="29"/>
        <v>33.568006967629557</v>
      </c>
      <c r="G506">
        <f t="shared" si="32"/>
        <v>0</v>
      </c>
      <c r="H506" t="s">
        <v>1399</v>
      </c>
      <c r="I506">
        <v>95.8</v>
      </c>
      <c r="J506" t="s">
        <v>484</v>
      </c>
      <c r="K506" s="24">
        <v>147</v>
      </c>
      <c r="L506" s="24">
        <v>63</v>
      </c>
      <c r="M506">
        <v>217</v>
      </c>
      <c r="N506" t="s">
        <v>1432</v>
      </c>
      <c r="O506">
        <v>37</v>
      </c>
      <c r="P506">
        <v>148</v>
      </c>
      <c r="Q506" t="s">
        <v>25</v>
      </c>
      <c r="R506" t="s">
        <v>25</v>
      </c>
      <c r="S506" t="s">
        <v>39</v>
      </c>
      <c r="T506" t="s">
        <v>24</v>
      </c>
      <c r="U506">
        <f t="shared" si="30"/>
        <v>2</v>
      </c>
      <c r="V506">
        <v>166</v>
      </c>
      <c r="W506">
        <v>0.57699999999999996</v>
      </c>
      <c r="X506" t="s">
        <v>1407</v>
      </c>
      <c r="Y506">
        <v>147</v>
      </c>
      <c r="Z506">
        <v>63</v>
      </c>
      <c r="AA506" t="s">
        <v>40</v>
      </c>
      <c r="AB506">
        <v>150</v>
      </c>
      <c r="AC506" s="23">
        <v>4.05</v>
      </c>
      <c r="AD506" t="str">
        <f>IF(AND('CVD Dataset'!AA506="Normal",'CVD Dataset'!AB506&gt;AVERAGE('CVD Dataset'!AB:AB),'CVD Dataset'!AF506="High"),"High Lipid Category","Normal Category")</f>
        <v>Normal Category</v>
      </c>
      <c r="AE506">
        <v>20.41</v>
      </c>
      <c r="AF506" t="s">
        <v>32</v>
      </c>
      <c r="AG506">
        <v>0</v>
      </c>
      <c r="AH506" t="s">
        <v>1379</v>
      </c>
      <c r="AI506">
        <f t="shared" si="31"/>
        <v>1</v>
      </c>
      <c r="AJ506" t="s">
        <v>1391</v>
      </c>
    </row>
    <row r="507" spans="1:36" x14ac:dyDescent="0.3">
      <c r="A507" t="s">
        <v>22</v>
      </c>
      <c r="B507">
        <v>56</v>
      </c>
      <c r="C507">
        <v>94</v>
      </c>
      <c r="D507">
        <v>1.9</v>
      </c>
      <c r="E507">
        <v>26</v>
      </c>
      <c r="F507">
        <f t="shared" si="29"/>
        <v>26.038781163434905</v>
      </c>
      <c r="G507">
        <f t="shared" si="32"/>
        <v>0</v>
      </c>
      <c r="H507" t="s">
        <v>1400</v>
      </c>
      <c r="I507">
        <v>78.8</v>
      </c>
      <c r="J507" t="s">
        <v>485</v>
      </c>
      <c r="K507" s="24">
        <v>149</v>
      </c>
      <c r="L507" s="24">
        <v>89</v>
      </c>
      <c r="M507">
        <v>184</v>
      </c>
      <c r="N507" t="s">
        <v>1432</v>
      </c>
      <c r="O507">
        <v>30</v>
      </c>
      <c r="P507">
        <v>102</v>
      </c>
      <c r="Q507" t="s">
        <v>25</v>
      </c>
      <c r="R507" t="s">
        <v>24</v>
      </c>
      <c r="S507" t="s">
        <v>39</v>
      </c>
      <c r="T507" t="s">
        <v>25</v>
      </c>
      <c r="U507">
        <f t="shared" si="30"/>
        <v>2</v>
      </c>
      <c r="V507">
        <v>190</v>
      </c>
      <c r="W507">
        <v>0.41499999999999998</v>
      </c>
      <c r="X507" t="s">
        <v>1408</v>
      </c>
      <c r="Y507">
        <v>149</v>
      </c>
      <c r="Z507">
        <v>89</v>
      </c>
      <c r="AA507" t="s">
        <v>31</v>
      </c>
      <c r="AB507">
        <v>124</v>
      </c>
      <c r="AC507" s="23">
        <v>4.13</v>
      </c>
      <c r="AD507" t="str">
        <f>IF(AND('CVD Dataset'!AA507="Normal",'CVD Dataset'!AB507&gt;AVERAGE('CVD Dataset'!AB:AB),'CVD Dataset'!AF507="High"),"High Lipid Category","Normal Category")</f>
        <v>Normal Category</v>
      </c>
      <c r="AE507">
        <v>16.329999999999998</v>
      </c>
      <c r="AF507" t="s">
        <v>32</v>
      </c>
      <c r="AG507">
        <v>0</v>
      </c>
      <c r="AH507" t="s">
        <v>1379</v>
      </c>
      <c r="AI507">
        <f t="shared" si="31"/>
        <v>1</v>
      </c>
      <c r="AJ507" t="s">
        <v>1391</v>
      </c>
    </row>
    <row r="508" spans="1:36" x14ac:dyDescent="0.3">
      <c r="A508" t="s">
        <v>33</v>
      </c>
      <c r="B508">
        <v>43</v>
      </c>
      <c r="C508">
        <v>92.9</v>
      </c>
      <c r="D508">
        <v>1.82</v>
      </c>
      <c r="E508">
        <v>28</v>
      </c>
      <c r="F508">
        <f t="shared" si="29"/>
        <v>28.046129694481344</v>
      </c>
      <c r="G508">
        <f t="shared" si="32"/>
        <v>0</v>
      </c>
      <c r="H508" t="s">
        <v>1400</v>
      </c>
      <c r="I508">
        <v>95.4</v>
      </c>
      <c r="J508" t="s">
        <v>486</v>
      </c>
      <c r="K508" s="24">
        <v>145</v>
      </c>
      <c r="L508" s="24">
        <v>63</v>
      </c>
      <c r="M508">
        <v>132</v>
      </c>
      <c r="N508" t="s">
        <v>1434</v>
      </c>
      <c r="O508">
        <v>71</v>
      </c>
      <c r="P508">
        <v>86</v>
      </c>
      <c r="Q508" t="s">
        <v>24</v>
      </c>
      <c r="R508" t="s">
        <v>24</v>
      </c>
      <c r="S508" t="s">
        <v>26</v>
      </c>
      <c r="T508" t="s">
        <v>24</v>
      </c>
      <c r="U508">
        <f t="shared" si="30"/>
        <v>1</v>
      </c>
      <c r="V508">
        <v>182</v>
      </c>
      <c r="W508">
        <v>0.52400000000000002</v>
      </c>
      <c r="X508" t="s">
        <v>1407</v>
      </c>
      <c r="Y508">
        <v>145</v>
      </c>
      <c r="Z508">
        <v>63</v>
      </c>
      <c r="AA508" t="s">
        <v>40</v>
      </c>
      <c r="AB508">
        <v>31</v>
      </c>
      <c r="AC508" s="23">
        <v>0.44</v>
      </c>
      <c r="AD508" t="str">
        <f>IF(AND('CVD Dataset'!AA508="Normal",'CVD Dataset'!AB508&gt;AVERAGE('CVD Dataset'!AB:AB),'CVD Dataset'!AF508="High"),"High Lipid Category","Normal Category")</f>
        <v>Normal Category</v>
      </c>
      <c r="AE508">
        <v>15.49</v>
      </c>
      <c r="AF508" t="s">
        <v>28</v>
      </c>
      <c r="AG508">
        <v>0</v>
      </c>
      <c r="AH508" t="s">
        <v>1380</v>
      </c>
      <c r="AI508">
        <f t="shared" si="31"/>
        <v>0</v>
      </c>
      <c r="AJ508" t="s">
        <v>1391</v>
      </c>
    </row>
    <row r="509" spans="1:36" x14ac:dyDescent="0.3">
      <c r="A509" t="s">
        <v>33</v>
      </c>
      <c r="B509">
        <v>49</v>
      </c>
      <c r="D509">
        <v>1.82</v>
      </c>
      <c r="E509">
        <v>16.2</v>
      </c>
      <c r="F509">
        <f t="shared" si="29"/>
        <v>0</v>
      </c>
      <c r="G509">
        <f t="shared" si="32"/>
        <v>1</v>
      </c>
      <c r="H509" t="s">
        <v>1401</v>
      </c>
      <c r="I509">
        <v>82.2</v>
      </c>
      <c r="J509" t="s">
        <v>487</v>
      </c>
      <c r="K509" s="24">
        <v>136</v>
      </c>
      <c r="L509" s="24">
        <v>95</v>
      </c>
      <c r="N509" t="s">
        <v>1434</v>
      </c>
      <c r="O509">
        <v>32</v>
      </c>
      <c r="P509">
        <v>124</v>
      </c>
      <c r="Q509" t="s">
        <v>25</v>
      </c>
      <c r="R509" t="s">
        <v>24</v>
      </c>
      <c r="S509" t="s">
        <v>30</v>
      </c>
      <c r="T509" t="s">
        <v>24</v>
      </c>
      <c r="U509">
        <f t="shared" si="30"/>
        <v>1</v>
      </c>
      <c r="W509">
        <v>0.45200000000000001</v>
      </c>
      <c r="X509" t="s">
        <v>1408</v>
      </c>
      <c r="Y509">
        <v>136</v>
      </c>
      <c r="Z509">
        <v>95</v>
      </c>
      <c r="AA509" t="s">
        <v>31</v>
      </c>
      <c r="AB509">
        <v>136</v>
      </c>
      <c r="AC509" s="23">
        <v>4.25</v>
      </c>
      <c r="AD509" t="str">
        <f>IF(AND('CVD Dataset'!AA509="Normal",'CVD Dataset'!AB509&gt;AVERAGE('CVD Dataset'!AB:AB),'CVD Dataset'!AF509="High"),"High Lipid Category","Normal Category")</f>
        <v>Normal Category</v>
      </c>
      <c r="AE509">
        <v>14</v>
      </c>
      <c r="AF509" t="s">
        <v>28</v>
      </c>
      <c r="AG509">
        <v>0</v>
      </c>
      <c r="AH509" t="s">
        <v>1380</v>
      </c>
      <c r="AI509">
        <f t="shared" si="31"/>
        <v>0</v>
      </c>
      <c r="AJ509" t="s">
        <v>1391</v>
      </c>
    </row>
    <row r="510" spans="1:36" x14ac:dyDescent="0.3">
      <c r="A510" t="s">
        <v>22</v>
      </c>
      <c r="B510">
        <v>36</v>
      </c>
      <c r="C510">
        <v>51.9</v>
      </c>
      <c r="D510">
        <v>1.67</v>
      </c>
      <c r="E510">
        <v>18.600000000000001</v>
      </c>
      <c r="F510">
        <f t="shared" si="29"/>
        <v>18.609487611603139</v>
      </c>
      <c r="G510">
        <f t="shared" si="32"/>
        <v>0</v>
      </c>
      <c r="H510" t="s">
        <v>1398</v>
      </c>
      <c r="I510">
        <v>101.2</v>
      </c>
      <c r="J510" t="s">
        <v>488</v>
      </c>
      <c r="K510" s="24">
        <v>103</v>
      </c>
      <c r="L510" s="24">
        <v>80</v>
      </c>
      <c r="M510">
        <v>225</v>
      </c>
      <c r="N510" t="s">
        <v>1432</v>
      </c>
      <c r="O510">
        <v>58</v>
      </c>
      <c r="Q510" t="s">
        <v>25</v>
      </c>
      <c r="R510" t="s">
        <v>24</v>
      </c>
      <c r="S510" t="s">
        <v>30</v>
      </c>
      <c r="T510" t="s">
        <v>24</v>
      </c>
      <c r="U510">
        <f t="shared" si="30"/>
        <v>1</v>
      </c>
      <c r="W510">
        <v>0.60599999999999998</v>
      </c>
      <c r="X510" t="s">
        <v>1409</v>
      </c>
      <c r="Y510">
        <v>103</v>
      </c>
      <c r="Z510">
        <v>80</v>
      </c>
      <c r="AA510" t="s">
        <v>31</v>
      </c>
      <c r="AB510">
        <v>137</v>
      </c>
      <c r="AC510" s="23">
        <v>2.36</v>
      </c>
      <c r="AD510" t="str">
        <f>IF(AND('CVD Dataset'!AA510="Normal",'CVD Dataset'!AB510&gt;AVERAGE('CVD Dataset'!AB:AB),'CVD Dataset'!AF510="High"),"High Lipid Category","Normal Category")</f>
        <v>Normal Category</v>
      </c>
      <c r="AE510">
        <v>13.37</v>
      </c>
      <c r="AF510" t="s">
        <v>28</v>
      </c>
      <c r="AG510">
        <v>0</v>
      </c>
      <c r="AH510" t="s">
        <v>1380</v>
      </c>
      <c r="AI510">
        <f t="shared" si="31"/>
        <v>0</v>
      </c>
      <c r="AJ510" t="s">
        <v>1391</v>
      </c>
    </row>
    <row r="511" spans="1:36" x14ac:dyDescent="0.3">
      <c r="A511" t="s">
        <v>22</v>
      </c>
      <c r="B511">
        <v>44</v>
      </c>
      <c r="C511">
        <v>65.8</v>
      </c>
      <c r="D511">
        <v>1.89</v>
      </c>
      <c r="E511">
        <v>18.399999999999999</v>
      </c>
      <c r="F511">
        <f t="shared" si="29"/>
        <v>18.420536939055459</v>
      </c>
      <c r="G511">
        <f t="shared" si="32"/>
        <v>0</v>
      </c>
      <c r="H511" t="s">
        <v>1401</v>
      </c>
      <c r="I511">
        <v>109</v>
      </c>
      <c r="J511" t="s">
        <v>489</v>
      </c>
      <c r="K511" s="24">
        <v>107</v>
      </c>
      <c r="L511" s="24">
        <v>64</v>
      </c>
      <c r="M511">
        <v>271</v>
      </c>
      <c r="N511" t="s">
        <v>1432</v>
      </c>
      <c r="O511">
        <v>33</v>
      </c>
      <c r="P511">
        <v>147</v>
      </c>
      <c r="Q511" t="s">
        <v>25</v>
      </c>
      <c r="R511" t="s">
        <v>25</v>
      </c>
      <c r="S511" t="s">
        <v>26</v>
      </c>
      <c r="T511" t="s">
        <v>25</v>
      </c>
      <c r="U511">
        <f t="shared" si="30"/>
        <v>4</v>
      </c>
      <c r="V511">
        <v>189</v>
      </c>
      <c r="W511">
        <v>0.57699999999999996</v>
      </c>
      <c r="X511" t="s">
        <v>1407</v>
      </c>
      <c r="Z511">
        <v>64</v>
      </c>
      <c r="AA511" t="s">
        <v>35</v>
      </c>
      <c r="AB511">
        <v>208</v>
      </c>
      <c r="AC511" s="23">
        <v>6.3</v>
      </c>
      <c r="AD511" t="str">
        <f>IF(AND('CVD Dataset'!AA511="Normal",'CVD Dataset'!AB511&gt;AVERAGE('CVD Dataset'!AB:AB),'CVD Dataset'!AF511="High"),"High Lipid Category","Normal Category")</f>
        <v>High Lipid Category</v>
      </c>
      <c r="AE511">
        <v>16.45</v>
      </c>
      <c r="AF511" t="s">
        <v>32</v>
      </c>
      <c r="AG511">
        <v>0</v>
      </c>
      <c r="AH511" t="s">
        <v>1379</v>
      </c>
      <c r="AI511">
        <f t="shared" si="31"/>
        <v>1</v>
      </c>
      <c r="AJ511" t="s">
        <v>1391</v>
      </c>
    </row>
    <row r="512" spans="1:36" x14ac:dyDescent="0.3">
      <c r="A512" t="s">
        <v>33</v>
      </c>
      <c r="B512">
        <v>35</v>
      </c>
      <c r="C512">
        <v>83.6</v>
      </c>
      <c r="D512">
        <v>1.7</v>
      </c>
      <c r="E512">
        <v>28.9</v>
      </c>
      <c r="F512">
        <f t="shared" si="29"/>
        <v>28.927335640138409</v>
      </c>
      <c r="G512">
        <f t="shared" si="32"/>
        <v>0</v>
      </c>
      <c r="H512" t="s">
        <v>1400</v>
      </c>
      <c r="I512">
        <v>101.8</v>
      </c>
      <c r="J512" t="s">
        <v>490</v>
      </c>
      <c r="K512" s="24">
        <v>141</v>
      </c>
      <c r="L512" s="24">
        <v>81</v>
      </c>
      <c r="M512">
        <v>118</v>
      </c>
      <c r="N512" t="s">
        <v>1434</v>
      </c>
      <c r="O512">
        <v>58</v>
      </c>
      <c r="P512">
        <v>91</v>
      </c>
      <c r="Q512" t="s">
        <v>24</v>
      </c>
      <c r="R512" t="s">
        <v>24</v>
      </c>
      <c r="S512" t="s">
        <v>30</v>
      </c>
      <c r="T512" t="s">
        <v>25</v>
      </c>
      <c r="U512">
        <f t="shared" si="30"/>
        <v>1</v>
      </c>
      <c r="V512">
        <v>170</v>
      </c>
      <c r="W512">
        <v>0.59899999999999998</v>
      </c>
      <c r="X512" t="s">
        <v>1409</v>
      </c>
      <c r="Y512">
        <v>141</v>
      </c>
      <c r="Z512">
        <v>81</v>
      </c>
      <c r="AA512" t="s">
        <v>31</v>
      </c>
      <c r="AB512">
        <v>30</v>
      </c>
      <c r="AC512" s="23">
        <v>0.52</v>
      </c>
      <c r="AD512" t="str">
        <f>IF(AND('CVD Dataset'!AA512="Normal",'CVD Dataset'!AB512&gt;AVERAGE('CVD Dataset'!AB:AB),'CVD Dataset'!AF512="High"),"High Lipid Category","Normal Category")</f>
        <v>Normal Category</v>
      </c>
      <c r="AE512">
        <v>15.19</v>
      </c>
      <c r="AF512" t="s">
        <v>28</v>
      </c>
      <c r="AG512">
        <v>0</v>
      </c>
      <c r="AH512" t="s">
        <v>1380</v>
      </c>
      <c r="AI512">
        <f t="shared" si="31"/>
        <v>0</v>
      </c>
      <c r="AJ512" t="s">
        <v>1391</v>
      </c>
    </row>
    <row r="513" spans="1:36" x14ac:dyDescent="0.3">
      <c r="A513" t="s">
        <v>22</v>
      </c>
      <c r="B513">
        <v>43</v>
      </c>
      <c r="C513">
        <v>119.9</v>
      </c>
      <c r="D513">
        <v>1.85</v>
      </c>
      <c r="F513">
        <f t="shared" si="29"/>
        <v>35.032870708546383</v>
      </c>
      <c r="G513">
        <f t="shared" si="32"/>
        <v>1</v>
      </c>
      <c r="H513" t="s">
        <v>1401</v>
      </c>
      <c r="J513" t="s">
        <v>491</v>
      </c>
      <c r="K513" s="24">
        <v>126</v>
      </c>
      <c r="L513" s="24">
        <v>62</v>
      </c>
      <c r="M513">
        <v>220</v>
      </c>
      <c r="N513" t="s">
        <v>1432</v>
      </c>
      <c r="O513">
        <v>44</v>
      </c>
      <c r="P513">
        <v>85</v>
      </c>
      <c r="Q513" t="s">
        <v>24</v>
      </c>
      <c r="R513" t="s">
        <v>24</v>
      </c>
      <c r="S513" t="s">
        <v>39</v>
      </c>
      <c r="T513" t="s">
        <v>25</v>
      </c>
      <c r="U513">
        <f t="shared" si="30"/>
        <v>1</v>
      </c>
      <c r="V513">
        <v>185</v>
      </c>
      <c r="W513">
        <v>0.41399999999999998</v>
      </c>
      <c r="X513" t="s">
        <v>1408</v>
      </c>
      <c r="Y513">
        <v>126</v>
      </c>
      <c r="Z513">
        <v>62</v>
      </c>
      <c r="AA513" t="s">
        <v>27</v>
      </c>
      <c r="AB513">
        <v>146</v>
      </c>
      <c r="AC513" s="23">
        <v>3.32</v>
      </c>
      <c r="AD513" t="str">
        <f>IF(AND('CVD Dataset'!AA513="Normal",'CVD Dataset'!AB513&gt;AVERAGE('CVD Dataset'!AB:AB),'CVD Dataset'!AF513="High"),"High Lipid Category","Normal Category")</f>
        <v>Normal Category</v>
      </c>
      <c r="AE513">
        <v>17.7</v>
      </c>
      <c r="AF513" t="s">
        <v>28</v>
      </c>
      <c r="AG513">
        <v>0</v>
      </c>
      <c r="AH513" t="s">
        <v>1380</v>
      </c>
      <c r="AI513">
        <f t="shared" si="31"/>
        <v>0</v>
      </c>
      <c r="AJ513" t="s">
        <v>1391</v>
      </c>
    </row>
    <row r="514" spans="1:36" x14ac:dyDescent="0.3">
      <c r="A514" t="s">
        <v>33</v>
      </c>
      <c r="B514">
        <v>34</v>
      </c>
      <c r="C514">
        <v>118.2</v>
      </c>
      <c r="D514">
        <v>1.72</v>
      </c>
      <c r="E514">
        <v>40</v>
      </c>
      <c r="F514">
        <f t="shared" si="29"/>
        <v>39.954029204975669</v>
      </c>
      <c r="G514">
        <f t="shared" si="32"/>
        <v>0</v>
      </c>
      <c r="H514" t="s">
        <v>1399</v>
      </c>
      <c r="I514">
        <v>77.5</v>
      </c>
      <c r="J514" t="s">
        <v>492</v>
      </c>
      <c r="K514" s="24">
        <v>136</v>
      </c>
      <c r="L514" s="24">
        <v>83</v>
      </c>
      <c r="M514">
        <v>290</v>
      </c>
      <c r="N514" t="s">
        <v>1432</v>
      </c>
      <c r="O514">
        <v>68</v>
      </c>
      <c r="P514">
        <v>92</v>
      </c>
      <c r="Q514" t="s">
        <v>25</v>
      </c>
      <c r="R514" t="s">
        <v>24</v>
      </c>
      <c r="S514" t="s">
        <v>26</v>
      </c>
      <c r="T514" t="s">
        <v>24</v>
      </c>
      <c r="U514">
        <f t="shared" si="30"/>
        <v>2</v>
      </c>
      <c r="V514">
        <v>172</v>
      </c>
      <c r="W514">
        <v>0.45100000000000001</v>
      </c>
      <c r="X514" t="s">
        <v>1408</v>
      </c>
      <c r="Y514">
        <v>136</v>
      </c>
      <c r="Z514">
        <v>83</v>
      </c>
      <c r="AA514" t="s">
        <v>31</v>
      </c>
      <c r="AB514">
        <v>192</v>
      </c>
      <c r="AC514" s="23">
        <v>2.82</v>
      </c>
      <c r="AD514" t="str">
        <f>IF(AND('CVD Dataset'!AA514="Normal",'CVD Dataset'!AB514&gt;AVERAGE('CVD Dataset'!AB:AB),'CVD Dataset'!AF514="High"),"High Lipid Category","Normal Category")</f>
        <v>Normal Category</v>
      </c>
      <c r="AE514">
        <v>20.6</v>
      </c>
      <c r="AF514" t="s">
        <v>32</v>
      </c>
      <c r="AG514">
        <v>1</v>
      </c>
      <c r="AH514" t="s">
        <v>1379</v>
      </c>
      <c r="AI514">
        <f t="shared" si="31"/>
        <v>1</v>
      </c>
      <c r="AJ514" t="s">
        <v>1391</v>
      </c>
    </row>
    <row r="515" spans="1:36" x14ac:dyDescent="0.3">
      <c r="A515" t="s">
        <v>33</v>
      </c>
      <c r="B515">
        <v>48</v>
      </c>
      <c r="C515">
        <v>116.5</v>
      </c>
      <c r="D515">
        <v>1.81</v>
      </c>
      <c r="E515">
        <v>35.6</v>
      </c>
      <c r="F515">
        <f t="shared" ref="F515:F578" si="33">IFERROR(C515/POWER(D515,2),"")</f>
        <v>35.560575074020939</v>
      </c>
      <c r="G515">
        <f t="shared" si="32"/>
        <v>0</v>
      </c>
      <c r="H515" t="s">
        <v>1399</v>
      </c>
      <c r="I515">
        <v>107.9</v>
      </c>
      <c r="J515" t="s">
        <v>493</v>
      </c>
      <c r="K515" s="24">
        <v>135</v>
      </c>
      <c r="L515" s="24">
        <v>87</v>
      </c>
      <c r="M515">
        <v>270</v>
      </c>
      <c r="N515" t="s">
        <v>1432</v>
      </c>
      <c r="O515">
        <v>32</v>
      </c>
      <c r="P515">
        <v>135</v>
      </c>
      <c r="Q515" t="s">
        <v>24</v>
      </c>
      <c r="R515" t="s">
        <v>25</v>
      </c>
      <c r="S515" t="s">
        <v>30</v>
      </c>
      <c r="T515" t="s">
        <v>24</v>
      </c>
      <c r="U515">
        <f t="shared" ref="U515:U578" si="34">SUM(IF(Q515="Y",1,0),IF(R515="Y",1,0),IF(S515="Low",1,0),IF(T515="Y",1,0))</f>
        <v>1</v>
      </c>
      <c r="V515">
        <v>181</v>
      </c>
      <c r="W515">
        <v>0.59599999999999997</v>
      </c>
      <c r="X515" t="s">
        <v>1409</v>
      </c>
      <c r="Y515">
        <v>135</v>
      </c>
      <c r="Z515">
        <v>87</v>
      </c>
      <c r="AA515" t="s">
        <v>31</v>
      </c>
      <c r="AB515">
        <v>208</v>
      </c>
      <c r="AC515" s="23">
        <v>6.5</v>
      </c>
      <c r="AD515" t="str">
        <f>IF(AND('CVD Dataset'!AA515="Normal",'CVD Dataset'!AB515&gt;AVERAGE('CVD Dataset'!AB:AB),'CVD Dataset'!AF515="High"),"High Lipid Category","Normal Category")</f>
        <v>Normal Category</v>
      </c>
      <c r="AE515">
        <v>21.27</v>
      </c>
      <c r="AF515" t="s">
        <v>32</v>
      </c>
      <c r="AG515">
        <v>0</v>
      </c>
      <c r="AH515" t="s">
        <v>1379</v>
      </c>
      <c r="AI515">
        <f t="shared" ref="AI515:AI578" si="35">IF(AF515="HIGH",1,0)</f>
        <v>1</v>
      </c>
      <c r="AJ515" t="s">
        <v>1391</v>
      </c>
    </row>
    <row r="516" spans="1:36" x14ac:dyDescent="0.3">
      <c r="A516" t="s">
        <v>33</v>
      </c>
      <c r="B516">
        <v>34</v>
      </c>
      <c r="C516">
        <v>94.4</v>
      </c>
      <c r="D516">
        <v>1.62</v>
      </c>
      <c r="E516">
        <v>36</v>
      </c>
      <c r="F516">
        <f t="shared" si="33"/>
        <v>35.970126505105924</v>
      </c>
      <c r="G516">
        <f t="shared" si="32"/>
        <v>0</v>
      </c>
      <c r="H516" t="s">
        <v>1399</v>
      </c>
      <c r="I516">
        <v>91</v>
      </c>
      <c r="J516" t="s">
        <v>494</v>
      </c>
      <c r="K516" s="24">
        <v>100</v>
      </c>
      <c r="L516" s="24">
        <v>63</v>
      </c>
      <c r="M516">
        <v>207</v>
      </c>
      <c r="N516" t="s">
        <v>1432</v>
      </c>
      <c r="O516">
        <v>63</v>
      </c>
      <c r="P516">
        <v>93</v>
      </c>
      <c r="Q516" t="s">
        <v>24</v>
      </c>
      <c r="R516" t="s">
        <v>24</v>
      </c>
      <c r="S516" t="s">
        <v>30</v>
      </c>
      <c r="T516" t="s">
        <v>25</v>
      </c>
      <c r="U516">
        <f t="shared" si="34"/>
        <v>1</v>
      </c>
      <c r="V516">
        <v>162</v>
      </c>
      <c r="W516">
        <v>0.56200000000000006</v>
      </c>
      <c r="X516" t="s">
        <v>1407</v>
      </c>
      <c r="Y516">
        <v>100</v>
      </c>
      <c r="Z516">
        <v>63</v>
      </c>
      <c r="AA516" t="s">
        <v>35</v>
      </c>
      <c r="AB516">
        <v>114</v>
      </c>
      <c r="AC516" s="23">
        <v>1.81</v>
      </c>
      <c r="AD516" t="str">
        <f>IF(AND('CVD Dataset'!AA516="Normal",'CVD Dataset'!AB516&gt;AVERAGE('CVD Dataset'!AB:AB),'CVD Dataset'!AF516="High"),"High Lipid Category","Normal Category")</f>
        <v>Normal Category</v>
      </c>
      <c r="AE516">
        <v>16.34</v>
      </c>
      <c r="AF516" t="s">
        <v>28</v>
      </c>
      <c r="AG516">
        <v>0</v>
      </c>
      <c r="AH516" t="s">
        <v>1380</v>
      </c>
      <c r="AI516">
        <f t="shared" si="35"/>
        <v>0</v>
      </c>
      <c r="AJ516" t="s">
        <v>1391</v>
      </c>
    </row>
    <row r="517" spans="1:36" x14ac:dyDescent="0.3">
      <c r="A517" t="s">
        <v>22</v>
      </c>
      <c r="B517">
        <v>48</v>
      </c>
      <c r="C517">
        <v>66.3</v>
      </c>
      <c r="D517">
        <v>1.72</v>
      </c>
      <c r="E517">
        <v>22.4</v>
      </c>
      <c r="F517">
        <f t="shared" si="33"/>
        <v>22.410762574364522</v>
      </c>
      <c r="G517">
        <f t="shared" si="32"/>
        <v>0</v>
      </c>
      <c r="H517" t="s">
        <v>1398</v>
      </c>
      <c r="I517">
        <v>87</v>
      </c>
      <c r="J517" t="s">
        <v>495</v>
      </c>
      <c r="K517" s="24">
        <v>94</v>
      </c>
      <c r="L517" s="24">
        <v>86</v>
      </c>
      <c r="M517">
        <v>255</v>
      </c>
      <c r="N517" t="s">
        <v>1432</v>
      </c>
      <c r="O517">
        <v>42</v>
      </c>
      <c r="P517">
        <v>80</v>
      </c>
      <c r="Q517" t="s">
        <v>25</v>
      </c>
      <c r="R517" t="s">
        <v>25</v>
      </c>
      <c r="S517" t="s">
        <v>30</v>
      </c>
      <c r="T517" t="s">
        <v>24</v>
      </c>
      <c r="U517">
        <f t="shared" si="34"/>
        <v>2</v>
      </c>
      <c r="V517">
        <v>172</v>
      </c>
      <c r="W517">
        <v>0.50600000000000001</v>
      </c>
      <c r="X517" t="s">
        <v>1406</v>
      </c>
      <c r="Y517">
        <v>94</v>
      </c>
      <c r="Z517">
        <v>86</v>
      </c>
      <c r="AA517" t="s">
        <v>31</v>
      </c>
      <c r="AB517">
        <v>183</v>
      </c>
      <c r="AC517" s="23">
        <v>4.3600000000000003</v>
      </c>
      <c r="AD517" t="str">
        <f>IF(AND('CVD Dataset'!AA517="Normal",'CVD Dataset'!AB517&gt;AVERAGE('CVD Dataset'!AB:AB),'CVD Dataset'!AF517="High"),"High Lipid Category","Normal Category")</f>
        <v>Normal Category</v>
      </c>
      <c r="AE517">
        <v>16.28</v>
      </c>
      <c r="AF517" t="s">
        <v>32</v>
      </c>
      <c r="AG517">
        <v>0</v>
      </c>
      <c r="AH517" t="s">
        <v>1379</v>
      </c>
      <c r="AI517">
        <f t="shared" si="35"/>
        <v>1</v>
      </c>
      <c r="AJ517" t="s">
        <v>1391</v>
      </c>
    </row>
    <row r="518" spans="1:36" x14ac:dyDescent="0.3">
      <c r="A518" t="s">
        <v>22</v>
      </c>
      <c r="B518">
        <v>33</v>
      </c>
      <c r="C518">
        <v>66.400000000000006</v>
      </c>
      <c r="D518">
        <v>1.7</v>
      </c>
      <c r="E518">
        <v>23</v>
      </c>
      <c r="F518">
        <f t="shared" si="33"/>
        <v>22.975778546712807</v>
      </c>
      <c r="G518">
        <f t="shared" si="32"/>
        <v>0</v>
      </c>
      <c r="H518" t="s">
        <v>1398</v>
      </c>
      <c r="I518">
        <v>84.7</v>
      </c>
      <c r="J518" t="s">
        <v>496</v>
      </c>
      <c r="K518" s="24">
        <v>102</v>
      </c>
      <c r="L518" s="24">
        <v>62</v>
      </c>
      <c r="M518">
        <v>204</v>
      </c>
      <c r="N518" t="s">
        <v>1432</v>
      </c>
      <c r="O518">
        <v>71</v>
      </c>
      <c r="P518">
        <v>150</v>
      </c>
      <c r="Q518" t="s">
        <v>24</v>
      </c>
      <c r="R518" t="s">
        <v>24</v>
      </c>
      <c r="S518" t="s">
        <v>26</v>
      </c>
      <c r="T518" t="s">
        <v>25</v>
      </c>
      <c r="U518">
        <f t="shared" si="34"/>
        <v>2</v>
      </c>
      <c r="V518">
        <v>170</v>
      </c>
      <c r="W518">
        <v>0.498</v>
      </c>
      <c r="X518" t="s">
        <v>1406</v>
      </c>
      <c r="Y518">
        <v>102</v>
      </c>
      <c r="Z518">
        <v>62</v>
      </c>
      <c r="AA518" t="s">
        <v>35</v>
      </c>
      <c r="AB518">
        <v>103</v>
      </c>
      <c r="AC518" s="23">
        <v>1.45</v>
      </c>
      <c r="AD518" t="str">
        <f>IF(AND('CVD Dataset'!AA518="Normal",'CVD Dataset'!AB518&gt;AVERAGE('CVD Dataset'!AB:AB),'CVD Dataset'!AF518="High"),"High Lipid Category","Normal Category")</f>
        <v>Normal Category</v>
      </c>
      <c r="AE518">
        <v>13.78</v>
      </c>
      <c r="AF518" t="s">
        <v>28</v>
      </c>
      <c r="AG518">
        <v>0</v>
      </c>
      <c r="AH518" t="s">
        <v>1380</v>
      </c>
      <c r="AI518">
        <f t="shared" si="35"/>
        <v>0</v>
      </c>
      <c r="AJ518" t="s">
        <v>1391</v>
      </c>
    </row>
    <row r="519" spans="1:36" x14ac:dyDescent="0.3">
      <c r="A519" t="s">
        <v>22</v>
      </c>
      <c r="B519">
        <v>46</v>
      </c>
      <c r="C519">
        <v>91</v>
      </c>
      <c r="D519">
        <v>1.84</v>
      </c>
      <c r="E519">
        <v>26.9</v>
      </c>
      <c r="F519">
        <f t="shared" si="33"/>
        <v>26.878544423440452</v>
      </c>
      <c r="G519">
        <f t="shared" si="32"/>
        <v>0</v>
      </c>
      <c r="H519" t="s">
        <v>1400</v>
      </c>
      <c r="I519">
        <v>99.6</v>
      </c>
      <c r="J519" t="s">
        <v>497</v>
      </c>
      <c r="K519" s="24">
        <v>135</v>
      </c>
      <c r="L519" s="24">
        <v>76</v>
      </c>
      <c r="M519">
        <v>185</v>
      </c>
      <c r="N519" t="s">
        <v>1432</v>
      </c>
      <c r="O519">
        <v>74</v>
      </c>
      <c r="P519">
        <v>123</v>
      </c>
      <c r="Q519" t="s">
        <v>24</v>
      </c>
      <c r="R519" t="s">
        <v>25</v>
      </c>
      <c r="S519" t="s">
        <v>26</v>
      </c>
      <c r="T519" t="s">
        <v>24</v>
      </c>
      <c r="U519">
        <f t="shared" si="34"/>
        <v>2</v>
      </c>
      <c r="V519">
        <v>184</v>
      </c>
      <c r="W519">
        <v>0.54100000000000004</v>
      </c>
      <c r="X519" t="s">
        <v>1407</v>
      </c>
      <c r="Y519">
        <v>135</v>
      </c>
      <c r="Z519">
        <v>76</v>
      </c>
      <c r="AA519" t="s">
        <v>31</v>
      </c>
      <c r="AB519">
        <v>81</v>
      </c>
      <c r="AC519" s="23">
        <v>1.0900000000000001</v>
      </c>
      <c r="AD519" t="str">
        <f>IF(AND('CVD Dataset'!AA519="Normal",'CVD Dataset'!AB519&gt;AVERAGE('CVD Dataset'!AB:AB),'CVD Dataset'!AF519="High"),"High Lipid Category","Normal Category")</f>
        <v>Normal Category</v>
      </c>
      <c r="AE519">
        <v>17.829999999999998</v>
      </c>
      <c r="AF519" t="s">
        <v>32</v>
      </c>
      <c r="AG519">
        <v>1</v>
      </c>
      <c r="AH519" t="s">
        <v>1379</v>
      </c>
      <c r="AI519">
        <f t="shared" si="35"/>
        <v>1</v>
      </c>
      <c r="AJ519" t="s">
        <v>1391</v>
      </c>
    </row>
    <row r="520" spans="1:36" x14ac:dyDescent="0.3">
      <c r="A520" t="s">
        <v>33</v>
      </c>
      <c r="B520">
        <v>60</v>
      </c>
      <c r="C520">
        <v>113.4</v>
      </c>
      <c r="D520">
        <v>1.79</v>
      </c>
      <c r="E520">
        <v>35.4</v>
      </c>
      <c r="F520">
        <f t="shared" si="33"/>
        <v>35.392153802939987</v>
      </c>
      <c r="G520">
        <f t="shared" si="32"/>
        <v>0</v>
      </c>
      <c r="H520" t="s">
        <v>1399</v>
      </c>
      <c r="I520">
        <v>72.900000000000006</v>
      </c>
      <c r="J520" t="s">
        <v>134</v>
      </c>
      <c r="K520" s="24">
        <v>103</v>
      </c>
      <c r="L520" s="24">
        <v>96</v>
      </c>
      <c r="M520">
        <v>230</v>
      </c>
      <c r="N520" t="s">
        <v>1432</v>
      </c>
      <c r="O520">
        <v>42</v>
      </c>
      <c r="P520">
        <v>145</v>
      </c>
      <c r="Q520" t="s">
        <v>25</v>
      </c>
      <c r="R520" t="s">
        <v>24</v>
      </c>
      <c r="S520" t="s">
        <v>39</v>
      </c>
      <c r="T520" t="s">
        <v>24</v>
      </c>
      <c r="U520">
        <f t="shared" si="34"/>
        <v>1</v>
      </c>
      <c r="V520">
        <v>179</v>
      </c>
      <c r="W520">
        <v>0.40699999999999997</v>
      </c>
      <c r="X520" t="s">
        <v>1408</v>
      </c>
      <c r="Y520">
        <v>103</v>
      </c>
      <c r="AA520" t="s">
        <v>40</v>
      </c>
      <c r="AB520">
        <v>158</v>
      </c>
      <c r="AC520" s="23">
        <v>3.76</v>
      </c>
      <c r="AD520" t="str">
        <f>IF(AND('CVD Dataset'!AA520="Normal",'CVD Dataset'!AB520&gt;AVERAGE('CVD Dataset'!AB:AB),'CVD Dataset'!AF520="High"),"High Lipid Category","Normal Category")</f>
        <v>Normal Category</v>
      </c>
      <c r="AE520">
        <v>16.829999999999998</v>
      </c>
      <c r="AF520" t="s">
        <v>32</v>
      </c>
      <c r="AG520">
        <v>0</v>
      </c>
      <c r="AH520" t="s">
        <v>1379</v>
      </c>
      <c r="AI520">
        <f t="shared" si="35"/>
        <v>1</v>
      </c>
      <c r="AJ520" t="s">
        <v>1391</v>
      </c>
    </row>
    <row r="521" spans="1:36" x14ac:dyDescent="0.3">
      <c r="A521" t="s">
        <v>22</v>
      </c>
      <c r="B521">
        <v>54</v>
      </c>
      <c r="C521">
        <v>87.4</v>
      </c>
      <c r="D521">
        <v>1.85</v>
      </c>
      <c r="E521">
        <v>25.5</v>
      </c>
      <c r="F521">
        <f t="shared" si="33"/>
        <v>25.53688823959094</v>
      </c>
      <c r="G521">
        <f t="shared" si="32"/>
        <v>0</v>
      </c>
      <c r="H521" t="s">
        <v>1400</v>
      </c>
      <c r="I521">
        <v>107.2</v>
      </c>
      <c r="J521" t="s">
        <v>498</v>
      </c>
      <c r="K521" s="24">
        <v>126</v>
      </c>
      <c r="L521" s="24">
        <v>76</v>
      </c>
      <c r="M521">
        <v>113</v>
      </c>
      <c r="N521" t="s">
        <v>1434</v>
      </c>
      <c r="O521">
        <v>32</v>
      </c>
      <c r="P521">
        <v>92</v>
      </c>
      <c r="Q521" t="s">
        <v>24</v>
      </c>
      <c r="R521" t="s">
        <v>24</v>
      </c>
      <c r="S521" t="s">
        <v>26</v>
      </c>
      <c r="T521" t="s">
        <v>24</v>
      </c>
      <c r="U521">
        <f t="shared" si="34"/>
        <v>1</v>
      </c>
      <c r="V521">
        <v>185</v>
      </c>
      <c r="W521">
        <v>0.57899999999999996</v>
      </c>
      <c r="X521" t="s">
        <v>1407</v>
      </c>
      <c r="Y521">
        <v>126</v>
      </c>
      <c r="Z521">
        <v>76</v>
      </c>
      <c r="AA521" t="s">
        <v>27</v>
      </c>
      <c r="AB521">
        <v>51</v>
      </c>
      <c r="AC521" s="23">
        <v>1.59</v>
      </c>
      <c r="AD521" t="str">
        <f>IF(AND('CVD Dataset'!AA521="Normal",'CVD Dataset'!AB521&gt;AVERAGE('CVD Dataset'!AB:AB),'CVD Dataset'!AF521="High"),"High Lipid Category","Normal Category")</f>
        <v>Normal Category</v>
      </c>
      <c r="AE521">
        <v>13.66</v>
      </c>
      <c r="AF521" t="s">
        <v>32</v>
      </c>
      <c r="AG521">
        <v>0</v>
      </c>
      <c r="AH521" t="s">
        <v>1379</v>
      </c>
      <c r="AI521">
        <f t="shared" si="35"/>
        <v>1</v>
      </c>
      <c r="AJ521" t="s">
        <v>1391</v>
      </c>
    </row>
    <row r="522" spans="1:36" x14ac:dyDescent="0.3">
      <c r="A522" t="s">
        <v>33</v>
      </c>
      <c r="B522">
        <v>34</v>
      </c>
      <c r="C522">
        <v>119.6</v>
      </c>
      <c r="D522">
        <v>1.75</v>
      </c>
      <c r="E522">
        <v>39.1</v>
      </c>
      <c r="F522">
        <f t="shared" si="33"/>
        <v>39.053061224489795</v>
      </c>
      <c r="G522">
        <f t="shared" si="32"/>
        <v>0</v>
      </c>
      <c r="H522" t="s">
        <v>1399</v>
      </c>
      <c r="I522">
        <v>105.6</v>
      </c>
      <c r="J522" t="s">
        <v>499</v>
      </c>
      <c r="K522" s="24">
        <v>90</v>
      </c>
      <c r="L522" s="24">
        <v>82</v>
      </c>
      <c r="M522">
        <v>234</v>
      </c>
      <c r="N522" t="s">
        <v>1432</v>
      </c>
      <c r="O522">
        <v>79</v>
      </c>
      <c r="P522">
        <v>109</v>
      </c>
      <c r="Q522" t="s">
        <v>24</v>
      </c>
      <c r="R522" t="s">
        <v>25</v>
      </c>
      <c r="S522" t="s">
        <v>39</v>
      </c>
      <c r="T522" t="s">
        <v>25</v>
      </c>
      <c r="U522">
        <f t="shared" si="34"/>
        <v>2</v>
      </c>
      <c r="V522">
        <v>175</v>
      </c>
      <c r="W522">
        <v>0.60299999999999998</v>
      </c>
      <c r="X522" t="s">
        <v>1409</v>
      </c>
      <c r="Y522">
        <v>90</v>
      </c>
      <c r="Z522">
        <v>82</v>
      </c>
      <c r="AA522" t="s">
        <v>31</v>
      </c>
      <c r="AB522">
        <v>125</v>
      </c>
      <c r="AC522" s="23">
        <v>1.58</v>
      </c>
      <c r="AD522" t="str">
        <f>IF(AND('CVD Dataset'!AA522="Normal",'CVD Dataset'!AB522&gt;AVERAGE('CVD Dataset'!AB:AB),'CVD Dataset'!AF522="High"),"High Lipid Category","Normal Category")</f>
        <v>Normal Category</v>
      </c>
      <c r="AE522">
        <v>19</v>
      </c>
      <c r="AF522" t="s">
        <v>32</v>
      </c>
      <c r="AG522">
        <v>1</v>
      </c>
      <c r="AH522" t="s">
        <v>1379</v>
      </c>
      <c r="AI522">
        <f t="shared" si="35"/>
        <v>1</v>
      </c>
      <c r="AJ522" t="s">
        <v>1391</v>
      </c>
    </row>
    <row r="523" spans="1:36" x14ac:dyDescent="0.3">
      <c r="A523" t="s">
        <v>22</v>
      </c>
      <c r="B523">
        <v>37</v>
      </c>
      <c r="C523">
        <v>95</v>
      </c>
      <c r="D523">
        <v>1.86</v>
      </c>
      <c r="E523">
        <v>27.5</v>
      </c>
      <c r="F523">
        <f t="shared" si="33"/>
        <v>27.459821944733491</v>
      </c>
      <c r="G523">
        <f t="shared" si="32"/>
        <v>0</v>
      </c>
      <c r="H523" t="s">
        <v>1400</v>
      </c>
      <c r="I523">
        <v>104.4</v>
      </c>
      <c r="J523" t="s">
        <v>500</v>
      </c>
      <c r="K523" s="24">
        <v>131</v>
      </c>
      <c r="L523" s="24">
        <v>80</v>
      </c>
      <c r="M523">
        <v>181</v>
      </c>
      <c r="N523" t="s">
        <v>1432</v>
      </c>
      <c r="O523">
        <v>35</v>
      </c>
      <c r="P523">
        <v>96</v>
      </c>
      <c r="Q523" t="s">
        <v>24</v>
      </c>
      <c r="R523" t="s">
        <v>24</v>
      </c>
      <c r="S523" t="s">
        <v>30</v>
      </c>
      <c r="T523" t="s">
        <v>25</v>
      </c>
      <c r="U523">
        <f t="shared" si="34"/>
        <v>1</v>
      </c>
      <c r="V523">
        <v>186</v>
      </c>
      <c r="W523">
        <v>0.56100000000000005</v>
      </c>
      <c r="X523" t="s">
        <v>1407</v>
      </c>
      <c r="Y523">
        <v>131</v>
      </c>
      <c r="Z523">
        <v>80</v>
      </c>
      <c r="AA523" t="s">
        <v>31</v>
      </c>
      <c r="AB523">
        <v>116</v>
      </c>
      <c r="AC523" s="23">
        <v>3.31</v>
      </c>
      <c r="AD523" t="str">
        <f>IF(AND('CVD Dataset'!AA523="Normal",'CVD Dataset'!AB523&gt;AVERAGE('CVD Dataset'!AB:AB),'CVD Dataset'!AF523="High"),"High Lipid Category","Normal Category")</f>
        <v>Normal Category</v>
      </c>
      <c r="AE523">
        <v>15.67</v>
      </c>
      <c r="AF523" t="s">
        <v>28</v>
      </c>
      <c r="AG523">
        <v>0</v>
      </c>
      <c r="AH523" t="s">
        <v>1380</v>
      </c>
      <c r="AI523">
        <f t="shared" si="35"/>
        <v>0</v>
      </c>
      <c r="AJ523" t="s">
        <v>1391</v>
      </c>
    </row>
    <row r="524" spans="1:36" x14ac:dyDescent="0.3">
      <c r="A524" t="s">
        <v>22</v>
      </c>
      <c r="B524">
        <v>54</v>
      </c>
      <c r="C524">
        <v>73.900000000000006</v>
      </c>
      <c r="D524">
        <v>1.82</v>
      </c>
      <c r="E524">
        <v>22.3</v>
      </c>
      <c r="F524">
        <f t="shared" si="33"/>
        <v>22.31010747494264</v>
      </c>
      <c r="G524">
        <f t="shared" si="32"/>
        <v>0</v>
      </c>
      <c r="H524" t="s">
        <v>1398</v>
      </c>
      <c r="I524">
        <v>72.7</v>
      </c>
      <c r="J524" t="s">
        <v>91</v>
      </c>
      <c r="K524" s="24">
        <v>94</v>
      </c>
      <c r="L524" s="24">
        <v>81</v>
      </c>
      <c r="M524">
        <v>247</v>
      </c>
      <c r="N524" t="s">
        <v>1432</v>
      </c>
      <c r="P524">
        <v>107</v>
      </c>
      <c r="Q524" t="s">
        <v>25</v>
      </c>
      <c r="R524" t="s">
        <v>25</v>
      </c>
      <c r="S524" t="s">
        <v>26</v>
      </c>
      <c r="T524" t="s">
        <v>24</v>
      </c>
      <c r="U524">
        <f t="shared" si="34"/>
        <v>3</v>
      </c>
      <c r="V524">
        <v>182</v>
      </c>
      <c r="W524">
        <v>0.39900000000000002</v>
      </c>
      <c r="X524" t="s">
        <v>1408</v>
      </c>
      <c r="Y524">
        <v>94</v>
      </c>
      <c r="Z524">
        <v>81</v>
      </c>
      <c r="AA524" t="s">
        <v>31</v>
      </c>
      <c r="AB524">
        <v>140</v>
      </c>
      <c r="AC524" s="23" t="s">
        <v>1410</v>
      </c>
      <c r="AD524" t="str">
        <f>IF(AND('CVD Dataset'!AA524="Normal",'CVD Dataset'!AB524&gt;AVERAGE('CVD Dataset'!AB:AB),'CVD Dataset'!AF524="High"),"High Lipid Category","Normal Category")</f>
        <v>Normal Category</v>
      </c>
      <c r="AE524">
        <v>16.100000000000001</v>
      </c>
      <c r="AF524" t="s">
        <v>32</v>
      </c>
      <c r="AG524">
        <v>0</v>
      </c>
      <c r="AH524" t="s">
        <v>1379</v>
      </c>
      <c r="AI524">
        <f t="shared" si="35"/>
        <v>1</v>
      </c>
      <c r="AJ524" t="s">
        <v>1392</v>
      </c>
    </row>
    <row r="525" spans="1:36" x14ac:dyDescent="0.3">
      <c r="A525" t="s">
        <v>22</v>
      </c>
      <c r="C525">
        <v>100.6</v>
      </c>
      <c r="D525">
        <v>1.6</v>
      </c>
      <c r="E525">
        <v>39.299999999999997</v>
      </c>
      <c r="F525">
        <f t="shared" si="33"/>
        <v>39.296874999999993</v>
      </c>
      <c r="G525">
        <f t="shared" si="32"/>
        <v>0</v>
      </c>
      <c r="H525" t="s">
        <v>1399</v>
      </c>
      <c r="J525" t="s">
        <v>501</v>
      </c>
      <c r="K525" s="24">
        <v>91</v>
      </c>
      <c r="L525" s="24">
        <v>66</v>
      </c>
      <c r="M525">
        <v>298</v>
      </c>
      <c r="N525" t="s">
        <v>1432</v>
      </c>
      <c r="O525">
        <v>60</v>
      </c>
      <c r="P525">
        <v>76</v>
      </c>
      <c r="Q525" t="s">
        <v>25</v>
      </c>
      <c r="R525" t="s">
        <v>24</v>
      </c>
      <c r="S525" t="s">
        <v>39</v>
      </c>
      <c r="T525" t="s">
        <v>25</v>
      </c>
      <c r="U525">
        <f t="shared" si="34"/>
        <v>2</v>
      </c>
      <c r="V525">
        <v>160</v>
      </c>
      <c r="W525">
        <v>0.54500000000000004</v>
      </c>
      <c r="X525" t="s">
        <v>1407</v>
      </c>
      <c r="Y525">
        <v>91</v>
      </c>
      <c r="Z525">
        <v>66</v>
      </c>
      <c r="AA525" t="s">
        <v>35</v>
      </c>
      <c r="AB525">
        <v>208</v>
      </c>
      <c r="AC525" s="23">
        <v>3.47</v>
      </c>
      <c r="AD525" t="str">
        <f>IF(AND('CVD Dataset'!AA525="Normal",'CVD Dataset'!AB525&gt;AVERAGE('CVD Dataset'!AB:AB),'CVD Dataset'!AF525="High"),"High Lipid Category","Normal Category")</f>
        <v>High Lipid Category</v>
      </c>
      <c r="AE525">
        <v>18.37</v>
      </c>
      <c r="AF525" t="s">
        <v>32</v>
      </c>
      <c r="AG525">
        <v>1</v>
      </c>
      <c r="AH525" t="s">
        <v>1379</v>
      </c>
      <c r="AI525">
        <f t="shared" si="35"/>
        <v>1</v>
      </c>
      <c r="AJ525" t="s">
        <v>1391</v>
      </c>
    </row>
    <row r="526" spans="1:36" x14ac:dyDescent="0.3">
      <c r="A526" t="s">
        <v>22</v>
      </c>
      <c r="B526">
        <v>49</v>
      </c>
      <c r="C526">
        <v>95.7</v>
      </c>
      <c r="D526">
        <v>1.65</v>
      </c>
      <c r="E526">
        <v>35.200000000000003</v>
      </c>
      <c r="F526">
        <f t="shared" si="33"/>
        <v>35.151515151515156</v>
      </c>
      <c r="G526">
        <f t="shared" si="32"/>
        <v>0</v>
      </c>
      <c r="H526" t="s">
        <v>1399</v>
      </c>
      <c r="I526">
        <v>84.9</v>
      </c>
      <c r="J526" t="s">
        <v>502</v>
      </c>
      <c r="K526" s="24">
        <v>104</v>
      </c>
      <c r="L526" s="24">
        <v>93</v>
      </c>
      <c r="M526">
        <v>291</v>
      </c>
      <c r="N526" t="s">
        <v>1432</v>
      </c>
      <c r="O526">
        <v>34</v>
      </c>
      <c r="P526">
        <v>111</v>
      </c>
      <c r="Q526" t="s">
        <v>25</v>
      </c>
      <c r="R526" t="s">
        <v>25</v>
      </c>
      <c r="S526" t="s">
        <v>26</v>
      </c>
      <c r="T526" t="s">
        <v>24</v>
      </c>
      <c r="U526">
        <f t="shared" si="34"/>
        <v>3</v>
      </c>
      <c r="V526">
        <v>165</v>
      </c>
      <c r="W526">
        <v>0.51500000000000001</v>
      </c>
      <c r="X526" t="s">
        <v>1406</v>
      </c>
      <c r="Y526">
        <v>104</v>
      </c>
      <c r="Z526">
        <v>93</v>
      </c>
      <c r="AA526" t="s">
        <v>40</v>
      </c>
      <c r="AB526">
        <v>227</v>
      </c>
      <c r="AC526" s="23">
        <v>6.68</v>
      </c>
      <c r="AD526" t="str">
        <f>IF(AND('CVD Dataset'!AA526="Normal",'CVD Dataset'!AB526&gt;AVERAGE('CVD Dataset'!AB:AB),'CVD Dataset'!AF526="High"),"High Lipid Category","Normal Category")</f>
        <v>Normal Category</v>
      </c>
      <c r="AE526">
        <v>20.059999999999999</v>
      </c>
      <c r="AF526" t="s">
        <v>32</v>
      </c>
      <c r="AG526">
        <v>0</v>
      </c>
      <c r="AH526" t="s">
        <v>1379</v>
      </c>
      <c r="AI526">
        <f t="shared" si="35"/>
        <v>1</v>
      </c>
      <c r="AJ526" t="s">
        <v>1391</v>
      </c>
    </row>
    <row r="527" spans="1:36" x14ac:dyDescent="0.3">
      <c r="A527" t="s">
        <v>33</v>
      </c>
      <c r="B527">
        <v>32</v>
      </c>
      <c r="C527">
        <v>108</v>
      </c>
      <c r="D527">
        <v>1.79</v>
      </c>
      <c r="E527">
        <v>33.700000000000003</v>
      </c>
      <c r="F527">
        <f t="shared" si="33"/>
        <v>33.706813145657129</v>
      </c>
      <c r="G527">
        <f t="shared" ref="G527:G590" si="36">IFERROR(IF(ABS(E527 - F527) &lt;= 0.1, 0, 1),"")</f>
        <v>0</v>
      </c>
      <c r="H527" t="s">
        <v>1399</v>
      </c>
      <c r="I527">
        <v>74.099999999999994</v>
      </c>
      <c r="J527" t="s">
        <v>503</v>
      </c>
      <c r="K527" s="24">
        <v>148</v>
      </c>
      <c r="L527" s="24">
        <v>87</v>
      </c>
      <c r="M527">
        <v>174</v>
      </c>
      <c r="N527" t="s">
        <v>1433</v>
      </c>
      <c r="O527">
        <v>55</v>
      </c>
      <c r="P527">
        <v>139</v>
      </c>
      <c r="Q527" t="s">
        <v>24</v>
      </c>
      <c r="R527" t="s">
        <v>24</v>
      </c>
      <c r="S527" t="s">
        <v>30</v>
      </c>
      <c r="T527" t="s">
        <v>25</v>
      </c>
      <c r="U527">
        <f t="shared" si="34"/>
        <v>1</v>
      </c>
      <c r="V527">
        <v>179</v>
      </c>
      <c r="W527">
        <v>0.41399999999999998</v>
      </c>
      <c r="X527" t="s">
        <v>1408</v>
      </c>
      <c r="Y527">
        <v>148</v>
      </c>
      <c r="AA527" t="s">
        <v>31</v>
      </c>
      <c r="AB527">
        <v>89</v>
      </c>
      <c r="AC527" s="23">
        <v>1.62</v>
      </c>
      <c r="AD527" t="str">
        <f>IF(AND('CVD Dataset'!AA527="Normal",'CVD Dataset'!AB527&gt;AVERAGE('CVD Dataset'!AB:AB),'CVD Dataset'!AF527="High"),"High Lipid Category","Normal Category")</f>
        <v>Normal Category</v>
      </c>
      <c r="AE527">
        <v>17.62</v>
      </c>
      <c r="AF527" t="s">
        <v>28</v>
      </c>
      <c r="AG527">
        <v>0</v>
      </c>
      <c r="AH527" t="s">
        <v>1380</v>
      </c>
      <c r="AI527">
        <f t="shared" si="35"/>
        <v>0</v>
      </c>
      <c r="AJ527" t="s">
        <v>1391</v>
      </c>
    </row>
    <row r="528" spans="1:36" x14ac:dyDescent="0.3">
      <c r="A528" t="s">
        <v>33</v>
      </c>
      <c r="B528">
        <v>58</v>
      </c>
      <c r="C528">
        <v>85.5</v>
      </c>
      <c r="D528">
        <v>1.83</v>
      </c>
      <c r="E528">
        <v>25.5</v>
      </c>
      <c r="F528">
        <f t="shared" si="33"/>
        <v>25.530771298038157</v>
      </c>
      <c r="G528">
        <f t="shared" si="36"/>
        <v>0</v>
      </c>
      <c r="H528" t="s">
        <v>1400</v>
      </c>
      <c r="I528">
        <v>102.1</v>
      </c>
      <c r="J528" t="s">
        <v>180</v>
      </c>
      <c r="K528" s="24">
        <v>98</v>
      </c>
      <c r="L528" s="24">
        <v>60</v>
      </c>
      <c r="M528">
        <v>111</v>
      </c>
      <c r="N528" t="s">
        <v>1434</v>
      </c>
      <c r="P528">
        <v>124</v>
      </c>
      <c r="Q528" t="s">
        <v>25</v>
      </c>
      <c r="R528" t="s">
        <v>25</v>
      </c>
      <c r="S528" t="s">
        <v>26</v>
      </c>
      <c r="T528" t="s">
        <v>25</v>
      </c>
      <c r="U528">
        <f t="shared" si="34"/>
        <v>4</v>
      </c>
      <c r="V528">
        <v>183</v>
      </c>
      <c r="W528">
        <v>0.55800000000000005</v>
      </c>
      <c r="X528" t="s">
        <v>1407</v>
      </c>
      <c r="Y528">
        <v>98</v>
      </c>
      <c r="Z528">
        <v>60</v>
      </c>
      <c r="AA528" t="s">
        <v>35</v>
      </c>
      <c r="AB528">
        <v>48</v>
      </c>
      <c r="AC528" s="23" t="s">
        <v>1410</v>
      </c>
      <c r="AD528" t="str">
        <f>IF(AND('CVD Dataset'!AA528="Normal",'CVD Dataset'!AB528&gt;AVERAGE('CVD Dataset'!AB:AB),'CVD Dataset'!AF528="High"),"High Lipid Category","Normal Category")</f>
        <v>Normal Category</v>
      </c>
      <c r="AE528">
        <v>14.22</v>
      </c>
      <c r="AF528" t="s">
        <v>32</v>
      </c>
      <c r="AG528">
        <v>0</v>
      </c>
      <c r="AH528" t="s">
        <v>1379</v>
      </c>
      <c r="AI528">
        <f t="shared" si="35"/>
        <v>1</v>
      </c>
      <c r="AJ528" t="s">
        <v>1391</v>
      </c>
    </row>
    <row r="529" spans="1:36" x14ac:dyDescent="0.3">
      <c r="A529" t="s">
        <v>33</v>
      </c>
      <c r="B529">
        <v>52</v>
      </c>
      <c r="C529">
        <v>83.6</v>
      </c>
      <c r="D529">
        <v>1.64</v>
      </c>
      <c r="E529">
        <v>31.1</v>
      </c>
      <c r="F529">
        <f t="shared" si="33"/>
        <v>31.082688875669248</v>
      </c>
      <c r="G529">
        <f t="shared" si="36"/>
        <v>0</v>
      </c>
      <c r="H529" t="s">
        <v>1399</v>
      </c>
      <c r="I529">
        <v>98.2</v>
      </c>
      <c r="J529" t="s">
        <v>504</v>
      </c>
      <c r="K529" s="24">
        <v>120</v>
      </c>
      <c r="L529" s="24">
        <v>94</v>
      </c>
      <c r="M529">
        <v>109</v>
      </c>
      <c r="N529" t="s">
        <v>1434</v>
      </c>
      <c r="O529">
        <v>78</v>
      </c>
      <c r="P529">
        <v>107</v>
      </c>
      <c r="Q529" t="s">
        <v>24</v>
      </c>
      <c r="R529" t="s">
        <v>24</v>
      </c>
      <c r="S529" t="s">
        <v>39</v>
      </c>
      <c r="T529" t="s">
        <v>24</v>
      </c>
      <c r="U529">
        <f t="shared" si="34"/>
        <v>0</v>
      </c>
      <c r="V529">
        <v>164</v>
      </c>
      <c r="W529">
        <v>0.59899999999999998</v>
      </c>
      <c r="X529" t="s">
        <v>1409</v>
      </c>
      <c r="Y529">
        <v>120</v>
      </c>
      <c r="Z529">
        <v>94</v>
      </c>
      <c r="AA529" t="s">
        <v>40</v>
      </c>
      <c r="AB529">
        <v>1</v>
      </c>
      <c r="AC529" s="23">
        <v>0.01</v>
      </c>
      <c r="AD529" t="str">
        <f>IF(AND('CVD Dataset'!AA529="Normal",'CVD Dataset'!AB529&gt;AVERAGE('CVD Dataset'!AB:AB),'CVD Dataset'!AF529="High"),"High Lipid Category","Normal Category")</f>
        <v>Normal Category</v>
      </c>
      <c r="AE529">
        <v>14.4</v>
      </c>
      <c r="AF529" t="s">
        <v>28</v>
      </c>
      <c r="AG529">
        <v>0</v>
      </c>
      <c r="AH529" t="s">
        <v>1380</v>
      </c>
      <c r="AI529">
        <f t="shared" si="35"/>
        <v>0</v>
      </c>
      <c r="AJ529" t="s">
        <v>1391</v>
      </c>
    </row>
    <row r="530" spans="1:36" x14ac:dyDescent="0.3">
      <c r="A530" t="s">
        <v>22</v>
      </c>
      <c r="B530">
        <v>58</v>
      </c>
      <c r="C530">
        <v>110.1</v>
      </c>
      <c r="D530">
        <v>1.63</v>
      </c>
      <c r="E530">
        <v>41.4</v>
      </c>
      <c r="F530">
        <f t="shared" si="33"/>
        <v>41.439271331250708</v>
      </c>
      <c r="G530">
        <f t="shared" si="36"/>
        <v>0</v>
      </c>
      <c r="H530" t="s">
        <v>1399</v>
      </c>
      <c r="I530">
        <v>80.5</v>
      </c>
      <c r="J530" t="s">
        <v>505</v>
      </c>
      <c r="K530" s="24">
        <v>96</v>
      </c>
      <c r="L530" s="24">
        <v>98</v>
      </c>
      <c r="N530" t="s">
        <v>1434</v>
      </c>
      <c r="O530">
        <v>53</v>
      </c>
      <c r="P530">
        <v>115</v>
      </c>
      <c r="Q530" t="s">
        <v>24</v>
      </c>
      <c r="R530" t="s">
        <v>24</v>
      </c>
      <c r="S530" t="s">
        <v>39</v>
      </c>
      <c r="T530" t="s">
        <v>25</v>
      </c>
      <c r="U530">
        <f t="shared" si="34"/>
        <v>1</v>
      </c>
      <c r="V530">
        <v>163</v>
      </c>
      <c r="W530">
        <v>0.49399999999999999</v>
      </c>
      <c r="X530" t="s">
        <v>1406</v>
      </c>
      <c r="Y530">
        <v>96</v>
      </c>
      <c r="Z530">
        <v>98</v>
      </c>
      <c r="AA530" t="s">
        <v>40</v>
      </c>
      <c r="AB530">
        <v>45</v>
      </c>
      <c r="AC530" s="23">
        <v>0.85</v>
      </c>
      <c r="AD530" t="str">
        <f>IF(AND('CVD Dataset'!AA530="Normal",'CVD Dataset'!AB530&gt;AVERAGE('CVD Dataset'!AB:AB),'CVD Dataset'!AF530="High"),"High Lipid Category","Normal Category")</f>
        <v>Normal Category</v>
      </c>
      <c r="AE530">
        <v>15.64</v>
      </c>
      <c r="AF530" t="s">
        <v>28</v>
      </c>
      <c r="AG530">
        <v>0</v>
      </c>
      <c r="AH530" t="s">
        <v>1380</v>
      </c>
      <c r="AI530">
        <f t="shared" si="35"/>
        <v>0</v>
      </c>
      <c r="AJ530" t="s">
        <v>1391</v>
      </c>
    </row>
    <row r="531" spans="1:36" x14ac:dyDescent="0.3">
      <c r="A531" t="s">
        <v>33</v>
      </c>
      <c r="B531">
        <v>36</v>
      </c>
      <c r="C531">
        <v>83.6</v>
      </c>
      <c r="D531">
        <v>1.86</v>
      </c>
      <c r="E531">
        <v>24.2</v>
      </c>
      <c r="F531">
        <f t="shared" si="33"/>
        <v>24.16464331136547</v>
      </c>
      <c r="G531">
        <f t="shared" si="36"/>
        <v>0</v>
      </c>
      <c r="H531" t="s">
        <v>1398</v>
      </c>
      <c r="I531">
        <v>99.3</v>
      </c>
      <c r="J531" t="s">
        <v>387</v>
      </c>
      <c r="K531" s="24">
        <v>105</v>
      </c>
      <c r="L531" s="24">
        <v>88</v>
      </c>
      <c r="M531">
        <v>200</v>
      </c>
      <c r="N531" t="s">
        <v>1432</v>
      </c>
      <c r="O531">
        <v>46</v>
      </c>
      <c r="P531">
        <v>118</v>
      </c>
      <c r="Q531" t="s">
        <v>24</v>
      </c>
      <c r="R531" t="s">
        <v>24</v>
      </c>
      <c r="S531" t="s">
        <v>30</v>
      </c>
      <c r="T531" t="s">
        <v>24</v>
      </c>
      <c r="U531">
        <f t="shared" si="34"/>
        <v>0</v>
      </c>
      <c r="V531">
        <v>186</v>
      </c>
      <c r="W531">
        <v>0.53400000000000003</v>
      </c>
      <c r="X531" t="s">
        <v>1407</v>
      </c>
      <c r="Y531">
        <v>105</v>
      </c>
      <c r="Z531">
        <v>88</v>
      </c>
      <c r="AA531" t="s">
        <v>31</v>
      </c>
      <c r="AB531">
        <v>124</v>
      </c>
      <c r="AC531" s="23">
        <v>2.7</v>
      </c>
      <c r="AD531" t="str">
        <f>IF(AND('CVD Dataset'!AA531="Normal",'CVD Dataset'!AB531&gt;AVERAGE('CVD Dataset'!AB:AB),'CVD Dataset'!AF531="High"),"High Lipid Category","Normal Category")</f>
        <v>Normal Category</v>
      </c>
      <c r="AE531">
        <v>14.09</v>
      </c>
      <c r="AF531" t="s">
        <v>54</v>
      </c>
      <c r="AG531">
        <v>0</v>
      </c>
      <c r="AH531" t="s">
        <v>1380</v>
      </c>
      <c r="AI531">
        <f t="shared" si="35"/>
        <v>0</v>
      </c>
      <c r="AJ531" t="s">
        <v>1391</v>
      </c>
    </row>
    <row r="532" spans="1:36" x14ac:dyDescent="0.3">
      <c r="A532" t="s">
        <v>22</v>
      </c>
      <c r="B532">
        <v>41</v>
      </c>
      <c r="C532">
        <v>114.6</v>
      </c>
      <c r="D532">
        <v>1.7</v>
      </c>
      <c r="F532">
        <f t="shared" si="33"/>
        <v>39.653979238754324</v>
      </c>
      <c r="G532">
        <f t="shared" si="36"/>
        <v>1</v>
      </c>
      <c r="H532" t="s">
        <v>1401</v>
      </c>
      <c r="I532">
        <v>94</v>
      </c>
      <c r="J532" t="s">
        <v>419</v>
      </c>
      <c r="K532" s="24">
        <v>142</v>
      </c>
      <c r="L532" s="24">
        <v>87</v>
      </c>
      <c r="N532" t="s">
        <v>1434</v>
      </c>
      <c r="O532">
        <v>78</v>
      </c>
      <c r="P532">
        <v>120</v>
      </c>
      <c r="Q532" t="s">
        <v>24</v>
      </c>
      <c r="R532" t="s">
        <v>24</v>
      </c>
      <c r="S532" t="s">
        <v>30</v>
      </c>
      <c r="T532" t="s">
        <v>24</v>
      </c>
      <c r="U532">
        <f t="shared" si="34"/>
        <v>0</v>
      </c>
      <c r="V532">
        <v>170</v>
      </c>
      <c r="W532">
        <v>0.55300000000000005</v>
      </c>
      <c r="X532" t="s">
        <v>1407</v>
      </c>
      <c r="Y532">
        <v>142</v>
      </c>
      <c r="Z532">
        <v>87</v>
      </c>
      <c r="AA532" t="s">
        <v>31</v>
      </c>
      <c r="AB532">
        <v>131</v>
      </c>
      <c r="AC532" s="23">
        <v>1.68</v>
      </c>
      <c r="AD532" t="str">
        <f>IF(AND('CVD Dataset'!AA532="Normal",'CVD Dataset'!AB532&gt;AVERAGE('CVD Dataset'!AB:AB),'CVD Dataset'!AF532="High"),"High Lipid Category","Normal Category")</f>
        <v>Normal Category</v>
      </c>
      <c r="AE532">
        <v>19.82</v>
      </c>
      <c r="AF532" t="s">
        <v>28</v>
      </c>
      <c r="AG532">
        <v>0</v>
      </c>
      <c r="AH532" t="s">
        <v>1380</v>
      </c>
      <c r="AI532">
        <f t="shared" si="35"/>
        <v>0</v>
      </c>
      <c r="AJ532" t="s">
        <v>1391</v>
      </c>
    </row>
    <row r="533" spans="1:36" x14ac:dyDescent="0.3">
      <c r="A533" t="s">
        <v>33</v>
      </c>
      <c r="B533">
        <v>46</v>
      </c>
      <c r="C533">
        <v>109</v>
      </c>
      <c r="D533">
        <v>1.7</v>
      </c>
      <c r="F533">
        <f t="shared" si="33"/>
        <v>37.716262975778548</v>
      </c>
      <c r="G533">
        <f t="shared" si="36"/>
        <v>1</v>
      </c>
      <c r="H533" t="s">
        <v>1401</v>
      </c>
      <c r="I533">
        <v>95.7</v>
      </c>
      <c r="J533" t="s">
        <v>506</v>
      </c>
      <c r="K533" s="24">
        <v>117</v>
      </c>
      <c r="L533" s="24">
        <v>98</v>
      </c>
      <c r="M533">
        <v>164</v>
      </c>
      <c r="N533" t="s">
        <v>1433</v>
      </c>
      <c r="O533">
        <v>67</v>
      </c>
      <c r="P533">
        <v>84</v>
      </c>
      <c r="Q533" t="s">
        <v>25</v>
      </c>
      <c r="R533" t="s">
        <v>24</v>
      </c>
      <c r="S533" t="s">
        <v>39</v>
      </c>
      <c r="T533" t="s">
        <v>24</v>
      </c>
      <c r="U533">
        <f t="shared" si="34"/>
        <v>1</v>
      </c>
      <c r="V533">
        <v>170</v>
      </c>
      <c r="W533">
        <v>0.56299999999999994</v>
      </c>
      <c r="X533" t="s">
        <v>1407</v>
      </c>
      <c r="Y533">
        <v>117</v>
      </c>
      <c r="Z533">
        <v>98</v>
      </c>
      <c r="AA533" t="s">
        <v>40</v>
      </c>
      <c r="AB533">
        <v>67</v>
      </c>
      <c r="AC533" s="23">
        <v>1</v>
      </c>
      <c r="AD533" t="str">
        <f>IF(AND('CVD Dataset'!AA533="Normal",'CVD Dataset'!AB533&gt;AVERAGE('CVD Dataset'!AB:AB),'CVD Dataset'!AF533="High"),"High Lipid Category","Normal Category")</f>
        <v>Normal Category</v>
      </c>
      <c r="AE533">
        <v>16.670000000000002</v>
      </c>
      <c r="AF533" t="s">
        <v>28</v>
      </c>
      <c r="AG533">
        <v>0</v>
      </c>
      <c r="AH533" t="s">
        <v>1380</v>
      </c>
      <c r="AI533">
        <f t="shared" si="35"/>
        <v>0</v>
      </c>
      <c r="AJ533" t="s">
        <v>1391</v>
      </c>
    </row>
    <row r="534" spans="1:36" x14ac:dyDescent="0.3">
      <c r="A534" t="s">
        <v>22</v>
      </c>
      <c r="B534">
        <v>40</v>
      </c>
      <c r="C534">
        <v>112.9</v>
      </c>
      <c r="D534">
        <v>1.85</v>
      </c>
      <c r="E534">
        <v>33</v>
      </c>
      <c r="F534">
        <f t="shared" si="33"/>
        <v>32.987582176771362</v>
      </c>
      <c r="G534">
        <f t="shared" si="36"/>
        <v>0</v>
      </c>
      <c r="H534" t="s">
        <v>1399</v>
      </c>
      <c r="I534">
        <v>90.9</v>
      </c>
      <c r="J534" t="s">
        <v>380</v>
      </c>
      <c r="K534" s="24">
        <v>133</v>
      </c>
      <c r="L534" s="24">
        <v>94</v>
      </c>
      <c r="M534">
        <v>153</v>
      </c>
      <c r="N534" t="s">
        <v>1433</v>
      </c>
      <c r="O534">
        <v>36</v>
      </c>
      <c r="P534">
        <v>133</v>
      </c>
      <c r="Q534" t="s">
        <v>25</v>
      </c>
      <c r="R534" t="s">
        <v>24</v>
      </c>
      <c r="S534" t="s">
        <v>26</v>
      </c>
      <c r="T534" t="s">
        <v>24</v>
      </c>
      <c r="U534">
        <f t="shared" si="34"/>
        <v>2</v>
      </c>
      <c r="V534">
        <v>185</v>
      </c>
      <c r="W534">
        <v>0.49099999999999999</v>
      </c>
      <c r="X534" t="s">
        <v>1406</v>
      </c>
      <c r="Y534">
        <v>133</v>
      </c>
      <c r="Z534">
        <v>94</v>
      </c>
      <c r="AA534" t="s">
        <v>31</v>
      </c>
      <c r="AB534">
        <v>87</v>
      </c>
      <c r="AC534" s="23">
        <v>2.42</v>
      </c>
      <c r="AD534" t="str">
        <f>IF(AND('CVD Dataset'!AA534="Normal",'CVD Dataset'!AB534&gt;AVERAGE('CVD Dataset'!AB:AB),'CVD Dataset'!AF534="High"),"High Lipid Category","Normal Category")</f>
        <v>Normal Category</v>
      </c>
      <c r="AE534">
        <v>16.309999999999999</v>
      </c>
      <c r="AF534" t="s">
        <v>32</v>
      </c>
      <c r="AG534">
        <v>0</v>
      </c>
      <c r="AH534" t="s">
        <v>1379</v>
      </c>
      <c r="AI534">
        <f t="shared" si="35"/>
        <v>1</v>
      </c>
      <c r="AJ534" t="s">
        <v>1391</v>
      </c>
    </row>
    <row r="535" spans="1:36" x14ac:dyDescent="0.3">
      <c r="A535" t="s">
        <v>22</v>
      </c>
      <c r="B535">
        <v>60</v>
      </c>
      <c r="C535">
        <v>76.2</v>
      </c>
      <c r="D535">
        <v>1.63</v>
      </c>
      <c r="E535">
        <v>28.7</v>
      </c>
      <c r="F535">
        <f t="shared" si="33"/>
        <v>28.680040648876513</v>
      </c>
      <c r="G535">
        <f t="shared" si="36"/>
        <v>0</v>
      </c>
      <c r="H535" t="s">
        <v>1400</v>
      </c>
      <c r="I535">
        <v>83.6</v>
      </c>
      <c r="J535" t="s">
        <v>507</v>
      </c>
      <c r="K535" s="24">
        <v>144</v>
      </c>
      <c r="L535" s="24">
        <v>86</v>
      </c>
      <c r="M535">
        <v>217</v>
      </c>
      <c r="N535" t="s">
        <v>1432</v>
      </c>
      <c r="O535">
        <v>37</v>
      </c>
      <c r="P535">
        <v>118</v>
      </c>
      <c r="Q535" t="s">
        <v>24</v>
      </c>
      <c r="R535" t="s">
        <v>24</v>
      </c>
      <c r="S535" t="s">
        <v>39</v>
      </c>
      <c r="T535" t="s">
        <v>24</v>
      </c>
      <c r="U535">
        <f t="shared" si="34"/>
        <v>0</v>
      </c>
      <c r="V535">
        <v>163</v>
      </c>
      <c r="W535">
        <v>0.51300000000000001</v>
      </c>
      <c r="X535" t="s">
        <v>1406</v>
      </c>
      <c r="Y535">
        <v>144</v>
      </c>
      <c r="Z535">
        <v>86</v>
      </c>
      <c r="AA535" t="s">
        <v>31</v>
      </c>
      <c r="AB535">
        <v>150</v>
      </c>
      <c r="AC535" s="23">
        <v>4.05</v>
      </c>
      <c r="AD535" t="str">
        <f>IF(AND('CVD Dataset'!AA535="Normal",'CVD Dataset'!AB535&gt;AVERAGE('CVD Dataset'!AB:AB),'CVD Dataset'!AF535="High"),"High Lipid Category","Normal Category")</f>
        <v>Normal Category</v>
      </c>
      <c r="AE535">
        <v>17.28</v>
      </c>
      <c r="AF535" t="s">
        <v>32</v>
      </c>
      <c r="AG535">
        <v>0</v>
      </c>
      <c r="AH535" t="s">
        <v>1379</v>
      </c>
      <c r="AI535">
        <f t="shared" si="35"/>
        <v>1</v>
      </c>
      <c r="AJ535" t="s">
        <v>1391</v>
      </c>
    </row>
    <row r="536" spans="1:36" x14ac:dyDescent="0.3">
      <c r="A536" t="s">
        <v>22</v>
      </c>
      <c r="B536">
        <v>47</v>
      </c>
      <c r="D536">
        <v>1.81</v>
      </c>
      <c r="E536">
        <v>17.399999999999999</v>
      </c>
      <c r="F536">
        <f t="shared" si="33"/>
        <v>0</v>
      </c>
      <c r="G536">
        <f t="shared" si="36"/>
        <v>1</v>
      </c>
      <c r="H536" t="s">
        <v>1401</v>
      </c>
      <c r="I536">
        <v>90</v>
      </c>
      <c r="J536" t="s">
        <v>508</v>
      </c>
      <c r="K536" s="24">
        <v>102</v>
      </c>
      <c r="L536" s="24">
        <v>86</v>
      </c>
      <c r="M536">
        <v>148</v>
      </c>
      <c r="N536" t="s">
        <v>1434</v>
      </c>
      <c r="O536">
        <v>52</v>
      </c>
      <c r="P536">
        <v>130</v>
      </c>
      <c r="Q536" t="s">
        <v>24</v>
      </c>
      <c r="R536" t="s">
        <v>25</v>
      </c>
      <c r="S536" t="s">
        <v>30</v>
      </c>
      <c r="T536" t="s">
        <v>25</v>
      </c>
      <c r="U536">
        <f t="shared" si="34"/>
        <v>2</v>
      </c>
      <c r="V536">
        <v>181</v>
      </c>
      <c r="W536">
        <v>0.497</v>
      </c>
      <c r="X536" t="s">
        <v>1406</v>
      </c>
      <c r="Y536">
        <v>102</v>
      </c>
      <c r="Z536">
        <v>86</v>
      </c>
      <c r="AA536" t="s">
        <v>31</v>
      </c>
      <c r="AB536">
        <v>66</v>
      </c>
      <c r="AC536" s="23">
        <v>1.27</v>
      </c>
      <c r="AD536" t="str">
        <f>IF(AND('CVD Dataset'!AA536="Normal",'CVD Dataset'!AB536&gt;AVERAGE('CVD Dataset'!AB:AB),'CVD Dataset'!AF536="High"),"High Lipid Category","Normal Category")</f>
        <v>Normal Category</v>
      </c>
      <c r="AE536">
        <v>13.54</v>
      </c>
      <c r="AF536" t="s">
        <v>28</v>
      </c>
      <c r="AG536">
        <v>0</v>
      </c>
      <c r="AH536" t="s">
        <v>1380</v>
      </c>
      <c r="AI536">
        <f t="shared" si="35"/>
        <v>0</v>
      </c>
      <c r="AJ536" t="s">
        <v>1391</v>
      </c>
    </row>
    <row r="537" spans="1:36" x14ac:dyDescent="0.3">
      <c r="A537" t="s">
        <v>33</v>
      </c>
      <c r="B537">
        <v>49</v>
      </c>
      <c r="C537">
        <v>73.8</v>
      </c>
      <c r="D537">
        <v>1.74</v>
      </c>
      <c r="E537">
        <v>24.4</v>
      </c>
      <c r="F537">
        <f t="shared" si="33"/>
        <v>24.375743162901305</v>
      </c>
      <c r="G537">
        <f t="shared" si="36"/>
        <v>0</v>
      </c>
      <c r="H537" t="s">
        <v>1398</v>
      </c>
      <c r="I537">
        <v>100.3</v>
      </c>
      <c r="J537" t="s">
        <v>509</v>
      </c>
      <c r="K537" s="24">
        <v>111</v>
      </c>
      <c r="L537" s="24">
        <v>83</v>
      </c>
      <c r="M537">
        <v>291</v>
      </c>
      <c r="N537" t="s">
        <v>1432</v>
      </c>
      <c r="O537">
        <v>78</v>
      </c>
      <c r="P537">
        <v>92</v>
      </c>
      <c r="Q537" t="s">
        <v>25</v>
      </c>
      <c r="R537" t="s">
        <v>25</v>
      </c>
      <c r="S537" t="s">
        <v>30</v>
      </c>
      <c r="T537" t="s">
        <v>25</v>
      </c>
      <c r="U537">
        <f t="shared" si="34"/>
        <v>3</v>
      </c>
      <c r="V537">
        <v>174</v>
      </c>
      <c r="W537">
        <v>0.57599999999999996</v>
      </c>
      <c r="X537" t="s">
        <v>1407</v>
      </c>
      <c r="Y537">
        <v>111</v>
      </c>
      <c r="Z537">
        <v>83</v>
      </c>
      <c r="AA537" t="s">
        <v>31</v>
      </c>
      <c r="AB537">
        <v>183</v>
      </c>
      <c r="AC537" s="23">
        <v>2.35</v>
      </c>
      <c r="AD537" t="str">
        <f>IF(AND('CVD Dataset'!AA537="Normal",'CVD Dataset'!AB537&gt;AVERAGE('CVD Dataset'!AB:AB),'CVD Dataset'!AF537="High"),"High Lipid Category","Normal Category")</f>
        <v>Normal Category</v>
      </c>
      <c r="AF537" t="s">
        <v>32</v>
      </c>
      <c r="AG537">
        <v>1</v>
      </c>
      <c r="AH537" t="s">
        <v>1379</v>
      </c>
      <c r="AI537">
        <f t="shared" si="35"/>
        <v>1</v>
      </c>
      <c r="AJ537" t="s">
        <v>1391</v>
      </c>
    </row>
    <row r="538" spans="1:36" x14ac:dyDescent="0.3">
      <c r="A538" t="s">
        <v>33</v>
      </c>
      <c r="B538">
        <v>49</v>
      </c>
      <c r="C538">
        <v>115.6</v>
      </c>
      <c r="D538">
        <v>1.74</v>
      </c>
      <c r="E538">
        <v>38.200000000000003</v>
      </c>
      <c r="F538">
        <f t="shared" si="33"/>
        <v>38.18205839608931</v>
      </c>
      <c r="G538">
        <f t="shared" si="36"/>
        <v>0</v>
      </c>
      <c r="H538" t="s">
        <v>1399</v>
      </c>
      <c r="I538">
        <v>109.7</v>
      </c>
      <c r="J538" t="s">
        <v>264</v>
      </c>
      <c r="K538" s="24">
        <v>126</v>
      </c>
      <c r="L538" s="24">
        <v>86</v>
      </c>
      <c r="M538">
        <v>290</v>
      </c>
      <c r="N538" t="s">
        <v>1432</v>
      </c>
      <c r="O538">
        <v>73</v>
      </c>
      <c r="P538">
        <v>119</v>
      </c>
      <c r="Q538" t="s">
        <v>25</v>
      </c>
      <c r="R538" t="s">
        <v>24</v>
      </c>
      <c r="S538" t="s">
        <v>26</v>
      </c>
      <c r="T538" t="s">
        <v>25</v>
      </c>
      <c r="U538">
        <f t="shared" si="34"/>
        <v>3</v>
      </c>
      <c r="V538">
        <v>174</v>
      </c>
      <c r="W538">
        <v>0.63</v>
      </c>
      <c r="X538" t="s">
        <v>1409</v>
      </c>
      <c r="Y538">
        <v>126</v>
      </c>
      <c r="Z538">
        <v>86</v>
      </c>
      <c r="AA538" t="s">
        <v>31</v>
      </c>
      <c r="AB538">
        <v>187</v>
      </c>
      <c r="AC538" s="23">
        <v>2.56</v>
      </c>
      <c r="AD538" t="str">
        <f>IF(AND('CVD Dataset'!AA538="Normal",'CVD Dataset'!AB538&gt;AVERAGE('CVD Dataset'!AB:AB),'CVD Dataset'!AF538="High"),"High Lipid Category","Normal Category")</f>
        <v>Normal Category</v>
      </c>
      <c r="AE538">
        <v>19.739999999999998</v>
      </c>
      <c r="AF538" t="s">
        <v>32</v>
      </c>
      <c r="AG538">
        <v>1</v>
      </c>
      <c r="AH538" t="s">
        <v>1379</v>
      </c>
      <c r="AI538">
        <f t="shared" si="35"/>
        <v>1</v>
      </c>
      <c r="AJ538" t="s">
        <v>1391</v>
      </c>
    </row>
    <row r="539" spans="1:36" x14ac:dyDescent="0.3">
      <c r="A539" t="s">
        <v>22</v>
      </c>
      <c r="B539">
        <v>58</v>
      </c>
      <c r="C539">
        <v>98.3</v>
      </c>
      <c r="D539">
        <v>1.9</v>
      </c>
      <c r="F539">
        <f t="shared" si="33"/>
        <v>27.229916897506925</v>
      </c>
      <c r="G539">
        <f t="shared" si="36"/>
        <v>1</v>
      </c>
      <c r="H539" t="s">
        <v>1401</v>
      </c>
      <c r="I539">
        <v>86.9</v>
      </c>
      <c r="J539" t="s">
        <v>510</v>
      </c>
      <c r="K539" s="24">
        <v>112</v>
      </c>
      <c r="L539" s="24">
        <v>84</v>
      </c>
      <c r="M539">
        <v>168</v>
      </c>
      <c r="N539" t="s">
        <v>1433</v>
      </c>
      <c r="O539">
        <v>74</v>
      </c>
      <c r="P539">
        <v>78</v>
      </c>
      <c r="Q539" t="s">
        <v>24</v>
      </c>
      <c r="R539" t="s">
        <v>24</v>
      </c>
      <c r="S539" t="s">
        <v>30</v>
      </c>
      <c r="T539" t="s">
        <v>25</v>
      </c>
      <c r="U539">
        <f t="shared" si="34"/>
        <v>1</v>
      </c>
      <c r="V539">
        <v>190</v>
      </c>
      <c r="W539">
        <v>0.45700000000000002</v>
      </c>
      <c r="X539" t="s">
        <v>1408</v>
      </c>
      <c r="Y539">
        <v>112</v>
      </c>
      <c r="Z539">
        <v>84</v>
      </c>
      <c r="AA539" t="s">
        <v>31</v>
      </c>
      <c r="AB539">
        <v>64</v>
      </c>
      <c r="AC539" s="23">
        <v>0.86</v>
      </c>
      <c r="AD539" t="str">
        <f>IF(AND('CVD Dataset'!AA539="Normal",'CVD Dataset'!AB539&gt;AVERAGE('CVD Dataset'!AB:AB),'CVD Dataset'!AF539="High"),"High Lipid Category","Normal Category")</f>
        <v>Normal Category</v>
      </c>
      <c r="AE539">
        <v>14.4</v>
      </c>
      <c r="AF539" t="s">
        <v>28</v>
      </c>
      <c r="AG539">
        <v>0</v>
      </c>
      <c r="AH539" t="s">
        <v>1380</v>
      </c>
      <c r="AI539">
        <f t="shared" si="35"/>
        <v>0</v>
      </c>
      <c r="AJ539" t="s">
        <v>1391</v>
      </c>
    </row>
    <row r="540" spans="1:36" x14ac:dyDescent="0.3">
      <c r="A540" t="s">
        <v>22</v>
      </c>
      <c r="B540">
        <v>56</v>
      </c>
      <c r="C540">
        <v>100.4</v>
      </c>
      <c r="D540">
        <v>1.65</v>
      </c>
      <c r="E540">
        <v>36.9</v>
      </c>
      <c r="F540">
        <f t="shared" si="33"/>
        <v>36.877869605142337</v>
      </c>
      <c r="G540">
        <f t="shared" si="36"/>
        <v>0</v>
      </c>
      <c r="H540" t="s">
        <v>1399</v>
      </c>
      <c r="I540">
        <v>74.3</v>
      </c>
      <c r="J540" t="s">
        <v>511</v>
      </c>
      <c r="K540" s="24">
        <v>108</v>
      </c>
      <c r="L540" s="24">
        <v>66</v>
      </c>
      <c r="M540">
        <v>193</v>
      </c>
      <c r="N540" t="s">
        <v>1432</v>
      </c>
      <c r="O540">
        <v>63</v>
      </c>
      <c r="P540">
        <v>81</v>
      </c>
      <c r="Q540" t="s">
        <v>25</v>
      </c>
      <c r="R540" t="s">
        <v>24</v>
      </c>
      <c r="S540" t="s">
        <v>39</v>
      </c>
      <c r="T540" t="s">
        <v>25</v>
      </c>
      <c r="U540">
        <f t="shared" si="34"/>
        <v>2</v>
      </c>
      <c r="V540">
        <v>165</v>
      </c>
      <c r="W540">
        <v>0.45</v>
      </c>
      <c r="X540" t="s">
        <v>1408</v>
      </c>
      <c r="Y540">
        <v>108</v>
      </c>
      <c r="Z540">
        <v>66</v>
      </c>
      <c r="AA540" t="s">
        <v>35</v>
      </c>
      <c r="AB540">
        <v>100</v>
      </c>
      <c r="AC540" s="23">
        <v>1.59</v>
      </c>
      <c r="AD540" t="str">
        <f>IF(AND('CVD Dataset'!AA540="Normal",'CVD Dataset'!AB540&gt;AVERAGE('CVD Dataset'!AB:AB),'CVD Dataset'!AF540="High"),"High Lipid Category","Normal Category")</f>
        <v>Normal Category</v>
      </c>
      <c r="AE540">
        <v>16.64</v>
      </c>
      <c r="AF540" t="s">
        <v>32</v>
      </c>
      <c r="AG540">
        <v>1</v>
      </c>
      <c r="AH540" t="s">
        <v>1379</v>
      </c>
      <c r="AI540">
        <f t="shared" si="35"/>
        <v>1</v>
      </c>
      <c r="AJ540" t="s">
        <v>1391</v>
      </c>
    </row>
    <row r="541" spans="1:36" x14ac:dyDescent="0.3">
      <c r="A541" t="s">
        <v>33</v>
      </c>
      <c r="B541">
        <v>47</v>
      </c>
      <c r="C541">
        <v>72.3</v>
      </c>
      <c r="D541">
        <v>1.86</v>
      </c>
      <c r="E541">
        <v>20.9</v>
      </c>
      <c r="F541">
        <f t="shared" si="33"/>
        <v>20.898369753728751</v>
      </c>
      <c r="G541">
        <f t="shared" si="36"/>
        <v>0</v>
      </c>
      <c r="H541" t="s">
        <v>1398</v>
      </c>
      <c r="I541">
        <v>96.3</v>
      </c>
      <c r="J541" t="s">
        <v>512</v>
      </c>
      <c r="K541" s="24">
        <v>125</v>
      </c>
      <c r="L541" s="24">
        <v>99</v>
      </c>
      <c r="M541">
        <v>207</v>
      </c>
      <c r="N541" t="s">
        <v>1432</v>
      </c>
      <c r="O541">
        <v>40</v>
      </c>
      <c r="P541">
        <v>87</v>
      </c>
      <c r="Q541" t="s">
        <v>24</v>
      </c>
      <c r="R541" t="s">
        <v>25</v>
      </c>
      <c r="S541" t="s">
        <v>39</v>
      </c>
      <c r="T541" t="s">
        <v>25</v>
      </c>
      <c r="U541">
        <f t="shared" si="34"/>
        <v>2</v>
      </c>
      <c r="V541">
        <v>186</v>
      </c>
      <c r="W541">
        <v>0.51800000000000002</v>
      </c>
      <c r="X541" t="s">
        <v>1406</v>
      </c>
      <c r="Y541">
        <v>125</v>
      </c>
      <c r="Z541">
        <v>99</v>
      </c>
      <c r="AA541" t="s">
        <v>40</v>
      </c>
      <c r="AB541">
        <v>137</v>
      </c>
      <c r="AC541" s="23">
        <v>3.43</v>
      </c>
      <c r="AD541" t="str">
        <f>IF(AND('CVD Dataset'!AA541="Normal",'CVD Dataset'!AB541&gt;AVERAGE('CVD Dataset'!AB:AB),'CVD Dataset'!AF541="High"),"High Lipid Category","Normal Category")</f>
        <v>Normal Category</v>
      </c>
      <c r="AE541">
        <v>16.57</v>
      </c>
      <c r="AF541" t="s">
        <v>32</v>
      </c>
      <c r="AG541">
        <v>0</v>
      </c>
      <c r="AH541" t="s">
        <v>1379</v>
      </c>
      <c r="AI541">
        <f t="shared" si="35"/>
        <v>1</v>
      </c>
      <c r="AJ541" t="s">
        <v>1391</v>
      </c>
    </row>
    <row r="542" spans="1:36" x14ac:dyDescent="0.3">
      <c r="A542" t="s">
        <v>33</v>
      </c>
      <c r="B542">
        <v>54</v>
      </c>
      <c r="C542">
        <v>58.9</v>
      </c>
      <c r="D542">
        <v>1.73</v>
      </c>
      <c r="E542">
        <v>19.7</v>
      </c>
      <c r="F542">
        <f t="shared" si="33"/>
        <v>19.679909118246517</v>
      </c>
      <c r="G542">
        <f t="shared" si="36"/>
        <v>0</v>
      </c>
      <c r="H542" t="s">
        <v>1398</v>
      </c>
      <c r="I542">
        <v>101.4</v>
      </c>
      <c r="J542" t="s">
        <v>513</v>
      </c>
      <c r="K542" s="24">
        <v>119</v>
      </c>
      <c r="L542" s="24">
        <v>88</v>
      </c>
      <c r="N542" t="s">
        <v>1434</v>
      </c>
      <c r="O542">
        <v>35</v>
      </c>
      <c r="P542">
        <v>118</v>
      </c>
      <c r="Q542" t="s">
        <v>25</v>
      </c>
      <c r="R542" t="s">
        <v>25</v>
      </c>
      <c r="S542" t="s">
        <v>30</v>
      </c>
      <c r="T542" t="s">
        <v>24</v>
      </c>
      <c r="U542">
        <f t="shared" si="34"/>
        <v>2</v>
      </c>
      <c r="V542">
        <v>173</v>
      </c>
      <c r="W542">
        <v>0.58599999999999997</v>
      </c>
      <c r="X542" t="s">
        <v>1409</v>
      </c>
      <c r="Y542">
        <v>119</v>
      </c>
      <c r="Z542">
        <v>88</v>
      </c>
      <c r="AA542" t="s">
        <v>31</v>
      </c>
      <c r="AB542">
        <v>46</v>
      </c>
      <c r="AC542" s="23">
        <v>1.31</v>
      </c>
      <c r="AD542" t="str">
        <f>IF(AND('CVD Dataset'!AA542="Normal",'CVD Dataset'!AB542&gt;AVERAGE('CVD Dataset'!AB:AB),'CVD Dataset'!AF542="High"),"High Lipid Category","Normal Category")</f>
        <v>Normal Category</v>
      </c>
      <c r="AE542">
        <v>14.11</v>
      </c>
      <c r="AF542" t="s">
        <v>32</v>
      </c>
      <c r="AG542">
        <v>0</v>
      </c>
      <c r="AH542" t="s">
        <v>1379</v>
      </c>
      <c r="AI542">
        <f t="shared" si="35"/>
        <v>1</v>
      </c>
      <c r="AJ542" t="s">
        <v>1392</v>
      </c>
    </row>
    <row r="543" spans="1:36" x14ac:dyDescent="0.3">
      <c r="A543" t="s">
        <v>22</v>
      </c>
      <c r="B543">
        <v>51</v>
      </c>
      <c r="C543">
        <v>117.3</v>
      </c>
      <c r="D543">
        <v>1.88</v>
      </c>
      <c r="F543">
        <f t="shared" si="33"/>
        <v>33.188094160253513</v>
      </c>
      <c r="G543">
        <f t="shared" si="36"/>
        <v>1</v>
      </c>
      <c r="H543" t="s">
        <v>1401</v>
      </c>
      <c r="I543">
        <v>96.5</v>
      </c>
      <c r="J543" t="s">
        <v>441</v>
      </c>
      <c r="K543" s="24">
        <v>120</v>
      </c>
      <c r="L543" s="24">
        <v>70</v>
      </c>
      <c r="M543">
        <v>224</v>
      </c>
      <c r="N543" t="s">
        <v>1432</v>
      </c>
      <c r="P543">
        <v>120</v>
      </c>
      <c r="Q543" t="s">
        <v>24</v>
      </c>
      <c r="R543" t="s">
        <v>25</v>
      </c>
      <c r="S543" t="s">
        <v>30</v>
      </c>
      <c r="T543" t="s">
        <v>24</v>
      </c>
      <c r="U543">
        <f t="shared" si="34"/>
        <v>1</v>
      </c>
      <c r="V543">
        <v>188</v>
      </c>
      <c r="W543">
        <v>0.51300000000000001</v>
      </c>
      <c r="X543" t="s">
        <v>1406</v>
      </c>
      <c r="Y543">
        <v>120</v>
      </c>
      <c r="AA543" t="s">
        <v>27</v>
      </c>
      <c r="AB543">
        <v>114</v>
      </c>
      <c r="AC543" s="23" t="s">
        <v>1410</v>
      </c>
      <c r="AD543" t="str">
        <f>IF(AND('CVD Dataset'!AA543="Normal",'CVD Dataset'!AB543&gt;AVERAGE('CVD Dataset'!AB:AB),'CVD Dataset'!AF543="High"),"High Lipid Category","Normal Category")</f>
        <v>Normal Category</v>
      </c>
      <c r="AE543">
        <v>19.12</v>
      </c>
      <c r="AF543" t="s">
        <v>32</v>
      </c>
      <c r="AG543">
        <v>0</v>
      </c>
      <c r="AH543" t="s">
        <v>1379</v>
      </c>
      <c r="AI543">
        <f t="shared" si="35"/>
        <v>1</v>
      </c>
      <c r="AJ543" t="s">
        <v>1391</v>
      </c>
    </row>
    <row r="544" spans="1:36" x14ac:dyDescent="0.3">
      <c r="A544" t="s">
        <v>22</v>
      </c>
      <c r="B544">
        <v>55</v>
      </c>
      <c r="C544">
        <v>111.9</v>
      </c>
      <c r="D544">
        <v>1.81</v>
      </c>
      <c r="E544">
        <v>34.200000000000003</v>
      </c>
      <c r="F544">
        <f t="shared" si="33"/>
        <v>34.156466530325694</v>
      </c>
      <c r="G544">
        <f t="shared" si="36"/>
        <v>0</v>
      </c>
      <c r="H544" t="s">
        <v>1399</v>
      </c>
      <c r="I544">
        <v>95.2</v>
      </c>
      <c r="J544" t="s">
        <v>514</v>
      </c>
      <c r="K544" s="24">
        <v>132</v>
      </c>
      <c r="L544" s="24">
        <v>71</v>
      </c>
      <c r="M544">
        <v>129</v>
      </c>
      <c r="N544" t="s">
        <v>1434</v>
      </c>
      <c r="O544">
        <v>78</v>
      </c>
      <c r="P544">
        <v>131</v>
      </c>
      <c r="Q544" t="s">
        <v>25</v>
      </c>
      <c r="R544" t="s">
        <v>25</v>
      </c>
      <c r="S544" t="s">
        <v>39</v>
      </c>
      <c r="T544" t="s">
        <v>25</v>
      </c>
      <c r="U544">
        <f t="shared" si="34"/>
        <v>3</v>
      </c>
      <c r="V544">
        <v>181</v>
      </c>
      <c r="W544">
        <v>0.52600000000000002</v>
      </c>
      <c r="X544" t="s">
        <v>1407</v>
      </c>
      <c r="Y544">
        <v>132</v>
      </c>
      <c r="Z544">
        <v>71</v>
      </c>
      <c r="AA544" t="s">
        <v>31</v>
      </c>
      <c r="AB544">
        <v>21</v>
      </c>
      <c r="AC544" s="23">
        <v>0.27</v>
      </c>
      <c r="AD544" t="str">
        <f>IF(AND('CVD Dataset'!AA544="Normal",'CVD Dataset'!AB544&gt;AVERAGE('CVD Dataset'!AB:AB),'CVD Dataset'!AF544="High"),"High Lipid Category","Normal Category")</f>
        <v>Normal Category</v>
      </c>
      <c r="AE544">
        <v>18.02</v>
      </c>
      <c r="AF544" t="s">
        <v>32</v>
      </c>
      <c r="AG544">
        <v>1</v>
      </c>
      <c r="AH544" t="s">
        <v>1379</v>
      </c>
      <c r="AI544">
        <f t="shared" si="35"/>
        <v>1</v>
      </c>
      <c r="AJ544" t="s">
        <v>1392</v>
      </c>
    </row>
    <row r="545" spans="1:36" x14ac:dyDescent="0.3">
      <c r="A545" t="s">
        <v>22</v>
      </c>
      <c r="C545">
        <v>57.5</v>
      </c>
      <c r="D545">
        <v>1.62</v>
      </c>
      <c r="E545">
        <v>21.9</v>
      </c>
      <c r="F545">
        <f t="shared" si="33"/>
        <v>21.909769852156678</v>
      </c>
      <c r="G545">
        <f t="shared" si="36"/>
        <v>0</v>
      </c>
      <c r="H545" t="s">
        <v>1398</v>
      </c>
      <c r="I545">
        <v>84.2</v>
      </c>
      <c r="J545" t="s">
        <v>515</v>
      </c>
      <c r="K545" s="24">
        <v>118</v>
      </c>
      <c r="L545" s="24">
        <v>76</v>
      </c>
      <c r="M545">
        <v>238</v>
      </c>
      <c r="N545" t="s">
        <v>1432</v>
      </c>
      <c r="O545">
        <v>73</v>
      </c>
      <c r="P545">
        <v>126</v>
      </c>
      <c r="Q545" t="s">
        <v>25</v>
      </c>
      <c r="R545" t="s">
        <v>24</v>
      </c>
      <c r="S545" t="s">
        <v>30</v>
      </c>
      <c r="T545" t="s">
        <v>25</v>
      </c>
      <c r="U545">
        <f t="shared" si="34"/>
        <v>2</v>
      </c>
      <c r="V545">
        <v>162</v>
      </c>
      <c r="W545">
        <v>0.52</v>
      </c>
      <c r="X545" t="s">
        <v>1406</v>
      </c>
      <c r="Y545">
        <v>118</v>
      </c>
      <c r="Z545">
        <v>76</v>
      </c>
      <c r="AA545" t="s">
        <v>35</v>
      </c>
      <c r="AB545">
        <v>135</v>
      </c>
      <c r="AC545" s="23">
        <v>1.85</v>
      </c>
      <c r="AD545" t="str">
        <f>IF(AND('CVD Dataset'!AA545="Normal",'CVD Dataset'!AB545&gt;AVERAGE('CVD Dataset'!AB:AB),'CVD Dataset'!AF545="High"),"High Lipid Category","Normal Category")</f>
        <v>High Lipid Category</v>
      </c>
      <c r="AE545">
        <v>15.04</v>
      </c>
      <c r="AF545" t="s">
        <v>32</v>
      </c>
      <c r="AG545">
        <v>1</v>
      </c>
      <c r="AH545" t="s">
        <v>1379</v>
      </c>
      <c r="AI545">
        <f t="shared" si="35"/>
        <v>1</v>
      </c>
      <c r="AJ545" t="s">
        <v>1391</v>
      </c>
    </row>
    <row r="546" spans="1:36" x14ac:dyDescent="0.3">
      <c r="A546" t="s">
        <v>33</v>
      </c>
      <c r="B546">
        <v>49</v>
      </c>
      <c r="D546">
        <v>1.69</v>
      </c>
      <c r="E546">
        <v>39.4</v>
      </c>
      <c r="F546">
        <f t="shared" si="33"/>
        <v>0</v>
      </c>
      <c r="G546">
        <f t="shared" si="36"/>
        <v>1</v>
      </c>
      <c r="H546" t="s">
        <v>1399</v>
      </c>
      <c r="I546">
        <v>102.6</v>
      </c>
      <c r="J546" t="s">
        <v>304</v>
      </c>
      <c r="K546" s="24">
        <v>110</v>
      </c>
      <c r="L546" s="24">
        <v>77</v>
      </c>
      <c r="M546">
        <v>121</v>
      </c>
      <c r="N546" t="s">
        <v>1434</v>
      </c>
      <c r="O546">
        <v>77</v>
      </c>
      <c r="P546">
        <v>88</v>
      </c>
      <c r="Q546" t="s">
        <v>24</v>
      </c>
      <c r="R546" t="s">
        <v>25</v>
      </c>
      <c r="S546" t="s">
        <v>26</v>
      </c>
      <c r="T546" t="s">
        <v>24</v>
      </c>
      <c r="U546">
        <f t="shared" si="34"/>
        <v>2</v>
      </c>
      <c r="V546">
        <v>169</v>
      </c>
      <c r="W546">
        <v>0.60699999999999998</v>
      </c>
      <c r="X546" t="s">
        <v>1409</v>
      </c>
      <c r="Y546">
        <v>110</v>
      </c>
      <c r="Z546">
        <v>77</v>
      </c>
      <c r="AA546" t="s">
        <v>35</v>
      </c>
      <c r="AB546">
        <v>14</v>
      </c>
      <c r="AC546" s="23">
        <v>0.18</v>
      </c>
      <c r="AD546" t="str">
        <f>IF(AND('CVD Dataset'!AA546="Normal",'CVD Dataset'!AB546&gt;AVERAGE('CVD Dataset'!AB:AB),'CVD Dataset'!AF546="High"),"High Lipid Category","Normal Category")</f>
        <v>Normal Category</v>
      </c>
      <c r="AE546">
        <v>17.8</v>
      </c>
      <c r="AF546" t="s">
        <v>32</v>
      </c>
      <c r="AG546">
        <v>1</v>
      </c>
      <c r="AH546" t="s">
        <v>1379</v>
      </c>
      <c r="AI546">
        <f t="shared" si="35"/>
        <v>1</v>
      </c>
      <c r="AJ546" t="s">
        <v>1391</v>
      </c>
    </row>
    <row r="547" spans="1:36" x14ac:dyDescent="0.3">
      <c r="A547" t="s">
        <v>33</v>
      </c>
      <c r="B547">
        <v>51</v>
      </c>
      <c r="C547">
        <v>106.9</v>
      </c>
      <c r="D547">
        <v>1.68</v>
      </c>
      <c r="E547">
        <v>37.9</v>
      </c>
      <c r="F547">
        <f t="shared" si="33"/>
        <v>37.875566893424043</v>
      </c>
      <c r="G547">
        <f t="shared" si="36"/>
        <v>0</v>
      </c>
      <c r="H547" t="s">
        <v>1399</v>
      </c>
      <c r="I547">
        <v>101.7</v>
      </c>
      <c r="J547" t="s">
        <v>516</v>
      </c>
      <c r="K547" s="24">
        <v>102</v>
      </c>
      <c r="L547" s="24">
        <v>99</v>
      </c>
      <c r="M547">
        <v>266</v>
      </c>
      <c r="N547" t="s">
        <v>1432</v>
      </c>
      <c r="O547">
        <v>58</v>
      </c>
      <c r="P547">
        <v>120</v>
      </c>
      <c r="Q547" t="s">
        <v>25</v>
      </c>
      <c r="R547" t="s">
        <v>25</v>
      </c>
      <c r="S547" t="s">
        <v>26</v>
      </c>
      <c r="T547" t="s">
        <v>24</v>
      </c>
      <c r="U547">
        <f t="shared" si="34"/>
        <v>3</v>
      </c>
      <c r="V547">
        <v>168</v>
      </c>
      <c r="W547">
        <v>0.60499999999999998</v>
      </c>
      <c r="X547" t="s">
        <v>1409</v>
      </c>
      <c r="Z547">
        <v>99</v>
      </c>
      <c r="AA547" t="s">
        <v>40</v>
      </c>
      <c r="AB547">
        <v>178</v>
      </c>
      <c r="AC547" s="23">
        <v>3.07</v>
      </c>
      <c r="AD547" t="str">
        <f>IF(AND('CVD Dataset'!AA547="Normal",'CVD Dataset'!AB547&gt;AVERAGE('CVD Dataset'!AB:AB),'CVD Dataset'!AF547="High"),"High Lipid Category","Normal Category")</f>
        <v>Normal Category</v>
      </c>
      <c r="AE547">
        <v>20</v>
      </c>
      <c r="AF547" t="s">
        <v>32</v>
      </c>
      <c r="AG547">
        <v>0</v>
      </c>
      <c r="AH547" t="s">
        <v>1379</v>
      </c>
      <c r="AI547">
        <f t="shared" si="35"/>
        <v>1</v>
      </c>
      <c r="AJ547" t="s">
        <v>1392</v>
      </c>
    </row>
    <row r="548" spans="1:36" x14ac:dyDescent="0.3">
      <c r="A548" t="s">
        <v>33</v>
      </c>
      <c r="B548">
        <v>37</v>
      </c>
      <c r="D548">
        <v>1.71</v>
      </c>
      <c r="E548">
        <v>31.3</v>
      </c>
      <c r="F548">
        <f t="shared" si="33"/>
        <v>0</v>
      </c>
      <c r="G548">
        <f t="shared" si="36"/>
        <v>1</v>
      </c>
      <c r="H548" t="s">
        <v>1399</v>
      </c>
      <c r="I548">
        <v>104.2</v>
      </c>
      <c r="J548" t="s">
        <v>517</v>
      </c>
      <c r="K548" s="24">
        <v>130</v>
      </c>
      <c r="L548" s="24">
        <v>89</v>
      </c>
      <c r="M548">
        <v>193</v>
      </c>
      <c r="N548" t="s">
        <v>1432</v>
      </c>
      <c r="O548">
        <v>63</v>
      </c>
      <c r="Q548" t="s">
        <v>24</v>
      </c>
      <c r="R548" t="s">
        <v>25</v>
      </c>
      <c r="S548" t="s">
        <v>30</v>
      </c>
      <c r="T548" t="s">
        <v>25</v>
      </c>
      <c r="U548">
        <f t="shared" si="34"/>
        <v>2</v>
      </c>
      <c r="V548">
        <v>171</v>
      </c>
      <c r="W548">
        <v>0.60899999999999999</v>
      </c>
      <c r="X548" t="s">
        <v>1409</v>
      </c>
      <c r="Y548">
        <v>130</v>
      </c>
      <c r="Z548">
        <v>89</v>
      </c>
      <c r="AA548" t="s">
        <v>31</v>
      </c>
      <c r="AB548">
        <v>100</v>
      </c>
      <c r="AC548" s="23">
        <v>1.59</v>
      </c>
      <c r="AD548" t="str">
        <f>IF(AND('CVD Dataset'!AA548="Normal",'CVD Dataset'!AB548&gt;AVERAGE('CVD Dataset'!AB:AB),'CVD Dataset'!AF548="High"),"High Lipid Category","Normal Category")</f>
        <v>Normal Category</v>
      </c>
      <c r="AE548">
        <v>18.62</v>
      </c>
      <c r="AF548" t="s">
        <v>28</v>
      </c>
      <c r="AG548">
        <v>0</v>
      </c>
      <c r="AH548" t="s">
        <v>1380</v>
      </c>
      <c r="AI548">
        <f t="shared" si="35"/>
        <v>0</v>
      </c>
      <c r="AJ548" t="s">
        <v>1391</v>
      </c>
    </row>
    <row r="549" spans="1:36" x14ac:dyDescent="0.3">
      <c r="A549" t="s">
        <v>22</v>
      </c>
      <c r="B549">
        <v>42</v>
      </c>
      <c r="C549">
        <v>85.9</v>
      </c>
      <c r="D549">
        <v>1.8</v>
      </c>
      <c r="E549">
        <v>26.5</v>
      </c>
      <c r="F549">
        <f t="shared" si="33"/>
        <v>26.512345679012345</v>
      </c>
      <c r="G549">
        <f t="shared" si="36"/>
        <v>0</v>
      </c>
      <c r="H549" t="s">
        <v>1400</v>
      </c>
      <c r="I549">
        <v>89.7</v>
      </c>
      <c r="J549" t="s">
        <v>252</v>
      </c>
      <c r="K549" s="24">
        <v>141</v>
      </c>
      <c r="L549" s="24">
        <v>78</v>
      </c>
      <c r="M549">
        <v>271</v>
      </c>
      <c r="N549" t="s">
        <v>1432</v>
      </c>
      <c r="O549">
        <v>49</v>
      </c>
      <c r="P549">
        <v>124</v>
      </c>
      <c r="Q549" t="s">
        <v>25</v>
      </c>
      <c r="R549" t="s">
        <v>24</v>
      </c>
      <c r="S549" t="s">
        <v>39</v>
      </c>
      <c r="T549" t="s">
        <v>25</v>
      </c>
      <c r="U549">
        <f t="shared" si="34"/>
        <v>2</v>
      </c>
      <c r="V549">
        <v>180</v>
      </c>
      <c r="W549">
        <v>0.498</v>
      </c>
      <c r="X549" t="s">
        <v>1406</v>
      </c>
      <c r="Y549">
        <v>141</v>
      </c>
      <c r="Z549">
        <v>78</v>
      </c>
      <c r="AA549" t="s">
        <v>40</v>
      </c>
      <c r="AB549">
        <v>192</v>
      </c>
      <c r="AC549" s="23">
        <v>3.92</v>
      </c>
      <c r="AD549" t="str">
        <f>IF(AND('CVD Dataset'!AA549="Normal",'CVD Dataset'!AB549&gt;AVERAGE('CVD Dataset'!AB:AB),'CVD Dataset'!AF549="High"),"High Lipid Category","Normal Category")</f>
        <v>Normal Category</v>
      </c>
      <c r="AE549">
        <v>17.77</v>
      </c>
      <c r="AF549" t="s">
        <v>32</v>
      </c>
      <c r="AG549">
        <v>0</v>
      </c>
      <c r="AH549" t="s">
        <v>1379</v>
      </c>
      <c r="AI549">
        <f t="shared" si="35"/>
        <v>1</v>
      </c>
      <c r="AJ549" t="s">
        <v>1391</v>
      </c>
    </row>
    <row r="550" spans="1:36" x14ac:dyDescent="0.3">
      <c r="A550" t="s">
        <v>22</v>
      </c>
      <c r="B550">
        <v>60</v>
      </c>
      <c r="C550">
        <v>51.8</v>
      </c>
      <c r="D550">
        <v>1.67</v>
      </c>
      <c r="E550">
        <v>18.600000000000001</v>
      </c>
      <c r="F550">
        <f t="shared" si="33"/>
        <v>18.573631180752269</v>
      </c>
      <c r="G550">
        <f t="shared" si="36"/>
        <v>0</v>
      </c>
      <c r="H550" t="s">
        <v>1398</v>
      </c>
      <c r="I550">
        <v>87.8</v>
      </c>
      <c r="J550" t="s">
        <v>444</v>
      </c>
      <c r="K550" s="24">
        <v>95</v>
      </c>
      <c r="L550" s="24">
        <v>94</v>
      </c>
      <c r="M550">
        <v>198</v>
      </c>
      <c r="N550" t="s">
        <v>1432</v>
      </c>
      <c r="O550">
        <v>53</v>
      </c>
      <c r="P550">
        <v>117</v>
      </c>
      <c r="Q550" t="s">
        <v>24</v>
      </c>
      <c r="R550" t="s">
        <v>25</v>
      </c>
      <c r="S550" t="s">
        <v>30</v>
      </c>
      <c r="T550" t="s">
        <v>24</v>
      </c>
      <c r="U550">
        <f t="shared" si="34"/>
        <v>1</v>
      </c>
      <c r="V550">
        <v>167</v>
      </c>
      <c r="W550">
        <v>0.52600000000000002</v>
      </c>
      <c r="X550" t="s">
        <v>1407</v>
      </c>
      <c r="Y550">
        <v>95</v>
      </c>
      <c r="Z550">
        <v>94</v>
      </c>
      <c r="AA550" t="s">
        <v>40</v>
      </c>
      <c r="AB550">
        <v>115</v>
      </c>
      <c r="AC550" s="23">
        <v>2.17</v>
      </c>
      <c r="AD550" t="str">
        <f>IF(AND('CVD Dataset'!AA550="Normal",'CVD Dataset'!AB550&gt;AVERAGE('CVD Dataset'!AB:AB),'CVD Dataset'!AF550="High"),"High Lipid Category","Normal Category")</f>
        <v>Normal Category</v>
      </c>
      <c r="AE550">
        <v>14.43</v>
      </c>
      <c r="AF550" t="s">
        <v>28</v>
      </c>
      <c r="AG550">
        <v>0</v>
      </c>
      <c r="AH550" t="s">
        <v>1380</v>
      </c>
      <c r="AI550">
        <f t="shared" si="35"/>
        <v>0</v>
      </c>
      <c r="AJ550" t="s">
        <v>1392</v>
      </c>
    </row>
    <row r="551" spans="1:36" x14ac:dyDescent="0.3">
      <c r="A551" t="s">
        <v>22</v>
      </c>
      <c r="B551">
        <v>50</v>
      </c>
      <c r="C551">
        <v>87.5</v>
      </c>
      <c r="D551">
        <v>1.69</v>
      </c>
      <c r="E551">
        <v>30.6</v>
      </c>
      <c r="F551">
        <f t="shared" si="33"/>
        <v>30.636182206505378</v>
      </c>
      <c r="G551">
        <f t="shared" si="36"/>
        <v>0</v>
      </c>
      <c r="H551" t="s">
        <v>1399</v>
      </c>
      <c r="I551">
        <v>84.1</v>
      </c>
      <c r="J551" t="s">
        <v>236</v>
      </c>
      <c r="K551" s="24">
        <v>110</v>
      </c>
      <c r="L551" s="24">
        <v>81</v>
      </c>
      <c r="M551">
        <v>217</v>
      </c>
      <c r="N551" t="s">
        <v>1432</v>
      </c>
      <c r="O551">
        <v>42</v>
      </c>
      <c r="P551">
        <v>93</v>
      </c>
      <c r="Q551" t="s">
        <v>25</v>
      </c>
      <c r="R551" t="s">
        <v>24</v>
      </c>
      <c r="S551" t="s">
        <v>39</v>
      </c>
      <c r="T551" t="s">
        <v>25</v>
      </c>
      <c r="U551">
        <f t="shared" si="34"/>
        <v>2</v>
      </c>
      <c r="V551">
        <v>169</v>
      </c>
      <c r="W551">
        <v>0.498</v>
      </c>
      <c r="X551" t="s">
        <v>1406</v>
      </c>
      <c r="Y551">
        <v>110</v>
      </c>
      <c r="Z551">
        <v>81</v>
      </c>
      <c r="AA551" t="s">
        <v>31</v>
      </c>
      <c r="AB551">
        <v>145</v>
      </c>
      <c r="AC551" s="23">
        <v>3.45</v>
      </c>
      <c r="AD551" t="str">
        <f>IF(AND('CVD Dataset'!AA551="Normal",'CVD Dataset'!AB551&gt;AVERAGE('CVD Dataset'!AB:AB),'CVD Dataset'!AF551="High"),"High Lipid Category","Normal Category")</f>
        <v>Normal Category</v>
      </c>
      <c r="AE551">
        <v>15.96</v>
      </c>
      <c r="AF551" t="s">
        <v>32</v>
      </c>
      <c r="AG551">
        <v>0</v>
      </c>
      <c r="AH551" t="s">
        <v>1379</v>
      </c>
      <c r="AI551">
        <f t="shared" si="35"/>
        <v>1</v>
      </c>
      <c r="AJ551" t="s">
        <v>1391</v>
      </c>
    </row>
    <row r="552" spans="1:36" x14ac:dyDescent="0.3">
      <c r="A552" t="s">
        <v>22</v>
      </c>
      <c r="B552">
        <v>48</v>
      </c>
      <c r="C552">
        <v>117.8</v>
      </c>
      <c r="D552">
        <v>1.86</v>
      </c>
      <c r="E552">
        <v>34.1</v>
      </c>
      <c r="F552">
        <f t="shared" si="33"/>
        <v>34.050179211469526</v>
      </c>
      <c r="G552">
        <f t="shared" si="36"/>
        <v>0</v>
      </c>
      <c r="H552" t="s">
        <v>1399</v>
      </c>
      <c r="I552">
        <v>73.3</v>
      </c>
      <c r="J552" t="s">
        <v>518</v>
      </c>
      <c r="K552" s="24">
        <v>116</v>
      </c>
      <c r="L552" s="24">
        <v>91</v>
      </c>
      <c r="M552">
        <v>100</v>
      </c>
      <c r="N552" t="s">
        <v>1434</v>
      </c>
      <c r="O552">
        <v>69</v>
      </c>
      <c r="P552">
        <v>150</v>
      </c>
      <c r="Q552" t="s">
        <v>24</v>
      </c>
      <c r="R552" t="s">
        <v>24</v>
      </c>
      <c r="S552" t="s">
        <v>26</v>
      </c>
      <c r="T552" t="s">
        <v>24</v>
      </c>
      <c r="U552">
        <f t="shared" si="34"/>
        <v>1</v>
      </c>
      <c r="V552">
        <v>186</v>
      </c>
      <c r="W552">
        <v>0.39400000000000002</v>
      </c>
      <c r="X552" t="s">
        <v>1408</v>
      </c>
      <c r="Y552">
        <v>116</v>
      </c>
      <c r="Z552">
        <v>91</v>
      </c>
      <c r="AA552" t="s">
        <v>40</v>
      </c>
      <c r="AB552">
        <v>1</v>
      </c>
      <c r="AC552" s="23">
        <v>0.01</v>
      </c>
      <c r="AD552" t="str">
        <f>IF(AND('CVD Dataset'!AA552="Normal",'CVD Dataset'!AB552&gt;AVERAGE('CVD Dataset'!AB:AB),'CVD Dataset'!AF552="High"),"High Lipid Category","Normal Category")</f>
        <v>Normal Category</v>
      </c>
      <c r="AE552">
        <v>14.62</v>
      </c>
      <c r="AF552" t="s">
        <v>28</v>
      </c>
      <c r="AG552">
        <v>0</v>
      </c>
      <c r="AH552" t="s">
        <v>1380</v>
      </c>
      <c r="AI552">
        <f t="shared" si="35"/>
        <v>0</v>
      </c>
      <c r="AJ552" t="s">
        <v>1391</v>
      </c>
    </row>
    <row r="553" spans="1:36" x14ac:dyDescent="0.3">
      <c r="A553" t="s">
        <v>33</v>
      </c>
      <c r="B553">
        <v>57</v>
      </c>
      <c r="C553">
        <v>117.4</v>
      </c>
      <c r="D553">
        <v>1.82</v>
      </c>
      <c r="E553">
        <v>35.4</v>
      </c>
      <c r="F553">
        <f t="shared" si="33"/>
        <v>35.442579398623351</v>
      </c>
      <c r="G553">
        <f t="shared" si="36"/>
        <v>0</v>
      </c>
      <c r="H553" t="s">
        <v>1399</v>
      </c>
      <c r="I553">
        <v>104.5</v>
      </c>
      <c r="J553" t="s">
        <v>519</v>
      </c>
      <c r="K553" s="24">
        <v>109</v>
      </c>
      <c r="L553" s="24">
        <v>76</v>
      </c>
      <c r="M553">
        <v>181</v>
      </c>
      <c r="N553" t="s">
        <v>1432</v>
      </c>
      <c r="O553">
        <v>66</v>
      </c>
      <c r="P553">
        <v>101</v>
      </c>
      <c r="Q553" t="s">
        <v>24</v>
      </c>
      <c r="R553" t="s">
        <v>25</v>
      </c>
      <c r="S553" t="s">
        <v>30</v>
      </c>
      <c r="T553" t="s">
        <v>25</v>
      </c>
      <c r="U553">
        <f t="shared" si="34"/>
        <v>2</v>
      </c>
      <c r="V553">
        <v>182</v>
      </c>
      <c r="W553">
        <v>0.57399999999999995</v>
      </c>
      <c r="X553" t="s">
        <v>1407</v>
      </c>
      <c r="Y553">
        <v>109</v>
      </c>
      <c r="Z553">
        <v>76</v>
      </c>
      <c r="AA553" t="s">
        <v>35</v>
      </c>
      <c r="AB553">
        <v>85</v>
      </c>
      <c r="AC553" s="23">
        <v>1.29</v>
      </c>
      <c r="AD553" t="str">
        <f>IF(AND('CVD Dataset'!AA553="Normal",'CVD Dataset'!AB553&gt;AVERAGE('CVD Dataset'!AB:AB),'CVD Dataset'!AF553="High"),"High Lipid Category","Normal Category")</f>
        <v>Normal Category</v>
      </c>
      <c r="AE553">
        <v>18.149999999999999</v>
      </c>
      <c r="AF553" t="s">
        <v>32</v>
      </c>
      <c r="AG553">
        <v>1</v>
      </c>
      <c r="AH553" t="s">
        <v>1379</v>
      </c>
      <c r="AI553">
        <f t="shared" si="35"/>
        <v>1</v>
      </c>
      <c r="AJ553" t="s">
        <v>1391</v>
      </c>
    </row>
    <row r="554" spans="1:36" x14ac:dyDescent="0.3">
      <c r="A554" t="s">
        <v>22</v>
      </c>
      <c r="B554">
        <v>47</v>
      </c>
      <c r="C554">
        <v>57.2</v>
      </c>
      <c r="D554">
        <v>1.74</v>
      </c>
      <c r="E554">
        <v>18.899999999999999</v>
      </c>
      <c r="F554">
        <f t="shared" si="33"/>
        <v>18.89285242436253</v>
      </c>
      <c r="G554">
        <f t="shared" si="36"/>
        <v>0</v>
      </c>
      <c r="H554" t="s">
        <v>1398</v>
      </c>
      <c r="I554">
        <v>87.3</v>
      </c>
      <c r="J554" t="s">
        <v>414</v>
      </c>
      <c r="K554" s="24">
        <v>112</v>
      </c>
      <c r="L554" s="24">
        <v>97</v>
      </c>
      <c r="M554">
        <v>231</v>
      </c>
      <c r="N554" t="s">
        <v>1432</v>
      </c>
      <c r="O554">
        <v>59</v>
      </c>
      <c r="P554">
        <v>77</v>
      </c>
      <c r="Q554" t="s">
        <v>25</v>
      </c>
      <c r="R554" t="s">
        <v>24</v>
      </c>
      <c r="S554" t="s">
        <v>30</v>
      </c>
      <c r="T554" t="s">
        <v>25</v>
      </c>
      <c r="U554">
        <f t="shared" si="34"/>
        <v>2</v>
      </c>
      <c r="V554">
        <v>174</v>
      </c>
      <c r="W554">
        <v>0.502</v>
      </c>
      <c r="X554" t="s">
        <v>1406</v>
      </c>
      <c r="Y554">
        <v>112</v>
      </c>
      <c r="Z554">
        <v>97</v>
      </c>
      <c r="AA554" t="s">
        <v>40</v>
      </c>
      <c r="AB554">
        <v>142</v>
      </c>
      <c r="AC554" s="23">
        <v>2.41</v>
      </c>
      <c r="AD554" t="str">
        <f>IF(AND('CVD Dataset'!AA554="Normal",'CVD Dataset'!AB554&gt;AVERAGE('CVD Dataset'!AB:AB),'CVD Dataset'!AF554="High"),"High Lipid Category","Normal Category")</f>
        <v>Normal Category</v>
      </c>
      <c r="AE554">
        <v>14</v>
      </c>
      <c r="AF554" t="s">
        <v>32</v>
      </c>
      <c r="AG554">
        <v>0</v>
      </c>
      <c r="AH554" t="s">
        <v>1379</v>
      </c>
      <c r="AI554">
        <f t="shared" si="35"/>
        <v>1</v>
      </c>
      <c r="AJ554" t="s">
        <v>1391</v>
      </c>
    </row>
    <row r="555" spans="1:36" x14ac:dyDescent="0.3">
      <c r="A555" t="s">
        <v>22</v>
      </c>
      <c r="B555">
        <v>38</v>
      </c>
      <c r="C555">
        <v>72.7</v>
      </c>
      <c r="D555">
        <v>1.77</v>
      </c>
      <c r="E555">
        <v>23.2</v>
      </c>
      <c r="F555">
        <f t="shared" si="33"/>
        <v>23.205336908295827</v>
      </c>
      <c r="G555">
        <f t="shared" si="36"/>
        <v>0</v>
      </c>
      <c r="H555" t="s">
        <v>1398</v>
      </c>
      <c r="I555">
        <v>82.2</v>
      </c>
      <c r="J555" t="s">
        <v>520</v>
      </c>
      <c r="K555" s="24">
        <v>142</v>
      </c>
      <c r="L555" s="24">
        <v>73</v>
      </c>
      <c r="M555">
        <v>263</v>
      </c>
      <c r="N555" t="s">
        <v>1432</v>
      </c>
      <c r="O555">
        <v>73</v>
      </c>
      <c r="P555">
        <v>109</v>
      </c>
      <c r="Q555" t="s">
        <v>24</v>
      </c>
      <c r="R555" t="s">
        <v>25</v>
      </c>
      <c r="S555" t="s">
        <v>39</v>
      </c>
      <c r="T555" t="s">
        <v>25</v>
      </c>
      <c r="U555">
        <f t="shared" si="34"/>
        <v>2</v>
      </c>
      <c r="V555">
        <v>177</v>
      </c>
      <c r="W555">
        <v>0.46400000000000002</v>
      </c>
      <c r="X555" t="s">
        <v>1406</v>
      </c>
      <c r="Y555">
        <v>142</v>
      </c>
      <c r="Z555">
        <v>73</v>
      </c>
      <c r="AA555" t="s">
        <v>40</v>
      </c>
      <c r="AB555">
        <v>160</v>
      </c>
      <c r="AC555" s="23">
        <v>2.19</v>
      </c>
      <c r="AD555" t="str">
        <f>IF(AND('CVD Dataset'!AA555="Normal",'CVD Dataset'!AB555&gt;AVERAGE('CVD Dataset'!AB:AB),'CVD Dataset'!AF555="High"),"High Lipid Category","Normal Category")</f>
        <v>Normal Category</v>
      </c>
      <c r="AE555">
        <v>19</v>
      </c>
      <c r="AF555" t="s">
        <v>28</v>
      </c>
      <c r="AG555">
        <v>0</v>
      </c>
      <c r="AH555" t="s">
        <v>1380</v>
      </c>
      <c r="AI555">
        <f t="shared" si="35"/>
        <v>0</v>
      </c>
      <c r="AJ555" t="s">
        <v>1391</v>
      </c>
    </row>
    <row r="556" spans="1:36" x14ac:dyDescent="0.3">
      <c r="A556" t="s">
        <v>22</v>
      </c>
      <c r="B556">
        <v>52</v>
      </c>
      <c r="C556">
        <v>97.8</v>
      </c>
      <c r="E556">
        <v>31.6</v>
      </c>
      <c r="F556" t="str">
        <f t="shared" si="33"/>
        <v/>
      </c>
      <c r="G556" t="str">
        <f t="shared" si="36"/>
        <v/>
      </c>
      <c r="H556" t="s">
        <v>1399</v>
      </c>
      <c r="I556">
        <v>94.8</v>
      </c>
      <c r="J556" t="s">
        <v>521</v>
      </c>
      <c r="K556" s="24">
        <v>124</v>
      </c>
      <c r="L556" s="24">
        <v>92</v>
      </c>
      <c r="M556">
        <v>216</v>
      </c>
      <c r="N556" t="s">
        <v>1432</v>
      </c>
      <c r="O556">
        <v>50</v>
      </c>
      <c r="P556">
        <v>101</v>
      </c>
      <c r="Q556" t="s">
        <v>24</v>
      </c>
      <c r="R556" t="s">
        <v>25</v>
      </c>
      <c r="S556" t="s">
        <v>30</v>
      </c>
      <c r="T556" t="s">
        <v>24</v>
      </c>
      <c r="U556">
        <f t="shared" si="34"/>
        <v>1</v>
      </c>
      <c r="V556">
        <v>176</v>
      </c>
      <c r="W556">
        <v>0.53900000000000003</v>
      </c>
      <c r="X556" t="s">
        <v>1407</v>
      </c>
      <c r="Y556">
        <v>124</v>
      </c>
      <c r="Z556">
        <v>92</v>
      </c>
      <c r="AA556" t="s">
        <v>40</v>
      </c>
      <c r="AB556">
        <v>136</v>
      </c>
      <c r="AC556" s="23">
        <v>2.72</v>
      </c>
      <c r="AD556" t="str">
        <f>IF(AND('CVD Dataset'!AA556="Normal",'CVD Dataset'!AB556&gt;AVERAGE('CVD Dataset'!AB:AB),'CVD Dataset'!AF556="High"),"High Lipid Category","Normal Category")</f>
        <v>Normal Category</v>
      </c>
      <c r="AE556">
        <v>18.84</v>
      </c>
      <c r="AF556" t="s">
        <v>32</v>
      </c>
      <c r="AG556">
        <v>0</v>
      </c>
      <c r="AH556" t="s">
        <v>1379</v>
      </c>
      <c r="AI556">
        <f t="shared" si="35"/>
        <v>1</v>
      </c>
      <c r="AJ556" t="s">
        <v>1392</v>
      </c>
    </row>
    <row r="557" spans="1:36" x14ac:dyDescent="0.3">
      <c r="A557" t="s">
        <v>33</v>
      </c>
      <c r="B557">
        <v>41</v>
      </c>
      <c r="C557">
        <v>59</v>
      </c>
      <c r="D557">
        <v>1.74</v>
      </c>
      <c r="E557">
        <v>19.5</v>
      </c>
      <c r="F557">
        <f t="shared" si="33"/>
        <v>19.487382745408905</v>
      </c>
      <c r="G557">
        <f t="shared" si="36"/>
        <v>0</v>
      </c>
      <c r="H557" t="s">
        <v>1398</v>
      </c>
      <c r="J557" t="s">
        <v>522</v>
      </c>
      <c r="K557" s="24">
        <v>91</v>
      </c>
      <c r="L557" s="24">
        <v>81</v>
      </c>
      <c r="M557">
        <v>200</v>
      </c>
      <c r="N557" t="s">
        <v>1432</v>
      </c>
      <c r="O557">
        <v>58</v>
      </c>
      <c r="P557">
        <v>104</v>
      </c>
      <c r="Q557" t="s">
        <v>25</v>
      </c>
      <c r="R557" t="s">
        <v>25</v>
      </c>
      <c r="S557" t="s">
        <v>26</v>
      </c>
      <c r="T557" t="s">
        <v>24</v>
      </c>
      <c r="U557">
        <f t="shared" si="34"/>
        <v>3</v>
      </c>
      <c r="V557">
        <v>174</v>
      </c>
      <c r="W557">
        <v>0.62</v>
      </c>
      <c r="X557" t="s">
        <v>1409</v>
      </c>
      <c r="Y557">
        <v>91</v>
      </c>
      <c r="Z557">
        <v>81</v>
      </c>
      <c r="AA557" t="s">
        <v>31</v>
      </c>
      <c r="AB557">
        <v>112</v>
      </c>
      <c r="AC557" s="23">
        <v>1.93</v>
      </c>
      <c r="AD557" t="str">
        <f>IF(AND('CVD Dataset'!AA557="Normal",'CVD Dataset'!AB557&gt;AVERAGE('CVD Dataset'!AB:AB),'CVD Dataset'!AF557="High"),"High Lipid Category","Normal Category")</f>
        <v>Normal Category</v>
      </c>
      <c r="AE557">
        <v>14.45</v>
      </c>
      <c r="AF557" t="s">
        <v>28</v>
      </c>
      <c r="AG557">
        <v>0</v>
      </c>
      <c r="AH557" t="s">
        <v>1380</v>
      </c>
      <c r="AI557">
        <f t="shared" si="35"/>
        <v>0</v>
      </c>
      <c r="AJ557" t="s">
        <v>1391</v>
      </c>
    </row>
    <row r="558" spans="1:36" x14ac:dyDescent="0.3">
      <c r="A558" t="s">
        <v>33</v>
      </c>
      <c r="B558">
        <v>30</v>
      </c>
      <c r="C558">
        <v>70.900000000000006</v>
      </c>
      <c r="D558">
        <v>1.82</v>
      </c>
      <c r="E558">
        <v>21.4</v>
      </c>
      <c r="F558">
        <f t="shared" si="33"/>
        <v>21.404419756068108</v>
      </c>
      <c r="G558">
        <f t="shared" si="36"/>
        <v>0</v>
      </c>
      <c r="H558" t="s">
        <v>1398</v>
      </c>
      <c r="I558">
        <v>94.3</v>
      </c>
      <c r="J558" t="s">
        <v>396</v>
      </c>
      <c r="K558" s="24">
        <v>148</v>
      </c>
      <c r="L558" s="24">
        <v>85</v>
      </c>
      <c r="M558">
        <v>254</v>
      </c>
      <c r="N558" t="s">
        <v>1432</v>
      </c>
      <c r="O558">
        <v>46</v>
      </c>
      <c r="P558">
        <v>89</v>
      </c>
      <c r="Q558" t="s">
        <v>24</v>
      </c>
      <c r="R558" t="s">
        <v>25</v>
      </c>
      <c r="S558" t="s">
        <v>30</v>
      </c>
      <c r="T558" t="s">
        <v>24</v>
      </c>
      <c r="U558">
        <f t="shared" si="34"/>
        <v>1</v>
      </c>
      <c r="V558">
        <v>182</v>
      </c>
      <c r="W558">
        <v>0.51800000000000002</v>
      </c>
      <c r="X558" t="s">
        <v>1406</v>
      </c>
      <c r="Y558">
        <v>148</v>
      </c>
      <c r="AA558" t="s">
        <v>31</v>
      </c>
      <c r="AB558">
        <v>178</v>
      </c>
      <c r="AC558" s="23">
        <v>3.87</v>
      </c>
      <c r="AD558" t="str">
        <f>IF(AND('CVD Dataset'!AA558="Normal",'CVD Dataset'!AB558&gt;AVERAGE('CVD Dataset'!AB:AB),'CVD Dataset'!AF558="High"),"High Lipid Category","Normal Category")</f>
        <v>Normal Category</v>
      </c>
      <c r="AE558">
        <v>18.760000000000002</v>
      </c>
      <c r="AF558" t="s">
        <v>28</v>
      </c>
      <c r="AG558">
        <v>0</v>
      </c>
      <c r="AH558" t="s">
        <v>1380</v>
      </c>
      <c r="AI558">
        <f t="shared" si="35"/>
        <v>0</v>
      </c>
      <c r="AJ558" t="s">
        <v>1391</v>
      </c>
    </row>
    <row r="559" spans="1:36" x14ac:dyDescent="0.3">
      <c r="A559" t="s">
        <v>22</v>
      </c>
      <c r="B559">
        <v>33</v>
      </c>
      <c r="C559">
        <v>64.099999999999994</v>
      </c>
      <c r="D559">
        <v>1.86</v>
      </c>
      <c r="E559">
        <v>18.5</v>
      </c>
      <c r="F559">
        <f t="shared" si="33"/>
        <v>18.528153543762279</v>
      </c>
      <c r="G559">
        <f t="shared" si="36"/>
        <v>0</v>
      </c>
      <c r="H559" t="s">
        <v>1398</v>
      </c>
      <c r="J559" t="s">
        <v>523</v>
      </c>
      <c r="K559" s="24">
        <v>130</v>
      </c>
      <c r="L559" s="24">
        <v>99</v>
      </c>
      <c r="M559">
        <v>253</v>
      </c>
      <c r="N559" t="s">
        <v>1432</v>
      </c>
      <c r="O559">
        <v>46</v>
      </c>
      <c r="P559">
        <v>103</v>
      </c>
      <c r="Q559" t="s">
        <v>24</v>
      </c>
      <c r="R559" t="s">
        <v>24</v>
      </c>
      <c r="S559" t="s">
        <v>26</v>
      </c>
      <c r="T559" t="s">
        <v>24</v>
      </c>
      <c r="U559">
        <f t="shared" si="34"/>
        <v>1</v>
      </c>
      <c r="V559">
        <v>186</v>
      </c>
      <c r="W559">
        <v>0.45600000000000002</v>
      </c>
      <c r="X559" t="s">
        <v>1408</v>
      </c>
      <c r="Y559">
        <v>130</v>
      </c>
      <c r="Z559">
        <v>99</v>
      </c>
      <c r="AA559" t="s">
        <v>31</v>
      </c>
      <c r="AB559">
        <v>177</v>
      </c>
      <c r="AC559" s="23">
        <v>3.85</v>
      </c>
      <c r="AD559" t="str">
        <f>IF(AND('CVD Dataset'!AA559="Normal",'CVD Dataset'!AB559&gt;AVERAGE('CVD Dataset'!AB:AB),'CVD Dataset'!AF559="High"),"High Lipid Category","Normal Category")</f>
        <v>Normal Category</v>
      </c>
      <c r="AE559">
        <v>15.26</v>
      </c>
      <c r="AF559" t="s">
        <v>28</v>
      </c>
      <c r="AG559">
        <v>0</v>
      </c>
      <c r="AH559" t="s">
        <v>1380</v>
      </c>
      <c r="AI559">
        <f t="shared" si="35"/>
        <v>0</v>
      </c>
      <c r="AJ559" t="s">
        <v>1391</v>
      </c>
    </row>
    <row r="560" spans="1:36" x14ac:dyDescent="0.3">
      <c r="A560" t="s">
        <v>22</v>
      </c>
      <c r="B560">
        <v>54</v>
      </c>
      <c r="C560">
        <v>53.3</v>
      </c>
      <c r="D560">
        <v>1.84</v>
      </c>
      <c r="E560">
        <v>15.7</v>
      </c>
      <c r="F560">
        <f t="shared" si="33"/>
        <v>15.743147448015121</v>
      </c>
      <c r="G560">
        <f t="shared" si="36"/>
        <v>0</v>
      </c>
      <c r="H560" t="s">
        <v>1401</v>
      </c>
      <c r="I560">
        <v>107.3</v>
      </c>
      <c r="J560" t="s">
        <v>524</v>
      </c>
      <c r="K560" s="24">
        <v>142</v>
      </c>
      <c r="L560" s="24">
        <v>72</v>
      </c>
      <c r="M560">
        <v>157</v>
      </c>
      <c r="N560" t="s">
        <v>1433</v>
      </c>
      <c r="O560">
        <v>47</v>
      </c>
      <c r="P560">
        <v>75</v>
      </c>
      <c r="Q560" t="s">
        <v>25</v>
      </c>
      <c r="R560" t="s">
        <v>25</v>
      </c>
      <c r="S560" t="s">
        <v>26</v>
      </c>
      <c r="T560" t="s">
        <v>25</v>
      </c>
      <c r="U560">
        <f t="shared" si="34"/>
        <v>4</v>
      </c>
      <c r="V560">
        <v>184</v>
      </c>
      <c r="W560">
        <v>0.58299999999999996</v>
      </c>
      <c r="X560" t="s">
        <v>1407</v>
      </c>
      <c r="Y560">
        <v>142</v>
      </c>
      <c r="Z560">
        <v>72</v>
      </c>
      <c r="AA560" t="s">
        <v>40</v>
      </c>
      <c r="AB560">
        <v>80</v>
      </c>
      <c r="AC560" s="23">
        <v>1.7</v>
      </c>
      <c r="AD560" t="str">
        <f>IF(AND('CVD Dataset'!AA560="Normal",'CVD Dataset'!AB560&gt;AVERAGE('CVD Dataset'!AB:AB),'CVD Dataset'!AF560="High"),"High Lipid Category","Normal Category")</f>
        <v>Normal Category</v>
      </c>
      <c r="AE560">
        <v>15.38</v>
      </c>
      <c r="AF560" t="s">
        <v>32</v>
      </c>
      <c r="AG560">
        <v>0</v>
      </c>
      <c r="AH560" t="s">
        <v>1379</v>
      </c>
      <c r="AI560">
        <f t="shared" si="35"/>
        <v>1</v>
      </c>
      <c r="AJ560" t="s">
        <v>1392</v>
      </c>
    </row>
    <row r="561" spans="1:36" x14ac:dyDescent="0.3">
      <c r="A561" t="s">
        <v>22</v>
      </c>
      <c r="B561">
        <v>35</v>
      </c>
      <c r="C561">
        <v>54.5</v>
      </c>
      <c r="D561">
        <v>1.83</v>
      </c>
      <c r="E561">
        <v>16.3</v>
      </c>
      <c r="F561">
        <f t="shared" si="33"/>
        <v>16.274000418047716</v>
      </c>
      <c r="G561">
        <f t="shared" si="36"/>
        <v>0</v>
      </c>
      <c r="H561" t="s">
        <v>1401</v>
      </c>
      <c r="I561">
        <v>77.400000000000006</v>
      </c>
      <c r="J561" t="s">
        <v>525</v>
      </c>
      <c r="K561" s="24">
        <v>119</v>
      </c>
      <c r="L561" s="24">
        <v>83</v>
      </c>
      <c r="M561">
        <v>189</v>
      </c>
      <c r="N561" t="s">
        <v>1432</v>
      </c>
      <c r="O561">
        <v>30</v>
      </c>
      <c r="P561">
        <v>92</v>
      </c>
      <c r="Q561" t="s">
        <v>25</v>
      </c>
      <c r="R561" t="s">
        <v>24</v>
      </c>
      <c r="S561" t="s">
        <v>39</v>
      </c>
      <c r="T561" t="s">
        <v>24</v>
      </c>
      <c r="U561">
        <f t="shared" si="34"/>
        <v>1</v>
      </c>
      <c r="V561">
        <v>183</v>
      </c>
      <c r="W561">
        <v>0.42299999999999999</v>
      </c>
      <c r="X561" t="s">
        <v>1408</v>
      </c>
      <c r="Y561">
        <v>119</v>
      </c>
      <c r="Z561">
        <v>83</v>
      </c>
      <c r="AA561" t="s">
        <v>31</v>
      </c>
      <c r="AB561">
        <v>129</v>
      </c>
      <c r="AC561" s="23">
        <v>4.3</v>
      </c>
      <c r="AD561" t="str">
        <f>IF(AND('CVD Dataset'!AA561="Normal",'CVD Dataset'!AB561&gt;AVERAGE('CVD Dataset'!AB:AB),'CVD Dataset'!AF561="High"),"High Lipid Category","Normal Category")</f>
        <v>Normal Category</v>
      </c>
      <c r="AE561">
        <v>12.99</v>
      </c>
      <c r="AF561" t="s">
        <v>28</v>
      </c>
      <c r="AG561">
        <v>0</v>
      </c>
      <c r="AH561" t="s">
        <v>1380</v>
      </c>
      <c r="AI561">
        <f t="shared" si="35"/>
        <v>0</v>
      </c>
      <c r="AJ561" t="s">
        <v>1391</v>
      </c>
    </row>
    <row r="562" spans="1:36" x14ac:dyDescent="0.3">
      <c r="A562" t="s">
        <v>33</v>
      </c>
      <c r="B562">
        <v>41</v>
      </c>
      <c r="C562">
        <v>64.5</v>
      </c>
      <c r="D562">
        <v>1.84</v>
      </c>
      <c r="E562">
        <v>19.100000000000001</v>
      </c>
      <c r="F562">
        <f t="shared" si="33"/>
        <v>19.051275992438562</v>
      </c>
      <c r="G562">
        <f t="shared" si="36"/>
        <v>0</v>
      </c>
      <c r="H562" t="s">
        <v>1398</v>
      </c>
      <c r="I562">
        <v>78.400000000000006</v>
      </c>
      <c r="J562" t="s">
        <v>526</v>
      </c>
      <c r="K562" s="24">
        <v>118</v>
      </c>
      <c r="L562" s="24">
        <v>100</v>
      </c>
      <c r="M562">
        <v>163</v>
      </c>
      <c r="N562" t="s">
        <v>1433</v>
      </c>
      <c r="O562">
        <v>79</v>
      </c>
      <c r="P562">
        <v>143</v>
      </c>
      <c r="Q562" t="s">
        <v>24</v>
      </c>
      <c r="R562" t="s">
        <v>24</v>
      </c>
      <c r="S562" t="s">
        <v>30</v>
      </c>
      <c r="T562" t="s">
        <v>25</v>
      </c>
      <c r="U562">
        <f t="shared" si="34"/>
        <v>1</v>
      </c>
      <c r="V562">
        <v>184</v>
      </c>
      <c r="W562">
        <v>0.42599999999999999</v>
      </c>
      <c r="X562" t="s">
        <v>1408</v>
      </c>
      <c r="Y562">
        <v>118</v>
      </c>
      <c r="Z562">
        <v>100</v>
      </c>
      <c r="AA562" t="s">
        <v>40</v>
      </c>
      <c r="AB562">
        <v>54</v>
      </c>
      <c r="AC562" s="23">
        <v>0.68</v>
      </c>
      <c r="AD562" t="str">
        <f>IF(AND('CVD Dataset'!AA562="Normal",'CVD Dataset'!AB562&gt;AVERAGE('CVD Dataset'!AB:AB),'CVD Dataset'!AF562="High"),"High Lipid Category","Normal Category")</f>
        <v>Normal Category</v>
      </c>
      <c r="AE562">
        <v>12.98</v>
      </c>
      <c r="AF562" t="s">
        <v>54</v>
      </c>
      <c r="AG562">
        <v>0</v>
      </c>
      <c r="AH562" t="s">
        <v>1380</v>
      </c>
      <c r="AI562">
        <f t="shared" si="35"/>
        <v>0</v>
      </c>
      <c r="AJ562" t="s">
        <v>1391</v>
      </c>
    </row>
    <row r="563" spans="1:36" x14ac:dyDescent="0.3">
      <c r="A563" t="s">
        <v>22</v>
      </c>
      <c r="B563">
        <v>49</v>
      </c>
      <c r="C563">
        <v>100.4</v>
      </c>
      <c r="D563">
        <v>1.68</v>
      </c>
      <c r="E563">
        <v>35.6</v>
      </c>
      <c r="F563">
        <f t="shared" si="33"/>
        <v>35.572562358276649</v>
      </c>
      <c r="G563">
        <f t="shared" si="36"/>
        <v>0</v>
      </c>
      <c r="H563" t="s">
        <v>1399</v>
      </c>
      <c r="I563">
        <v>94.7</v>
      </c>
      <c r="J563" t="s">
        <v>527</v>
      </c>
      <c r="K563" s="24">
        <v>147</v>
      </c>
      <c r="L563" s="24">
        <v>74</v>
      </c>
      <c r="M563">
        <v>261</v>
      </c>
      <c r="N563" t="s">
        <v>1432</v>
      </c>
      <c r="O563">
        <v>65</v>
      </c>
      <c r="P563">
        <v>96</v>
      </c>
      <c r="Q563" t="s">
        <v>24</v>
      </c>
      <c r="R563" t="s">
        <v>25</v>
      </c>
      <c r="S563" t="s">
        <v>26</v>
      </c>
      <c r="T563" t="s">
        <v>24</v>
      </c>
      <c r="U563">
        <f t="shared" si="34"/>
        <v>2</v>
      </c>
      <c r="V563">
        <v>168</v>
      </c>
      <c r="W563">
        <v>0.56399999999999995</v>
      </c>
      <c r="X563" t="s">
        <v>1407</v>
      </c>
      <c r="Y563">
        <v>147</v>
      </c>
      <c r="Z563">
        <v>74</v>
      </c>
      <c r="AA563" t="s">
        <v>40</v>
      </c>
      <c r="AB563">
        <v>166</v>
      </c>
      <c r="AC563" s="23">
        <v>2.5499999999999998</v>
      </c>
      <c r="AD563" t="str">
        <f>IF(AND('CVD Dataset'!AA563="Normal",'CVD Dataset'!AB563&gt;AVERAGE('CVD Dataset'!AB:AB),'CVD Dataset'!AF563="High"),"High Lipid Category","Normal Category")</f>
        <v>Normal Category</v>
      </c>
      <c r="AE563">
        <v>21.69</v>
      </c>
      <c r="AF563" t="s">
        <v>32</v>
      </c>
      <c r="AG563">
        <v>1</v>
      </c>
      <c r="AH563" t="s">
        <v>1379</v>
      </c>
      <c r="AI563">
        <f t="shared" si="35"/>
        <v>1</v>
      </c>
      <c r="AJ563" t="s">
        <v>1391</v>
      </c>
    </row>
    <row r="564" spans="1:36" x14ac:dyDescent="0.3">
      <c r="A564" t="s">
        <v>22</v>
      </c>
      <c r="B564">
        <v>45</v>
      </c>
      <c r="C564">
        <v>109.1</v>
      </c>
      <c r="D564">
        <v>1.7</v>
      </c>
      <c r="E564">
        <v>37.799999999999997</v>
      </c>
      <c r="F564">
        <f t="shared" si="33"/>
        <v>37.750865051903119</v>
      </c>
      <c r="G564">
        <f t="shared" si="36"/>
        <v>0</v>
      </c>
      <c r="H564" t="s">
        <v>1399</v>
      </c>
      <c r="I564">
        <v>104.3</v>
      </c>
      <c r="J564" t="s">
        <v>528</v>
      </c>
      <c r="K564" s="24">
        <v>142</v>
      </c>
      <c r="L564" s="24">
        <v>76</v>
      </c>
      <c r="M564">
        <v>296</v>
      </c>
      <c r="N564" t="s">
        <v>1432</v>
      </c>
      <c r="O564">
        <v>78</v>
      </c>
      <c r="P564">
        <v>132</v>
      </c>
      <c r="Q564" t="s">
        <v>25</v>
      </c>
      <c r="R564" t="s">
        <v>24</v>
      </c>
      <c r="S564" t="s">
        <v>26</v>
      </c>
      <c r="T564" t="s">
        <v>25</v>
      </c>
      <c r="U564">
        <f t="shared" si="34"/>
        <v>3</v>
      </c>
      <c r="V564">
        <v>170</v>
      </c>
      <c r="W564">
        <v>0.61399999999999999</v>
      </c>
      <c r="X564" t="s">
        <v>1409</v>
      </c>
      <c r="Y564">
        <v>142</v>
      </c>
      <c r="Z564">
        <v>76</v>
      </c>
      <c r="AA564" t="s">
        <v>40</v>
      </c>
      <c r="AB564">
        <v>188</v>
      </c>
      <c r="AC564" s="23">
        <v>2.41</v>
      </c>
      <c r="AD564" t="str">
        <f>IF(AND('CVD Dataset'!AA564="Normal",'CVD Dataset'!AB564&gt;AVERAGE('CVD Dataset'!AB:AB),'CVD Dataset'!AF564="High"),"High Lipid Category","Normal Category")</f>
        <v>Normal Category</v>
      </c>
      <c r="AE564">
        <v>20.58</v>
      </c>
      <c r="AF564" t="s">
        <v>32</v>
      </c>
      <c r="AG564">
        <v>1</v>
      </c>
      <c r="AH564" t="s">
        <v>1379</v>
      </c>
      <c r="AI564">
        <f t="shared" si="35"/>
        <v>1</v>
      </c>
      <c r="AJ564" t="s">
        <v>1391</v>
      </c>
    </row>
    <row r="565" spans="1:36" x14ac:dyDescent="0.3">
      <c r="A565" t="s">
        <v>33</v>
      </c>
      <c r="B565">
        <v>48</v>
      </c>
      <c r="C565">
        <v>100.6</v>
      </c>
      <c r="D565">
        <v>1.66</v>
      </c>
      <c r="E565">
        <v>36.5</v>
      </c>
      <c r="F565">
        <f t="shared" si="33"/>
        <v>36.507475685876031</v>
      </c>
      <c r="G565">
        <f t="shared" si="36"/>
        <v>0</v>
      </c>
      <c r="H565" t="s">
        <v>1399</v>
      </c>
      <c r="I565">
        <v>107.8</v>
      </c>
      <c r="J565" t="s">
        <v>529</v>
      </c>
      <c r="K565" s="24">
        <v>127</v>
      </c>
      <c r="L565" s="24">
        <v>93</v>
      </c>
      <c r="M565">
        <v>257</v>
      </c>
      <c r="N565" t="s">
        <v>1432</v>
      </c>
      <c r="O565">
        <v>56</v>
      </c>
      <c r="P565">
        <v>150</v>
      </c>
      <c r="Q565" t="s">
        <v>24</v>
      </c>
      <c r="R565" t="s">
        <v>24</v>
      </c>
      <c r="S565" t="s">
        <v>39</v>
      </c>
      <c r="T565" t="s">
        <v>24</v>
      </c>
      <c r="U565">
        <f t="shared" si="34"/>
        <v>0</v>
      </c>
      <c r="V565">
        <v>166</v>
      </c>
      <c r="W565">
        <v>0.64900000000000002</v>
      </c>
      <c r="X565" t="s">
        <v>1409</v>
      </c>
      <c r="Y565">
        <v>127</v>
      </c>
      <c r="Z565">
        <v>93</v>
      </c>
      <c r="AA565" t="s">
        <v>40</v>
      </c>
      <c r="AB565">
        <v>171</v>
      </c>
      <c r="AC565" s="23">
        <v>3.05</v>
      </c>
      <c r="AD565" t="str">
        <f>IF(AND('CVD Dataset'!AA565="Normal",'CVD Dataset'!AB565&gt;AVERAGE('CVD Dataset'!AB:AB),'CVD Dataset'!AF565="High"),"High Lipid Category","Normal Category")</f>
        <v>Normal Category</v>
      </c>
      <c r="AE565">
        <v>18.79</v>
      </c>
      <c r="AF565" t="s">
        <v>28</v>
      </c>
      <c r="AG565">
        <v>0</v>
      </c>
      <c r="AH565" t="s">
        <v>1380</v>
      </c>
      <c r="AI565">
        <f t="shared" si="35"/>
        <v>0</v>
      </c>
      <c r="AJ565" t="s">
        <v>1391</v>
      </c>
    </row>
    <row r="566" spans="1:36" x14ac:dyDescent="0.3">
      <c r="A566" t="s">
        <v>22</v>
      </c>
      <c r="B566">
        <v>30</v>
      </c>
      <c r="C566">
        <v>60.5</v>
      </c>
      <c r="D566">
        <v>1.87</v>
      </c>
      <c r="E566">
        <v>17.3</v>
      </c>
      <c r="F566">
        <f t="shared" si="33"/>
        <v>17.301038062283734</v>
      </c>
      <c r="G566">
        <f t="shared" si="36"/>
        <v>0</v>
      </c>
      <c r="H566" t="s">
        <v>1401</v>
      </c>
      <c r="I566">
        <v>80</v>
      </c>
      <c r="J566" t="s">
        <v>530</v>
      </c>
      <c r="K566" s="24">
        <v>91</v>
      </c>
      <c r="L566" s="24">
        <v>70</v>
      </c>
      <c r="M566">
        <v>179</v>
      </c>
      <c r="N566" t="s">
        <v>1433</v>
      </c>
      <c r="O566">
        <v>38</v>
      </c>
      <c r="P566">
        <v>144</v>
      </c>
      <c r="Q566" t="s">
        <v>25</v>
      </c>
      <c r="R566" t="s">
        <v>25</v>
      </c>
      <c r="S566" t="s">
        <v>39</v>
      </c>
      <c r="T566" t="s">
        <v>25</v>
      </c>
      <c r="U566">
        <f t="shared" si="34"/>
        <v>3</v>
      </c>
      <c r="V566">
        <v>187</v>
      </c>
      <c r="X566" t="s">
        <v>1410</v>
      </c>
      <c r="Y566">
        <v>91</v>
      </c>
      <c r="Z566">
        <v>70</v>
      </c>
      <c r="AA566" t="s">
        <v>35</v>
      </c>
      <c r="AB566">
        <v>111</v>
      </c>
      <c r="AC566" s="23">
        <v>2.92</v>
      </c>
      <c r="AD566" t="str">
        <f>IF(AND('CVD Dataset'!AA566="Normal",'CVD Dataset'!AB566&gt;AVERAGE('CVD Dataset'!AB:AB),'CVD Dataset'!AF566="High"),"High Lipid Category","Normal Category")</f>
        <v>Normal Category</v>
      </c>
      <c r="AE566">
        <v>13.59</v>
      </c>
      <c r="AF566" t="s">
        <v>32</v>
      </c>
      <c r="AG566">
        <v>0</v>
      </c>
      <c r="AH566" t="s">
        <v>1379</v>
      </c>
      <c r="AI566">
        <f t="shared" si="35"/>
        <v>1</v>
      </c>
      <c r="AJ566" t="s">
        <v>1391</v>
      </c>
    </row>
    <row r="567" spans="1:36" x14ac:dyDescent="0.3">
      <c r="A567" t="s">
        <v>22</v>
      </c>
      <c r="B567">
        <v>46</v>
      </c>
      <c r="C567">
        <v>112.3</v>
      </c>
      <c r="D567">
        <v>1.73</v>
      </c>
      <c r="E567">
        <v>37.5</v>
      </c>
      <c r="F567">
        <f t="shared" si="33"/>
        <v>37.522135721206851</v>
      </c>
      <c r="G567">
        <f t="shared" si="36"/>
        <v>0</v>
      </c>
      <c r="H567" t="s">
        <v>1399</v>
      </c>
      <c r="I567">
        <v>87.9</v>
      </c>
      <c r="J567" t="s">
        <v>531</v>
      </c>
      <c r="K567" s="24">
        <v>116</v>
      </c>
      <c r="L567" s="24">
        <v>87</v>
      </c>
      <c r="M567">
        <v>207</v>
      </c>
      <c r="N567" t="s">
        <v>1432</v>
      </c>
      <c r="O567">
        <v>66</v>
      </c>
      <c r="P567">
        <v>138</v>
      </c>
      <c r="Q567" t="s">
        <v>25</v>
      </c>
      <c r="R567" t="s">
        <v>25</v>
      </c>
      <c r="S567" t="s">
        <v>26</v>
      </c>
      <c r="T567" t="s">
        <v>24</v>
      </c>
      <c r="U567">
        <f t="shared" si="34"/>
        <v>3</v>
      </c>
      <c r="V567">
        <v>173</v>
      </c>
      <c r="W567">
        <v>0.50800000000000001</v>
      </c>
      <c r="X567" t="s">
        <v>1406</v>
      </c>
      <c r="Y567">
        <v>116</v>
      </c>
      <c r="Z567">
        <v>87</v>
      </c>
      <c r="AA567" t="s">
        <v>31</v>
      </c>
      <c r="AC567" s="23">
        <v>0</v>
      </c>
      <c r="AD567" t="str">
        <f>IF(AND('CVD Dataset'!AA567="Normal",'CVD Dataset'!AB567&gt;AVERAGE('CVD Dataset'!AB:AB),'CVD Dataset'!AF567="High"),"High Lipid Category","Normal Category")</f>
        <v>Normal Category</v>
      </c>
      <c r="AE567">
        <v>19.440000000000001</v>
      </c>
      <c r="AF567" t="s">
        <v>32</v>
      </c>
      <c r="AG567">
        <v>1</v>
      </c>
      <c r="AH567" t="s">
        <v>1379</v>
      </c>
      <c r="AI567">
        <f t="shared" si="35"/>
        <v>1</v>
      </c>
      <c r="AJ567" t="s">
        <v>1391</v>
      </c>
    </row>
    <row r="568" spans="1:36" x14ac:dyDescent="0.3">
      <c r="A568" t="s">
        <v>22</v>
      </c>
      <c r="B568">
        <v>49</v>
      </c>
      <c r="C568">
        <v>92.3</v>
      </c>
      <c r="D568">
        <v>1.69</v>
      </c>
      <c r="E568">
        <v>32.299999999999997</v>
      </c>
      <c r="F568">
        <f t="shared" si="33"/>
        <v>32.316795630405103</v>
      </c>
      <c r="G568">
        <f t="shared" si="36"/>
        <v>0</v>
      </c>
      <c r="H568" t="s">
        <v>1399</v>
      </c>
      <c r="I568">
        <v>107.1</v>
      </c>
      <c r="J568" t="s">
        <v>532</v>
      </c>
      <c r="K568" s="24">
        <v>147</v>
      </c>
      <c r="L568" s="24">
        <v>79</v>
      </c>
      <c r="M568">
        <v>230</v>
      </c>
      <c r="N568" t="s">
        <v>1432</v>
      </c>
      <c r="O568">
        <v>70</v>
      </c>
      <c r="P568">
        <v>74</v>
      </c>
      <c r="Q568" t="s">
        <v>25</v>
      </c>
      <c r="R568" t="s">
        <v>24</v>
      </c>
      <c r="S568" t="s">
        <v>26</v>
      </c>
      <c r="T568" t="s">
        <v>24</v>
      </c>
      <c r="U568">
        <f t="shared" si="34"/>
        <v>2</v>
      </c>
      <c r="V568">
        <v>169</v>
      </c>
      <c r="W568">
        <v>0.63400000000000001</v>
      </c>
      <c r="X568" t="s">
        <v>1409</v>
      </c>
      <c r="Y568">
        <v>147</v>
      </c>
      <c r="Z568">
        <v>79</v>
      </c>
      <c r="AA568" t="s">
        <v>40</v>
      </c>
      <c r="AB568">
        <v>130</v>
      </c>
      <c r="AC568" s="23">
        <v>1.86</v>
      </c>
      <c r="AD568" t="str">
        <f>IF(AND('CVD Dataset'!AA568="Normal",'CVD Dataset'!AB568&gt;AVERAGE('CVD Dataset'!AB:AB),'CVD Dataset'!AF568="High"),"High Lipid Category","Normal Category")</f>
        <v>Normal Category</v>
      </c>
      <c r="AE568">
        <v>18.41</v>
      </c>
      <c r="AF568" t="s">
        <v>32</v>
      </c>
      <c r="AG568">
        <v>1</v>
      </c>
      <c r="AH568" t="s">
        <v>1379</v>
      </c>
      <c r="AI568">
        <f t="shared" si="35"/>
        <v>1</v>
      </c>
      <c r="AJ568" t="s">
        <v>1391</v>
      </c>
    </row>
    <row r="569" spans="1:36" x14ac:dyDescent="0.3">
      <c r="A569" t="s">
        <v>33</v>
      </c>
      <c r="B569">
        <v>47</v>
      </c>
      <c r="D569">
        <v>1.86</v>
      </c>
      <c r="E569">
        <v>33.9</v>
      </c>
      <c r="F569">
        <f t="shared" si="33"/>
        <v>0</v>
      </c>
      <c r="G569">
        <f t="shared" si="36"/>
        <v>1</v>
      </c>
      <c r="H569" t="s">
        <v>1399</v>
      </c>
      <c r="I569">
        <v>99.5</v>
      </c>
      <c r="J569" t="s">
        <v>533</v>
      </c>
      <c r="K569" s="24">
        <v>97</v>
      </c>
      <c r="L569" s="24">
        <v>72</v>
      </c>
      <c r="M569">
        <v>218</v>
      </c>
      <c r="N569" t="s">
        <v>1432</v>
      </c>
      <c r="P569">
        <v>108</v>
      </c>
      <c r="Q569" t="s">
        <v>25</v>
      </c>
      <c r="R569" t="s">
        <v>24</v>
      </c>
      <c r="S569" t="s">
        <v>26</v>
      </c>
      <c r="T569" t="s">
        <v>24</v>
      </c>
      <c r="U569">
        <f t="shared" si="34"/>
        <v>2</v>
      </c>
      <c r="V569">
        <v>186</v>
      </c>
      <c r="W569">
        <v>0.53500000000000003</v>
      </c>
      <c r="X569" t="s">
        <v>1407</v>
      </c>
      <c r="Y569">
        <v>97</v>
      </c>
      <c r="Z569">
        <v>72</v>
      </c>
      <c r="AA569" t="s">
        <v>35</v>
      </c>
      <c r="AB569">
        <v>152</v>
      </c>
      <c r="AC569" s="23" t="s">
        <v>1410</v>
      </c>
      <c r="AD569" t="str">
        <f>IF(AND('CVD Dataset'!AA569="Normal",'CVD Dataset'!AB569&gt;AVERAGE('CVD Dataset'!AB:AB),'CVD Dataset'!AF569="High"),"High Lipid Category","Normal Category")</f>
        <v>High Lipid Category</v>
      </c>
      <c r="AE569">
        <v>15.99</v>
      </c>
      <c r="AF569" t="s">
        <v>32</v>
      </c>
      <c r="AG569">
        <v>0</v>
      </c>
      <c r="AH569" t="s">
        <v>1379</v>
      </c>
      <c r="AI569">
        <f t="shared" si="35"/>
        <v>1</v>
      </c>
      <c r="AJ569" t="s">
        <v>1391</v>
      </c>
    </row>
    <row r="570" spans="1:36" x14ac:dyDescent="0.3">
      <c r="A570" t="s">
        <v>22</v>
      </c>
      <c r="B570">
        <v>40</v>
      </c>
      <c r="C570">
        <v>115.2</v>
      </c>
      <c r="D570">
        <v>1.66</v>
      </c>
      <c r="E570">
        <v>41.8</v>
      </c>
      <c r="F570">
        <f t="shared" si="33"/>
        <v>41.805777326172162</v>
      </c>
      <c r="G570">
        <f t="shared" si="36"/>
        <v>0</v>
      </c>
      <c r="H570" t="s">
        <v>1399</v>
      </c>
      <c r="I570">
        <v>75.2</v>
      </c>
      <c r="J570" t="s">
        <v>534</v>
      </c>
      <c r="K570" s="24">
        <v>119</v>
      </c>
      <c r="L570" s="24">
        <v>72</v>
      </c>
      <c r="M570">
        <v>300</v>
      </c>
      <c r="N570" t="s">
        <v>1432</v>
      </c>
      <c r="O570">
        <v>40</v>
      </c>
      <c r="P570">
        <v>146</v>
      </c>
      <c r="Q570" t="s">
        <v>24</v>
      </c>
      <c r="R570" t="s">
        <v>24</v>
      </c>
      <c r="S570" t="s">
        <v>39</v>
      </c>
      <c r="T570" t="s">
        <v>25</v>
      </c>
      <c r="U570">
        <f t="shared" si="34"/>
        <v>1</v>
      </c>
      <c r="V570">
        <v>166</v>
      </c>
      <c r="W570">
        <v>0.45300000000000001</v>
      </c>
      <c r="X570" t="s">
        <v>1408</v>
      </c>
      <c r="Y570">
        <v>119</v>
      </c>
      <c r="Z570">
        <v>72</v>
      </c>
      <c r="AA570" t="s">
        <v>35</v>
      </c>
      <c r="AB570">
        <v>230</v>
      </c>
      <c r="AC570" s="23">
        <v>5.75</v>
      </c>
      <c r="AD570" t="str">
        <f>IF(AND('CVD Dataset'!AA570="Normal",'CVD Dataset'!AB570&gt;AVERAGE('CVD Dataset'!AB:AB),'CVD Dataset'!AF570="High"),"High Lipid Category","Normal Category")</f>
        <v>Normal Category</v>
      </c>
      <c r="AF570" t="s">
        <v>28</v>
      </c>
      <c r="AG570">
        <v>0</v>
      </c>
      <c r="AH570" t="s">
        <v>1380</v>
      </c>
      <c r="AI570">
        <f t="shared" si="35"/>
        <v>0</v>
      </c>
      <c r="AJ570" t="s">
        <v>1391</v>
      </c>
    </row>
    <row r="571" spans="1:36" x14ac:dyDescent="0.3">
      <c r="A571" t="s">
        <v>22</v>
      </c>
      <c r="B571">
        <v>50</v>
      </c>
      <c r="C571">
        <v>72.8</v>
      </c>
      <c r="D571">
        <v>1.79</v>
      </c>
      <c r="E571">
        <v>22.7</v>
      </c>
      <c r="F571">
        <f t="shared" si="33"/>
        <v>22.720888861146655</v>
      </c>
      <c r="G571">
        <f t="shared" si="36"/>
        <v>0</v>
      </c>
      <c r="H571" t="s">
        <v>1398</v>
      </c>
      <c r="I571">
        <v>76.8</v>
      </c>
      <c r="J571" t="s">
        <v>184</v>
      </c>
      <c r="K571" s="24">
        <v>119</v>
      </c>
      <c r="L571" s="24">
        <v>81</v>
      </c>
      <c r="M571">
        <v>276</v>
      </c>
      <c r="N571" t="s">
        <v>1432</v>
      </c>
      <c r="O571">
        <v>36</v>
      </c>
      <c r="P571">
        <v>75</v>
      </c>
      <c r="Q571" t="s">
        <v>25</v>
      </c>
      <c r="R571" t="s">
        <v>24</v>
      </c>
      <c r="S571" t="s">
        <v>39</v>
      </c>
      <c r="T571" t="s">
        <v>25</v>
      </c>
      <c r="U571">
        <f t="shared" si="34"/>
        <v>2</v>
      </c>
      <c r="V571">
        <v>179</v>
      </c>
      <c r="W571">
        <v>0.42899999999999999</v>
      </c>
      <c r="X571" t="s">
        <v>1408</v>
      </c>
      <c r="Y571">
        <v>119</v>
      </c>
      <c r="Z571">
        <v>81</v>
      </c>
      <c r="AA571" t="s">
        <v>31</v>
      </c>
      <c r="AB571">
        <v>210</v>
      </c>
      <c r="AC571" s="23">
        <v>5.83</v>
      </c>
      <c r="AD571" t="str">
        <f>IF(AND('CVD Dataset'!AA571="Normal",'CVD Dataset'!AB571&gt;AVERAGE('CVD Dataset'!AB:AB),'CVD Dataset'!AF571="High"),"High Lipid Category","Normal Category")</f>
        <v>Normal Category</v>
      </c>
      <c r="AE571">
        <v>16.010000000000002</v>
      </c>
      <c r="AF571" t="s">
        <v>32</v>
      </c>
      <c r="AG571">
        <v>0</v>
      </c>
      <c r="AH571" t="s">
        <v>1379</v>
      </c>
      <c r="AI571">
        <f t="shared" si="35"/>
        <v>1</v>
      </c>
      <c r="AJ571" t="s">
        <v>1391</v>
      </c>
    </row>
    <row r="572" spans="1:36" x14ac:dyDescent="0.3">
      <c r="A572" t="s">
        <v>33</v>
      </c>
      <c r="C572">
        <v>70.900000000000006</v>
      </c>
      <c r="D572">
        <v>1.8</v>
      </c>
      <c r="E572">
        <v>21.9</v>
      </c>
      <c r="F572">
        <f t="shared" si="33"/>
        <v>21.882716049382715</v>
      </c>
      <c r="G572">
        <f t="shared" si="36"/>
        <v>0</v>
      </c>
      <c r="H572" t="s">
        <v>1398</v>
      </c>
      <c r="I572">
        <v>88</v>
      </c>
      <c r="J572" t="s">
        <v>535</v>
      </c>
      <c r="K572" s="24">
        <v>137</v>
      </c>
      <c r="L572" s="24">
        <v>91</v>
      </c>
      <c r="M572">
        <v>271</v>
      </c>
      <c r="N572" t="s">
        <v>1432</v>
      </c>
      <c r="O572">
        <v>67</v>
      </c>
      <c r="P572">
        <v>150</v>
      </c>
      <c r="Q572" t="s">
        <v>24</v>
      </c>
      <c r="R572" t="s">
        <v>25</v>
      </c>
      <c r="S572" t="s">
        <v>26</v>
      </c>
      <c r="T572" t="s">
        <v>25</v>
      </c>
      <c r="U572">
        <f t="shared" si="34"/>
        <v>3</v>
      </c>
      <c r="V572">
        <v>180</v>
      </c>
      <c r="W572">
        <v>0.48899999999999999</v>
      </c>
      <c r="X572" t="s">
        <v>1406</v>
      </c>
      <c r="Y572">
        <v>137</v>
      </c>
      <c r="Z572">
        <v>91</v>
      </c>
      <c r="AA572" t="s">
        <v>31</v>
      </c>
      <c r="AB572">
        <v>174</v>
      </c>
      <c r="AC572" s="23">
        <v>2.6</v>
      </c>
      <c r="AD572" t="str">
        <f>IF(AND('CVD Dataset'!AA572="Normal",'CVD Dataset'!AB572&gt;AVERAGE('CVD Dataset'!AB:AB),'CVD Dataset'!AF572="High"),"High Lipid Category","Normal Category")</f>
        <v>Normal Category</v>
      </c>
      <c r="AE572">
        <v>18.649999999999999</v>
      </c>
      <c r="AF572" t="s">
        <v>32</v>
      </c>
      <c r="AG572">
        <v>1</v>
      </c>
      <c r="AH572" t="s">
        <v>1379</v>
      </c>
      <c r="AI572">
        <f t="shared" si="35"/>
        <v>1</v>
      </c>
      <c r="AJ572" t="s">
        <v>1391</v>
      </c>
    </row>
    <row r="573" spans="1:36" x14ac:dyDescent="0.3">
      <c r="A573" t="s">
        <v>22</v>
      </c>
      <c r="B573">
        <v>44</v>
      </c>
      <c r="C573">
        <v>58.1</v>
      </c>
      <c r="D573">
        <v>1.78</v>
      </c>
      <c r="F573">
        <f t="shared" si="33"/>
        <v>18.337331145057441</v>
      </c>
      <c r="G573">
        <f t="shared" si="36"/>
        <v>1</v>
      </c>
      <c r="H573" t="s">
        <v>1401</v>
      </c>
      <c r="I573">
        <v>98.9</v>
      </c>
      <c r="J573" t="s">
        <v>536</v>
      </c>
      <c r="K573" s="24">
        <v>93</v>
      </c>
      <c r="L573" s="24">
        <v>61</v>
      </c>
      <c r="M573">
        <v>173</v>
      </c>
      <c r="N573" t="s">
        <v>1433</v>
      </c>
      <c r="O573">
        <v>36</v>
      </c>
      <c r="P573">
        <v>130</v>
      </c>
      <c r="Q573" t="s">
        <v>25</v>
      </c>
      <c r="R573" t="s">
        <v>25</v>
      </c>
      <c r="S573" t="s">
        <v>26</v>
      </c>
      <c r="T573" t="s">
        <v>25</v>
      </c>
      <c r="U573">
        <f t="shared" si="34"/>
        <v>4</v>
      </c>
      <c r="V573">
        <v>178</v>
      </c>
      <c r="W573">
        <v>0.55600000000000005</v>
      </c>
      <c r="X573" t="s">
        <v>1407</v>
      </c>
      <c r="Y573">
        <v>93</v>
      </c>
      <c r="AA573" t="s">
        <v>35</v>
      </c>
      <c r="AB573">
        <v>107</v>
      </c>
      <c r="AC573" s="23">
        <v>2.97</v>
      </c>
      <c r="AD573" t="str">
        <f>IF(AND('CVD Dataset'!AA573="Normal",'CVD Dataset'!AB573&gt;AVERAGE('CVD Dataset'!AB:AB),'CVD Dataset'!AF573="High"),"High Lipid Category","Normal Category")</f>
        <v>Normal Category</v>
      </c>
      <c r="AE573">
        <v>13.77</v>
      </c>
      <c r="AF573" t="s">
        <v>32</v>
      </c>
      <c r="AG573">
        <v>0</v>
      </c>
      <c r="AH573" t="s">
        <v>1379</v>
      </c>
      <c r="AI573">
        <f t="shared" si="35"/>
        <v>1</v>
      </c>
      <c r="AJ573" t="s">
        <v>1391</v>
      </c>
    </row>
    <row r="574" spans="1:36" x14ac:dyDescent="0.3">
      <c r="A574" t="s">
        <v>33</v>
      </c>
      <c r="B574">
        <v>47</v>
      </c>
      <c r="C574">
        <v>54.6</v>
      </c>
      <c r="D574">
        <v>1.68</v>
      </c>
      <c r="E574">
        <v>19.3</v>
      </c>
      <c r="F574">
        <f t="shared" si="33"/>
        <v>19.345238095238098</v>
      </c>
      <c r="G574">
        <f t="shared" si="36"/>
        <v>0</v>
      </c>
      <c r="H574" t="s">
        <v>1398</v>
      </c>
      <c r="I574">
        <v>99.6</v>
      </c>
      <c r="J574" t="s">
        <v>537</v>
      </c>
      <c r="K574" s="24">
        <v>134</v>
      </c>
      <c r="L574" s="24">
        <v>72</v>
      </c>
      <c r="M574">
        <v>172</v>
      </c>
      <c r="N574" t="s">
        <v>1433</v>
      </c>
      <c r="O574">
        <v>36</v>
      </c>
      <c r="P574">
        <v>150</v>
      </c>
      <c r="Q574" t="s">
        <v>25</v>
      </c>
      <c r="R574" t="s">
        <v>25</v>
      </c>
      <c r="S574" t="s">
        <v>26</v>
      </c>
      <c r="T574" t="s">
        <v>25</v>
      </c>
      <c r="U574">
        <f t="shared" si="34"/>
        <v>4</v>
      </c>
      <c r="V574">
        <v>168</v>
      </c>
      <c r="W574">
        <v>0.59299999999999997</v>
      </c>
      <c r="X574" t="s">
        <v>1409</v>
      </c>
      <c r="Y574">
        <v>134</v>
      </c>
      <c r="Z574">
        <v>72</v>
      </c>
      <c r="AA574" t="s">
        <v>31</v>
      </c>
      <c r="AB574">
        <v>106</v>
      </c>
      <c r="AC574" s="23">
        <v>2.94</v>
      </c>
      <c r="AD574" t="str">
        <f>IF(AND('CVD Dataset'!AA574="Normal",'CVD Dataset'!AB574&gt;AVERAGE('CVD Dataset'!AB:AB),'CVD Dataset'!AF574="High"),"High Lipid Category","Normal Category")</f>
        <v>Normal Category</v>
      </c>
      <c r="AE574">
        <v>16</v>
      </c>
      <c r="AF574" t="s">
        <v>32</v>
      </c>
      <c r="AG574">
        <v>0</v>
      </c>
      <c r="AH574" t="s">
        <v>1379</v>
      </c>
      <c r="AI574">
        <f t="shared" si="35"/>
        <v>1</v>
      </c>
      <c r="AJ574" t="s">
        <v>1391</v>
      </c>
    </row>
    <row r="575" spans="1:36" x14ac:dyDescent="0.3">
      <c r="A575" t="s">
        <v>33</v>
      </c>
      <c r="B575">
        <v>53</v>
      </c>
      <c r="C575">
        <v>75.7</v>
      </c>
      <c r="D575">
        <v>1.7</v>
      </c>
      <c r="E575">
        <v>26.2</v>
      </c>
      <c r="F575">
        <f t="shared" si="33"/>
        <v>26.193771626297583</v>
      </c>
      <c r="G575">
        <f t="shared" si="36"/>
        <v>0</v>
      </c>
      <c r="H575" t="s">
        <v>1400</v>
      </c>
      <c r="I575">
        <v>91</v>
      </c>
      <c r="J575" t="s">
        <v>361</v>
      </c>
      <c r="K575" s="24">
        <v>103</v>
      </c>
      <c r="L575" s="24">
        <v>69</v>
      </c>
      <c r="M575">
        <v>280</v>
      </c>
      <c r="N575" t="s">
        <v>1432</v>
      </c>
      <c r="O575">
        <v>52</v>
      </c>
      <c r="P575">
        <v>72</v>
      </c>
      <c r="Q575" t="s">
        <v>24</v>
      </c>
      <c r="R575" t="s">
        <v>25</v>
      </c>
      <c r="S575" t="s">
        <v>39</v>
      </c>
      <c r="T575" t="s">
        <v>25</v>
      </c>
      <c r="U575">
        <f t="shared" si="34"/>
        <v>2</v>
      </c>
      <c r="V575">
        <v>170</v>
      </c>
      <c r="X575" t="s">
        <v>1410</v>
      </c>
      <c r="Y575">
        <v>103</v>
      </c>
      <c r="Z575">
        <v>69</v>
      </c>
      <c r="AA575" t="s">
        <v>35</v>
      </c>
      <c r="AB575">
        <v>198</v>
      </c>
      <c r="AC575" s="23">
        <v>3.81</v>
      </c>
      <c r="AD575" t="str">
        <f>IF(AND('CVD Dataset'!AA575="Normal",'CVD Dataset'!AB575&gt;AVERAGE('CVD Dataset'!AB:AB),'CVD Dataset'!AF575="High"),"High Lipid Category","Normal Category")</f>
        <v>High Lipid Category</v>
      </c>
      <c r="AE575">
        <v>17.989999999999998</v>
      </c>
      <c r="AF575" t="s">
        <v>32</v>
      </c>
      <c r="AG575">
        <v>0</v>
      </c>
      <c r="AH575" t="s">
        <v>1379</v>
      </c>
      <c r="AI575">
        <f t="shared" si="35"/>
        <v>1</v>
      </c>
      <c r="AJ575" t="s">
        <v>1391</v>
      </c>
    </row>
    <row r="576" spans="1:36" x14ac:dyDescent="0.3">
      <c r="A576" t="s">
        <v>22</v>
      </c>
      <c r="B576">
        <v>51</v>
      </c>
      <c r="C576">
        <v>116.2</v>
      </c>
      <c r="D576">
        <v>1.89</v>
      </c>
      <c r="E576">
        <v>32.5</v>
      </c>
      <c r="F576">
        <f t="shared" si="33"/>
        <v>32.529884381736238</v>
      </c>
      <c r="G576">
        <f t="shared" si="36"/>
        <v>0</v>
      </c>
      <c r="H576" t="s">
        <v>1399</v>
      </c>
      <c r="I576">
        <v>81.3</v>
      </c>
      <c r="J576" t="s">
        <v>228</v>
      </c>
      <c r="K576" s="24">
        <v>118</v>
      </c>
      <c r="L576" s="24">
        <v>84</v>
      </c>
      <c r="M576">
        <v>108</v>
      </c>
      <c r="N576" t="s">
        <v>1434</v>
      </c>
      <c r="O576">
        <v>43</v>
      </c>
      <c r="P576">
        <v>103</v>
      </c>
      <c r="Q576" t="s">
        <v>24</v>
      </c>
      <c r="R576" t="s">
        <v>25</v>
      </c>
      <c r="S576" t="s">
        <v>30</v>
      </c>
      <c r="T576" t="s">
        <v>25</v>
      </c>
      <c r="U576">
        <f t="shared" si="34"/>
        <v>2</v>
      </c>
      <c r="V576">
        <v>189</v>
      </c>
      <c r="W576">
        <v>0.43</v>
      </c>
      <c r="X576" t="s">
        <v>1408</v>
      </c>
      <c r="Z576">
        <v>84</v>
      </c>
      <c r="AA576" t="s">
        <v>31</v>
      </c>
      <c r="AB576">
        <v>35</v>
      </c>
      <c r="AC576" s="23">
        <v>0.81</v>
      </c>
      <c r="AD576" t="str">
        <f>IF(AND('CVD Dataset'!AA576="Normal",'CVD Dataset'!AB576&gt;AVERAGE('CVD Dataset'!AB:AB),'CVD Dataset'!AF576="High"),"High Lipid Category","Normal Category")</f>
        <v>Normal Category</v>
      </c>
      <c r="AE576">
        <v>16.559999999999999</v>
      </c>
      <c r="AF576" t="s">
        <v>32</v>
      </c>
      <c r="AG576">
        <v>0</v>
      </c>
      <c r="AH576" t="s">
        <v>1379</v>
      </c>
      <c r="AI576">
        <f t="shared" si="35"/>
        <v>1</v>
      </c>
      <c r="AJ576" t="s">
        <v>1392</v>
      </c>
    </row>
    <row r="577" spans="1:36" x14ac:dyDescent="0.3">
      <c r="A577" t="s">
        <v>33</v>
      </c>
      <c r="B577">
        <v>33</v>
      </c>
      <c r="C577">
        <v>116.5</v>
      </c>
      <c r="D577">
        <v>1.63</v>
      </c>
      <c r="E577">
        <v>43.8</v>
      </c>
      <c r="F577">
        <f t="shared" si="33"/>
        <v>43.84809364296737</v>
      </c>
      <c r="G577">
        <f t="shared" si="36"/>
        <v>0</v>
      </c>
      <c r="H577" t="s">
        <v>1399</v>
      </c>
      <c r="I577">
        <v>86.7</v>
      </c>
      <c r="J577" t="s">
        <v>538</v>
      </c>
      <c r="K577" s="24">
        <v>150</v>
      </c>
      <c r="L577" s="24">
        <v>80</v>
      </c>
      <c r="M577">
        <v>281</v>
      </c>
      <c r="N577" t="s">
        <v>1432</v>
      </c>
      <c r="O577">
        <v>66</v>
      </c>
      <c r="P577">
        <v>130</v>
      </c>
      <c r="Q577" t="s">
        <v>25</v>
      </c>
      <c r="R577" t="s">
        <v>25</v>
      </c>
      <c r="S577" t="s">
        <v>26</v>
      </c>
      <c r="T577" t="s">
        <v>24</v>
      </c>
      <c r="U577">
        <f t="shared" si="34"/>
        <v>3</v>
      </c>
      <c r="V577">
        <v>163</v>
      </c>
      <c r="W577">
        <v>0.53200000000000003</v>
      </c>
      <c r="X577" t="s">
        <v>1407</v>
      </c>
      <c r="Y577">
        <v>150</v>
      </c>
      <c r="Z577">
        <v>80</v>
      </c>
      <c r="AA577" t="s">
        <v>31</v>
      </c>
      <c r="AB577">
        <v>185</v>
      </c>
      <c r="AC577" s="23">
        <v>2.8</v>
      </c>
      <c r="AD577" t="str">
        <f>IF(AND('CVD Dataset'!AA577="Normal",'CVD Dataset'!AB577&gt;AVERAGE('CVD Dataset'!AB:AB),'CVD Dataset'!AF577="High"),"High Lipid Category","Normal Category")</f>
        <v>Normal Category</v>
      </c>
      <c r="AE577">
        <v>23.88</v>
      </c>
      <c r="AF577" t="s">
        <v>32</v>
      </c>
      <c r="AG577">
        <v>1</v>
      </c>
      <c r="AH577" t="s">
        <v>1379</v>
      </c>
      <c r="AI577">
        <f t="shared" si="35"/>
        <v>1</v>
      </c>
      <c r="AJ577" t="s">
        <v>1391</v>
      </c>
    </row>
    <row r="578" spans="1:36" x14ac:dyDescent="0.3">
      <c r="A578" t="s">
        <v>33</v>
      </c>
      <c r="B578">
        <v>39</v>
      </c>
      <c r="C578">
        <v>62.3</v>
      </c>
      <c r="D578">
        <v>1.89</v>
      </c>
      <c r="E578">
        <v>17.399999999999999</v>
      </c>
      <c r="F578">
        <f t="shared" si="33"/>
        <v>17.440721144424849</v>
      </c>
      <c r="G578">
        <f t="shared" si="36"/>
        <v>0</v>
      </c>
      <c r="H578" t="s">
        <v>1401</v>
      </c>
      <c r="I578">
        <v>96.8</v>
      </c>
      <c r="J578" t="s">
        <v>539</v>
      </c>
      <c r="K578" s="24">
        <v>125</v>
      </c>
      <c r="L578" s="24">
        <v>64</v>
      </c>
      <c r="M578">
        <v>256</v>
      </c>
      <c r="N578" t="s">
        <v>1432</v>
      </c>
      <c r="O578">
        <v>60</v>
      </c>
      <c r="P578">
        <v>93</v>
      </c>
      <c r="Q578" t="s">
        <v>25</v>
      </c>
      <c r="R578" t="s">
        <v>25</v>
      </c>
      <c r="S578" t="s">
        <v>26</v>
      </c>
      <c r="T578" t="s">
        <v>25</v>
      </c>
      <c r="U578">
        <f t="shared" si="34"/>
        <v>4</v>
      </c>
      <c r="V578">
        <v>189</v>
      </c>
      <c r="W578">
        <v>0.51200000000000001</v>
      </c>
      <c r="X578" t="s">
        <v>1406</v>
      </c>
      <c r="Y578">
        <v>125</v>
      </c>
      <c r="Z578">
        <v>64</v>
      </c>
      <c r="AA578" t="s">
        <v>27</v>
      </c>
      <c r="AB578">
        <v>166</v>
      </c>
      <c r="AC578" s="23">
        <v>2.77</v>
      </c>
      <c r="AD578" t="str">
        <f>IF(AND('CVD Dataset'!AA578="Normal",'CVD Dataset'!AB578&gt;AVERAGE('CVD Dataset'!AB:AB),'CVD Dataset'!AF578="High"),"High Lipid Category","Normal Category")</f>
        <v>Normal Category</v>
      </c>
      <c r="AE578">
        <v>16.850000000000001</v>
      </c>
      <c r="AF578" t="s">
        <v>32</v>
      </c>
      <c r="AG578">
        <v>1</v>
      </c>
      <c r="AH578" t="s">
        <v>1379</v>
      </c>
      <c r="AI578">
        <f t="shared" si="35"/>
        <v>1</v>
      </c>
      <c r="AJ578" t="s">
        <v>1391</v>
      </c>
    </row>
    <row r="579" spans="1:36" x14ac:dyDescent="0.3">
      <c r="A579" t="s">
        <v>22</v>
      </c>
      <c r="B579">
        <v>48</v>
      </c>
      <c r="C579">
        <v>59.4</v>
      </c>
      <c r="D579">
        <v>1.88</v>
      </c>
      <c r="E579">
        <v>16.8</v>
      </c>
      <c r="F579">
        <f t="shared" ref="F579:F642" si="37">IFERROR(C579/POWER(D579,2),"")</f>
        <v>16.806247170665461</v>
      </c>
      <c r="G579">
        <f t="shared" si="36"/>
        <v>0</v>
      </c>
      <c r="H579" t="s">
        <v>1401</v>
      </c>
      <c r="I579">
        <v>91.2</v>
      </c>
      <c r="J579" t="s">
        <v>540</v>
      </c>
      <c r="K579" s="24">
        <v>102</v>
      </c>
      <c r="L579" s="24">
        <v>84</v>
      </c>
      <c r="M579">
        <v>214</v>
      </c>
      <c r="N579" t="s">
        <v>1432</v>
      </c>
      <c r="O579">
        <v>69</v>
      </c>
      <c r="P579">
        <v>77</v>
      </c>
      <c r="Q579" t="s">
        <v>24</v>
      </c>
      <c r="R579" t="s">
        <v>24</v>
      </c>
      <c r="S579" t="s">
        <v>26</v>
      </c>
      <c r="T579" t="s">
        <v>25</v>
      </c>
      <c r="U579">
        <f t="shared" ref="U579:U642" si="38">SUM(IF(Q579="Y",1,0),IF(R579="Y",1,0),IF(S579="Low",1,0),IF(T579="Y",1,0))</f>
        <v>2</v>
      </c>
      <c r="V579">
        <v>188</v>
      </c>
      <c r="W579">
        <v>0.48499999999999999</v>
      </c>
      <c r="X579" t="s">
        <v>1406</v>
      </c>
      <c r="Y579">
        <v>102</v>
      </c>
      <c r="Z579">
        <v>84</v>
      </c>
      <c r="AA579" t="s">
        <v>31</v>
      </c>
      <c r="AB579">
        <v>115</v>
      </c>
      <c r="AC579" s="23">
        <v>1.67</v>
      </c>
      <c r="AD579" t="str">
        <f>IF(AND('CVD Dataset'!AA579="Normal",'CVD Dataset'!AB579&gt;AVERAGE('CVD Dataset'!AB:AB),'CVD Dataset'!AF579="High"),"High Lipid Category","Normal Category")</f>
        <v>Normal Category</v>
      </c>
      <c r="AE579">
        <v>12.74</v>
      </c>
      <c r="AF579" t="s">
        <v>32</v>
      </c>
      <c r="AG579">
        <v>1</v>
      </c>
      <c r="AH579" t="s">
        <v>1379</v>
      </c>
      <c r="AI579">
        <f t="shared" ref="AI579:AI642" si="39">IF(AF579="HIGH",1,0)</f>
        <v>1</v>
      </c>
      <c r="AJ579" t="s">
        <v>1391</v>
      </c>
    </row>
    <row r="580" spans="1:36" x14ac:dyDescent="0.3">
      <c r="A580" t="s">
        <v>22</v>
      </c>
      <c r="B580">
        <v>40</v>
      </c>
      <c r="D580">
        <v>1.71</v>
      </c>
      <c r="E580">
        <v>20.5</v>
      </c>
      <c r="F580">
        <f t="shared" si="37"/>
        <v>0</v>
      </c>
      <c r="G580">
        <f t="shared" si="36"/>
        <v>1</v>
      </c>
      <c r="H580" t="s">
        <v>1398</v>
      </c>
      <c r="I580">
        <v>101.5</v>
      </c>
      <c r="J580" t="s">
        <v>541</v>
      </c>
      <c r="K580" s="24">
        <v>117</v>
      </c>
      <c r="L580" s="24">
        <v>86</v>
      </c>
      <c r="M580">
        <v>127</v>
      </c>
      <c r="N580" t="s">
        <v>1434</v>
      </c>
      <c r="O580">
        <v>34</v>
      </c>
      <c r="P580">
        <v>88</v>
      </c>
      <c r="Q580" t="s">
        <v>25</v>
      </c>
      <c r="R580" t="s">
        <v>25</v>
      </c>
      <c r="S580" t="s">
        <v>26</v>
      </c>
      <c r="T580" t="s">
        <v>24</v>
      </c>
      <c r="U580">
        <f t="shared" si="38"/>
        <v>3</v>
      </c>
      <c r="V580">
        <v>171</v>
      </c>
      <c r="W580">
        <v>0.59399999999999997</v>
      </c>
      <c r="X580" t="s">
        <v>1409</v>
      </c>
      <c r="Y580">
        <v>117</v>
      </c>
      <c r="Z580">
        <v>86</v>
      </c>
      <c r="AA580" t="s">
        <v>31</v>
      </c>
      <c r="AB580">
        <v>63</v>
      </c>
      <c r="AC580" s="23">
        <v>1.85</v>
      </c>
      <c r="AD580" t="str">
        <f>IF(AND('CVD Dataset'!AA580="Normal",'CVD Dataset'!AB580&gt;AVERAGE('CVD Dataset'!AB:AB),'CVD Dataset'!AF580="High"),"High Lipid Category","Normal Category")</f>
        <v>Normal Category</v>
      </c>
      <c r="AE580">
        <v>14.49</v>
      </c>
      <c r="AF580" t="s">
        <v>32</v>
      </c>
      <c r="AG580">
        <v>0</v>
      </c>
      <c r="AH580" t="s">
        <v>1379</v>
      </c>
      <c r="AI580">
        <f t="shared" si="39"/>
        <v>1</v>
      </c>
      <c r="AJ580" t="s">
        <v>1391</v>
      </c>
    </row>
    <row r="581" spans="1:36" x14ac:dyDescent="0.3">
      <c r="A581" t="s">
        <v>22</v>
      </c>
      <c r="C581">
        <v>86.2</v>
      </c>
      <c r="D581">
        <v>1.72</v>
      </c>
      <c r="E581">
        <v>29.1</v>
      </c>
      <c r="F581">
        <f t="shared" si="37"/>
        <v>29.137371552190377</v>
      </c>
      <c r="G581">
        <f t="shared" si="36"/>
        <v>0</v>
      </c>
      <c r="H581" t="s">
        <v>1400</v>
      </c>
      <c r="I581">
        <v>109.5</v>
      </c>
      <c r="J581" t="s">
        <v>542</v>
      </c>
      <c r="K581" s="24">
        <v>112</v>
      </c>
      <c r="L581" s="24">
        <v>79</v>
      </c>
      <c r="M581">
        <v>282</v>
      </c>
      <c r="N581" t="s">
        <v>1432</v>
      </c>
      <c r="O581">
        <v>53</v>
      </c>
      <c r="P581">
        <v>107</v>
      </c>
      <c r="Q581" t="s">
        <v>25</v>
      </c>
      <c r="R581" t="s">
        <v>25</v>
      </c>
      <c r="S581" t="s">
        <v>39</v>
      </c>
      <c r="T581" t="s">
        <v>24</v>
      </c>
      <c r="U581">
        <f t="shared" si="38"/>
        <v>2</v>
      </c>
      <c r="V581">
        <v>172</v>
      </c>
      <c r="W581">
        <v>0.63700000000000001</v>
      </c>
      <c r="X581" t="s">
        <v>1409</v>
      </c>
      <c r="Y581">
        <v>112</v>
      </c>
      <c r="Z581">
        <v>79</v>
      </c>
      <c r="AA581" t="s">
        <v>35</v>
      </c>
      <c r="AC581" s="23">
        <v>0</v>
      </c>
      <c r="AD581" t="str">
        <f>IF(AND('CVD Dataset'!AA581="Normal",'CVD Dataset'!AB581&gt;AVERAGE('CVD Dataset'!AB:AB),'CVD Dataset'!AF581="High"),"High Lipid Category","Normal Category")</f>
        <v>Normal Category</v>
      </c>
      <c r="AE581">
        <v>19.059999999999999</v>
      </c>
      <c r="AF581" t="s">
        <v>32</v>
      </c>
      <c r="AG581">
        <v>0</v>
      </c>
      <c r="AH581" t="s">
        <v>1379</v>
      </c>
      <c r="AI581">
        <f t="shared" si="39"/>
        <v>1</v>
      </c>
      <c r="AJ581" t="s">
        <v>1391</v>
      </c>
    </row>
    <row r="582" spans="1:36" x14ac:dyDescent="0.3">
      <c r="A582" t="s">
        <v>22</v>
      </c>
      <c r="B582">
        <v>43</v>
      </c>
      <c r="D582">
        <v>1.62</v>
      </c>
      <c r="E582">
        <v>30.7</v>
      </c>
      <c r="F582">
        <f t="shared" si="37"/>
        <v>0</v>
      </c>
      <c r="G582">
        <f t="shared" si="36"/>
        <v>1</v>
      </c>
      <c r="H582" t="s">
        <v>1399</v>
      </c>
      <c r="I582">
        <v>89.4</v>
      </c>
      <c r="J582" t="s">
        <v>543</v>
      </c>
      <c r="K582" s="24">
        <v>120</v>
      </c>
      <c r="L582" s="24">
        <v>100</v>
      </c>
      <c r="M582">
        <v>209</v>
      </c>
      <c r="N582" t="s">
        <v>1432</v>
      </c>
      <c r="O582">
        <v>66</v>
      </c>
      <c r="P582">
        <v>111</v>
      </c>
      <c r="Q582" t="s">
        <v>24</v>
      </c>
      <c r="R582" t="s">
        <v>24</v>
      </c>
      <c r="S582" t="s">
        <v>30</v>
      </c>
      <c r="T582" t="s">
        <v>24</v>
      </c>
      <c r="U582">
        <f t="shared" si="38"/>
        <v>0</v>
      </c>
      <c r="V582">
        <v>162</v>
      </c>
      <c r="W582">
        <v>0.55200000000000005</v>
      </c>
      <c r="X582" t="s">
        <v>1407</v>
      </c>
      <c r="Y582">
        <v>120</v>
      </c>
      <c r="AA582" t="s">
        <v>40</v>
      </c>
      <c r="AB582">
        <v>113</v>
      </c>
      <c r="AC582" s="23">
        <v>1.71</v>
      </c>
      <c r="AD582" t="str">
        <f>IF(AND('CVD Dataset'!AA582="Normal",'CVD Dataset'!AB582&gt;AVERAGE('CVD Dataset'!AB:AB),'CVD Dataset'!AF582="High"),"High Lipid Category","Normal Category")</f>
        <v>Normal Category</v>
      </c>
      <c r="AE582">
        <v>16.32</v>
      </c>
      <c r="AF582" t="s">
        <v>28</v>
      </c>
      <c r="AG582">
        <v>0</v>
      </c>
      <c r="AH582" t="s">
        <v>1380</v>
      </c>
      <c r="AI582">
        <f t="shared" si="39"/>
        <v>0</v>
      </c>
      <c r="AJ582" t="s">
        <v>1391</v>
      </c>
    </row>
    <row r="583" spans="1:36" x14ac:dyDescent="0.3">
      <c r="A583" t="s">
        <v>33</v>
      </c>
      <c r="C583">
        <v>52.8</v>
      </c>
      <c r="D583">
        <v>1.8</v>
      </c>
      <c r="E583">
        <v>16.3</v>
      </c>
      <c r="F583">
        <f t="shared" si="37"/>
        <v>16.296296296296294</v>
      </c>
      <c r="G583">
        <f t="shared" si="36"/>
        <v>0</v>
      </c>
      <c r="H583" t="s">
        <v>1401</v>
      </c>
      <c r="I583">
        <v>77.3</v>
      </c>
      <c r="J583" t="s">
        <v>385</v>
      </c>
      <c r="K583" s="24">
        <v>113</v>
      </c>
      <c r="L583" s="24">
        <v>96</v>
      </c>
      <c r="M583">
        <v>167</v>
      </c>
      <c r="N583" t="s">
        <v>1433</v>
      </c>
      <c r="O583">
        <v>32</v>
      </c>
      <c r="P583">
        <v>135</v>
      </c>
      <c r="Q583" t="s">
        <v>24</v>
      </c>
      <c r="R583" t="s">
        <v>25</v>
      </c>
      <c r="S583" t="s">
        <v>26</v>
      </c>
      <c r="T583" t="s">
        <v>24</v>
      </c>
      <c r="U583">
        <f t="shared" si="38"/>
        <v>2</v>
      </c>
      <c r="V583">
        <v>180</v>
      </c>
      <c r="W583">
        <v>0.42899999999999999</v>
      </c>
      <c r="X583" t="s">
        <v>1408</v>
      </c>
      <c r="Y583">
        <v>113</v>
      </c>
      <c r="Z583">
        <v>96</v>
      </c>
      <c r="AA583" t="s">
        <v>40</v>
      </c>
      <c r="AB583">
        <v>105</v>
      </c>
      <c r="AC583" s="23">
        <v>3.28</v>
      </c>
      <c r="AD583" t="str">
        <f>IF(AND('CVD Dataset'!AA583="Normal",'CVD Dataset'!AB583&gt;AVERAGE('CVD Dataset'!AB:AB),'CVD Dataset'!AF583="High"),"High Lipid Category","Normal Category")</f>
        <v>Normal Category</v>
      </c>
      <c r="AE583">
        <v>14.25</v>
      </c>
      <c r="AF583" t="s">
        <v>28</v>
      </c>
      <c r="AG583">
        <v>0</v>
      </c>
      <c r="AH583" t="s">
        <v>1380</v>
      </c>
      <c r="AI583">
        <f t="shared" si="39"/>
        <v>0</v>
      </c>
      <c r="AJ583" t="s">
        <v>1391</v>
      </c>
    </row>
    <row r="584" spans="1:36" x14ac:dyDescent="0.3">
      <c r="A584" t="s">
        <v>33</v>
      </c>
      <c r="B584">
        <v>41</v>
      </c>
      <c r="C584">
        <v>92</v>
      </c>
      <c r="D584">
        <v>1.77</v>
      </c>
      <c r="E584">
        <v>29.4</v>
      </c>
      <c r="F584">
        <f t="shared" si="37"/>
        <v>29.365763350250564</v>
      </c>
      <c r="G584">
        <f t="shared" si="36"/>
        <v>0</v>
      </c>
      <c r="H584" t="s">
        <v>1400</v>
      </c>
      <c r="I584">
        <v>98.6</v>
      </c>
      <c r="J584" t="s">
        <v>544</v>
      </c>
      <c r="K584" s="24">
        <v>113</v>
      </c>
      <c r="L584" s="24">
        <v>87</v>
      </c>
      <c r="M584">
        <v>256</v>
      </c>
      <c r="N584" t="s">
        <v>1432</v>
      </c>
      <c r="O584">
        <v>49</v>
      </c>
      <c r="P584">
        <v>75</v>
      </c>
      <c r="Q584" t="s">
        <v>24</v>
      </c>
      <c r="R584" t="s">
        <v>24</v>
      </c>
      <c r="S584" t="s">
        <v>30</v>
      </c>
      <c r="T584" t="s">
        <v>25</v>
      </c>
      <c r="U584">
        <f t="shared" si="38"/>
        <v>1</v>
      </c>
      <c r="V584">
        <v>177</v>
      </c>
      <c r="W584">
        <v>0.55700000000000005</v>
      </c>
      <c r="X584" t="s">
        <v>1407</v>
      </c>
      <c r="Z584">
        <v>87</v>
      </c>
      <c r="AA584" t="s">
        <v>31</v>
      </c>
      <c r="AB584">
        <v>177</v>
      </c>
      <c r="AC584" s="23">
        <v>3.61</v>
      </c>
      <c r="AD584" t="str">
        <f>IF(AND('CVD Dataset'!AA584="Normal",'CVD Dataset'!AB584&gt;AVERAGE('CVD Dataset'!AB:AB),'CVD Dataset'!AF584="High"),"High Lipid Category","Normal Category")</f>
        <v>Normal Category</v>
      </c>
      <c r="AE584">
        <v>16.649999999999999</v>
      </c>
      <c r="AF584" t="s">
        <v>28</v>
      </c>
      <c r="AG584">
        <v>0</v>
      </c>
      <c r="AH584" t="s">
        <v>1380</v>
      </c>
      <c r="AI584">
        <f t="shared" si="39"/>
        <v>0</v>
      </c>
      <c r="AJ584" t="s">
        <v>1391</v>
      </c>
    </row>
    <row r="585" spans="1:36" x14ac:dyDescent="0.3">
      <c r="A585" t="s">
        <v>33</v>
      </c>
      <c r="B585">
        <v>32</v>
      </c>
      <c r="C585">
        <v>106.7</v>
      </c>
      <c r="D585">
        <v>1.85</v>
      </c>
      <c r="E585">
        <v>31.2</v>
      </c>
      <c r="F585">
        <f t="shared" si="37"/>
        <v>31.176040905770634</v>
      </c>
      <c r="G585">
        <f t="shared" si="36"/>
        <v>0</v>
      </c>
      <c r="H585" t="s">
        <v>1399</v>
      </c>
      <c r="I585">
        <v>72.599999999999994</v>
      </c>
      <c r="J585" t="s">
        <v>59</v>
      </c>
      <c r="K585" s="24">
        <v>102</v>
      </c>
      <c r="L585" s="24">
        <v>74</v>
      </c>
      <c r="M585">
        <v>100</v>
      </c>
      <c r="N585" t="s">
        <v>1434</v>
      </c>
      <c r="O585">
        <v>55</v>
      </c>
      <c r="P585">
        <v>95</v>
      </c>
      <c r="Q585" t="s">
        <v>25</v>
      </c>
      <c r="R585" t="s">
        <v>25</v>
      </c>
      <c r="S585" t="s">
        <v>39</v>
      </c>
      <c r="T585" t="s">
        <v>25</v>
      </c>
      <c r="U585">
        <f t="shared" si="38"/>
        <v>3</v>
      </c>
      <c r="V585">
        <v>185</v>
      </c>
      <c r="W585">
        <v>0.39200000000000002</v>
      </c>
      <c r="X585" t="s">
        <v>1408</v>
      </c>
      <c r="Y585">
        <v>102</v>
      </c>
      <c r="Z585">
        <v>74</v>
      </c>
      <c r="AA585" t="s">
        <v>35</v>
      </c>
      <c r="AB585">
        <v>15</v>
      </c>
      <c r="AC585" s="23">
        <v>0.27</v>
      </c>
      <c r="AD585" t="str">
        <f>IF(AND('CVD Dataset'!AA585="Normal",'CVD Dataset'!AB585&gt;AVERAGE('CVD Dataset'!AB:AB),'CVD Dataset'!AF585="High"),"High Lipid Category","Normal Category")</f>
        <v>Normal Category</v>
      </c>
      <c r="AE585">
        <v>15.34</v>
      </c>
      <c r="AF585" t="s">
        <v>32</v>
      </c>
      <c r="AG585">
        <v>0</v>
      </c>
      <c r="AH585" t="s">
        <v>1379</v>
      </c>
      <c r="AI585">
        <f t="shared" si="39"/>
        <v>1</v>
      </c>
      <c r="AJ585" t="s">
        <v>1391</v>
      </c>
    </row>
    <row r="586" spans="1:36" x14ac:dyDescent="0.3">
      <c r="A586" t="s">
        <v>22</v>
      </c>
      <c r="B586">
        <v>43</v>
      </c>
      <c r="C586">
        <v>62.2</v>
      </c>
      <c r="D586">
        <v>1.66</v>
      </c>
      <c r="E586">
        <v>22.6</v>
      </c>
      <c r="F586">
        <f t="shared" si="37"/>
        <v>22.572216577151984</v>
      </c>
      <c r="G586">
        <f t="shared" si="36"/>
        <v>0</v>
      </c>
      <c r="H586" t="s">
        <v>1398</v>
      </c>
      <c r="I586">
        <v>93.9</v>
      </c>
      <c r="J586" t="s">
        <v>228</v>
      </c>
      <c r="K586" s="24">
        <v>118</v>
      </c>
      <c r="L586" s="24">
        <v>84</v>
      </c>
      <c r="M586">
        <v>164</v>
      </c>
      <c r="N586" t="s">
        <v>1433</v>
      </c>
      <c r="O586">
        <v>38</v>
      </c>
      <c r="P586">
        <v>88</v>
      </c>
      <c r="Q586" t="s">
        <v>24</v>
      </c>
      <c r="R586" t="s">
        <v>25</v>
      </c>
      <c r="S586" t="s">
        <v>30</v>
      </c>
      <c r="T586" t="s">
        <v>25</v>
      </c>
      <c r="U586">
        <f t="shared" si="38"/>
        <v>2</v>
      </c>
      <c r="V586">
        <v>166</v>
      </c>
      <c r="W586">
        <v>0.56599999999999995</v>
      </c>
      <c r="X586" t="s">
        <v>1407</v>
      </c>
      <c r="Y586">
        <v>118</v>
      </c>
      <c r="Z586">
        <v>84</v>
      </c>
      <c r="AA586" t="s">
        <v>31</v>
      </c>
      <c r="AB586">
        <v>96</v>
      </c>
      <c r="AC586" s="23">
        <v>2.5299999999999998</v>
      </c>
      <c r="AD586" t="str">
        <f>IF(AND('CVD Dataset'!AA586="Normal",'CVD Dataset'!AB586&gt;AVERAGE('CVD Dataset'!AB:AB),'CVD Dataset'!AF586="High"),"High Lipid Category","Normal Category")</f>
        <v>Normal Category</v>
      </c>
      <c r="AE586">
        <v>15.7</v>
      </c>
      <c r="AF586" t="s">
        <v>28</v>
      </c>
      <c r="AG586">
        <v>0</v>
      </c>
      <c r="AH586" t="s">
        <v>1380</v>
      </c>
      <c r="AI586">
        <f t="shared" si="39"/>
        <v>0</v>
      </c>
      <c r="AJ586" t="s">
        <v>1391</v>
      </c>
    </row>
    <row r="587" spans="1:36" x14ac:dyDescent="0.3">
      <c r="A587" t="s">
        <v>22</v>
      </c>
      <c r="B587">
        <v>37</v>
      </c>
      <c r="C587">
        <v>99.6</v>
      </c>
      <c r="D587">
        <v>1.8</v>
      </c>
      <c r="E587">
        <v>30.7</v>
      </c>
      <c r="F587">
        <f t="shared" si="37"/>
        <v>30.740740740740737</v>
      </c>
      <c r="G587">
        <f t="shared" si="36"/>
        <v>0</v>
      </c>
      <c r="H587" t="s">
        <v>1399</v>
      </c>
      <c r="I587">
        <v>102.4</v>
      </c>
      <c r="J587" t="s">
        <v>545</v>
      </c>
      <c r="K587" s="24">
        <v>120</v>
      </c>
      <c r="L587" s="24">
        <v>97</v>
      </c>
      <c r="M587">
        <v>232</v>
      </c>
      <c r="N587" t="s">
        <v>1432</v>
      </c>
      <c r="O587">
        <v>73</v>
      </c>
      <c r="Q587" t="s">
        <v>24</v>
      </c>
      <c r="R587" t="s">
        <v>24</v>
      </c>
      <c r="S587" t="s">
        <v>26</v>
      </c>
      <c r="T587" t="s">
        <v>24</v>
      </c>
      <c r="U587">
        <f t="shared" si="38"/>
        <v>1</v>
      </c>
      <c r="V587">
        <v>180</v>
      </c>
      <c r="W587">
        <v>0.56899999999999995</v>
      </c>
      <c r="X587" t="s">
        <v>1407</v>
      </c>
      <c r="Y587">
        <v>120</v>
      </c>
      <c r="Z587">
        <v>97</v>
      </c>
      <c r="AA587" t="s">
        <v>40</v>
      </c>
      <c r="AB587">
        <v>129</v>
      </c>
      <c r="AC587" s="23">
        <v>1.77</v>
      </c>
      <c r="AD587" t="str">
        <f>IF(AND('CVD Dataset'!AA587="Normal",'CVD Dataset'!AB587&gt;AVERAGE('CVD Dataset'!AB:AB),'CVD Dataset'!AF587="High"),"High Lipid Category","Normal Category")</f>
        <v>Normal Category</v>
      </c>
      <c r="AE587">
        <v>16.78</v>
      </c>
      <c r="AF587" t="s">
        <v>28</v>
      </c>
      <c r="AG587">
        <v>0</v>
      </c>
      <c r="AH587" t="s">
        <v>1380</v>
      </c>
      <c r="AI587">
        <f t="shared" si="39"/>
        <v>0</v>
      </c>
      <c r="AJ587" t="s">
        <v>1391</v>
      </c>
    </row>
    <row r="588" spans="1:36" x14ac:dyDescent="0.3">
      <c r="A588" t="s">
        <v>22</v>
      </c>
      <c r="B588">
        <v>59</v>
      </c>
      <c r="C588">
        <v>52.4</v>
      </c>
      <c r="D588">
        <v>1.66</v>
      </c>
      <c r="E588">
        <v>19</v>
      </c>
      <c r="F588">
        <f t="shared" si="37"/>
        <v>19.015822325446365</v>
      </c>
      <c r="G588">
        <f t="shared" si="36"/>
        <v>0</v>
      </c>
      <c r="H588" t="s">
        <v>1398</v>
      </c>
      <c r="I588">
        <v>95.6</v>
      </c>
      <c r="J588" t="s">
        <v>546</v>
      </c>
      <c r="K588" s="24">
        <v>93</v>
      </c>
      <c r="L588" s="24">
        <v>73</v>
      </c>
      <c r="M588">
        <v>103</v>
      </c>
      <c r="N588" t="s">
        <v>1434</v>
      </c>
      <c r="O588">
        <v>37</v>
      </c>
      <c r="P588">
        <v>144</v>
      </c>
      <c r="Q588" t="s">
        <v>25</v>
      </c>
      <c r="R588" t="s">
        <v>25</v>
      </c>
      <c r="S588" t="s">
        <v>26</v>
      </c>
      <c r="T588" t="s">
        <v>25</v>
      </c>
      <c r="U588">
        <f t="shared" si="38"/>
        <v>4</v>
      </c>
      <c r="W588">
        <v>0.57599999999999996</v>
      </c>
      <c r="X588" t="s">
        <v>1407</v>
      </c>
      <c r="Y588">
        <v>93</v>
      </c>
      <c r="Z588">
        <v>73</v>
      </c>
      <c r="AA588" t="s">
        <v>35</v>
      </c>
      <c r="AB588">
        <v>36</v>
      </c>
      <c r="AC588" s="23">
        <v>0.97</v>
      </c>
      <c r="AD588" t="str">
        <f>IF(AND('CVD Dataset'!AA588="Normal",'CVD Dataset'!AB588&gt;AVERAGE('CVD Dataset'!AB:AB),'CVD Dataset'!AF588="High"),"High Lipid Category","Normal Category")</f>
        <v>Normal Category</v>
      </c>
      <c r="AF588" t="s">
        <v>32</v>
      </c>
      <c r="AG588">
        <v>0</v>
      </c>
      <c r="AH588" t="s">
        <v>1379</v>
      </c>
      <c r="AI588">
        <f t="shared" si="39"/>
        <v>1</v>
      </c>
      <c r="AJ588" t="s">
        <v>1391</v>
      </c>
    </row>
    <row r="589" spans="1:36" x14ac:dyDescent="0.3">
      <c r="A589" t="s">
        <v>33</v>
      </c>
      <c r="B589">
        <v>35</v>
      </c>
      <c r="C589">
        <v>118.4</v>
      </c>
      <c r="D589">
        <v>1.76</v>
      </c>
      <c r="E589">
        <v>38.200000000000003</v>
      </c>
      <c r="F589">
        <f t="shared" si="37"/>
        <v>38.223140495867774</v>
      </c>
      <c r="G589">
        <f t="shared" si="36"/>
        <v>0</v>
      </c>
      <c r="H589" t="s">
        <v>1399</v>
      </c>
      <c r="I589">
        <v>74.400000000000006</v>
      </c>
      <c r="J589" t="s">
        <v>547</v>
      </c>
      <c r="K589" s="24">
        <v>96</v>
      </c>
      <c r="L589" s="24">
        <v>71</v>
      </c>
      <c r="M589">
        <v>162</v>
      </c>
      <c r="N589" t="s">
        <v>1433</v>
      </c>
      <c r="O589">
        <v>32</v>
      </c>
      <c r="P589">
        <v>107</v>
      </c>
      <c r="Q589" t="s">
        <v>25</v>
      </c>
      <c r="R589" t="s">
        <v>25</v>
      </c>
      <c r="S589" t="s">
        <v>30</v>
      </c>
      <c r="T589" t="s">
        <v>24</v>
      </c>
      <c r="U589">
        <f t="shared" si="38"/>
        <v>2</v>
      </c>
      <c r="V589">
        <v>176</v>
      </c>
      <c r="W589">
        <v>0.42299999999999999</v>
      </c>
      <c r="X589" t="s">
        <v>1408</v>
      </c>
      <c r="Y589">
        <v>96</v>
      </c>
      <c r="Z589">
        <v>71</v>
      </c>
      <c r="AA589" t="s">
        <v>35</v>
      </c>
      <c r="AB589">
        <v>100</v>
      </c>
      <c r="AC589" s="23">
        <v>3.13</v>
      </c>
      <c r="AD589" t="str">
        <f>IF(AND('CVD Dataset'!AA589="Normal",'CVD Dataset'!AB589&gt;AVERAGE('CVD Dataset'!AB:AB),'CVD Dataset'!AF589="High"),"High Lipid Category","Normal Category")</f>
        <v>Normal Category</v>
      </c>
      <c r="AE589">
        <v>17.68</v>
      </c>
      <c r="AF589" t="s">
        <v>32</v>
      </c>
      <c r="AG589">
        <v>0</v>
      </c>
      <c r="AH589" t="s">
        <v>1379</v>
      </c>
      <c r="AI589">
        <f t="shared" si="39"/>
        <v>1</v>
      </c>
      <c r="AJ589" t="s">
        <v>1391</v>
      </c>
    </row>
    <row r="590" spans="1:36" x14ac:dyDescent="0.3">
      <c r="A590" t="s">
        <v>33</v>
      </c>
      <c r="B590">
        <v>34</v>
      </c>
      <c r="C590">
        <v>60.4</v>
      </c>
      <c r="D590">
        <v>1.81</v>
      </c>
      <c r="E590">
        <v>18.399999999999999</v>
      </c>
      <c r="F590">
        <f t="shared" si="37"/>
        <v>18.436555660694118</v>
      </c>
      <c r="G590">
        <f t="shared" si="36"/>
        <v>0</v>
      </c>
      <c r="H590" t="s">
        <v>1401</v>
      </c>
      <c r="I590">
        <v>94.6</v>
      </c>
      <c r="J590" t="s">
        <v>548</v>
      </c>
      <c r="K590" s="24">
        <v>136</v>
      </c>
      <c r="L590" s="24">
        <v>67</v>
      </c>
      <c r="M590">
        <v>268</v>
      </c>
      <c r="N590" t="s">
        <v>1432</v>
      </c>
      <c r="O590">
        <v>56</v>
      </c>
      <c r="P590">
        <v>85</v>
      </c>
      <c r="Q590" t="s">
        <v>25</v>
      </c>
      <c r="R590" t="s">
        <v>24</v>
      </c>
      <c r="S590" t="s">
        <v>30</v>
      </c>
      <c r="T590" t="s">
        <v>24</v>
      </c>
      <c r="U590">
        <f t="shared" si="38"/>
        <v>1</v>
      </c>
      <c r="V590">
        <v>181</v>
      </c>
      <c r="W590">
        <v>0.52300000000000002</v>
      </c>
      <c r="X590" t="s">
        <v>1407</v>
      </c>
      <c r="Y590">
        <v>136</v>
      </c>
      <c r="Z590">
        <v>67</v>
      </c>
      <c r="AA590" t="s">
        <v>31</v>
      </c>
      <c r="AB590">
        <v>182</v>
      </c>
      <c r="AC590" s="23">
        <v>3.25</v>
      </c>
      <c r="AD590" t="str">
        <f>IF(AND('CVD Dataset'!AA590="Normal",'CVD Dataset'!AB590&gt;AVERAGE('CVD Dataset'!AB:AB),'CVD Dataset'!AF590="High"),"High Lipid Category","Normal Category")</f>
        <v>Normal Category</v>
      </c>
      <c r="AE590">
        <v>15.84</v>
      </c>
      <c r="AF590" t="s">
        <v>28</v>
      </c>
      <c r="AG590">
        <v>0</v>
      </c>
      <c r="AH590" t="s">
        <v>1380</v>
      </c>
      <c r="AI590">
        <f t="shared" si="39"/>
        <v>0</v>
      </c>
      <c r="AJ590" t="s">
        <v>1391</v>
      </c>
    </row>
    <row r="591" spans="1:36" x14ac:dyDescent="0.3">
      <c r="A591" t="s">
        <v>33</v>
      </c>
      <c r="B591">
        <v>57</v>
      </c>
      <c r="C591">
        <v>109.7</v>
      </c>
      <c r="D591">
        <v>1.73</v>
      </c>
      <c r="E591">
        <v>36.700000000000003</v>
      </c>
      <c r="F591">
        <f t="shared" si="37"/>
        <v>36.653413077617024</v>
      </c>
      <c r="G591">
        <f t="shared" ref="G591:G654" si="40">IFERROR(IF(ABS(E591 - F591) &lt;= 0.1, 0, 1),"")</f>
        <v>0</v>
      </c>
      <c r="H591" t="s">
        <v>1399</v>
      </c>
      <c r="J591" t="s">
        <v>549</v>
      </c>
      <c r="K591" s="24">
        <v>94</v>
      </c>
      <c r="L591" s="24">
        <v>85</v>
      </c>
      <c r="M591">
        <v>142</v>
      </c>
      <c r="N591" t="s">
        <v>1434</v>
      </c>
      <c r="O591">
        <v>32</v>
      </c>
      <c r="P591">
        <v>114</v>
      </c>
      <c r="Q591" t="s">
        <v>24</v>
      </c>
      <c r="R591" t="s">
        <v>25</v>
      </c>
      <c r="S591" t="s">
        <v>26</v>
      </c>
      <c r="T591" t="s">
        <v>25</v>
      </c>
      <c r="U591">
        <f t="shared" si="38"/>
        <v>3</v>
      </c>
      <c r="V591">
        <v>173</v>
      </c>
      <c r="W591">
        <v>0.436</v>
      </c>
      <c r="X591" t="s">
        <v>1408</v>
      </c>
      <c r="Y591">
        <v>94</v>
      </c>
      <c r="Z591">
        <v>85</v>
      </c>
      <c r="AA591" t="s">
        <v>31</v>
      </c>
      <c r="AB591">
        <v>80</v>
      </c>
      <c r="AC591" s="23">
        <v>2.5</v>
      </c>
      <c r="AD591" t="str">
        <f>IF(AND('CVD Dataset'!AA591="Normal",'CVD Dataset'!AB591&gt;AVERAGE('CVD Dataset'!AB:AB),'CVD Dataset'!AF591="High"),"High Lipid Category","Normal Category")</f>
        <v>Normal Category</v>
      </c>
      <c r="AE591">
        <v>16.88</v>
      </c>
      <c r="AF591" t="s">
        <v>32</v>
      </c>
      <c r="AG591">
        <v>0</v>
      </c>
      <c r="AH591" t="s">
        <v>1379</v>
      </c>
      <c r="AI591">
        <f t="shared" si="39"/>
        <v>1</v>
      </c>
      <c r="AJ591" t="s">
        <v>1392</v>
      </c>
    </row>
    <row r="592" spans="1:36" x14ac:dyDescent="0.3">
      <c r="A592" t="s">
        <v>22</v>
      </c>
      <c r="B592">
        <v>32</v>
      </c>
      <c r="C592">
        <v>110.3</v>
      </c>
      <c r="D592">
        <v>1.7</v>
      </c>
      <c r="E592">
        <v>38.200000000000003</v>
      </c>
      <c r="F592">
        <f t="shared" si="37"/>
        <v>38.16608996539793</v>
      </c>
      <c r="G592">
        <f t="shared" si="40"/>
        <v>0</v>
      </c>
      <c r="H592" t="s">
        <v>1399</v>
      </c>
      <c r="I592">
        <v>73.5</v>
      </c>
      <c r="J592" t="s">
        <v>550</v>
      </c>
      <c r="K592" s="24">
        <v>112</v>
      </c>
      <c r="L592" s="24">
        <v>63</v>
      </c>
      <c r="M592">
        <v>290</v>
      </c>
      <c r="N592" t="s">
        <v>1432</v>
      </c>
      <c r="O592">
        <v>78</v>
      </c>
      <c r="Q592" t="s">
        <v>25</v>
      </c>
      <c r="R592" t="s">
        <v>25</v>
      </c>
      <c r="S592" t="s">
        <v>26</v>
      </c>
      <c r="T592" t="s">
        <v>24</v>
      </c>
      <c r="U592">
        <f t="shared" si="38"/>
        <v>3</v>
      </c>
      <c r="V592">
        <v>170</v>
      </c>
      <c r="W592">
        <v>0.432</v>
      </c>
      <c r="X592" t="s">
        <v>1408</v>
      </c>
      <c r="Y592">
        <v>112</v>
      </c>
      <c r="Z592">
        <v>63</v>
      </c>
      <c r="AA592" t="s">
        <v>35</v>
      </c>
      <c r="AB592">
        <v>182</v>
      </c>
      <c r="AC592" s="23">
        <v>2.33</v>
      </c>
      <c r="AD592" t="str">
        <f>IF(AND('CVD Dataset'!AA592="Normal",'CVD Dataset'!AB592&gt;AVERAGE('CVD Dataset'!AB:AB),'CVD Dataset'!AF592="High"),"High Lipid Category","Normal Category")</f>
        <v>High Lipid Category</v>
      </c>
      <c r="AE592">
        <v>21.04</v>
      </c>
      <c r="AF592" t="s">
        <v>32</v>
      </c>
      <c r="AG592">
        <v>1</v>
      </c>
      <c r="AH592" t="s">
        <v>1379</v>
      </c>
      <c r="AI592">
        <f t="shared" si="39"/>
        <v>1</v>
      </c>
      <c r="AJ592" t="s">
        <v>1391</v>
      </c>
    </row>
    <row r="593" spans="1:36" x14ac:dyDescent="0.3">
      <c r="A593" t="s">
        <v>22</v>
      </c>
      <c r="B593">
        <v>42</v>
      </c>
      <c r="C593">
        <v>109.2</v>
      </c>
      <c r="D593">
        <v>1.86</v>
      </c>
      <c r="E593">
        <v>31.6</v>
      </c>
      <c r="F593">
        <f t="shared" si="37"/>
        <v>31.564342698577867</v>
      </c>
      <c r="G593">
        <f t="shared" si="40"/>
        <v>0</v>
      </c>
      <c r="H593" t="s">
        <v>1399</v>
      </c>
      <c r="I593">
        <v>91</v>
      </c>
      <c r="J593" t="s">
        <v>551</v>
      </c>
      <c r="K593" s="24">
        <v>146</v>
      </c>
      <c r="L593" s="24">
        <v>74</v>
      </c>
      <c r="M593">
        <v>277</v>
      </c>
      <c r="N593" t="s">
        <v>1432</v>
      </c>
      <c r="O593">
        <v>30</v>
      </c>
      <c r="P593">
        <v>107</v>
      </c>
      <c r="Q593" t="s">
        <v>24</v>
      </c>
      <c r="R593" t="s">
        <v>24</v>
      </c>
      <c r="S593" t="s">
        <v>30</v>
      </c>
      <c r="T593" t="s">
        <v>24</v>
      </c>
      <c r="U593">
        <f t="shared" si="38"/>
        <v>0</v>
      </c>
      <c r="V593">
        <v>186</v>
      </c>
      <c r="W593">
        <v>0.48899999999999999</v>
      </c>
      <c r="X593" t="s">
        <v>1406</v>
      </c>
      <c r="Y593">
        <v>146</v>
      </c>
      <c r="Z593">
        <v>74</v>
      </c>
      <c r="AA593" t="s">
        <v>40</v>
      </c>
      <c r="AB593">
        <v>217</v>
      </c>
      <c r="AC593" s="23">
        <v>7.23</v>
      </c>
      <c r="AD593" t="str">
        <f>IF(AND('CVD Dataset'!AA593="Normal",'CVD Dataset'!AB593&gt;AVERAGE('CVD Dataset'!AB:AB),'CVD Dataset'!AF593="High"),"High Lipid Category","Normal Category")</f>
        <v>Normal Category</v>
      </c>
      <c r="AE593">
        <v>19.16</v>
      </c>
      <c r="AF593" t="s">
        <v>28</v>
      </c>
      <c r="AG593">
        <v>0</v>
      </c>
      <c r="AH593" t="s">
        <v>1380</v>
      </c>
      <c r="AI593">
        <f t="shared" si="39"/>
        <v>0</v>
      </c>
      <c r="AJ593" t="s">
        <v>1391</v>
      </c>
    </row>
    <row r="594" spans="1:36" x14ac:dyDescent="0.3">
      <c r="A594" t="s">
        <v>22</v>
      </c>
      <c r="B594">
        <v>57</v>
      </c>
      <c r="C594">
        <v>118.9</v>
      </c>
      <c r="D594">
        <v>1.89</v>
      </c>
      <c r="E594">
        <v>33.299999999999997</v>
      </c>
      <c r="F594">
        <f t="shared" si="37"/>
        <v>33.285742280451281</v>
      </c>
      <c r="G594">
        <f t="shared" si="40"/>
        <v>0</v>
      </c>
      <c r="H594" t="s">
        <v>1399</v>
      </c>
      <c r="I594">
        <v>76.7</v>
      </c>
      <c r="J594" t="s">
        <v>527</v>
      </c>
      <c r="K594" s="24">
        <v>147</v>
      </c>
      <c r="L594" s="24">
        <v>74</v>
      </c>
      <c r="M594">
        <v>193</v>
      </c>
      <c r="N594" t="s">
        <v>1432</v>
      </c>
      <c r="O594">
        <v>43</v>
      </c>
      <c r="P594">
        <v>81</v>
      </c>
      <c r="Q594" t="s">
        <v>25</v>
      </c>
      <c r="R594" t="s">
        <v>24</v>
      </c>
      <c r="S594" t="s">
        <v>39</v>
      </c>
      <c r="T594" t="s">
        <v>24</v>
      </c>
      <c r="U594">
        <f t="shared" si="38"/>
        <v>1</v>
      </c>
      <c r="V594">
        <v>189</v>
      </c>
      <c r="W594">
        <v>0.40600000000000003</v>
      </c>
      <c r="X594" t="s">
        <v>1408</v>
      </c>
      <c r="Y594">
        <v>147</v>
      </c>
      <c r="Z594">
        <v>74</v>
      </c>
      <c r="AA594" t="s">
        <v>40</v>
      </c>
      <c r="AB594">
        <v>120</v>
      </c>
      <c r="AC594" s="23">
        <v>2.79</v>
      </c>
      <c r="AD594" t="str">
        <f>IF(AND('CVD Dataset'!AA594="Normal",'CVD Dataset'!AB594&gt;AVERAGE('CVD Dataset'!AB:AB),'CVD Dataset'!AF594="High"),"High Lipid Category","Normal Category")</f>
        <v>Normal Category</v>
      </c>
      <c r="AE594">
        <v>17.87</v>
      </c>
      <c r="AF594" t="s">
        <v>28</v>
      </c>
      <c r="AG594">
        <v>0</v>
      </c>
      <c r="AH594" t="s">
        <v>1380</v>
      </c>
      <c r="AI594">
        <f t="shared" si="39"/>
        <v>0</v>
      </c>
      <c r="AJ594" t="s">
        <v>1391</v>
      </c>
    </row>
    <row r="595" spans="1:36" x14ac:dyDescent="0.3">
      <c r="A595" t="s">
        <v>33</v>
      </c>
      <c r="B595">
        <v>35</v>
      </c>
      <c r="C595">
        <v>63</v>
      </c>
      <c r="D595">
        <v>1.76</v>
      </c>
      <c r="E595">
        <v>20.3</v>
      </c>
      <c r="F595">
        <f t="shared" si="37"/>
        <v>20.338326446280991</v>
      </c>
      <c r="G595">
        <f t="shared" si="40"/>
        <v>0</v>
      </c>
      <c r="H595" t="s">
        <v>1398</v>
      </c>
      <c r="I595">
        <v>91.9</v>
      </c>
      <c r="J595" t="s">
        <v>552</v>
      </c>
      <c r="K595" s="24">
        <v>139</v>
      </c>
      <c r="L595" s="24">
        <v>89</v>
      </c>
      <c r="M595">
        <v>187</v>
      </c>
      <c r="N595" t="s">
        <v>1432</v>
      </c>
      <c r="O595">
        <v>74</v>
      </c>
      <c r="P595">
        <v>146</v>
      </c>
      <c r="Q595" t="s">
        <v>25</v>
      </c>
      <c r="R595" t="s">
        <v>24</v>
      </c>
      <c r="S595" t="s">
        <v>39</v>
      </c>
      <c r="T595" t="s">
        <v>25</v>
      </c>
      <c r="U595">
        <f t="shared" si="38"/>
        <v>2</v>
      </c>
      <c r="V595">
        <v>176</v>
      </c>
      <c r="W595">
        <v>0.52200000000000002</v>
      </c>
      <c r="X595" t="s">
        <v>1406</v>
      </c>
      <c r="Y595">
        <v>139</v>
      </c>
      <c r="Z595">
        <v>89</v>
      </c>
      <c r="AA595" t="s">
        <v>31</v>
      </c>
      <c r="AB595">
        <v>83</v>
      </c>
      <c r="AC595" s="23">
        <v>1.1200000000000001</v>
      </c>
      <c r="AD595" t="str">
        <f>IF(AND('CVD Dataset'!AA595="Normal",'CVD Dataset'!AB595&gt;AVERAGE('CVD Dataset'!AB:AB),'CVD Dataset'!AF595="High"),"High Lipid Category","Normal Category")</f>
        <v>Normal Category</v>
      </c>
      <c r="AE595">
        <v>14.75</v>
      </c>
      <c r="AF595" t="s">
        <v>28</v>
      </c>
      <c r="AG595">
        <v>0</v>
      </c>
      <c r="AH595" t="s">
        <v>1380</v>
      </c>
      <c r="AI595">
        <f t="shared" si="39"/>
        <v>0</v>
      </c>
      <c r="AJ595" t="s">
        <v>1391</v>
      </c>
    </row>
    <row r="596" spans="1:36" x14ac:dyDescent="0.3">
      <c r="A596" t="s">
        <v>22</v>
      </c>
      <c r="B596">
        <v>47</v>
      </c>
      <c r="C596">
        <v>77.2</v>
      </c>
      <c r="D596">
        <v>1.61</v>
      </c>
      <c r="E596">
        <v>29.8</v>
      </c>
      <c r="F596">
        <f t="shared" si="37"/>
        <v>29.782801589444848</v>
      </c>
      <c r="G596">
        <f t="shared" si="40"/>
        <v>0</v>
      </c>
      <c r="H596" t="s">
        <v>1400</v>
      </c>
      <c r="I596">
        <v>86.9</v>
      </c>
      <c r="J596" t="s">
        <v>553</v>
      </c>
      <c r="K596" s="24">
        <v>129</v>
      </c>
      <c r="L596" s="24">
        <v>88</v>
      </c>
      <c r="M596">
        <v>276</v>
      </c>
      <c r="N596" t="s">
        <v>1432</v>
      </c>
      <c r="O596">
        <v>78</v>
      </c>
      <c r="P596">
        <v>86</v>
      </c>
      <c r="Q596" t="s">
        <v>24</v>
      </c>
      <c r="R596" t="s">
        <v>24</v>
      </c>
      <c r="S596" t="s">
        <v>26</v>
      </c>
      <c r="T596" t="s">
        <v>25</v>
      </c>
      <c r="U596">
        <f t="shared" si="38"/>
        <v>2</v>
      </c>
      <c r="V596">
        <v>161</v>
      </c>
      <c r="W596">
        <v>0.54</v>
      </c>
      <c r="X596" t="s">
        <v>1407</v>
      </c>
      <c r="Y596">
        <v>129</v>
      </c>
      <c r="Z596">
        <v>88</v>
      </c>
      <c r="AA596" t="s">
        <v>31</v>
      </c>
      <c r="AB596">
        <v>168</v>
      </c>
      <c r="AC596" s="23">
        <v>2.15</v>
      </c>
      <c r="AD596" t="str">
        <f>IF(AND('CVD Dataset'!AA596="Normal",'CVD Dataset'!AB596&gt;AVERAGE('CVD Dataset'!AB:AB),'CVD Dataset'!AF596="High"),"High Lipid Category","Normal Category")</f>
        <v>Normal Category</v>
      </c>
      <c r="AE596">
        <v>17.93</v>
      </c>
      <c r="AF596" t="s">
        <v>32</v>
      </c>
      <c r="AG596">
        <v>1</v>
      </c>
      <c r="AH596" t="s">
        <v>1379</v>
      </c>
      <c r="AI596">
        <f t="shared" si="39"/>
        <v>1</v>
      </c>
      <c r="AJ596" t="s">
        <v>1391</v>
      </c>
    </row>
    <row r="597" spans="1:36" x14ac:dyDescent="0.3">
      <c r="A597" t="s">
        <v>33</v>
      </c>
      <c r="B597">
        <v>55</v>
      </c>
      <c r="C597">
        <v>52.9</v>
      </c>
      <c r="D597">
        <v>1.69</v>
      </c>
      <c r="E597">
        <v>18.5</v>
      </c>
      <c r="F597">
        <f t="shared" si="37"/>
        <v>18.521760442561536</v>
      </c>
      <c r="G597">
        <f t="shared" si="40"/>
        <v>0</v>
      </c>
      <c r="H597" t="s">
        <v>1398</v>
      </c>
      <c r="J597" t="s">
        <v>554</v>
      </c>
      <c r="K597" s="24">
        <v>106</v>
      </c>
      <c r="L597" s="24">
        <v>66</v>
      </c>
      <c r="M597">
        <v>170</v>
      </c>
      <c r="N597" t="s">
        <v>1433</v>
      </c>
      <c r="O597">
        <v>59</v>
      </c>
      <c r="P597">
        <v>130</v>
      </c>
      <c r="Q597" t="s">
        <v>24</v>
      </c>
      <c r="R597" t="s">
        <v>25</v>
      </c>
      <c r="S597" t="s">
        <v>30</v>
      </c>
      <c r="T597" t="s">
        <v>25</v>
      </c>
      <c r="U597">
        <f t="shared" si="38"/>
        <v>2</v>
      </c>
      <c r="V597">
        <v>169</v>
      </c>
      <c r="W597">
        <v>0.45600000000000002</v>
      </c>
      <c r="X597" t="s">
        <v>1408</v>
      </c>
      <c r="Y597">
        <v>106</v>
      </c>
      <c r="Z597">
        <v>66</v>
      </c>
      <c r="AA597" t="s">
        <v>35</v>
      </c>
      <c r="AB597">
        <v>81</v>
      </c>
      <c r="AC597" s="23">
        <v>1.37</v>
      </c>
      <c r="AD597" t="str">
        <f>IF(AND('CVD Dataset'!AA597="Normal",'CVD Dataset'!AB597&gt;AVERAGE('CVD Dataset'!AB:AB),'CVD Dataset'!AF597="High"),"High Lipid Category","Normal Category")</f>
        <v>Normal Category</v>
      </c>
      <c r="AE597">
        <v>14.4</v>
      </c>
      <c r="AF597" t="s">
        <v>28</v>
      </c>
      <c r="AG597">
        <v>0</v>
      </c>
      <c r="AH597" t="s">
        <v>1380</v>
      </c>
      <c r="AI597">
        <f t="shared" si="39"/>
        <v>0</v>
      </c>
      <c r="AJ597" t="s">
        <v>1391</v>
      </c>
    </row>
    <row r="598" spans="1:36" x14ac:dyDescent="0.3">
      <c r="A598" t="s">
        <v>33</v>
      </c>
      <c r="B598">
        <v>32</v>
      </c>
      <c r="C598">
        <v>75.8</v>
      </c>
      <c r="D598">
        <v>1.9</v>
      </c>
      <c r="E598">
        <v>21</v>
      </c>
      <c r="F598">
        <f t="shared" si="37"/>
        <v>20.997229916897506</v>
      </c>
      <c r="G598">
        <f t="shared" si="40"/>
        <v>0</v>
      </c>
      <c r="H598" t="s">
        <v>1398</v>
      </c>
      <c r="I598">
        <v>104</v>
      </c>
      <c r="J598" t="s">
        <v>555</v>
      </c>
      <c r="K598" s="24">
        <v>138</v>
      </c>
      <c r="L598" s="24">
        <v>81</v>
      </c>
      <c r="M598">
        <v>239</v>
      </c>
      <c r="N598" t="s">
        <v>1432</v>
      </c>
      <c r="O598">
        <v>47</v>
      </c>
      <c r="P598">
        <v>116</v>
      </c>
      <c r="Q598" t="s">
        <v>25</v>
      </c>
      <c r="R598" t="s">
        <v>25</v>
      </c>
      <c r="S598" t="s">
        <v>26</v>
      </c>
      <c r="T598" t="s">
        <v>25</v>
      </c>
      <c r="U598">
        <f t="shared" si="38"/>
        <v>4</v>
      </c>
      <c r="V598">
        <v>190</v>
      </c>
      <c r="W598">
        <v>0.54700000000000004</v>
      </c>
      <c r="X598" t="s">
        <v>1407</v>
      </c>
      <c r="Y598">
        <v>138</v>
      </c>
      <c r="Z598">
        <v>81</v>
      </c>
      <c r="AA598" t="s">
        <v>31</v>
      </c>
      <c r="AB598">
        <v>162</v>
      </c>
      <c r="AC598" s="23">
        <v>3.45</v>
      </c>
      <c r="AD598" t="str">
        <f>IF(AND('CVD Dataset'!AA598="Normal",'CVD Dataset'!AB598&gt;AVERAGE('CVD Dataset'!AB:AB),'CVD Dataset'!AF598="High"),"High Lipid Category","Normal Category")</f>
        <v>Normal Category</v>
      </c>
      <c r="AE598">
        <v>17.88</v>
      </c>
      <c r="AF598" t="s">
        <v>32</v>
      </c>
      <c r="AG598">
        <v>0</v>
      </c>
      <c r="AH598" t="s">
        <v>1379</v>
      </c>
      <c r="AI598">
        <f t="shared" si="39"/>
        <v>1</v>
      </c>
      <c r="AJ598" t="s">
        <v>1391</v>
      </c>
    </row>
    <row r="599" spans="1:36" x14ac:dyDescent="0.3">
      <c r="A599" t="s">
        <v>22</v>
      </c>
      <c r="C599">
        <v>76.3</v>
      </c>
      <c r="D599">
        <v>1.63</v>
      </c>
      <c r="E599">
        <v>28.7</v>
      </c>
      <c r="F599">
        <f t="shared" si="37"/>
        <v>28.717678497497083</v>
      </c>
      <c r="G599">
        <f t="shared" si="40"/>
        <v>0</v>
      </c>
      <c r="H599" t="s">
        <v>1400</v>
      </c>
      <c r="I599">
        <v>71.400000000000006</v>
      </c>
      <c r="J599" t="s">
        <v>556</v>
      </c>
      <c r="K599" s="24">
        <v>91</v>
      </c>
      <c r="L599" s="24">
        <v>80</v>
      </c>
      <c r="M599">
        <v>183</v>
      </c>
      <c r="N599" t="s">
        <v>1432</v>
      </c>
      <c r="O599">
        <v>50</v>
      </c>
      <c r="P599">
        <v>84</v>
      </c>
      <c r="Q599" t="s">
        <v>25</v>
      </c>
      <c r="R599" t="s">
        <v>24</v>
      </c>
      <c r="S599" t="s">
        <v>39</v>
      </c>
      <c r="T599" t="s">
        <v>25</v>
      </c>
      <c r="U599">
        <f t="shared" si="38"/>
        <v>2</v>
      </c>
      <c r="V599">
        <v>163</v>
      </c>
      <c r="W599">
        <v>0.438</v>
      </c>
      <c r="X599" t="s">
        <v>1408</v>
      </c>
      <c r="Y599">
        <v>91</v>
      </c>
      <c r="Z599">
        <v>80</v>
      </c>
      <c r="AA599" t="s">
        <v>31</v>
      </c>
      <c r="AB599">
        <v>103</v>
      </c>
      <c r="AC599" s="23">
        <v>2.06</v>
      </c>
      <c r="AD599" t="str">
        <f>IF(AND('CVD Dataset'!AA599="Normal",'CVD Dataset'!AB599&gt;AVERAGE('CVD Dataset'!AB:AB),'CVD Dataset'!AF599="High"),"High Lipid Category","Normal Category")</f>
        <v>Normal Category</v>
      </c>
      <c r="AE599">
        <v>13.95</v>
      </c>
      <c r="AF599" t="s">
        <v>32</v>
      </c>
      <c r="AG599">
        <v>0</v>
      </c>
      <c r="AH599" t="s">
        <v>1379</v>
      </c>
      <c r="AI599">
        <f t="shared" si="39"/>
        <v>1</v>
      </c>
      <c r="AJ599" t="s">
        <v>1391</v>
      </c>
    </row>
    <row r="600" spans="1:36" x14ac:dyDescent="0.3">
      <c r="A600" t="s">
        <v>33</v>
      </c>
      <c r="B600">
        <v>34</v>
      </c>
      <c r="C600">
        <v>55</v>
      </c>
      <c r="D600">
        <v>1.73</v>
      </c>
      <c r="F600">
        <f t="shared" si="37"/>
        <v>18.376825152861773</v>
      </c>
      <c r="G600">
        <f t="shared" si="40"/>
        <v>1</v>
      </c>
      <c r="H600" t="s">
        <v>1401</v>
      </c>
      <c r="I600">
        <v>78.8</v>
      </c>
      <c r="J600" t="s">
        <v>557</v>
      </c>
      <c r="K600" s="24">
        <v>140</v>
      </c>
      <c r="L600" s="24">
        <v>88</v>
      </c>
      <c r="M600">
        <v>174</v>
      </c>
      <c r="N600" t="s">
        <v>1433</v>
      </c>
      <c r="O600">
        <v>56</v>
      </c>
      <c r="P600">
        <v>95</v>
      </c>
      <c r="Q600" t="s">
        <v>25</v>
      </c>
      <c r="R600" t="s">
        <v>24</v>
      </c>
      <c r="S600" t="s">
        <v>26</v>
      </c>
      <c r="T600" t="s">
        <v>25</v>
      </c>
      <c r="U600">
        <f t="shared" si="38"/>
        <v>3</v>
      </c>
      <c r="V600">
        <v>173</v>
      </c>
      <c r="W600">
        <v>0.45500000000000002</v>
      </c>
      <c r="X600" t="s">
        <v>1408</v>
      </c>
      <c r="Y600">
        <v>140</v>
      </c>
      <c r="Z600">
        <v>88</v>
      </c>
      <c r="AA600" t="s">
        <v>31</v>
      </c>
      <c r="AB600">
        <v>88</v>
      </c>
      <c r="AC600" s="23">
        <v>1.57</v>
      </c>
      <c r="AD600" t="str">
        <f>IF(AND('CVD Dataset'!AA600="Normal",'CVD Dataset'!AB600&gt;AVERAGE('CVD Dataset'!AB:AB),'CVD Dataset'!AF600="High"),"High Lipid Category","Normal Category")</f>
        <v>Normal Category</v>
      </c>
      <c r="AE600">
        <v>14.16</v>
      </c>
      <c r="AF600" t="s">
        <v>28</v>
      </c>
      <c r="AG600">
        <v>0</v>
      </c>
      <c r="AH600" t="s">
        <v>1380</v>
      </c>
      <c r="AI600">
        <f t="shared" si="39"/>
        <v>0</v>
      </c>
      <c r="AJ600" t="s">
        <v>1391</v>
      </c>
    </row>
    <row r="601" spans="1:36" x14ac:dyDescent="0.3">
      <c r="A601" t="s">
        <v>22</v>
      </c>
      <c r="B601">
        <v>43</v>
      </c>
      <c r="C601">
        <v>59.6</v>
      </c>
      <c r="D601">
        <v>1.78</v>
      </c>
      <c r="E601">
        <v>18.8</v>
      </c>
      <c r="F601">
        <f t="shared" si="37"/>
        <v>18.810756217649285</v>
      </c>
      <c r="G601">
        <f t="shared" si="40"/>
        <v>0</v>
      </c>
      <c r="H601" t="s">
        <v>1398</v>
      </c>
      <c r="I601">
        <v>70.3</v>
      </c>
      <c r="J601" t="s">
        <v>558</v>
      </c>
      <c r="K601" s="24">
        <v>128</v>
      </c>
      <c r="L601" s="24">
        <v>94</v>
      </c>
      <c r="N601" t="s">
        <v>1434</v>
      </c>
      <c r="O601">
        <v>34</v>
      </c>
      <c r="P601">
        <v>84</v>
      </c>
      <c r="Q601" t="s">
        <v>25</v>
      </c>
      <c r="R601" t="s">
        <v>25</v>
      </c>
      <c r="S601" t="s">
        <v>30</v>
      </c>
      <c r="T601" t="s">
        <v>24</v>
      </c>
      <c r="U601">
        <f t="shared" si="38"/>
        <v>2</v>
      </c>
      <c r="V601">
        <v>178</v>
      </c>
      <c r="W601">
        <v>0.39500000000000002</v>
      </c>
      <c r="X601" t="s">
        <v>1408</v>
      </c>
      <c r="Y601">
        <v>128</v>
      </c>
      <c r="Z601">
        <v>94</v>
      </c>
      <c r="AA601" t="s">
        <v>40</v>
      </c>
      <c r="AB601">
        <v>172</v>
      </c>
      <c r="AC601" s="23">
        <v>5.0599999999999996</v>
      </c>
      <c r="AD601" t="str">
        <f>IF(AND('CVD Dataset'!AA601="Normal",'CVD Dataset'!AB601&gt;AVERAGE('CVD Dataset'!AB:AB),'CVD Dataset'!AF601="High"),"High Lipid Category","Normal Category")</f>
        <v>Normal Category</v>
      </c>
      <c r="AE601">
        <v>16.88</v>
      </c>
      <c r="AF601" t="s">
        <v>32</v>
      </c>
      <c r="AG601">
        <v>0</v>
      </c>
      <c r="AH601" t="s">
        <v>1379</v>
      </c>
      <c r="AI601">
        <f t="shared" si="39"/>
        <v>1</v>
      </c>
      <c r="AJ601" t="s">
        <v>1391</v>
      </c>
    </row>
    <row r="602" spans="1:36" x14ac:dyDescent="0.3">
      <c r="A602" t="s">
        <v>22</v>
      </c>
      <c r="B602">
        <v>31</v>
      </c>
      <c r="C602">
        <v>94.7</v>
      </c>
      <c r="D602">
        <v>1.7</v>
      </c>
      <c r="E602">
        <v>32.799999999999997</v>
      </c>
      <c r="F602">
        <f t="shared" si="37"/>
        <v>32.768166089965405</v>
      </c>
      <c r="G602">
        <f t="shared" si="40"/>
        <v>0</v>
      </c>
      <c r="H602" t="s">
        <v>1399</v>
      </c>
      <c r="I602">
        <v>90.1</v>
      </c>
      <c r="J602" t="s">
        <v>559</v>
      </c>
      <c r="K602" s="24">
        <v>115</v>
      </c>
      <c r="L602" s="24">
        <v>60</v>
      </c>
      <c r="M602">
        <v>105</v>
      </c>
      <c r="N602" t="s">
        <v>1434</v>
      </c>
      <c r="O602">
        <v>31</v>
      </c>
      <c r="P602">
        <v>79</v>
      </c>
      <c r="Q602" t="s">
        <v>25</v>
      </c>
      <c r="R602" t="s">
        <v>25</v>
      </c>
      <c r="S602" t="s">
        <v>26</v>
      </c>
      <c r="T602" t="s">
        <v>24</v>
      </c>
      <c r="U602">
        <f t="shared" si="38"/>
        <v>3</v>
      </c>
      <c r="V602">
        <v>170</v>
      </c>
      <c r="W602">
        <v>0.53</v>
      </c>
      <c r="X602" t="s">
        <v>1407</v>
      </c>
      <c r="Y602">
        <v>115</v>
      </c>
      <c r="Z602">
        <v>60</v>
      </c>
      <c r="AA602" t="s">
        <v>35</v>
      </c>
      <c r="AB602">
        <v>44</v>
      </c>
      <c r="AC602" s="23">
        <v>1.42</v>
      </c>
      <c r="AD602" t="str">
        <f>IF(AND('CVD Dataset'!AA602="Normal",'CVD Dataset'!AB602&gt;AVERAGE('CVD Dataset'!AB:AB),'CVD Dataset'!AF602="High"),"High Lipid Category","Normal Category")</f>
        <v>Normal Category</v>
      </c>
      <c r="AE602">
        <v>16.41</v>
      </c>
      <c r="AF602" t="s">
        <v>32</v>
      </c>
      <c r="AG602">
        <v>0</v>
      </c>
      <c r="AH602" t="s">
        <v>1379</v>
      </c>
      <c r="AI602">
        <f t="shared" si="39"/>
        <v>1</v>
      </c>
      <c r="AJ602" t="s">
        <v>1391</v>
      </c>
    </row>
    <row r="603" spans="1:36" x14ac:dyDescent="0.3">
      <c r="A603" t="s">
        <v>33</v>
      </c>
      <c r="B603">
        <v>52</v>
      </c>
      <c r="C603">
        <v>105.5</v>
      </c>
      <c r="D603">
        <v>1.88</v>
      </c>
      <c r="E603">
        <v>29.8</v>
      </c>
      <c r="F603">
        <f t="shared" si="37"/>
        <v>29.849479402444548</v>
      </c>
      <c r="G603">
        <f t="shared" si="40"/>
        <v>0</v>
      </c>
      <c r="H603" t="s">
        <v>1400</v>
      </c>
      <c r="I603">
        <v>90.4</v>
      </c>
      <c r="J603" t="s">
        <v>560</v>
      </c>
      <c r="K603" s="24">
        <v>102</v>
      </c>
      <c r="L603" s="24">
        <v>82</v>
      </c>
      <c r="M603">
        <v>241</v>
      </c>
      <c r="N603" t="s">
        <v>1432</v>
      </c>
      <c r="O603">
        <v>67</v>
      </c>
      <c r="P603">
        <v>134</v>
      </c>
      <c r="Q603" t="s">
        <v>25</v>
      </c>
      <c r="R603" t="s">
        <v>24</v>
      </c>
      <c r="S603" t="s">
        <v>26</v>
      </c>
      <c r="T603" t="s">
        <v>24</v>
      </c>
      <c r="U603">
        <f t="shared" si="38"/>
        <v>2</v>
      </c>
      <c r="V603">
        <v>188</v>
      </c>
      <c r="W603">
        <v>0.48099999999999998</v>
      </c>
      <c r="X603" t="s">
        <v>1406</v>
      </c>
      <c r="Y603">
        <v>102</v>
      </c>
      <c r="Z603">
        <v>82</v>
      </c>
      <c r="AA603" t="s">
        <v>31</v>
      </c>
      <c r="AB603">
        <v>144</v>
      </c>
      <c r="AC603" s="23">
        <v>2.15</v>
      </c>
      <c r="AD603" t="str">
        <f>IF(AND('CVD Dataset'!AA603="Normal",'CVD Dataset'!AB603&gt;AVERAGE('CVD Dataset'!AB:AB),'CVD Dataset'!AF603="High"),"High Lipid Category","Normal Category")</f>
        <v>Normal Category</v>
      </c>
      <c r="AE603">
        <v>15.88</v>
      </c>
      <c r="AF603" t="s">
        <v>32</v>
      </c>
      <c r="AG603">
        <v>1</v>
      </c>
      <c r="AH603" t="s">
        <v>1379</v>
      </c>
      <c r="AI603">
        <f t="shared" si="39"/>
        <v>1</v>
      </c>
      <c r="AJ603" t="s">
        <v>1391</v>
      </c>
    </row>
    <row r="604" spans="1:36" x14ac:dyDescent="0.3">
      <c r="A604" t="s">
        <v>33</v>
      </c>
      <c r="B604">
        <v>55</v>
      </c>
      <c r="C604">
        <v>84.6</v>
      </c>
      <c r="D604">
        <v>1.77</v>
      </c>
      <c r="E604">
        <v>27</v>
      </c>
      <c r="F604">
        <f t="shared" si="37"/>
        <v>27.003734559034758</v>
      </c>
      <c r="G604">
        <f t="shared" si="40"/>
        <v>0</v>
      </c>
      <c r="H604" t="s">
        <v>1400</v>
      </c>
      <c r="I604">
        <v>79.599999999999994</v>
      </c>
      <c r="J604" t="s">
        <v>561</v>
      </c>
      <c r="K604" s="24">
        <v>101</v>
      </c>
      <c r="L604" s="24">
        <v>96</v>
      </c>
      <c r="M604">
        <v>273</v>
      </c>
      <c r="N604" t="s">
        <v>1432</v>
      </c>
      <c r="O604">
        <v>33</v>
      </c>
      <c r="P604">
        <v>100</v>
      </c>
      <c r="Q604" t="s">
        <v>25</v>
      </c>
      <c r="R604" t="s">
        <v>24</v>
      </c>
      <c r="S604" t="s">
        <v>30</v>
      </c>
      <c r="T604" t="s">
        <v>24</v>
      </c>
      <c r="U604">
        <f t="shared" si="38"/>
        <v>1</v>
      </c>
      <c r="V604">
        <v>177</v>
      </c>
      <c r="W604">
        <v>0.45</v>
      </c>
      <c r="X604" t="s">
        <v>1408</v>
      </c>
      <c r="Y604">
        <v>101</v>
      </c>
      <c r="Z604">
        <v>96</v>
      </c>
      <c r="AA604" t="s">
        <v>40</v>
      </c>
      <c r="AB604">
        <v>210</v>
      </c>
      <c r="AC604" s="23">
        <v>6.36</v>
      </c>
      <c r="AD604" t="str">
        <f>IF(AND('CVD Dataset'!AA604="Normal",'CVD Dataset'!AB604&gt;AVERAGE('CVD Dataset'!AB:AB),'CVD Dataset'!AF604="High"),"High Lipid Category","Normal Category")</f>
        <v>Normal Category</v>
      </c>
      <c r="AE604">
        <v>15.91</v>
      </c>
      <c r="AF604" t="s">
        <v>32</v>
      </c>
      <c r="AG604">
        <v>0</v>
      </c>
      <c r="AH604" t="s">
        <v>1379</v>
      </c>
      <c r="AI604">
        <f t="shared" si="39"/>
        <v>1</v>
      </c>
      <c r="AJ604" t="s">
        <v>1391</v>
      </c>
    </row>
    <row r="605" spans="1:36" x14ac:dyDescent="0.3">
      <c r="A605" t="s">
        <v>22</v>
      </c>
      <c r="B605">
        <v>31</v>
      </c>
      <c r="C605">
        <v>105.5</v>
      </c>
      <c r="D605">
        <v>1.77</v>
      </c>
      <c r="E605">
        <v>33.700000000000003</v>
      </c>
      <c r="F605">
        <f t="shared" si="37"/>
        <v>33.674869928819938</v>
      </c>
      <c r="G605">
        <f t="shared" si="40"/>
        <v>0</v>
      </c>
      <c r="H605" t="s">
        <v>1399</v>
      </c>
      <c r="I605">
        <v>77.900000000000006</v>
      </c>
      <c r="J605" t="s">
        <v>331</v>
      </c>
      <c r="K605" s="24">
        <v>142</v>
      </c>
      <c r="L605" s="24">
        <v>67</v>
      </c>
      <c r="M605">
        <v>134</v>
      </c>
      <c r="N605" t="s">
        <v>1434</v>
      </c>
      <c r="O605">
        <v>63</v>
      </c>
      <c r="P605">
        <v>85</v>
      </c>
      <c r="Q605" t="s">
        <v>24</v>
      </c>
      <c r="R605" t="s">
        <v>24</v>
      </c>
      <c r="S605" t="s">
        <v>30</v>
      </c>
      <c r="T605" t="s">
        <v>25</v>
      </c>
      <c r="U605">
        <f t="shared" si="38"/>
        <v>1</v>
      </c>
      <c r="V605">
        <v>177</v>
      </c>
      <c r="W605">
        <v>0.44</v>
      </c>
      <c r="X605" t="s">
        <v>1408</v>
      </c>
      <c r="Y605">
        <v>142</v>
      </c>
      <c r="Z605">
        <v>67</v>
      </c>
      <c r="AA605" t="s">
        <v>40</v>
      </c>
      <c r="AB605">
        <v>41</v>
      </c>
      <c r="AC605" s="23">
        <v>0.65</v>
      </c>
      <c r="AD605" t="str">
        <f>IF(AND('CVD Dataset'!AA605="Normal",'CVD Dataset'!AB605&gt;AVERAGE('CVD Dataset'!AB:AB),'CVD Dataset'!AF605="High"),"High Lipid Category","Normal Category")</f>
        <v>Normal Category</v>
      </c>
      <c r="AE605">
        <v>16.52</v>
      </c>
      <c r="AF605" t="s">
        <v>28</v>
      </c>
      <c r="AG605">
        <v>0</v>
      </c>
      <c r="AH605" t="s">
        <v>1380</v>
      </c>
      <c r="AI605">
        <f t="shared" si="39"/>
        <v>0</v>
      </c>
      <c r="AJ605" t="s">
        <v>1391</v>
      </c>
    </row>
    <row r="606" spans="1:36" x14ac:dyDescent="0.3">
      <c r="A606" t="s">
        <v>33</v>
      </c>
      <c r="B606">
        <v>43</v>
      </c>
      <c r="C606">
        <v>83.6</v>
      </c>
      <c r="D606">
        <v>1.88</v>
      </c>
      <c r="E606">
        <v>23.7</v>
      </c>
      <c r="F606">
        <f t="shared" si="37"/>
        <v>23.65323675871435</v>
      </c>
      <c r="G606">
        <f t="shared" si="40"/>
        <v>0</v>
      </c>
      <c r="H606" t="s">
        <v>1398</v>
      </c>
      <c r="I606">
        <v>91</v>
      </c>
      <c r="J606" t="s">
        <v>562</v>
      </c>
      <c r="K606" s="24">
        <v>106</v>
      </c>
      <c r="L606" s="24">
        <v>92</v>
      </c>
      <c r="M606">
        <v>245</v>
      </c>
      <c r="N606" t="s">
        <v>1432</v>
      </c>
      <c r="O606">
        <v>38</v>
      </c>
      <c r="P606">
        <v>138</v>
      </c>
      <c r="Q606" t="s">
        <v>25</v>
      </c>
      <c r="R606" t="s">
        <v>25</v>
      </c>
      <c r="S606" t="s">
        <v>26</v>
      </c>
      <c r="T606" t="s">
        <v>25</v>
      </c>
      <c r="U606">
        <f t="shared" si="38"/>
        <v>4</v>
      </c>
      <c r="V606">
        <v>188</v>
      </c>
      <c r="W606">
        <v>0.48399999999999999</v>
      </c>
      <c r="X606" t="s">
        <v>1406</v>
      </c>
      <c r="Y606">
        <v>106</v>
      </c>
      <c r="Z606">
        <v>92</v>
      </c>
      <c r="AA606" t="s">
        <v>40</v>
      </c>
      <c r="AB606">
        <v>177</v>
      </c>
      <c r="AC606" s="23">
        <v>4.66</v>
      </c>
      <c r="AD606" t="str">
        <f>IF(AND('CVD Dataset'!AA606="Normal",'CVD Dataset'!AB606&gt;AVERAGE('CVD Dataset'!AB:AB),'CVD Dataset'!AF606="High"),"High Lipid Category","Normal Category")</f>
        <v>Normal Category</v>
      </c>
      <c r="AE606">
        <v>16.940000000000001</v>
      </c>
      <c r="AF606" t="s">
        <v>32</v>
      </c>
      <c r="AG606">
        <v>0</v>
      </c>
      <c r="AH606" t="s">
        <v>1379</v>
      </c>
      <c r="AI606">
        <f t="shared" si="39"/>
        <v>1</v>
      </c>
      <c r="AJ606" t="s">
        <v>1391</v>
      </c>
    </row>
    <row r="607" spans="1:36" x14ac:dyDescent="0.3">
      <c r="A607" t="s">
        <v>22</v>
      </c>
      <c r="B607">
        <v>31</v>
      </c>
      <c r="C607">
        <v>119.5</v>
      </c>
      <c r="D607">
        <v>1.61</v>
      </c>
      <c r="E607">
        <v>46.1</v>
      </c>
      <c r="F607">
        <f t="shared" si="37"/>
        <v>46.101616449982636</v>
      </c>
      <c r="G607">
        <f t="shared" si="40"/>
        <v>0</v>
      </c>
      <c r="H607" t="s">
        <v>1399</v>
      </c>
      <c r="I607">
        <v>82.7</v>
      </c>
      <c r="J607" t="s">
        <v>563</v>
      </c>
      <c r="K607" s="24">
        <v>145</v>
      </c>
      <c r="L607" s="24">
        <v>93</v>
      </c>
      <c r="M607">
        <v>252</v>
      </c>
      <c r="N607" t="s">
        <v>1432</v>
      </c>
      <c r="O607">
        <v>58</v>
      </c>
      <c r="P607">
        <v>93</v>
      </c>
      <c r="Q607" t="s">
        <v>24</v>
      </c>
      <c r="R607" t="s">
        <v>25</v>
      </c>
      <c r="S607" t="s">
        <v>30</v>
      </c>
      <c r="T607" t="s">
        <v>24</v>
      </c>
      <c r="U607">
        <f t="shared" si="38"/>
        <v>1</v>
      </c>
      <c r="V607">
        <v>161</v>
      </c>
      <c r="W607">
        <v>0.51400000000000001</v>
      </c>
      <c r="X607" t="s">
        <v>1406</v>
      </c>
      <c r="Y607">
        <v>145</v>
      </c>
      <c r="Z607">
        <v>93</v>
      </c>
      <c r="AA607" t="s">
        <v>40</v>
      </c>
      <c r="AB607">
        <v>164</v>
      </c>
      <c r="AC607" s="23">
        <v>2.83</v>
      </c>
      <c r="AD607" t="str">
        <f>IF(AND('CVD Dataset'!AA607="Normal",'CVD Dataset'!AB607&gt;AVERAGE('CVD Dataset'!AB:AB),'CVD Dataset'!AF607="High"),"High Lipid Category","Normal Category")</f>
        <v>Normal Category</v>
      </c>
      <c r="AE607">
        <v>23.51</v>
      </c>
      <c r="AF607" t="s">
        <v>28</v>
      </c>
      <c r="AG607">
        <v>0</v>
      </c>
      <c r="AH607" t="s">
        <v>1380</v>
      </c>
      <c r="AI607">
        <f t="shared" si="39"/>
        <v>0</v>
      </c>
      <c r="AJ607" t="s">
        <v>1391</v>
      </c>
    </row>
    <row r="608" spans="1:36" x14ac:dyDescent="0.3">
      <c r="A608" t="s">
        <v>33</v>
      </c>
      <c r="B608">
        <v>40</v>
      </c>
      <c r="C608">
        <v>56.4</v>
      </c>
      <c r="D608">
        <v>1.85</v>
      </c>
      <c r="E608">
        <v>16.5</v>
      </c>
      <c r="F608">
        <f t="shared" si="37"/>
        <v>16.479181884587287</v>
      </c>
      <c r="G608">
        <f t="shared" si="40"/>
        <v>0</v>
      </c>
      <c r="H608" t="s">
        <v>1401</v>
      </c>
      <c r="I608">
        <v>84.2</v>
      </c>
      <c r="J608" t="s">
        <v>564</v>
      </c>
      <c r="K608" s="24">
        <v>144</v>
      </c>
      <c r="L608" s="24">
        <v>85</v>
      </c>
      <c r="M608">
        <v>155</v>
      </c>
      <c r="N608" t="s">
        <v>1433</v>
      </c>
      <c r="O608">
        <v>53</v>
      </c>
      <c r="P608">
        <v>104</v>
      </c>
      <c r="Q608" t="s">
        <v>24</v>
      </c>
      <c r="R608" t="s">
        <v>24</v>
      </c>
      <c r="S608" t="s">
        <v>39</v>
      </c>
      <c r="T608" t="s">
        <v>25</v>
      </c>
      <c r="U608">
        <f t="shared" si="38"/>
        <v>1</v>
      </c>
      <c r="V608">
        <v>185</v>
      </c>
      <c r="W608">
        <v>0.45500000000000002</v>
      </c>
      <c r="X608" t="s">
        <v>1408</v>
      </c>
      <c r="Y608">
        <v>144</v>
      </c>
      <c r="Z608">
        <v>85</v>
      </c>
      <c r="AA608" t="s">
        <v>31</v>
      </c>
      <c r="AB608">
        <v>72</v>
      </c>
      <c r="AC608" s="23">
        <v>1.36</v>
      </c>
      <c r="AD608" t="str">
        <f>IF(AND('CVD Dataset'!AA608="Normal",'CVD Dataset'!AB608&gt;AVERAGE('CVD Dataset'!AB:AB),'CVD Dataset'!AF608="High"),"High Lipid Category","Normal Category")</f>
        <v>Normal Category</v>
      </c>
      <c r="AE608">
        <v>13.6</v>
      </c>
      <c r="AF608" t="s">
        <v>54</v>
      </c>
      <c r="AG608">
        <v>0</v>
      </c>
      <c r="AH608" t="s">
        <v>1380</v>
      </c>
      <c r="AI608">
        <f t="shared" si="39"/>
        <v>0</v>
      </c>
      <c r="AJ608" t="s">
        <v>1391</v>
      </c>
    </row>
    <row r="609" spans="1:36" x14ac:dyDescent="0.3">
      <c r="A609" t="s">
        <v>22</v>
      </c>
      <c r="B609">
        <v>41</v>
      </c>
      <c r="C609">
        <v>97</v>
      </c>
      <c r="D609">
        <v>1.87</v>
      </c>
      <c r="E609">
        <v>27.7</v>
      </c>
      <c r="F609">
        <f t="shared" si="37"/>
        <v>27.738854413909458</v>
      </c>
      <c r="G609">
        <f t="shared" si="40"/>
        <v>0</v>
      </c>
      <c r="H609" t="s">
        <v>1400</v>
      </c>
      <c r="I609">
        <v>97.4</v>
      </c>
      <c r="J609" t="s">
        <v>565</v>
      </c>
      <c r="K609" s="24">
        <v>143</v>
      </c>
      <c r="L609" s="24">
        <v>100</v>
      </c>
      <c r="M609">
        <v>147</v>
      </c>
      <c r="N609" t="s">
        <v>1434</v>
      </c>
      <c r="O609">
        <v>73</v>
      </c>
      <c r="P609">
        <v>92</v>
      </c>
      <c r="Q609" t="s">
        <v>24</v>
      </c>
      <c r="R609" t="s">
        <v>25</v>
      </c>
      <c r="S609" t="s">
        <v>26</v>
      </c>
      <c r="T609" t="s">
        <v>24</v>
      </c>
      <c r="U609">
        <f t="shared" si="38"/>
        <v>2</v>
      </c>
      <c r="V609">
        <v>187</v>
      </c>
      <c r="W609">
        <v>0.52100000000000002</v>
      </c>
      <c r="X609" t="s">
        <v>1406</v>
      </c>
      <c r="Z609">
        <v>100</v>
      </c>
      <c r="AA609" t="s">
        <v>40</v>
      </c>
      <c r="AB609">
        <v>44</v>
      </c>
      <c r="AC609" s="23">
        <v>0.6</v>
      </c>
      <c r="AD609" t="str">
        <f>IF(AND('CVD Dataset'!AA609="Normal",'CVD Dataset'!AB609&gt;AVERAGE('CVD Dataset'!AB:AB),'CVD Dataset'!AF609="High"),"High Lipid Category","Normal Category")</f>
        <v>Normal Category</v>
      </c>
      <c r="AE609">
        <v>17.63</v>
      </c>
      <c r="AF609" t="s">
        <v>28</v>
      </c>
      <c r="AG609">
        <v>0</v>
      </c>
      <c r="AH609" t="s">
        <v>1380</v>
      </c>
      <c r="AI609">
        <f t="shared" si="39"/>
        <v>0</v>
      </c>
      <c r="AJ609" t="s">
        <v>1391</v>
      </c>
    </row>
    <row r="610" spans="1:36" x14ac:dyDescent="0.3">
      <c r="A610" t="s">
        <v>33</v>
      </c>
      <c r="B610">
        <v>50</v>
      </c>
      <c r="C610">
        <v>74.7</v>
      </c>
      <c r="D610">
        <v>1.66</v>
      </c>
      <c r="E610">
        <v>27.1</v>
      </c>
      <c r="F610">
        <f t="shared" si="37"/>
        <v>27.108433734939762</v>
      </c>
      <c r="G610">
        <f t="shared" si="40"/>
        <v>0</v>
      </c>
      <c r="H610" t="s">
        <v>1400</v>
      </c>
      <c r="I610">
        <v>71.900000000000006</v>
      </c>
      <c r="J610" t="s">
        <v>566</v>
      </c>
      <c r="K610" s="24">
        <v>92</v>
      </c>
      <c r="L610" s="24">
        <v>60</v>
      </c>
      <c r="M610">
        <v>119</v>
      </c>
      <c r="N610" t="s">
        <v>1434</v>
      </c>
      <c r="O610">
        <v>46</v>
      </c>
      <c r="P610">
        <v>104</v>
      </c>
      <c r="Q610" t="s">
        <v>24</v>
      </c>
      <c r="R610" t="s">
        <v>25</v>
      </c>
      <c r="S610" t="s">
        <v>30</v>
      </c>
      <c r="T610" t="s">
        <v>25</v>
      </c>
      <c r="U610">
        <f t="shared" si="38"/>
        <v>2</v>
      </c>
      <c r="V610">
        <v>166</v>
      </c>
      <c r="W610">
        <v>0.433</v>
      </c>
      <c r="X610" t="s">
        <v>1408</v>
      </c>
      <c r="Y610">
        <v>92</v>
      </c>
      <c r="Z610">
        <v>60</v>
      </c>
      <c r="AA610" t="s">
        <v>35</v>
      </c>
      <c r="AB610">
        <v>43</v>
      </c>
      <c r="AC610" s="23">
        <v>0.93</v>
      </c>
      <c r="AD610" t="str">
        <f>IF(AND('CVD Dataset'!AA610="Normal",'CVD Dataset'!AB610&gt;AVERAGE('CVD Dataset'!AB:AB),'CVD Dataset'!AF610="High"),"High Lipid Category","Normal Category")</f>
        <v>Normal Category</v>
      </c>
      <c r="AE610">
        <v>14.4</v>
      </c>
      <c r="AF610" t="s">
        <v>32</v>
      </c>
      <c r="AG610">
        <v>0</v>
      </c>
      <c r="AH610" t="s">
        <v>1379</v>
      </c>
      <c r="AI610">
        <f t="shared" si="39"/>
        <v>1</v>
      </c>
      <c r="AJ610" t="s">
        <v>1391</v>
      </c>
    </row>
    <row r="611" spans="1:36" x14ac:dyDescent="0.3">
      <c r="A611" t="s">
        <v>22</v>
      </c>
      <c r="B611">
        <v>34</v>
      </c>
      <c r="C611">
        <v>85.3</v>
      </c>
      <c r="D611">
        <v>1.65</v>
      </c>
      <c r="E611">
        <v>31.3</v>
      </c>
      <c r="F611">
        <f t="shared" si="37"/>
        <v>31.331496786042244</v>
      </c>
      <c r="G611">
        <f t="shared" si="40"/>
        <v>0</v>
      </c>
      <c r="H611" t="s">
        <v>1399</v>
      </c>
      <c r="I611">
        <v>80.8</v>
      </c>
      <c r="J611" t="s">
        <v>318</v>
      </c>
      <c r="K611" s="24">
        <v>104</v>
      </c>
      <c r="L611" s="24">
        <v>85</v>
      </c>
      <c r="M611">
        <v>233</v>
      </c>
      <c r="N611" t="s">
        <v>1432</v>
      </c>
      <c r="O611">
        <v>55</v>
      </c>
      <c r="P611">
        <v>137</v>
      </c>
      <c r="Q611" t="s">
        <v>25</v>
      </c>
      <c r="R611" t="s">
        <v>25</v>
      </c>
      <c r="S611" t="s">
        <v>39</v>
      </c>
      <c r="T611" t="s">
        <v>25</v>
      </c>
      <c r="U611">
        <f t="shared" si="38"/>
        <v>3</v>
      </c>
      <c r="V611">
        <v>165</v>
      </c>
      <c r="W611">
        <v>0.49</v>
      </c>
      <c r="X611" t="s">
        <v>1406</v>
      </c>
      <c r="Y611">
        <v>104</v>
      </c>
      <c r="Z611">
        <v>85</v>
      </c>
      <c r="AA611" t="s">
        <v>31</v>
      </c>
      <c r="AB611">
        <v>148</v>
      </c>
      <c r="AC611" s="23">
        <v>2.69</v>
      </c>
      <c r="AD611" t="str">
        <f>IF(AND('CVD Dataset'!AA611="Normal",'CVD Dataset'!AB611&gt;AVERAGE('CVD Dataset'!AB:AB),'CVD Dataset'!AF611="High"),"High Lipid Category","Normal Category")</f>
        <v>Normal Category</v>
      </c>
      <c r="AE611">
        <v>18.12</v>
      </c>
      <c r="AF611" t="s">
        <v>32</v>
      </c>
      <c r="AG611">
        <v>0</v>
      </c>
      <c r="AH611" t="s">
        <v>1379</v>
      </c>
      <c r="AI611">
        <f t="shared" si="39"/>
        <v>1</v>
      </c>
      <c r="AJ611" t="s">
        <v>1391</v>
      </c>
    </row>
    <row r="612" spans="1:36" x14ac:dyDescent="0.3">
      <c r="A612" t="s">
        <v>33</v>
      </c>
      <c r="B612">
        <v>35</v>
      </c>
      <c r="D612">
        <v>1.71</v>
      </c>
      <c r="E612">
        <v>31.2</v>
      </c>
      <c r="F612">
        <f t="shared" si="37"/>
        <v>0</v>
      </c>
      <c r="G612">
        <f t="shared" si="40"/>
        <v>1</v>
      </c>
      <c r="H612" t="s">
        <v>1399</v>
      </c>
      <c r="I612">
        <v>88.1</v>
      </c>
      <c r="J612" t="s">
        <v>567</v>
      </c>
      <c r="K612" s="24">
        <v>140</v>
      </c>
      <c r="L612" s="24">
        <v>66</v>
      </c>
      <c r="M612">
        <v>218</v>
      </c>
      <c r="N612" t="s">
        <v>1432</v>
      </c>
      <c r="P612">
        <v>137</v>
      </c>
      <c r="Q612" t="s">
        <v>25</v>
      </c>
      <c r="R612" t="s">
        <v>24</v>
      </c>
      <c r="S612" t="s">
        <v>39</v>
      </c>
      <c r="T612" t="s">
        <v>25</v>
      </c>
      <c r="U612">
        <f t="shared" si="38"/>
        <v>2</v>
      </c>
      <c r="V612">
        <v>171</v>
      </c>
      <c r="W612">
        <v>0.51500000000000001</v>
      </c>
      <c r="X612" t="s">
        <v>1406</v>
      </c>
      <c r="Y612">
        <v>140</v>
      </c>
      <c r="Z612">
        <v>66</v>
      </c>
      <c r="AA612" t="s">
        <v>40</v>
      </c>
      <c r="AB612">
        <v>138</v>
      </c>
      <c r="AC612" s="23" t="s">
        <v>1410</v>
      </c>
      <c r="AD612" t="str">
        <f>IF(AND('CVD Dataset'!AA612="Normal",'CVD Dataset'!AB612&gt;AVERAGE('CVD Dataset'!AB:AB),'CVD Dataset'!AF612="High"),"High Lipid Category","Normal Category")</f>
        <v>Normal Category</v>
      </c>
      <c r="AE612">
        <v>17.600000000000001</v>
      </c>
      <c r="AF612" t="s">
        <v>32</v>
      </c>
      <c r="AG612">
        <v>0</v>
      </c>
      <c r="AH612" t="s">
        <v>1379</v>
      </c>
      <c r="AI612">
        <f t="shared" si="39"/>
        <v>1</v>
      </c>
      <c r="AJ612" t="s">
        <v>1391</v>
      </c>
    </row>
    <row r="613" spans="1:36" x14ac:dyDescent="0.3">
      <c r="A613" t="s">
        <v>22</v>
      </c>
      <c r="B613">
        <v>54</v>
      </c>
      <c r="C613">
        <v>109.4</v>
      </c>
      <c r="D613">
        <v>1.83</v>
      </c>
      <c r="E613">
        <v>32.700000000000003</v>
      </c>
      <c r="F613">
        <f t="shared" si="37"/>
        <v>32.667443040998535</v>
      </c>
      <c r="G613">
        <f t="shared" si="40"/>
        <v>0</v>
      </c>
      <c r="H613" t="s">
        <v>1399</v>
      </c>
      <c r="I613">
        <v>88.5</v>
      </c>
      <c r="J613" t="s">
        <v>258</v>
      </c>
      <c r="K613" s="24">
        <v>127</v>
      </c>
      <c r="L613" s="24">
        <v>84</v>
      </c>
      <c r="M613">
        <v>150</v>
      </c>
      <c r="N613" t="s">
        <v>1433</v>
      </c>
      <c r="O613">
        <v>46</v>
      </c>
      <c r="P613">
        <v>78</v>
      </c>
      <c r="Q613" t="s">
        <v>25</v>
      </c>
      <c r="R613" t="s">
        <v>25</v>
      </c>
      <c r="S613" t="s">
        <v>39</v>
      </c>
      <c r="T613" t="s">
        <v>25</v>
      </c>
      <c r="U613">
        <f t="shared" si="38"/>
        <v>3</v>
      </c>
      <c r="V613">
        <v>183</v>
      </c>
      <c r="W613">
        <v>0.48399999999999999</v>
      </c>
      <c r="X613" t="s">
        <v>1406</v>
      </c>
      <c r="Y613">
        <v>127</v>
      </c>
      <c r="Z613">
        <v>84</v>
      </c>
      <c r="AA613" t="s">
        <v>31</v>
      </c>
      <c r="AB613">
        <v>74</v>
      </c>
      <c r="AC613" s="23">
        <v>1.61</v>
      </c>
      <c r="AD613" t="str">
        <f>IF(AND('CVD Dataset'!AA613="Normal",'CVD Dataset'!AB613&gt;AVERAGE('CVD Dataset'!AB:AB),'CVD Dataset'!AF613="High"),"High Lipid Category","Normal Category")</f>
        <v>Normal Category</v>
      </c>
      <c r="AE613">
        <v>17.89</v>
      </c>
      <c r="AF613" t="s">
        <v>32</v>
      </c>
      <c r="AG613">
        <v>0</v>
      </c>
      <c r="AH613" t="s">
        <v>1379</v>
      </c>
      <c r="AI613">
        <f t="shared" si="39"/>
        <v>1</v>
      </c>
      <c r="AJ613" t="s">
        <v>1392</v>
      </c>
    </row>
    <row r="614" spans="1:36" x14ac:dyDescent="0.3">
      <c r="A614" t="s">
        <v>33</v>
      </c>
      <c r="C614">
        <v>98.7</v>
      </c>
      <c r="D614">
        <v>1.63</v>
      </c>
      <c r="E614">
        <v>37.1</v>
      </c>
      <c r="F614">
        <f t="shared" si="37"/>
        <v>37.148556588505407</v>
      </c>
      <c r="G614">
        <f t="shared" si="40"/>
        <v>0</v>
      </c>
      <c r="H614" t="s">
        <v>1399</v>
      </c>
      <c r="I614">
        <v>89.7</v>
      </c>
      <c r="J614" t="s">
        <v>568</v>
      </c>
      <c r="K614" s="24">
        <v>139</v>
      </c>
      <c r="L614" s="24">
        <v>93</v>
      </c>
      <c r="M614">
        <v>158</v>
      </c>
      <c r="N614" t="s">
        <v>1433</v>
      </c>
      <c r="O614">
        <v>64</v>
      </c>
      <c r="P614">
        <v>131</v>
      </c>
      <c r="Q614" t="s">
        <v>25</v>
      </c>
      <c r="R614" t="s">
        <v>25</v>
      </c>
      <c r="S614" t="s">
        <v>39</v>
      </c>
      <c r="T614" t="s">
        <v>25</v>
      </c>
      <c r="U614">
        <f t="shared" si="38"/>
        <v>3</v>
      </c>
      <c r="V614">
        <v>163</v>
      </c>
      <c r="W614">
        <v>0.55000000000000004</v>
      </c>
      <c r="X614" t="s">
        <v>1407</v>
      </c>
      <c r="Y614">
        <v>139</v>
      </c>
      <c r="Z614">
        <v>93</v>
      </c>
      <c r="AA614" t="s">
        <v>31</v>
      </c>
      <c r="AB614">
        <v>64</v>
      </c>
      <c r="AC614" s="23">
        <v>1</v>
      </c>
      <c r="AD614" t="str">
        <f>IF(AND('CVD Dataset'!AA614="Normal",'CVD Dataset'!AB614&gt;AVERAGE('CVD Dataset'!AB:AB),'CVD Dataset'!AF614="High"),"High Lipid Category","Normal Category")</f>
        <v>Normal Category</v>
      </c>
      <c r="AE614">
        <v>19.53</v>
      </c>
      <c r="AF614" t="s">
        <v>32</v>
      </c>
      <c r="AG614">
        <v>1</v>
      </c>
      <c r="AH614" t="s">
        <v>1379</v>
      </c>
      <c r="AI614">
        <f t="shared" si="39"/>
        <v>1</v>
      </c>
      <c r="AJ614" t="s">
        <v>1391</v>
      </c>
    </row>
    <row r="615" spans="1:36" x14ac:dyDescent="0.3">
      <c r="A615" t="s">
        <v>22</v>
      </c>
      <c r="B615">
        <v>39</v>
      </c>
      <c r="C615">
        <v>116.3</v>
      </c>
      <c r="D615">
        <v>1.72</v>
      </c>
      <c r="E615">
        <v>39.299999999999997</v>
      </c>
      <c r="F615">
        <f t="shared" si="37"/>
        <v>39.311790156841539</v>
      </c>
      <c r="G615">
        <f t="shared" si="40"/>
        <v>0</v>
      </c>
      <c r="H615" t="s">
        <v>1399</v>
      </c>
      <c r="I615">
        <v>91.8</v>
      </c>
      <c r="J615" t="s">
        <v>569</v>
      </c>
      <c r="K615" s="24">
        <v>148</v>
      </c>
      <c r="L615" s="24">
        <v>100</v>
      </c>
      <c r="M615">
        <v>143</v>
      </c>
      <c r="N615" t="s">
        <v>1434</v>
      </c>
      <c r="O615">
        <v>31</v>
      </c>
      <c r="P615">
        <v>101</v>
      </c>
      <c r="Q615" t="s">
        <v>25</v>
      </c>
      <c r="R615" t="s">
        <v>25</v>
      </c>
      <c r="S615" t="s">
        <v>26</v>
      </c>
      <c r="T615" t="s">
        <v>25</v>
      </c>
      <c r="U615">
        <f t="shared" si="38"/>
        <v>4</v>
      </c>
      <c r="V615">
        <v>172</v>
      </c>
      <c r="W615">
        <v>0.53400000000000003</v>
      </c>
      <c r="X615" t="s">
        <v>1407</v>
      </c>
      <c r="Y615">
        <v>148</v>
      </c>
      <c r="Z615">
        <v>100</v>
      </c>
      <c r="AA615" t="s">
        <v>40</v>
      </c>
      <c r="AB615">
        <v>82</v>
      </c>
      <c r="AC615" s="23">
        <v>2.65</v>
      </c>
      <c r="AD615" t="str">
        <f>IF(AND('CVD Dataset'!AA615="Normal",'CVD Dataset'!AB615&gt;AVERAGE('CVD Dataset'!AB:AB),'CVD Dataset'!AF615="High"),"High Lipid Category","Normal Category")</f>
        <v>Normal Category</v>
      </c>
      <c r="AE615">
        <v>20.12</v>
      </c>
      <c r="AF615" t="s">
        <v>32</v>
      </c>
      <c r="AG615">
        <v>0</v>
      </c>
      <c r="AH615" t="s">
        <v>1379</v>
      </c>
      <c r="AI615">
        <f t="shared" si="39"/>
        <v>1</v>
      </c>
      <c r="AJ615" t="s">
        <v>1391</v>
      </c>
    </row>
    <row r="616" spans="1:36" x14ac:dyDescent="0.3">
      <c r="A616" t="s">
        <v>22</v>
      </c>
      <c r="B616">
        <v>42</v>
      </c>
      <c r="C616">
        <v>89.7</v>
      </c>
      <c r="D616">
        <v>1.7</v>
      </c>
      <c r="E616">
        <v>31</v>
      </c>
      <c r="F616">
        <f t="shared" si="37"/>
        <v>31.03806228373703</v>
      </c>
      <c r="G616">
        <f t="shared" si="40"/>
        <v>0</v>
      </c>
      <c r="H616" t="s">
        <v>1399</v>
      </c>
      <c r="I616">
        <v>83.5</v>
      </c>
      <c r="J616" t="s">
        <v>570</v>
      </c>
      <c r="K616" s="24">
        <v>146</v>
      </c>
      <c r="L616" s="24">
        <v>91</v>
      </c>
      <c r="M616">
        <v>217</v>
      </c>
      <c r="N616" t="s">
        <v>1432</v>
      </c>
      <c r="O616">
        <v>66</v>
      </c>
      <c r="P616">
        <v>132</v>
      </c>
      <c r="Q616" t="s">
        <v>24</v>
      </c>
      <c r="R616" t="s">
        <v>25</v>
      </c>
      <c r="S616" t="s">
        <v>30</v>
      </c>
      <c r="T616" t="s">
        <v>25</v>
      </c>
      <c r="U616">
        <f t="shared" si="38"/>
        <v>2</v>
      </c>
      <c r="V616">
        <v>170</v>
      </c>
      <c r="W616">
        <v>0.49099999999999999</v>
      </c>
      <c r="X616" t="s">
        <v>1406</v>
      </c>
      <c r="Y616">
        <v>146</v>
      </c>
      <c r="Z616">
        <v>91</v>
      </c>
      <c r="AA616" t="s">
        <v>40</v>
      </c>
      <c r="AB616">
        <v>121</v>
      </c>
      <c r="AC616" s="23">
        <v>1.83</v>
      </c>
      <c r="AD616" t="str">
        <f>IF(AND('CVD Dataset'!AA616="Normal",'CVD Dataset'!AB616&gt;AVERAGE('CVD Dataset'!AB:AB),'CVD Dataset'!AF616="High"),"High Lipid Category","Normal Category")</f>
        <v>Normal Category</v>
      </c>
      <c r="AE616">
        <v>19.84</v>
      </c>
      <c r="AF616" t="s">
        <v>32</v>
      </c>
      <c r="AG616">
        <v>1</v>
      </c>
      <c r="AH616" t="s">
        <v>1379</v>
      </c>
      <c r="AI616">
        <f t="shared" si="39"/>
        <v>1</v>
      </c>
      <c r="AJ616" t="s">
        <v>1391</v>
      </c>
    </row>
    <row r="617" spans="1:36" x14ac:dyDescent="0.3">
      <c r="A617" t="s">
        <v>33</v>
      </c>
      <c r="B617">
        <v>48</v>
      </c>
      <c r="C617">
        <v>95.7</v>
      </c>
      <c r="D617">
        <v>1.61</v>
      </c>
      <c r="E617">
        <v>36.9</v>
      </c>
      <c r="F617">
        <f t="shared" si="37"/>
        <v>36.919871918521658</v>
      </c>
      <c r="G617">
        <f t="shared" si="40"/>
        <v>0</v>
      </c>
      <c r="H617" t="s">
        <v>1399</v>
      </c>
      <c r="I617">
        <v>98.4</v>
      </c>
      <c r="J617" t="s">
        <v>118</v>
      </c>
      <c r="K617" s="24">
        <v>114</v>
      </c>
      <c r="L617" s="24">
        <v>63</v>
      </c>
      <c r="M617">
        <v>114</v>
      </c>
      <c r="N617" t="s">
        <v>1434</v>
      </c>
      <c r="O617">
        <v>47</v>
      </c>
      <c r="Q617" t="s">
        <v>24</v>
      </c>
      <c r="R617" t="s">
        <v>24</v>
      </c>
      <c r="S617" t="s">
        <v>39</v>
      </c>
      <c r="T617" t="s">
        <v>25</v>
      </c>
      <c r="U617">
        <f t="shared" si="38"/>
        <v>1</v>
      </c>
      <c r="V617">
        <v>161</v>
      </c>
      <c r="W617">
        <v>0.61099999999999999</v>
      </c>
      <c r="X617" t="s">
        <v>1409</v>
      </c>
      <c r="Y617">
        <v>114</v>
      </c>
      <c r="Z617">
        <v>63</v>
      </c>
      <c r="AA617" t="s">
        <v>35</v>
      </c>
      <c r="AB617">
        <v>37</v>
      </c>
      <c r="AC617" s="23">
        <v>0.79</v>
      </c>
      <c r="AD617" t="str">
        <f>IF(AND('CVD Dataset'!AA617="Normal",'CVD Dataset'!AB617&gt;AVERAGE('CVD Dataset'!AB:AB),'CVD Dataset'!AF617="High"),"High Lipid Category","Normal Category")</f>
        <v>Normal Category</v>
      </c>
      <c r="AE617">
        <v>15.36</v>
      </c>
      <c r="AF617" t="s">
        <v>28</v>
      </c>
      <c r="AG617">
        <v>0</v>
      </c>
      <c r="AH617" t="s">
        <v>1380</v>
      </c>
      <c r="AI617">
        <f t="shared" si="39"/>
        <v>0</v>
      </c>
      <c r="AJ617" t="s">
        <v>1391</v>
      </c>
    </row>
    <row r="618" spans="1:36" x14ac:dyDescent="0.3">
      <c r="A618" t="s">
        <v>33</v>
      </c>
      <c r="B618">
        <v>40</v>
      </c>
      <c r="C618">
        <v>59.8</v>
      </c>
      <c r="D618">
        <v>1.78</v>
      </c>
      <c r="E618">
        <v>18.899999999999999</v>
      </c>
      <c r="F618">
        <f t="shared" si="37"/>
        <v>18.873879560661532</v>
      </c>
      <c r="G618">
        <f t="shared" si="40"/>
        <v>0</v>
      </c>
      <c r="H618" t="s">
        <v>1398</v>
      </c>
      <c r="I618">
        <v>77.3</v>
      </c>
      <c r="J618" t="s">
        <v>571</v>
      </c>
      <c r="K618" s="24">
        <v>107</v>
      </c>
      <c r="L618" s="24">
        <v>75</v>
      </c>
      <c r="M618">
        <v>147</v>
      </c>
      <c r="N618" t="s">
        <v>1434</v>
      </c>
      <c r="O618">
        <v>78</v>
      </c>
      <c r="P618">
        <v>123</v>
      </c>
      <c r="Q618" t="s">
        <v>25</v>
      </c>
      <c r="R618" t="s">
        <v>24</v>
      </c>
      <c r="S618" t="s">
        <v>30</v>
      </c>
      <c r="T618" t="s">
        <v>25</v>
      </c>
      <c r="U618">
        <f t="shared" si="38"/>
        <v>2</v>
      </c>
      <c r="V618">
        <v>178</v>
      </c>
      <c r="W618">
        <v>0.434</v>
      </c>
      <c r="X618" t="s">
        <v>1408</v>
      </c>
      <c r="Y618">
        <v>107</v>
      </c>
      <c r="Z618">
        <v>75</v>
      </c>
      <c r="AA618" t="s">
        <v>35</v>
      </c>
      <c r="AB618">
        <v>39</v>
      </c>
      <c r="AC618" s="23">
        <v>0.5</v>
      </c>
      <c r="AD618" t="str">
        <f>IF(AND('CVD Dataset'!AA618="Normal",'CVD Dataset'!AB618&gt;AVERAGE('CVD Dataset'!AB:AB),'CVD Dataset'!AF618="High"),"High Lipid Category","Normal Category")</f>
        <v>Normal Category</v>
      </c>
      <c r="AE618">
        <v>12.07</v>
      </c>
      <c r="AF618" t="s">
        <v>28</v>
      </c>
      <c r="AG618">
        <v>0</v>
      </c>
      <c r="AH618" t="s">
        <v>1380</v>
      </c>
      <c r="AI618">
        <f t="shared" si="39"/>
        <v>0</v>
      </c>
      <c r="AJ618" t="s">
        <v>1391</v>
      </c>
    </row>
    <row r="619" spans="1:36" x14ac:dyDescent="0.3">
      <c r="A619" t="s">
        <v>33</v>
      </c>
      <c r="B619">
        <v>48</v>
      </c>
      <c r="C619">
        <v>59.5</v>
      </c>
      <c r="D619">
        <v>1.82</v>
      </c>
      <c r="E619">
        <v>18</v>
      </c>
      <c r="F619">
        <f t="shared" si="37"/>
        <v>17.962806424344883</v>
      </c>
      <c r="G619">
        <f t="shared" si="40"/>
        <v>0</v>
      </c>
      <c r="H619" t="s">
        <v>1401</v>
      </c>
      <c r="I619">
        <v>89.6</v>
      </c>
      <c r="J619" t="s">
        <v>572</v>
      </c>
      <c r="K619" s="24">
        <v>119</v>
      </c>
      <c r="L619" s="24">
        <v>70</v>
      </c>
      <c r="M619">
        <v>136</v>
      </c>
      <c r="N619" t="s">
        <v>1434</v>
      </c>
      <c r="O619">
        <v>68</v>
      </c>
      <c r="P619">
        <v>148</v>
      </c>
      <c r="Q619" t="s">
        <v>24</v>
      </c>
      <c r="R619" t="s">
        <v>24</v>
      </c>
      <c r="S619" t="s">
        <v>30</v>
      </c>
      <c r="T619" t="s">
        <v>24</v>
      </c>
      <c r="U619">
        <f t="shared" si="38"/>
        <v>0</v>
      </c>
      <c r="V619">
        <v>182</v>
      </c>
      <c r="W619">
        <v>0.49199999999999999</v>
      </c>
      <c r="X619" t="s">
        <v>1406</v>
      </c>
      <c r="Y619">
        <v>119</v>
      </c>
      <c r="Z619">
        <v>70</v>
      </c>
      <c r="AA619" t="s">
        <v>35</v>
      </c>
      <c r="AB619">
        <v>38</v>
      </c>
      <c r="AC619" s="23">
        <v>0.56000000000000005</v>
      </c>
      <c r="AD619" t="str">
        <f>IF(AND('CVD Dataset'!AA619="Normal",'CVD Dataset'!AB619&gt;AVERAGE('CVD Dataset'!AB:AB),'CVD Dataset'!AF619="High"),"High Lipid Category","Normal Category")</f>
        <v>Normal Category</v>
      </c>
      <c r="AE619">
        <v>12.27</v>
      </c>
      <c r="AF619" t="s">
        <v>54</v>
      </c>
      <c r="AG619">
        <v>0</v>
      </c>
      <c r="AH619" t="s">
        <v>1380</v>
      </c>
      <c r="AI619">
        <f t="shared" si="39"/>
        <v>0</v>
      </c>
      <c r="AJ619" t="s">
        <v>1391</v>
      </c>
    </row>
    <row r="620" spans="1:36" x14ac:dyDescent="0.3">
      <c r="A620" t="s">
        <v>22</v>
      </c>
      <c r="B620">
        <v>36</v>
      </c>
      <c r="D620">
        <v>1.71</v>
      </c>
      <c r="E620">
        <v>17.8</v>
      </c>
      <c r="F620">
        <f t="shared" si="37"/>
        <v>0</v>
      </c>
      <c r="G620">
        <f t="shared" si="40"/>
        <v>1</v>
      </c>
      <c r="H620" t="s">
        <v>1401</v>
      </c>
      <c r="I620">
        <v>103.4</v>
      </c>
      <c r="J620" t="s">
        <v>573</v>
      </c>
      <c r="K620" s="24">
        <v>106</v>
      </c>
      <c r="L620" s="24">
        <v>88</v>
      </c>
      <c r="M620">
        <v>215</v>
      </c>
      <c r="N620" t="s">
        <v>1432</v>
      </c>
      <c r="O620">
        <v>43</v>
      </c>
      <c r="P620">
        <v>110</v>
      </c>
      <c r="Q620" t="s">
        <v>24</v>
      </c>
      <c r="R620" t="s">
        <v>24</v>
      </c>
      <c r="S620" t="s">
        <v>26</v>
      </c>
      <c r="T620" t="s">
        <v>24</v>
      </c>
      <c r="U620">
        <f t="shared" si="38"/>
        <v>1</v>
      </c>
      <c r="V620">
        <v>171</v>
      </c>
      <c r="W620">
        <v>0.60499999999999998</v>
      </c>
      <c r="X620" t="s">
        <v>1409</v>
      </c>
      <c r="Y620">
        <v>106</v>
      </c>
      <c r="Z620">
        <v>88</v>
      </c>
      <c r="AA620" t="s">
        <v>31</v>
      </c>
      <c r="AC620" s="23">
        <v>0</v>
      </c>
      <c r="AD620" t="str">
        <f>IF(AND('CVD Dataset'!AA620="Normal",'CVD Dataset'!AB620&gt;AVERAGE('CVD Dataset'!AB:AB),'CVD Dataset'!AF620="High"),"High Lipid Category","Normal Category")</f>
        <v>Normal Category</v>
      </c>
      <c r="AE620">
        <v>13.16</v>
      </c>
      <c r="AF620" t="s">
        <v>28</v>
      </c>
      <c r="AG620">
        <v>0</v>
      </c>
      <c r="AH620" t="s">
        <v>1380</v>
      </c>
      <c r="AI620">
        <f t="shared" si="39"/>
        <v>0</v>
      </c>
      <c r="AJ620" t="s">
        <v>1391</v>
      </c>
    </row>
    <row r="621" spans="1:36" x14ac:dyDescent="0.3">
      <c r="A621" t="s">
        <v>33</v>
      </c>
      <c r="B621">
        <v>36</v>
      </c>
      <c r="D621">
        <v>1.78</v>
      </c>
      <c r="E621">
        <v>29</v>
      </c>
      <c r="F621">
        <f t="shared" si="37"/>
        <v>0</v>
      </c>
      <c r="G621">
        <f t="shared" si="40"/>
        <v>1</v>
      </c>
      <c r="H621" t="s">
        <v>1400</v>
      </c>
      <c r="I621">
        <v>79.8</v>
      </c>
      <c r="J621" t="s">
        <v>574</v>
      </c>
      <c r="K621" s="24">
        <v>116</v>
      </c>
      <c r="L621" s="24">
        <v>70</v>
      </c>
      <c r="M621">
        <v>146</v>
      </c>
      <c r="N621" t="s">
        <v>1434</v>
      </c>
      <c r="O621">
        <v>64</v>
      </c>
      <c r="P621">
        <v>71</v>
      </c>
      <c r="Q621" t="s">
        <v>24</v>
      </c>
      <c r="R621" t="s">
        <v>25</v>
      </c>
      <c r="S621" t="s">
        <v>26</v>
      </c>
      <c r="T621" t="s">
        <v>25</v>
      </c>
      <c r="U621">
        <f t="shared" si="38"/>
        <v>3</v>
      </c>
      <c r="V621">
        <v>178</v>
      </c>
      <c r="W621">
        <v>0.44800000000000001</v>
      </c>
      <c r="X621" t="s">
        <v>1408</v>
      </c>
      <c r="Y621">
        <v>116</v>
      </c>
      <c r="Z621">
        <v>70</v>
      </c>
      <c r="AA621" t="s">
        <v>35</v>
      </c>
      <c r="AB621">
        <v>52</v>
      </c>
      <c r="AC621" s="23">
        <v>0.81</v>
      </c>
      <c r="AD621" t="str">
        <f>IF(AND('CVD Dataset'!AA621="Normal",'CVD Dataset'!AB621&gt;AVERAGE('CVD Dataset'!AB:AB),'CVD Dataset'!AF621="High"),"High Lipid Category","Normal Category")</f>
        <v>Normal Category</v>
      </c>
      <c r="AE621">
        <v>16.52</v>
      </c>
      <c r="AF621" t="s">
        <v>32</v>
      </c>
      <c r="AG621">
        <v>1</v>
      </c>
      <c r="AH621" t="s">
        <v>1379</v>
      </c>
      <c r="AI621">
        <f t="shared" si="39"/>
        <v>1</v>
      </c>
      <c r="AJ621" t="s">
        <v>1391</v>
      </c>
    </row>
    <row r="622" spans="1:36" x14ac:dyDescent="0.3">
      <c r="A622" t="s">
        <v>22</v>
      </c>
      <c r="B622">
        <v>51</v>
      </c>
      <c r="C622">
        <v>104.2</v>
      </c>
      <c r="D622">
        <v>1.64</v>
      </c>
      <c r="E622">
        <v>38.700000000000003</v>
      </c>
      <c r="F622">
        <f t="shared" si="37"/>
        <v>38.741820345032728</v>
      </c>
      <c r="G622">
        <f t="shared" si="40"/>
        <v>0</v>
      </c>
      <c r="H622" t="s">
        <v>1399</v>
      </c>
      <c r="I622">
        <v>82.9</v>
      </c>
      <c r="J622" t="s">
        <v>575</v>
      </c>
      <c r="K622" s="24">
        <v>118</v>
      </c>
      <c r="L622" s="24">
        <v>97</v>
      </c>
      <c r="M622">
        <v>134</v>
      </c>
      <c r="N622" t="s">
        <v>1434</v>
      </c>
      <c r="P622">
        <v>91</v>
      </c>
      <c r="Q622" t="s">
        <v>24</v>
      </c>
      <c r="R622" t="s">
        <v>24</v>
      </c>
      <c r="S622" t="s">
        <v>30</v>
      </c>
      <c r="T622" t="s">
        <v>25</v>
      </c>
      <c r="U622">
        <f t="shared" si="38"/>
        <v>1</v>
      </c>
      <c r="V622">
        <v>164</v>
      </c>
      <c r="W622">
        <v>0.505</v>
      </c>
      <c r="X622" t="s">
        <v>1406</v>
      </c>
      <c r="Y622">
        <v>118</v>
      </c>
      <c r="Z622">
        <v>97</v>
      </c>
      <c r="AA622" t="s">
        <v>40</v>
      </c>
      <c r="AB622">
        <v>74</v>
      </c>
      <c r="AC622" s="23" t="s">
        <v>1410</v>
      </c>
      <c r="AD622" t="str">
        <f>IF(AND('CVD Dataset'!AA622="Normal",'CVD Dataset'!AB622&gt;AVERAGE('CVD Dataset'!AB:AB),'CVD Dataset'!AF622="High"),"High Lipid Category","Normal Category")</f>
        <v>Normal Category</v>
      </c>
      <c r="AE622">
        <v>16.32</v>
      </c>
      <c r="AF622" t="s">
        <v>32</v>
      </c>
      <c r="AG622">
        <v>0</v>
      </c>
      <c r="AH622" t="s">
        <v>1379</v>
      </c>
      <c r="AI622">
        <f t="shared" si="39"/>
        <v>1</v>
      </c>
      <c r="AJ622" t="s">
        <v>1391</v>
      </c>
    </row>
    <row r="623" spans="1:36" x14ac:dyDescent="0.3">
      <c r="A623" t="s">
        <v>33</v>
      </c>
      <c r="B623">
        <v>48</v>
      </c>
      <c r="C623">
        <v>76.8</v>
      </c>
      <c r="D623">
        <v>1.64</v>
      </c>
      <c r="E623">
        <v>28.6</v>
      </c>
      <c r="F623">
        <f t="shared" si="37"/>
        <v>28.554431885782275</v>
      </c>
      <c r="G623">
        <f t="shared" si="40"/>
        <v>0</v>
      </c>
      <c r="H623" t="s">
        <v>1400</v>
      </c>
      <c r="I623">
        <v>90.2</v>
      </c>
      <c r="J623" t="s">
        <v>63</v>
      </c>
      <c r="K623" s="24">
        <v>128</v>
      </c>
      <c r="L623" s="24">
        <v>66</v>
      </c>
      <c r="M623">
        <v>168</v>
      </c>
      <c r="N623" t="s">
        <v>1433</v>
      </c>
      <c r="O623">
        <v>80</v>
      </c>
      <c r="P623">
        <v>117</v>
      </c>
      <c r="Q623" t="s">
        <v>25</v>
      </c>
      <c r="R623" t="s">
        <v>24</v>
      </c>
      <c r="S623" t="s">
        <v>30</v>
      </c>
      <c r="T623" t="s">
        <v>24</v>
      </c>
      <c r="U623">
        <f t="shared" si="38"/>
        <v>1</v>
      </c>
      <c r="V623">
        <v>164</v>
      </c>
      <c r="W623">
        <v>0.55000000000000004</v>
      </c>
      <c r="X623" t="s">
        <v>1407</v>
      </c>
      <c r="Y623">
        <v>128</v>
      </c>
      <c r="Z623">
        <v>66</v>
      </c>
      <c r="AA623" t="s">
        <v>27</v>
      </c>
      <c r="AB623">
        <v>58</v>
      </c>
      <c r="AC623" s="23">
        <v>0.73</v>
      </c>
      <c r="AD623" t="str">
        <f>IF(AND('CVD Dataset'!AA623="Normal",'CVD Dataset'!AB623&gt;AVERAGE('CVD Dataset'!AB:AB),'CVD Dataset'!AF623="High"),"High Lipid Category","Normal Category")</f>
        <v>Normal Category</v>
      </c>
      <c r="AE623">
        <v>15.48</v>
      </c>
      <c r="AF623" t="s">
        <v>28</v>
      </c>
      <c r="AG623">
        <v>0</v>
      </c>
      <c r="AH623" t="s">
        <v>1380</v>
      </c>
      <c r="AI623">
        <f t="shared" si="39"/>
        <v>0</v>
      </c>
      <c r="AJ623" t="s">
        <v>1391</v>
      </c>
    </row>
    <row r="624" spans="1:36" x14ac:dyDescent="0.3">
      <c r="A624" t="s">
        <v>22</v>
      </c>
      <c r="B624">
        <v>49</v>
      </c>
      <c r="C624">
        <v>97.2</v>
      </c>
      <c r="D624">
        <v>1.66</v>
      </c>
      <c r="E624">
        <v>35.299999999999997</v>
      </c>
      <c r="F624">
        <f t="shared" si="37"/>
        <v>35.273624618957761</v>
      </c>
      <c r="G624">
        <f t="shared" si="40"/>
        <v>0</v>
      </c>
      <c r="H624" t="s">
        <v>1399</v>
      </c>
      <c r="I624">
        <v>103.4</v>
      </c>
      <c r="J624" t="s">
        <v>576</v>
      </c>
      <c r="K624" s="24">
        <v>121</v>
      </c>
      <c r="L624" s="24">
        <v>66</v>
      </c>
      <c r="M624">
        <v>203</v>
      </c>
      <c r="N624" t="s">
        <v>1432</v>
      </c>
      <c r="O624">
        <v>64</v>
      </c>
      <c r="P624">
        <v>102</v>
      </c>
      <c r="Q624" t="s">
        <v>25</v>
      </c>
      <c r="R624" t="s">
        <v>24</v>
      </c>
      <c r="S624" t="s">
        <v>30</v>
      </c>
      <c r="T624" t="s">
        <v>25</v>
      </c>
      <c r="U624">
        <f t="shared" si="38"/>
        <v>2</v>
      </c>
      <c r="V624">
        <v>166</v>
      </c>
      <c r="W624">
        <v>0.623</v>
      </c>
      <c r="X624" t="s">
        <v>1409</v>
      </c>
      <c r="Y624">
        <v>121</v>
      </c>
      <c r="Z624">
        <v>66</v>
      </c>
      <c r="AA624" t="s">
        <v>27</v>
      </c>
      <c r="AB624">
        <v>109</v>
      </c>
      <c r="AC624" s="23">
        <v>1.7</v>
      </c>
      <c r="AD624" t="str">
        <f>IF(AND('CVD Dataset'!AA624="Normal",'CVD Dataset'!AB624&gt;AVERAGE('CVD Dataset'!AB:AB),'CVD Dataset'!AF624="High"),"High Lipid Category","Normal Category")</f>
        <v>Normal Category</v>
      </c>
      <c r="AE624">
        <v>17.170000000000002</v>
      </c>
      <c r="AF624" t="s">
        <v>32</v>
      </c>
      <c r="AG624">
        <v>1</v>
      </c>
      <c r="AH624" t="s">
        <v>1379</v>
      </c>
      <c r="AI624">
        <f t="shared" si="39"/>
        <v>1</v>
      </c>
      <c r="AJ624" t="s">
        <v>1391</v>
      </c>
    </row>
    <row r="625" spans="1:36" x14ac:dyDescent="0.3">
      <c r="A625" t="s">
        <v>22</v>
      </c>
      <c r="B625">
        <v>33</v>
      </c>
      <c r="C625">
        <v>74.7</v>
      </c>
      <c r="E625">
        <v>27.4</v>
      </c>
      <c r="F625" t="str">
        <f t="shared" si="37"/>
        <v/>
      </c>
      <c r="G625" t="str">
        <f t="shared" si="40"/>
        <v/>
      </c>
      <c r="H625" t="s">
        <v>1400</v>
      </c>
      <c r="I625">
        <v>93.3</v>
      </c>
      <c r="J625" t="s">
        <v>577</v>
      </c>
      <c r="K625" s="24">
        <v>113</v>
      </c>
      <c r="L625" s="24">
        <v>89</v>
      </c>
      <c r="M625">
        <v>111</v>
      </c>
      <c r="N625" t="s">
        <v>1434</v>
      </c>
      <c r="O625">
        <v>36</v>
      </c>
      <c r="P625">
        <v>99</v>
      </c>
      <c r="Q625" t="s">
        <v>25</v>
      </c>
      <c r="R625" t="s">
        <v>24</v>
      </c>
      <c r="S625" t="s">
        <v>39</v>
      </c>
      <c r="T625" t="s">
        <v>25</v>
      </c>
      <c r="U625">
        <f t="shared" si="38"/>
        <v>2</v>
      </c>
      <c r="V625">
        <v>165</v>
      </c>
      <c r="W625">
        <v>0.56499999999999995</v>
      </c>
      <c r="X625" t="s">
        <v>1407</v>
      </c>
      <c r="Y625">
        <v>113</v>
      </c>
      <c r="Z625">
        <v>89</v>
      </c>
      <c r="AA625" t="s">
        <v>31</v>
      </c>
      <c r="AB625">
        <v>45</v>
      </c>
      <c r="AC625" s="23">
        <v>1.25</v>
      </c>
      <c r="AD625" t="str">
        <f>IF(AND('CVD Dataset'!AA625="Normal",'CVD Dataset'!AB625&gt;AVERAGE('CVD Dataset'!AB:AB),'CVD Dataset'!AF625="High"),"High Lipid Category","Normal Category")</f>
        <v>Normal Category</v>
      </c>
      <c r="AE625">
        <v>13.35</v>
      </c>
      <c r="AF625" t="s">
        <v>32</v>
      </c>
      <c r="AG625">
        <v>0</v>
      </c>
      <c r="AH625" t="s">
        <v>1379</v>
      </c>
      <c r="AI625">
        <f t="shared" si="39"/>
        <v>1</v>
      </c>
      <c r="AJ625" t="s">
        <v>1391</v>
      </c>
    </row>
    <row r="626" spans="1:36" x14ac:dyDescent="0.3">
      <c r="A626" t="s">
        <v>33</v>
      </c>
      <c r="B626">
        <v>37</v>
      </c>
      <c r="C626">
        <v>116.7</v>
      </c>
      <c r="D626">
        <v>1.87</v>
      </c>
      <c r="E626">
        <v>33.4</v>
      </c>
      <c r="F626">
        <f t="shared" si="37"/>
        <v>33.372415568074572</v>
      </c>
      <c r="G626">
        <f t="shared" si="40"/>
        <v>0</v>
      </c>
      <c r="H626" t="s">
        <v>1399</v>
      </c>
      <c r="I626">
        <v>107.6</v>
      </c>
      <c r="J626" t="s">
        <v>578</v>
      </c>
      <c r="K626" s="24">
        <v>131</v>
      </c>
      <c r="L626" s="24">
        <v>69</v>
      </c>
      <c r="M626">
        <v>215</v>
      </c>
      <c r="N626" t="s">
        <v>1432</v>
      </c>
      <c r="O626">
        <v>33</v>
      </c>
      <c r="P626">
        <v>70</v>
      </c>
      <c r="Q626" t="s">
        <v>24</v>
      </c>
      <c r="R626" t="s">
        <v>25</v>
      </c>
      <c r="S626" t="s">
        <v>39</v>
      </c>
      <c r="T626" t="s">
        <v>24</v>
      </c>
      <c r="U626">
        <f t="shared" si="38"/>
        <v>1</v>
      </c>
      <c r="V626">
        <v>187</v>
      </c>
      <c r="W626">
        <v>0.57499999999999996</v>
      </c>
      <c r="X626" t="s">
        <v>1407</v>
      </c>
      <c r="Y626">
        <v>131</v>
      </c>
      <c r="Z626">
        <v>69</v>
      </c>
      <c r="AA626" t="s">
        <v>31</v>
      </c>
      <c r="AB626">
        <v>152</v>
      </c>
      <c r="AC626" s="23">
        <v>4.6100000000000003</v>
      </c>
      <c r="AD626" t="str">
        <f>IF(AND('CVD Dataset'!AA626="Normal",'CVD Dataset'!AB626&gt;AVERAGE('CVD Dataset'!AB:AB),'CVD Dataset'!AF626="High"),"High Lipid Category","Normal Category")</f>
        <v>Normal Category</v>
      </c>
      <c r="AE626">
        <v>19.53</v>
      </c>
      <c r="AF626" t="s">
        <v>32</v>
      </c>
      <c r="AG626">
        <v>0</v>
      </c>
      <c r="AH626" t="s">
        <v>1379</v>
      </c>
      <c r="AI626">
        <f t="shared" si="39"/>
        <v>1</v>
      </c>
      <c r="AJ626" t="s">
        <v>1391</v>
      </c>
    </row>
    <row r="627" spans="1:36" x14ac:dyDescent="0.3">
      <c r="A627" t="s">
        <v>22</v>
      </c>
      <c r="B627">
        <v>58</v>
      </c>
      <c r="C627">
        <v>59.3</v>
      </c>
      <c r="D627">
        <v>1.75</v>
      </c>
      <c r="E627">
        <v>19.399999999999999</v>
      </c>
      <c r="F627">
        <f t="shared" si="37"/>
        <v>19.363265306122447</v>
      </c>
      <c r="G627">
        <f t="shared" si="40"/>
        <v>0</v>
      </c>
      <c r="H627" t="s">
        <v>1398</v>
      </c>
      <c r="I627">
        <v>104.4</v>
      </c>
      <c r="J627" t="s">
        <v>579</v>
      </c>
      <c r="K627" s="24">
        <v>119</v>
      </c>
      <c r="L627" s="24">
        <v>63</v>
      </c>
      <c r="M627">
        <v>275</v>
      </c>
      <c r="N627" t="s">
        <v>1432</v>
      </c>
      <c r="O627">
        <v>47</v>
      </c>
      <c r="P627">
        <v>95</v>
      </c>
      <c r="Q627" t="s">
        <v>25</v>
      </c>
      <c r="R627" t="s">
        <v>25</v>
      </c>
      <c r="S627" t="s">
        <v>30</v>
      </c>
      <c r="T627" t="s">
        <v>25</v>
      </c>
      <c r="U627">
        <f t="shared" si="38"/>
        <v>3</v>
      </c>
      <c r="V627">
        <v>175</v>
      </c>
      <c r="W627">
        <v>0.59699999999999998</v>
      </c>
      <c r="X627" t="s">
        <v>1409</v>
      </c>
      <c r="Y627">
        <v>119</v>
      </c>
      <c r="Z627">
        <v>63</v>
      </c>
      <c r="AA627" t="s">
        <v>35</v>
      </c>
      <c r="AB627">
        <v>198</v>
      </c>
      <c r="AC627" s="23">
        <v>4.21</v>
      </c>
      <c r="AD627" t="str">
        <f>IF(AND('CVD Dataset'!AA627="Normal",'CVD Dataset'!AB627&gt;AVERAGE('CVD Dataset'!AB:AB),'CVD Dataset'!AF627="High"),"High Lipid Category","Normal Category")</f>
        <v>High Lipid Category</v>
      </c>
      <c r="AE627">
        <v>17.329999999999998</v>
      </c>
      <c r="AF627" t="s">
        <v>32</v>
      </c>
      <c r="AG627">
        <v>0</v>
      </c>
      <c r="AH627" t="s">
        <v>1379</v>
      </c>
      <c r="AI627">
        <f t="shared" si="39"/>
        <v>1</v>
      </c>
      <c r="AJ627" t="s">
        <v>1391</v>
      </c>
    </row>
    <row r="628" spans="1:36" x14ac:dyDescent="0.3">
      <c r="A628" t="s">
        <v>33</v>
      </c>
      <c r="B628">
        <v>47</v>
      </c>
      <c r="C628">
        <v>68.7</v>
      </c>
      <c r="D628">
        <v>1.64</v>
      </c>
      <c r="E628">
        <v>25.5</v>
      </c>
      <c r="F628">
        <f t="shared" si="37"/>
        <v>25.542831647828677</v>
      </c>
      <c r="G628">
        <f t="shared" si="40"/>
        <v>0</v>
      </c>
      <c r="H628" t="s">
        <v>1400</v>
      </c>
      <c r="I628">
        <v>75.5</v>
      </c>
      <c r="J628" t="s">
        <v>347</v>
      </c>
      <c r="K628" s="24">
        <v>116</v>
      </c>
      <c r="L628" s="24">
        <v>72</v>
      </c>
      <c r="M628">
        <v>164</v>
      </c>
      <c r="N628" t="s">
        <v>1433</v>
      </c>
      <c r="O628">
        <v>44</v>
      </c>
      <c r="Q628" t="s">
        <v>24</v>
      </c>
      <c r="R628" t="s">
        <v>25</v>
      </c>
      <c r="S628" t="s">
        <v>26</v>
      </c>
      <c r="T628" t="s">
        <v>24</v>
      </c>
      <c r="U628">
        <f t="shared" si="38"/>
        <v>2</v>
      </c>
      <c r="V628">
        <v>164</v>
      </c>
      <c r="W628">
        <v>0.46</v>
      </c>
      <c r="X628" t="s">
        <v>1408</v>
      </c>
      <c r="Y628">
        <v>116</v>
      </c>
      <c r="Z628">
        <v>72</v>
      </c>
      <c r="AA628" t="s">
        <v>35</v>
      </c>
      <c r="AB628">
        <v>90</v>
      </c>
      <c r="AC628" s="23">
        <v>2.0499999999999998</v>
      </c>
      <c r="AD628" t="str">
        <f>IF(AND('CVD Dataset'!AA628="Normal",'CVD Dataset'!AB628&gt;AVERAGE('CVD Dataset'!AB:AB),'CVD Dataset'!AF628="High"),"High Lipid Category","Normal Category")</f>
        <v>Normal Category</v>
      </c>
      <c r="AE628">
        <v>16.18</v>
      </c>
      <c r="AF628" t="s">
        <v>32</v>
      </c>
      <c r="AG628">
        <v>0</v>
      </c>
      <c r="AH628" t="s">
        <v>1379</v>
      </c>
      <c r="AI628">
        <f t="shared" si="39"/>
        <v>1</v>
      </c>
      <c r="AJ628" t="s">
        <v>1391</v>
      </c>
    </row>
    <row r="629" spans="1:36" x14ac:dyDescent="0.3">
      <c r="A629" t="s">
        <v>22</v>
      </c>
      <c r="B629">
        <v>30</v>
      </c>
      <c r="C629">
        <v>116.4</v>
      </c>
      <c r="D629">
        <v>1.64</v>
      </c>
      <c r="E629">
        <v>43.3</v>
      </c>
      <c r="F629">
        <f t="shared" si="37"/>
        <v>43.277810826888768</v>
      </c>
      <c r="G629">
        <f t="shared" si="40"/>
        <v>0</v>
      </c>
      <c r="H629" t="s">
        <v>1399</v>
      </c>
      <c r="I629">
        <v>109.4</v>
      </c>
      <c r="J629" t="s">
        <v>580</v>
      </c>
      <c r="K629" s="24">
        <v>124</v>
      </c>
      <c r="L629" s="24">
        <v>65</v>
      </c>
      <c r="M629">
        <v>198</v>
      </c>
      <c r="N629" t="s">
        <v>1432</v>
      </c>
      <c r="O629">
        <v>39</v>
      </c>
      <c r="P629">
        <v>148</v>
      </c>
      <c r="Q629" t="s">
        <v>25</v>
      </c>
      <c r="R629" t="s">
        <v>25</v>
      </c>
      <c r="S629" t="s">
        <v>30</v>
      </c>
      <c r="T629" t="s">
        <v>25</v>
      </c>
      <c r="U629">
        <f t="shared" si="38"/>
        <v>3</v>
      </c>
      <c r="V629">
        <v>164</v>
      </c>
      <c r="W629">
        <v>0.66700000000000004</v>
      </c>
      <c r="X629" t="s">
        <v>1409</v>
      </c>
      <c r="Y629">
        <v>124</v>
      </c>
      <c r="AA629" t="s">
        <v>27</v>
      </c>
      <c r="AB629">
        <v>129</v>
      </c>
      <c r="AC629" s="23">
        <v>3.31</v>
      </c>
      <c r="AD629" t="str">
        <f>IF(AND('CVD Dataset'!AA629="Normal",'CVD Dataset'!AB629&gt;AVERAGE('CVD Dataset'!AB:AB),'CVD Dataset'!AF629="High"),"High Lipid Category","Normal Category")</f>
        <v>Normal Category</v>
      </c>
      <c r="AE629">
        <v>20.82</v>
      </c>
      <c r="AF629" t="s">
        <v>32</v>
      </c>
      <c r="AG629">
        <v>0</v>
      </c>
      <c r="AH629" t="s">
        <v>1379</v>
      </c>
      <c r="AI629">
        <f t="shared" si="39"/>
        <v>1</v>
      </c>
      <c r="AJ629" t="s">
        <v>1391</v>
      </c>
    </row>
    <row r="630" spans="1:36" x14ac:dyDescent="0.3">
      <c r="A630" t="s">
        <v>33</v>
      </c>
      <c r="B630">
        <v>50</v>
      </c>
      <c r="C630">
        <v>119.1</v>
      </c>
      <c r="D630">
        <v>1.66</v>
      </c>
      <c r="E630">
        <v>43.2</v>
      </c>
      <c r="F630">
        <f t="shared" si="37"/>
        <v>43.221077079401944</v>
      </c>
      <c r="G630">
        <f t="shared" si="40"/>
        <v>0</v>
      </c>
      <c r="H630" t="s">
        <v>1399</v>
      </c>
      <c r="J630" t="s">
        <v>581</v>
      </c>
      <c r="K630" s="24">
        <v>101</v>
      </c>
      <c r="L630" s="24">
        <v>65</v>
      </c>
      <c r="M630">
        <v>247</v>
      </c>
      <c r="N630" t="s">
        <v>1432</v>
      </c>
      <c r="O630">
        <v>67</v>
      </c>
      <c r="P630">
        <v>100</v>
      </c>
      <c r="Q630" t="s">
        <v>25</v>
      </c>
      <c r="R630" t="s">
        <v>25</v>
      </c>
      <c r="S630" t="s">
        <v>39</v>
      </c>
      <c r="T630" t="s">
        <v>25</v>
      </c>
      <c r="U630">
        <f t="shared" si="38"/>
        <v>3</v>
      </c>
      <c r="W630">
        <v>0.495</v>
      </c>
      <c r="X630" t="s">
        <v>1406</v>
      </c>
      <c r="Y630">
        <v>101</v>
      </c>
      <c r="Z630">
        <v>65</v>
      </c>
      <c r="AA630" t="s">
        <v>35</v>
      </c>
      <c r="AB630">
        <v>150</v>
      </c>
      <c r="AC630" s="23">
        <v>2.2400000000000002</v>
      </c>
      <c r="AD630" t="str">
        <f>IF(AND('CVD Dataset'!AA630="Normal",'CVD Dataset'!AB630&gt;AVERAGE('CVD Dataset'!AB:AB),'CVD Dataset'!AF630="High"),"High Lipid Category","Normal Category")</f>
        <v>High Lipid Category</v>
      </c>
      <c r="AE630">
        <v>20.63</v>
      </c>
      <c r="AF630" t="s">
        <v>32</v>
      </c>
      <c r="AG630">
        <v>1</v>
      </c>
      <c r="AH630" t="s">
        <v>1379</v>
      </c>
      <c r="AI630">
        <f t="shared" si="39"/>
        <v>1</v>
      </c>
      <c r="AJ630" t="s">
        <v>1391</v>
      </c>
    </row>
    <row r="631" spans="1:36" x14ac:dyDescent="0.3">
      <c r="A631" t="s">
        <v>33</v>
      </c>
      <c r="B631">
        <v>34</v>
      </c>
      <c r="C631">
        <v>86</v>
      </c>
      <c r="D631">
        <v>1.71</v>
      </c>
      <c r="E631">
        <v>29.4</v>
      </c>
      <c r="F631">
        <f t="shared" si="37"/>
        <v>29.410758865975858</v>
      </c>
      <c r="G631">
        <f t="shared" si="40"/>
        <v>0</v>
      </c>
      <c r="H631" t="s">
        <v>1400</v>
      </c>
      <c r="I631">
        <v>88.4</v>
      </c>
      <c r="J631" t="s">
        <v>582</v>
      </c>
      <c r="K631" s="24">
        <v>115</v>
      </c>
      <c r="L631" s="24">
        <v>90</v>
      </c>
      <c r="M631">
        <v>209</v>
      </c>
      <c r="N631" t="s">
        <v>1432</v>
      </c>
      <c r="O631">
        <v>38</v>
      </c>
      <c r="P631">
        <v>148</v>
      </c>
      <c r="Q631" t="s">
        <v>24</v>
      </c>
      <c r="R631" t="s">
        <v>24</v>
      </c>
      <c r="S631" t="s">
        <v>39</v>
      </c>
      <c r="T631" t="s">
        <v>25</v>
      </c>
      <c r="U631">
        <f t="shared" si="38"/>
        <v>1</v>
      </c>
      <c r="V631">
        <v>171</v>
      </c>
      <c r="X631" t="s">
        <v>1410</v>
      </c>
      <c r="Y631">
        <v>115</v>
      </c>
      <c r="Z631">
        <v>90</v>
      </c>
      <c r="AA631" t="s">
        <v>40</v>
      </c>
      <c r="AB631">
        <v>141</v>
      </c>
      <c r="AC631" s="23">
        <v>3.71</v>
      </c>
      <c r="AD631" t="str">
        <f>IF(AND('CVD Dataset'!AA631="Normal",'CVD Dataset'!AB631&gt;AVERAGE('CVD Dataset'!AB:AB),'CVD Dataset'!AF631="High"),"High Lipid Category","Normal Category")</f>
        <v>Normal Category</v>
      </c>
      <c r="AE631">
        <v>15.81</v>
      </c>
      <c r="AF631" t="s">
        <v>32</v>
      </c>
      <c r="AG631">
        <v>0</v>
      </c>
      <c r="AH631" t="s">
        <v>1379</v>
      </c>
      <c r="AI631">
        <f t="shared" si="39"/>
        <v>1</v>
      </c>
      <c r="AJ631" t="s">
        <v>1391</v>
      </c>
    </row>
    <row r="632" spans="1:36" x14ac:dyDescent="0.3">
      <c r="A632" t="s">
        <v>33</v>
      </c>
      <c r="B632">
        <v>37</v>
      </c>
      <c r="C632">
        <v>78.099999999999994</v>
      </c>
      <c r="D632">
        <v>1.85</v>
      </c>
      <c r="E632">
        <v>22.8</v>
      </c>
      <c r="F632">
        <f t="shared" si="37"/>
        <v>22.819576333089842</v>
      </c>
      <c r="G632">
        <f t="shared" si="40"/>
        <v>0</v>
      </c>
      <c r="H632" t="s">
        <v>1398</v>
      </c>
      <c r="I632">
        <v>74.2</v>
      </c>
      <c r="J632" t="s">
        <v>158</v>
      </c>
      <c r="K632" s="24">
        <v>100</v>
      </c>
      <c r="L632" s="24">
        <v>76</v>
      </c>
      <c r="M632">
        <v>118</v>
      </c>
      <c r="N632" t="s">
        <v>1434</v>
      </c>
      <c r="O632">
        <v>70</v>
      </c>
      <c r="P632">
        <v>72</v>
      </c>
      <c r="Q632" t="s">
        <v>24</v>
      </c>
      <c r="R632" t="s">
        <v>25</v>
      </c>
      <c r="S632" t="s">
        <v>39</v>
      </c>
      <c r="T632" t="s">
        <v>24</v>
      </c>
      <c r="U632">
        <f t="shared" si="38"/>
        <v>1</v>
      </c>
      <c r="W632">
        <v>0.40100000000000002</v>
      </c>
      <c r="X632" t="s">
        <v>1408</v>
      </c>
      <c r="Y632">
        <v>100</v>
      </c>
      <c r="Z632">
        <v>76</v>
      </c>
      <c r="AA632" t="s">
        <v>35</v>
      </c>
      <c r="AB632">
        <v>18</v>
      </c>
      <c r="AC632" s="23">
        <v>0.26</v>
      </c>
      <c r="AD632" t="str">
        <f>IF(AND('CVD Dataset'!AA632="Normal",'CVD Dataset'!AB632&gt;AVERAGE('CVD Dataset'!AB:AB),'CVD Dataset'!AF632="High"),"High Lipid Category","Normal Category")</f>
        <v>Normal Category</v>
      </c>
      <c r="AE632">
        <v>13.92</v>
      </c>
      <c r="AF632" t="s">
        <v>54</v>
      </c>
      <c r="AG632">
        <v>0</v>
      </c>
      <c r="AH632" t="s">
        <v>1380</v>
      </c>
      <c r="AI632">
        <f t="shared" si="39"/>
        <v>0</v>
      </c>
      <c r="AJ632" t="s">
        <v>1391</v>
      </c>
    </row>
    <row r="633" spans="1:36" x14ac:dyDescent="0.3">
      <c r="A633" t="s">
        <v>33</v>
      </c>
      <c r="B633">
        <v>45</v>
      </c>
      <c r="D633">
        <v>1.72</v>
      </c>
      <c r="E633">
        <v>36.299999999999997</v>
      </c>
      <c r="F633">
        <f t="shared" si="37"/>
        <v>0</v>
      </c>
      <c r="G633">
        <f t="shared" si="40"/>
        <v>1</v>
      </c>
      <c r="H633" t="s">
        <v>1399</v>
      </c>
      <c r="J633" t="s">
        <v>461</v>
      </c>
      <c r="K633" s="24">
        <v>113</v>
      </c>
      <c r="L633" s="24">
        <v>79</v>
      </c>
      <c r="M633">
        <v>104</v>
      </c>
      <c r="N633" t="s">
        <v>1434</v>
      </c>
      <c r="O633">
        <v>33</v>
      </c>
      <c r="P633">
        <v>126</v>
      </c>
      <c r="Q633" t="s">
        <v>24</v>
      </c>
      <c r="R633" t="s">
        <v>24</v>
      </c>
      <c r="S633" t="s">
        <v>26</v>
      </c>
      <c r="T633" t="s">
        <v>24</v>
      </c>
      <c r="U633">
        <f t="shared" si="38"/>
        <v>1</v>
      </c>
      <c r="V633">
        <v>172</v>
      </c>
      <c r="W633">
        <v>0.54800000000000004</v>
      </c>
      <c r="X633" t="s">
        <v>1407</v>
      </c>
      <c r="Y633">
        <v>113</v>
      </c>
      <c r="Z633">
        <v>79</v>
      </c>
      <c r="AA633" t="s">
        <v>35</v>
      </c>
      <c r="AB633">
        <v>41</v>
      </c>
      <c r="AC633" s="23">
        <v>1.24</v>
      </c>
      <c r="AD633" t="str">
        <f>IF(AND('CVD Dataset'!AA633="Normal",'CVD Dataset'!AB633&gt;AVERAGE('CVD Dataset'!AB:AB),'CVD Dataset'!AF633="High"),"High Lipid Category","Normal Category")</f>
        <v>Normal Category</v>
      </c>
      <c r="AE633">
        <v>14.99</v>
      </c>
      <c r="AF633" t="s">
        <v>28</v>
      </c>
      <c r="AG633">
        <v>0</v>
      </c>
      <c r="AH633" t="s">
        <v>1380</v>
      </c>
      <c r="AI633">
        <f t="shared" si="39"/>
        <v>0</v>
      </c>
      <c r="AJ633" t="s">
        <v>1391</v>
      </c>
    </row>
    <row r="634" spans="1:36" x14ac:dyDescent="0.3">
      <c r="A634" t="s">
        <v>22</v>
      </c>
      <c r="B634">
        <v>42</v>
      </c>
      <c r="C634">
        <v>70.2</v>
      </c>
      <c r="D634">
        <v>1.8</v>
      </c>
      <c r="F634">
        <f t="shared" si="37"/>
        <v>21.666666666666668</v>
      </c>
      <c r="G634">
        <f t="shared" si="40"/>
        <v>1</v>
      </c>
      <c r="H634" t="s">
        <v>1401</v>
      </c>
      <c r="I634">
        <v>93.4</v>
      </c>
      <c r="J634" t="s">
        <v>583</v>
      </c>
      <c r="K634" s="24">
        <v>134</v>
      </c>
      <c r="L634" s="24">
        <v>85</v>
      </c>
      <c r="M634">
        <v>208</v>
      </c>
      <c r="N634" t="s">
        <v>1432</v>
      </c>
      <c r="O634">
        <v>32</v>
      </c>
      <c r="P634">
        <v>148</v>
      </c>
      <c r="Q634" t="s">
        <v>25</v>
      </c>
      <c r="R634" t="s">
        <v>24</v>
      </c>
      <c r="S634" t="s">
        <v>26</v>
      </c>
      <c r="T634" t="s">
        <v>24</v>
      </c>
      <c r="U634">
        <f t="shared" si="38"/>
        <v>2</v>
      </c>
      <c r="V634">
        <v>180</v>
      </c>
      <c r="W634">
        <v>0.51900000000000002</v>
      </c>
      <c r="X634" t="s">
        <v>1406</v>
      </c>
      <c r="Y634">
        <v>134</v>
      </c>
      <c r="Z634">
        <v>85</v>
      </c>
      <c r="AA634" t="s">
        <v>31</v>
      </c>
      <c r="AC634" s="23">
        <v>0</v>
      </c>
      <c r="AD634" t="str">
        <f>IF(AND('CVD Dataset'!AA634="Normal",'CVD Dataset'!AB634&gt;AVERAGE('CVD Dataset'!AB:AB),'CVD Dataset'!AF634="High"),"High Lipid Category","Normal Category")</f>
        <v>Normal Category</v>
      </c>
      <c r="AE634">
        <v>15.2</v>
      </c>
      <c r="AF634" t="s">
        <v>32</v>
      </c>
      <c r="AG634">
        <v>0</v>
      </c>
      <c r="AH634" t="s">
        <v>1379</v>
      </c>
      <c r="AI634">
        <f t="shared" si="39"/>
        <v>1</v>
      </c>
      <c r="AJ634" t="s">
        <v>1391</v>
      </c>
    </row>
    <row r="635" spans="1:36" x14ac:dyDescent="0.3">
      <c r="A635" t="s">
        <v>22</v>
      </c>
      <c r="B635">
        <v>37</v>
      </c>
      <c r="C635">
        <v>83.2</v>
      </c>
      <c r="D635">
        <v>1.71</v>
      </c>
      <c r="E635">
        <v>28.5</v>
      </c>
      <c r="F635">
        <f t="shared" si="37"/>
        <v>28.453199274990599</v>
      </c>
      <c r="G635">
        <f t="shared" si="40"/>
        <v>0</v>
      </c>
      <c r="H635" t="s">
        <v>1400</v>
      </c>
      <c r="I635">
        <v>94.4</v>
      </c>
      <c r="J635" t="s">
        <v>584</v>
      </c>
      <c r="K635" s="24">
        <v>106</v>
      </c>
      <c r="L635" s="24">
        <v>94</v>
      </c>
      <c r="M635">
        <v>223</v>
      </c>
      <c r="N635" t="s">
        <v>1432</v>
      </c>
      <c r="O635">
        <v>48</v>
      </c>
      <c r="P635">
        <v>70</v>
      </c>
      <c r="Q635" t="s">
        <v>25</v>
      </c>
      <c r="R635" t="s">
        <v>25</v>
      </c>
      <c r="S635" t="s">
        <v>26</v>
      </c>
      <c r="T635" t="s">
        <v>25</v>
      </c>
      <c r="U635">
        <f t="shared" si="38"/>
        <v>4</v>
      </c>
      <c r="V635">
        <v>171</v>
      </c>
      <c r="W635">
        <v>0.55200000000000005</v>
      </c>
      <c r="X635" t="s">
        <v>1407</v>
      </c>
      <c r="Y635">
        <v>106</v>
      </c>
      <c r="Z635">
        <v>94</v>
      </c>
      <c r="AA635" t="s">
        <v>40</v>
      </c>
      <c r="AB635">
        <v>145</v>
      </c>
      <c r="AC635" s="23">
        <v>3.02</v>
      </c>
      <c r="AD635" t="str">
        <f>IF(AND('CVD Dataset'!AA635="Normal",'CVD Dataset'!AB635&gt;AVERAGE('CVD Dataset'!AB:AB),'CVD Dataset'!AF635="High"),"High Lipid Category","Normal Category")</f>
        <v>Normal Category</v>
      </c>
      <c r="AE635">
        <v>17.46</v>
      </c>
      <c r="AF635" t="s">
        <v>32</v>
      </c>
      <c r="AG635">
        <v>0</v>
      </c>
      <c r="AH635" t="s">
        <v>1379</v>
      </c>
      <c r="AI635">
        <f t="shared" si="39"/>
        <v>1</v>
      </c>
      <c r="AJ635" t="s">
        <v>1391</v>
      </c>
    </row>
    <row r="636" spans="1:36" x14ac:dyDescent="0.3">
      <c r="A636" t="s">
        <v>22</v>
      </c>
      <c r="B636">
        <v>36</v>
      </c>
      <c r="C636">
        <v>58.4</v>
      </c>
      <c r="D636">
        <v>1.87</v>
      </c>
      <c r="E636">
        <v>16.7</v>
      </c>
      <c r="F636">
        <f t="shared" si="37"/>
        <v>16.700506162601158</v>
      </c>
      <c r="G636">
        <f t="shared" si="40"/>
        <v>0</v>
      </c>
      <c r="H636" t="s">
        <v>1401</v>
      </c>
      <c r="I636">
        <v>71.2</v>
      </c>
      <c r="J636" t="s">
        <v>585</v>
      </c>
      <c r="K636" s="24">
        <v>142</v>
      </c>
      <c r="L636" s="24">
        <v>96</v>
      </c>
      <c r="M636">
        <v>143</v>
      </c>
      <c r="N636" t="s">
        <v>1434</v>
      </c>
      <c r="P636">
        <v>134</v>
      </c>
      <c r="Q636" t="s">
        <v>24</v>
      </c>
      <c r="R636" t="s">
        <v>25</v>
      </c>
      <c r="S636" t="s">
        <v>26</v>
      </c>
      <c r="T636" t="s">
        <v>25</v>
      </c>
      <c r="U636">
        <f t="shared" si="38"/>
        <v>3</v>
      </c>
      <c r="V636">
        <v>187</v>
      </c>
      <c r="W636">
        <v>0.38100000000000001</v>
      </c>
      <c r="X636" t="s">
        <v>1408</v>
      </c>
      <c r="Z636">
        <v>96</v>
      </c>
      <c r="AA636" t="s">
        <v>40</v>
      </c>
      <c r="AB636">
        <v>44</v>
      </c>
      <c r="AC636" s="23" t="s">
        <v>1410</v>
      </c>
      <c r="AD636" t="str">
        <f>IF(AND('CVD Dataset'!AA636="Normal",'CVD Dataset'!AB636&gt;AVERAGE('CVD Dataset'!AB:AB),'CVD Dataset'!AF636="High"),"High Lipid Category","Normal Category")</f>
        <v>Normal Category</v>
      </c>
      <c r="AE636">
        <v>15.3</v>
      </c>
      <c r="AF636" t="s">
        <v>28</v>
      </c>
      <c r="AG636">
        <v>0</v>
      </c>
      <c r="AH636" t="s">
        <v>1380</v>
      </c>
      <c r="AI636">
        <f t="shared" si="39"/>
        <v>0</v>
      </c>
      <c r="AJ636" t="s">
        <v>1391</v>
      </c>
    </row>
    <row r="637" spans="1:36" x14ac:dyDescent="0.3">
      <c r="A637" t="s">
        <v>22</v>
      </c>
      <c r="B637">
        <v>52</v>
      </c>
      <c r="C637">
        <v>89.7</v>
      </c>
      <c r="D637">
        <v>1.88</v>
      </c>
      <c r="E637">
        <v>25.4</v>
      </c>
      <c r="F637">
        <f t="shared" si="37"/>
        <v>25.379130828429155</v>
      </c>
      <c r="G637">
        <f t="shared" si="40"/>
        <v>0</v>
      </c>
      <c r="H637" t="s">
        <v>1400</v>
      </c>
      <c r="I637">
        <v>107.5</v>
      </c>
      <c r="J637" t="s">
        <v>586</v>
      </c>
      <c r="K637" s="24">
        <v>145</v>
      </c>
      <c r="L637" s="24">
        <v>92</v>
      </c>
      <c r="M637">
        <v>142</v>
      </c>
      <c r="N637" t="s">
        <v>1434</v>
      </c>
      <c r="P637">
        <v>96</v>
      </c>
      <c r="Q637" t="s">
        <v>25</v>
      </c>
      <c r="R637" t="s">
        <v>25</v>
      </c>
      <c r="S637" t="s">
        <v>26</v>
      </c>
      <c r="T637" t="s">
        <v>25</v>
      </c>
      <c r="U637">
        <f t="shared" si="38"/>
        <v>4</v>
      </c>
      <c r="V637">
        <v>188</v>
      </c>
      <c r="W637">
        <v>0.57199999999999995</v>
      </c>
      <c r="X637" t="s">
        <v>1407</v>
      </c>
      <c r="Y637">
        <v>145</v>
      </c>
      <c r="Z637">
        <v>92</v>
      </c>
      <c r="AA637" t="s">
        <v>40</v>
      </c>
      <c r="AB637">
        <v>42</v>
      </c>
      <c r="AC637" s="23" t="s">
        <v>1410</v>
      </c>
      <c r="AD637" t="str">
        <f>IF(AND('CVD Dataset'!AA637="Normal",'CVD Dataset'!AB637&gt;AVERAGE('CVD Dataset'!AB:AB),'CVD Dataset'!AF637="High"),"High Lipid Category","Normal Category")</f>
        <v>Normal Category</v>
      </c>
      <c r="AE637">
        <v>17.170000000000002</v>
      </c>
      <c r="AF637" t="s">
        <v>32</v>
      </c>
      <c r="AG637">
        <v>0</v>
      </c>
      <c r="AH637" t="s">
        <v>1379</v>
      </c>
      <c r="AI637">
        <f t="shared" si="39"/>
        <v>1</v>
      </c>
      <c r="AJ637" t="s">
        <v>1392</v>
      </c>
    </row>
    <row r="638" spans="1:36" x14ac:dyDescent="0.3">
      <c r="A638" t="s">
        <v>22</v>
      </c>
      <c r="B638">
        <v>38</v>
      </c>
      <c r="C638">
        <v>112.4</v>
      </c>
      <c r="D638">
        <v>1.69</v>
      </c>
      <c r="E638">
        <v>39.4</v>
      </c>
      <c r="F638">
        <f t="shared" si="37"/>
        <v>39.3543643429852</v>
      </c>
      <c r="G638">
        <f t="shared" si="40"/>
        <v>0</v>
      </c>
      <c r="H638" t="s">
        <v>1399</v>
      </c>
      <c r="I638">
        <v>101.2</v>
      </c>
      <c r="J638" t="s">
        <v>587</v>
      </c>
      <c r="K638" s="24">
        <v>139</v>
      </c>
      <c r="L638" s="24">
        <v>77</v>
      </c>
      <c r="M638">
        <v>209</v>
      </c>
      <c r="N638" t="s">
        <v>1432</v>
      </c>
      <c r="O638">
        <v>40</v>
      </c>
      <c r="P638">
        <v>98</v>
      </c>
      <c r="Q638" t="s">
        <v>24</v>
      </c>
      <c r="R638" t="s">
        <v>24</v>
      </c>
      <c r="S638" t="s">
        <v>30</v>
      </c>
      <c r="T638" t="s">
        <v>24</v>
      </c>
      <c r="U638">
        <f t="shared" si="38"/>
        <v>0</v>
      </c>
      <c r="V638">
        <v>169</v>
      </c>
      <c r="W638">
        <v>0.59899999999999998</v>
      </c>
      <c r="X638" t="s">
        <v>1409</v>
      </c>
      <c r="Y638">
        <v>139</v>
      </c>
      <c r="Z638">
        <v>77</v>
      </c>
      <c r="AA638" t="s">
        <v>31</v>
      </c>
      <c r="AB638">
        <v>139</v>
      </c>
      <c r="AC638" s="23">
        <v>3.48</v>
      </c>
      <c r="AD638" t="str">
        <f>IF(AND('CVD Dataset'!AA638="Normal",'CVD Dataset'!AB638&gt;AVERAGE('CVD Dataset'!AB:AB),'CVD Dataset'!AF638="High"),"High Lipid Category","Normal Category")</f>
        <v>Normal Category</v>
      </c>
      <c r="AE638">
        <v>19.010000000000002</v>
      </c>
      <c r="AF638" t="s">
        <v>28</v>
      </c>
      <c r="AG638">
        <v>0</v>
      </c>
      <c r="AH638" t="s">
        <v>1380</v>
      </c>
      <c r="AI638">
        <f t="shared" si="39"/>
        <v>0</v>
      </c>
      <c r="AJ638" t="s">
        <v>1391</v>
      </c>
    </row>
    <row r="639" spans="1:36" x14ac:dyDescent="0.3">
      <c r="A639" t="s">
        <v>33</v>
      </c>
      <c r="B639">
        <v>50</v>
      </c>
      <c r="C639">
        <v>56.5</v>
      </c>
      <c r="D639">
        <v>1.83</v>
      </c>
      <c r="E639">
        <v>16.899999999999999</v>
      </c>
      <c r="F639">
        <f t="shared" si="37"/>
        <v>16.871211442563226</v>
      </c>
      <c r="G639">
        <f t="shared" si="40"/>
        <v>0</v>
      </c>
      <c r="H639" t="s">
        <v>1401</v>
      </c>
      <c r="I639">
        <v>86.9</v>
      </c>
      <c r="J639" t="s">
        <v>588</v>
      </c>
      <c r="K639" s="24">
        <v>118</v>
      </c>
      <c r="L639" s="24">
        <v>95</v>
      </c>
      <c r="M639">
        <v>262</v>
      </c>
      <c r="N639" t="s">
        <v>1432</v>
      </c>
      <c r="O639">
        <v>35</v>
      </c>
      <c r="Q639" t="s">
        <v>24</v>
      </c>
      <c r="R639" t="s">
        <v>25</v>
      </c>
      <c r="S639" t="s">
        <v>39</v>
      </c>
      <c r="T639" t="s">
        <v>24</v>
      </c>
      <c r="U639">
        <f t="shared" si="38"/>
        <v>1</v>
      </c>
      <c r="V639">
        <v>183</v>
      </c>
      <c r="W639">
        <v>0.47499999999999998</v>
      </c>
      <c r="X639" t="s">
        <v>1406</v>
      </c>
      <c r="Y639">
        <v>118</v>
      </c>
      <c r="Z639">
        <v>95</v>
      </c>
      <c r="AA639" t="s">
        <v>40</v>
      </c>
      <c r="AB639">
        <v>197</v>
      </c>
      <c r="AC639" s="23">
        <v>5.63</v>
      </c>
      <c r="AD639" t="str">
        <f>IF(AND('CVD Dataset'!AA639="Normal",'CVD Dataset'!AB639&gt;AVERAGE('CVD Dataset'!AB:AB),'CVD Dataset'!AF639="High"),"High Lipid Category","Normal Category")</f>
        <v>Normal Category</v>
      </c>
      <c r="AE639">
        <v>16.52</v>
      </c>
      <c r="AF639" t="s">
        <v>32</v>
      </c>
      <c r="AG639">
        <v>0</v>
      </c>
      <c r="AH639" t="s">
        <v>1379</v>
      </c>
      <c r="AI639">
        <f t="shared" si="39"/>
        <v>1</v>
      </c>
      <c r="AJ639" t="s">
        <v>1391</v>
      </c>
    </row>
    <row r="640" spans="1:36" x14ac:dyDescent="0.3">
      <c r="A640" t="s">
        <v>22</v>
      </c>
      <c r="B640">
        <v>42</v>
      </c>
      <c r="C640">
        <v>94.5</v>
      </c>
      <c r="D640">
        <v>1.64</v>
      </c>
      <c r="E640">
        <v>35.1</v>
      </c>
      <c r="F640">
        <f t="shared" si="37"/>
        <v>35.135336109458663</v>
      </c>
      <c r="G640">
        <f t="shared" si="40"/>
        <v>0</v>
      </c>
      <c r="H640" t="s">
        <v>1399</v>
      </c>
      <c r="I640">
        <v>77.099999999999994</v>
      </c>
      <c r="J640" t="s">
        <v>589</v>
      </c>
      <c r="K640" s="24">
        <v>119</v>
      </c>
      <c r="L640" s="24">
        <v>95</v>
      </c>
      <c r="M640">
        <v>104</v>
      </c>
      <c r="N640" t="s">
        <v>1434</v>
      </c>
      <c r="O640">
        <v>36</v>
      </c>
      <c r="P640">
        <v>144</v>
      </c>
      <c r="Q640" t="s">
        <v>25</v>
      </c>
      <c r="R640" t="s">
        <v>25</v>
      </c>
      <c r="S640" t="s">
        <v>30</v>
      </c>
      <c r="T640" t="s">
        <v>25</v>
      </c>
      <c r="U640">
        <f t="shared" si="38"/>
        <v>3</v>
      </c>
      <c r="V640">
        <v>164</v>
      </c>
      <c r="W640">
        <v>0.47</v>
      </c>
      <c r="X640" t="s">
        <v>1406</v>
      </c>
      <c r="Y640">
        <v>119</v>
      </c>
      <c r="Z640">
        <v>95</v>
      </c>
      <c r="AA640" t="s">
        <v>40</v>
      </c>
      <c r="AB640">
        <v>38</v>
      </c>
      <c r="AC640" s="23">
        <v>1.06</v>
      </c>
      <c r="AD640" t="str">
        <f>IF(AND('CVD Dataset'!AA640="Normal",'CVD Dataset'!AB640&gt;AVERAGE('CVD Dataset'!AB:AB),'CVD Dataset'!AF640="High"),"High Lipid Category","Normal Category")</f>
        <v>Normal Category</v>
      </c>
      <c r="AE640">
        <v>17.05</v>
      </c>
      <c r="AF640" t="s">
        <v>32</v>
      </c>
      <c r="AG640">
        <v>0</v>
      </c>
      <c r="AH640" t="s">
        <v>1379</v>
      </c>
      <c r="AI640">
        <f t="shared" si="39"/>
        <v>1</v>
      </c>
      <c r="AJ640" t="s">
        <v>1391</v>
      </c>
    </row>
    <row r="641" spans="1:36" x14ac:dyDescent="0.3">
      <c r="A641" t="s">
        <v>33</v>
      </c>
      <c r="B641">
        <v>33</v>
      </c>
      <c r="C641">
        <v>86.2</v>
      </c>
      <c r="D641">
        <v>1.86</v>
      </c>
      <c r="E641">
        <v>24.9</v>
      </c>
      <c r="F641">
        <f t="shared" si="37"/>
        <v>24.916175280379232</v>
      </c>
      <c r="G641">
        <f t="shared" si="40"/>
        <v>0</v>
      </c>
      <c r="H641" t="s">
        <v>1400</v>
      </c>
      <c r="I641">
        <v>88</v>
      </c>
      <c r="J641" t="s">
        <v>590</v>
      </c>
      <c r="K641" s="24">
        <v>139</v>
      </c>
      <c r="L641" s="24">
        <v>98</v>
      </c>
      <c r="M641">
        <v>219</v>
      </c>
      <c r="N641" t="s">
        <v>1432</v>
      </c>
      <c r="O641">
        <v>65</v>
      </c>
      <c r="P641">
        <v>104</v>
      </c>
      <c r="Q641" t="s">
        <v>25</v>
      </c>
      <c r="R641" t="s">
        <v>24</v>
      </c>
      <c r="S641" t="s">
        <v>26</v>
      </c>
      <c r="T641" t="s">
        <v>24</v>
      </c>
      <c r="U641">
        <f t="shared" si="38"/>
        <v>2</v>
      </c>
      <c r="V641">
        <v>186</v>
      </c>
      <c r="W641">
        <v>0.47299999999999998</v>
      </c>
      <c r="X641" t="s">
        <v>1406</v>
      </c>
      <c r="Y641">
        <v>139</v>
      </c>
      <c r="Z641">
        <v>98</v>
      </c>
      <c r="AA641" t="s">
        <v>31</v>
      </c>
      <c r="AB641">
        <v>124</v>
      </c>
      <c r="AC641" s="23">
        <v>1.91</v>
      </c>
      <c r="AD641" t="str">
        <f>IF(AND('CVD Dataset'!AA641="Normal",'CVD Dataset'!AB641&gt;AVERAGE('CVD Dataset'!AB:AB),'CVD Dataset'!AF641="High"),"High Lipid Category","Normal Category")</f>
        <v>Normal Category</v>
      </c>
      <c r="AE641">
        <v>16.309999999999999</v>
      </c>
      <c r="AF641" t="s">
        <v>28</v>
      </c>
      <c r="AG641">
        <v>0</v>
      </c>
      <c r="AH641" t="s">
        <v>1380</v>
      </c>
      <c r="AI641">
        <f t="shared" si="39"/>
        <v>0</v>
      </c>
      <c r="AJ641" t="s">
        <v>1391</v>
      </c>
    </row>
    <row r="642" spans="1:36" x14ac:dyDescent="0.3">
      <c r="A642" t="s">
        <v>33</v>
      </c>
      <c r="B642">
        <v>33</v>
      </c>
      <c r="C642">
        <v>114</v>
      </c>
      <c r="D642">
        <v>1.75</v>
      </c>
      <c r="E642">
        <v>37.200000000000003</v>
      </c>
      <c r="F642">
        <f t="shared" si="37"/>
        <v>37.224489795918366</v>
      </c>
      <c r="G642">
        <f t="shared" si="40"/>
        <v>0</v>
      </c>
      <c r="H642" t="s">
        <v>1399</v>
      </c>
      <c r="I642">
        <v>76.7</v>
      </c>
      <c r="J642" t="s">
        <v>591</v>
      </c>
      <c r="K642" s="24">
        <v>105</v>
      </c>
      <c r="L642" s="24">
        <v>95</v>
      </c>
      <c r="M642">
        <v>197</v>
      </c>
      <c r="N642" t="s">
        <v>1432</v>
      </c>
      <c r="O642">
        <v>77</v>
      </c>
      <c r="P642">
        <v>122</v>
      </c>
      <c r="Q642" t="s">
        <v>25</v>
      </c>
      <c r="R642" t="s">
        <v>25</v>
      </c>
      <c r="S642" t="s">
        <v>39</v>
      </c>
      <c r="T642" t="s">
        <v>25</v>
      </c>
      <c r="U642">
        <f t="shared" si="38"/>
        <v>3</v>
      </c>
      <c r="V642">
        <v>175</v>
      </c>
      <c r="W642">
        <v>0.438</v>
      </c>
      <c r="X642" t="s">
        <v>1408</v>
      </c>
      <c r="Y642">
        <v>105</v>
      </c>
      <c r="Z642">
        <v>95</v>
      </c>
      <c r="AA642" t="s">
        <v>40</v>
      </c>
      <c r="AB642">
        <v>90</v>
      </c>
      <c r="AC642" s="23">
        <v>1.17</v>
      </c>
      <c r="AD642" t="str">
        <f>IF(AND('CVD Dataset'!AA642="Normal",'CVD Dataset'!AB642&gt;AVERAGE('CVD Dataset'!AB:AB),'CVD Dataset'!AF642="High"),"High Lipid Category","Normal Category")</f>
        <v>Normal Category</v>
      </c>
      <c r="AE642">
        <v>18.63</v>
      </c>
      <c r="AF642" t="s">
        <v>32</v>
      </c>
      <c r="AG642">
        <v>1</v>
      </c>
      <c r="AH642" t="s">
        <v>1379</v>
      </c>
      <c r="AI642">
        <f t="shared" si="39"/>
        <v>1</v>
      </c>
      <c r="AJ642" t="s">
        <v>1391</v>
      </c>
    </row>
    <row r="643" spans="1:36" x14ac:dyDescent="0.3">
      <c r="A643" t="s">
        <v>33</v>
      </c>
      <c r="B643">
        <v>41</v>
      </c>
      <c r="C643">
        <v>105.4</v>
      </c>
      <c r="D643">
        <v>1.88</v>
      </c>
      <c r="E643">
        <v>29.8</v>
      </c>
      <c r="F643">
        <f t="shared" ref="F643:F706" si="41">IFERROR(C643/POWER(D643,2),"")</f>
        <v>29.821186057039387</v>
      </c>
      <c r="G643">
        <f t="shared" si="40"/>
        <v>0</v>
      </c>
      <c r="H643" t="s">
        <v>1400</v>
      </c>
      <c r="I643">
        <v>108.1</v>
      </c>
      <c r="J643" t="s">
        <v>592</v>
      </c>
      <c r="K643" s="24">
        <v>125</v>
      </c>
      <c r="L643" s="24">
        <v>88</v>
      </c>
      <c r="M643">
        <v>195</v>
      </c>
      <c r="N643" t="s">
        <v>1432</v>
      </c>
      <c r="O643">
        <v>69</v>
      </c>
      <c r="P643">
        <v>141</v>
      </c>
      <c r="Q643" t="s">
        <v>24</v>
      </c>
      <c r="R643" t="s">
        <v>25</v>
      </c>
      <c r="S643" t="s">
        <v>39</v>
      </c>
      <c r="T643" t="s">
        <v>24</v>
      </c>
      <c r="U643">
        <f t="shared" ref="U643:U706" si="42">SUM(IF(Q643="Y",1,0),IF(R643="Y",1,0),IF(S643="Low",1,0),IF(T643="Y",1,0))</f>
        <v>1</v>
      </c>
      <c r="V643">
        <v>188</v>
      </c>
      <c r="W643">
        <v>0.57499999999999996</v>
      </c>
      <c r="X643" t="s">
        <v>1407</v>
      </c>
      <c r="Y643">
        <v>125</v>
      </c>
      <c r="Z643">
        <v>88</v>
      </c>
      <c r="AA643" t="s">
        <v>31</v>
      </c>
      <c r="AB643">
        <v>96</v>
      </c>
      <c r="AC643" s="23">
        <v>1.39</v>
      </c>
      <c r="AD643" t="str">
        <f>IF(AND('CVD Dataset'!AA643="Normal",'CVD Dataset'!AB643&gt;AVERAGE('CVD Dataset'!AB:AB),'CVD Dataset'!AF643="High"),"High Lipid Category","Normal Category")</f>
        <v>Normal Category</v>
      </c>
      <c r="AE643">
        <v>18.11</v>
      </c>
      <c r="AF643" t="s">
        <v>28</v>
      </c>
      <c r="AG643">
        <v>0</v>
      </c>
      <c r="AH643" t="s">
        <v>1380</v>
      </c>
      <c r="AI643">
        <f t="shared" ref="AI643:AI706" si="43">IF(AF643="HIGH",1,0)</f>
        <v>0</v>
      </c>
      <c r="AJ643" t="s">
        <v>1391</v>
      </c>
    </row>
    <row r="644" spans="1:36" x14ac:dyDescent="0.3">
      <c r="A644" t="s">
        <v>33</v>
      </c>
      <c r="C644">
        <v>77.7</v>
      </c>
      <c r="D644">
        <v>1.63</v>
      </c>
      <c r="E644">
        <v>29.2</v>
      </c>
      <c r="F644">
        <f t="shared" si="41"/>
        <v>29.244608378185106</v>
      </c>
      <c r="G644">
        <f t="shared" si="40"/>
        <v>0</v>
      </c>
      <c r="H644" t="s">
        <v>1400</v>
      </c>
      <c r="I644">
        <v>90.7</v>
      </c>
      <c r="J644" t="s">
        <v>125</v>
      </c>
      <c r="K644" s="24">
        <v>120</v>
      </c>
      <c r="L644" s="24">
        <v>96</v>
      </c>
      <c r="M644">
        <v>258</v>
      </c>
      <c r="N644" t="s">
        <v>1432</v>
      </c>
      <c r="O644">
        <v>74</v>
      </c>
      <c r="P644">
        <v>109</v>
      </c>
      <c r="Q644" t="s">
        <v>24</v>
      </c>
      <c r="R644" t="s">
        <v>25</v>
      </c>
      <c r="S644" t="s">
        <v>30</v>
      </c>
      <c r="T644" t="s">
        <v>25</v>
      </c>
      <c r="U644">
        <f t="shared" si="42"/>
        <v>2</v>
      </c>
      <c r="V644">
        <v>163</v>
      </c>
      <c r="W644">
        <v>0.55600000000000005</v>
      </c>
      <c r="X644" t="s">
        <v>1407</v>
      </c>
      <c r="Y644">
        <v>120</v>
      </c>
      <c r="Z644">
        <v>96</v>
      </c>
      <c r="AA644" t="s">
        <v>40</v>
      </c>
      <c r="AB644">
        <v>154</v>
      </c>
      <c r="AC644" s="23">
        <v>2.08</v>
      </c>
      <c r="AD644" t="str">
        <f>IF(AND('CVD Dataset'!AA644="Normal",'CVD Dataset'!AB644&gt;AVERAGE('CVD Dataset'!AB:AB),'CVD Dataset'!AF644="High"),"High Lipid Category","Normal Category")</f>
        <v>Normal Category</v>
      </c>
      <c r="AE644">
        <v>19</v>
      </c>
      <c r="AF644" t="s">
        <v>32</v>
      </c>
      <c r="AG644">
        <v>1</v>
      </c>
      <c r="AH644" t="s">
        <v>1379</v>
      </c>
      <c r="AI644">
        <f t="shared" si="43"/>
        <v>1</v>
      </c>
      <c r="AJ644" t="s">
        <v>1391</v>
      </c>
    </row>
    <row r="645" spans="1:36" x14ac:dyDescent="0.3">
      <c r="A645" t="s">
        <v>33</v>
      </c>
      <c r="B645">
        <v>41</v>
      </c>
      <c r="C645">
        <v>62.2</v>
      </c>
      <c r="D645">
        <v>1.82</v>
      </c>
      <c r="E645">
        <v>18.8</v>
      </c>
      <c r="F645">
        <f t="shared" si="41"/>
        <v>18.777925371331964</v>
      </c>
      <c r="G645">
        <f t="shared" si="40"/>
        <v>0</v>
      </c>
      <c r="H645" t="s">
        <v>1398</v>
      </c>
      <c r="I645">
        <v>107.5</v>
      </c>
      <c r="J645" t="s">
        <v>593</v>
      </c>
      <c r="K645" s="24">
        <v>131</v>
      </c>
      <c r="L645" s="24">
        <v>81</v>
      </c>
      <c r="M645">
        <v>241</v>
      </c>
      <c r="N645" t="s">
        <v>1432</v>
      </c>
      <c r="O645">
        <v>47</v>
      </c>
      <c r="P645">
        <v>79</v>
      </c>
      <c r="Q645" t="s">
        <v>24</v>
      </c>
      <c r="R645" t="s">
        <v>24</v>
      </c>
      <c r="S645" t="s">
        <v>26</v>
      </c>
      <c r="T645" t="s">
        <v>25</v>
      </c>
      <c r="U645">
        <f t="shared" si="42"/>
        <v>2</v>
      </c>
      <c r="V645">
        <v>182</v>
      </c>
      <c r="W645">
        <v>0.59099999999999997</v>
      </c>
      <c r="X645" t="s">
        <v>1409</v>
      </c>
      <c r="Y645">
        <v>131</v>
      </c>
      <c r="Z645">
        <v>81</v>
      </c>
      <c r="AA645" t="s">
        <v>31</v>
      </c>
      <c r="AB645">
        <v>164</v>
      </c>
      <c r="AC645" s="23">
        <v>3.49</v>
      </c>
      <c r="AD645" t="str">
        <f>IF(AND('CVD Dataset'!AA645="Normal",'CVD Dataset'!AB645&gt;AVERAGE('CVD Dataset'!AB:AB),'CVD Dataset'!AF645="High"),"High Lipid Category","Normal Category")</f>
        <v>Normal Category</v>
      </c>
      <c r="AE645">
        <v>15.13</v>
      </c>
      <c r="AF645" t="s">
        <v>28</v>
      </c>
      <c r="AG645">
        <v>0</v>
      </c>
      <c r="AH645" t="s">
        <v>1380</v>
      </c>
      <c r="AI645">
        <f t="shared" si="43"/>
        <v>0</v>
      </c>
      <c r="AJ645" t="s">
        <v>1391</v>
      </c>
    </row>
    <row r="646" spans="1:36" x14ac:dyDescent="0.3">
      <c r="A646" t="s">
        <v>33</v>
      </c>
      <c r="B646">
        <v>47</v>
      </c>
      <c r="C646">
        <v>77.5</v>
      </c>
      <c r="D646">
        <v>1.75</v>
      </c>
      <c r="E646">
        <v>25.3</v>
      </c>
      <c r="F646">
        <f t="shared" si="41"/>
        <v>25.306122448979593</v>
      </c>
      <c r="G646">
        <f t="shared" si="40"/>
        <v>0</v>
      </c>
      <c r="H646" t="s">
        <v>1400</v>
      </c>
      <c r="I646">
        <v>86.2</v>
      </c>
      <c r="J646" t="s">
        <v>298</v>
      </c>
      <c r="K646" s="24">
        <v>139</v>
      </c>
      <c r="L646" s="24">
        <v>81</v>
      </c>
      <c r="M646">
        <v>129</v>
      </c>
      <c r="N646" t="s">
        <v>1434</v>
      </c>
      <c r="O646">
        <v>66</v>
      </c>
      <c r="P646">
        <v>119</v>
      </c>
      <c r="Q646" t="s">
        <v>25</v>
      </c>
      <c r="R646" t="s">
        <v>25</v>
      </c>
      <c r="S646" t="s">
        <v>30</v>
      </c>
      <c r="T646" t="s">
        <v>25</v>
      </c>
      <c r="U646">
        <f t="shared" si="42"/>
        <v>3</v>
      </c>
      <c r="V646">
        <v>175</v>
      </c>
      <c r="X646" t="s">
        <v>1410</v>
      </c>
      <c r="Y646">
        <v>139</v>
      </c>
      <c r="AA646" t="s">
        <v>31</v>
      </c>
      <c r="AB646">
        <v>33</v>
      </c>
      <c r="AC646" s="23">
        <v>0.5</v>
      </c>
      <c r="AD646" t="str">
        <f>IF(AND('CVD Dataset'!AA646="Normal",'CVD Dataset'!AB646&gt;AVERAGE('CVD Dataset'!AB:AB),'CVD Dataset'!AF646="High"),"High Lipid Category","Normal Category")</f>
        <v>Normal Category</v>
      </c>
      <c r="AE646">
        <v>16.59</v>
      </c>
      <c r="AF646" t="s">
        <v>32</v>
      </c>
      <c r="AG646">
        <v>1</v>
      </c>
      <c r="AH646" t="s">
        <v>1379</v>
      </c>
      <c r="AI646">
        <f t="shared" si="43"/>
        <v>1</v>
      </c>
      <c r="AJ646" t="s">
        <v>1391</v>
      </c>
    </row>
    <row r="647" spans="1:36" x14ac:dyDescent="0.3">
      <c r="A647" t="s">
        <v>22</v>
      </c>
      <c r="B647">
        <v>51</v>
      </c>
      <c r="C647">
        <v>58.1</v>
      </c>
      <c r="D647">
        <v>1.71</v>
      </c>
      <c r="E647">
        <v>19.899999999999999</v>
      </c>
      <c r="F647">
        <f t="shared" si="41"/>
        <v>19.869361512944156</v>
      </c>
      <c r="G647">
        <f t="shared" si="40"/>
        <v>0</v>
      </c>
      <c r="H647" t="s">
        <v>1398</v>
      </c>
      <c r="I647">
        <v>98.9</v>
      </c>
      <c r="J647" t="s">
        <v>594</v>
      </c>
      <c r="K647" s="24">
        <v>98</v>
      </c>
      <c r="L647" s="24">
        <v>83</v>
      </c>
      <c r="M647">
        <v>226</v>
      </c>
      <c r="N647" t="s">
        <v>1432</v>
      </c>
      <c r="O647">
        <v>64</v>
      </c>
      <c r="P647">
        <v>99</v>
      </c>
      <c r="Q647" t="s">
        <v>25</v>
      </c>
      <c r="R647" t="s">
        <v>24</v>
      </c>
      <c r="S647" t="s">
        <v>30</v>
      </c>
      <c r="T647" t="s">
        <v>24</v>
      </c>
      <c r="U647">
        <f t="shared" si="42"/>
        <v>1</v>
      </c>
      <c r="V647">
        <v>171</v>
      </c>
      <c r="W647">
        <v>0.57799999999999996</v>
      </c>
      <c r="X647" t="s">
        <v>1407</v>
      </c>
      <c r="Y647">
        <v>98</v>
      </c>
      <c r="Z647">
        <v>83</v>
      </c>
      <c r="AA647" t="s">
        <v>31</v>
      </c>
      <c r="AB647">
        <v>132</v>
      </c>
      <c r="AC647" s="23">
        <v>2.06</v>
      </c>
      <c r="AD647" t="str">
        <f>IF(AND('CVD Dataset'!AA647="Normal",'CVD Dataset'!AB647&gt;AVERAGE('CVD Dataset'!AB:AB),'CVD Dataset'!AF647="High"),"High Lipid Category","Normal Category")</f>
        <v>Normal Category</v>
      </c>
      <c r="AE647">
        <v>13.4</v>
      </c>
      <c r="AF647" t="s">
        <v>28</v>
      </c>
      <c r="AG647">
        <v>0</v>
      </c>
      <c r="AH647" t="s">
        <v>1380</v>
      </c>
      <c r="AI647">
        <f t="shared" si="43"/>
        <v>0</v>
      </c>
      <c r="AJ647" t="s">
        <v>1391</v>
      </c>
    </row>
    <row r="648" spans="1:36" x14ac:dyDescent="0.3">
      <c r="A648" t="s">
        <v>22</v>
      </c>
      <c r="B648">
        <v>47</v>
      </c>
      <c r="C648">
        <v>97.2</v>
      </c>
      <c r="D648">
        <v>1.81</v>
      </c>
      <c r="E648">
        <v>29.7</v>
      </c>
      <c r="F648">
        <f t="shared" si="41"/>
        <v>29.669424010256098</v>
      </c>
      <c r="G648">
        <f t="shared" si="40"/>
        <v>0</v>
      </c>
      <c r="H648" t="s">
        <v>1400</v>
      </c>
      <c r="I648">
        <v>74.8</v>
      </c>
      <c r="J648" t="s">
        <v>255</v>
      </c>
      <c r="K648" s="24">
        <v>131</v>
      </c>
      <c r="L648" s="24">
        <v>95</v>
      </c>
      <c r="M648">
        <v>137</v>
      </c>
      <c r="N648" t="s">
        <v>1434</v>
      </c>
      <c r="O648">
        <v>39</v>
      </c>
      <c r="P648">
        <v>113</v>
      </c>
      <c r="Q648" t="s">
        <v>24</v>
      </c>
      <c r="R648" t="s">
        <v>24</v>
      </c>
      <c r="S648" t="s">
        <v>39</v>
      </c>
      <c r="T648" t="s">
        <v>24</v>
      </c>
      <c r="U648">
        <f t="shared" si="42"/>
        <v>0</v>
      </c>
      <c r="V648">
        <v>181</v>
      </c>
      <c r="W648">
        <v>0.41299999999999998</v>
      </c>
      <c r="X648" t="s">
        <v>1408</v>
      </c>
      <c r="Y648">
        <v>131</v>
      </c>
      <c r="Z648">
        <v>95</v>
      </c>
      <c r="AA648" t="s">
        <v>31</v>
      </c>
      <c r="AB648">
        <v>68</v>
      </c>
      <c r="AC648" s="23">
        <v>1.74</v>
      </c>
      <c r="AD648" t="str">
        <f>IF(AND('CVD Dataset'!AA648="Normal",'CVD Dataset'!AB648&gt;AVERAGE('CVD Dataset'!AB:AB),'CVD Dataset'!AF648="High"),"High Lipid Category","Normal Category")</f>
        <v>Normal Category</v>
      </c>
      <c r="AE648">
        <v>15.23</v>
      </c>
      <c r="AF648" t="s">
        <v>28</v>
      </c>
      <c r="AG648">
        <v>0</v>
      </c>
      <c r="AH648" t="s">
        <v>1380</v>
      </c>
      <c r="AI648">
        <f t="shared" si="43"/>
        <v>0</v>
      </c>
      <c r="AJ648" t="s">
        <v>1391</v>
      </c>
    </row>
    <row r="649" spans="1:36" x14ac:dyDescent="0.3">
      <c r="A649" t="s">
        <v>22</v>
      </c>
      <c r="B649">
        <v>33</v>
      </c>
      <c r="C649">
        <v>63.2</v>
      </c>
      <c r="D649">
        <v>1.65</v>
      </c>
      <c r="F649">
        <f t="shared" si="41"/>
        <v>23.21395775941231</v>
      </c>
      <c r="G649">
        <f t="shared" si="40"/>
        <v>1</v>
      </c>
      <c r="H649" t="s">
        <v>1401</v>
      </c>
      <c r="I649">
        <v>98.2</v>
      </c>
      <c r="J649" t="s">
        <v>322</v>
      </c>
      <c r="K649" s="24">
        <v>131</v>
      </c>
      <c r="L649" s="24">
        <v>67</v>
      </c>
      <c r="M649">
        <v>286</v>
      </c>
      <c r="N649" t="s">
        <v>1432</v>
      </c>
      <c r="P649">
        <v>128</v>
      </c>
      <c r="Q649" t="s">
        <v>24</v>
      </c>
      <c r="R649" t="s">
        <v>24</v>
      </c>
      <c r="S649" t="s">
        <v>26</v>
      </c>
      <c r="T649" t="s">
        <v>25</v>
      </c>
      <c r="U649">
        <f t="shared" si="42"/>
        <v>2</v>
      </c>
      <c r="V649">
        <v>165</v>
      </c>
      <c r="W649">
        <v>0.59499999999999997</v>
      </c>
      <c r="X649" t="s">
        <v>1409</v>
      </c>
      <c r="Y649">
        <v>131</v>
      </c>
      <c r="Z649">
        <v>67</v>
      </c>
      <c r="AA649" t="s">
        <v>31</v>
      </c>
      <c r="AB649">
        <v>212</v>
      </c>
      <c r="AC649" s="23" t="s">
        <v>1410</v>
      </c>
      <c r="AD649" t="str">
        <f>IF(AND('CVD Dataset'!AA649="Normal",'CVD Dataset'!AB649&gt;AVERAGE('CVD Dataset'!AB:AB),'CVD Dataset'!AF649="High"),"High Lipid Category","Normal Category")</f>
        <v>Normal Category</v>
      </c>
      <c r="AE649">
        <v>16.91</v>
      </c>
      <c r="AF649" t="s">
        <v>28</v>
      </c>
      <c r="AG649">
        <v>0</v>
      </c>
      <c r="AH649" t="s">
        <v>1380</v>
      </c>
      <c r="AI649">
        <f t="shared" si="43"/>
        <v>0</v>
      </c>
      <c r="AJ649" t="s">
        <v>1391</v>
      </c>
    </row>
    <row r="650" spans="1:36" x14ac:dyDescent="0.3">
      <c r="A650" t="s">
        <v>22</v>
      </c>
      <c r="B650">
        <v>44</v>
      </c>
      <c r="C650">
        <v>66</v>
      </c>
      <c r="D650">
        <v>1.69</v>
      </c>
      <c r="E650">
        <v>23.1</v>
      </c>
      <c r="F650">
        <f t="shared" si="41"/>
        <v>23.1084345786212</v>
      </c>
      <c r="G650">
        <f t="shared" si="40"/>
        <v>0</v>
      </c>
      <c r="H650" t="s">
        <v>1398</v>
      </c>
      <c r="I650">
        <v>91.2</v>
      </c>
      <c r="J650" t="s">
        <v>342</v>
      </c>
      <c r="K650" s="24">
        <v>123</v>
      </c>
      <c r="L650" s="24">
        <v>89</v>
      </c>
      <c r="M650">
        <v>126</v>
      </c>
      <c r="N650" t="s">
        <v>1434</v>
      </c>
      <c r="O650">
        <v>50</v>
      </c>
      <c r="P650">
        <v>79</v>
      </c>
      <c r="Q650" t="s">
        <v>24</v>
      </c>
      <c r="R650" t="s">
        <v>25</v>
      </c>
      <c r="S650" t="s">
        <v>30</v>
      </c>
      <c r="T650" t="s">
        <v>25</v>
      </c>
      <c r="U650">
        <f t="shared" si="42"/>
        <v>2</v>
      </c>
      <c r="V650">
        <v>169</v>
      </c>
      <c r="W650">
        <v>0.54</v>
      </c>
      <c r="X650" t="s">
        <v>1407</v>
      </c>
      <c r="Y650">
        <v>123</v>
      </c>
      <c r="Z650">
        <v>89</v>
      </c>
      <c r="AA650" t="s">
        <v>31</v>
      </c>
      <c r="AB650">
        <v>46</v>
      </c>
      <c r="AC650" s="23">
        <v>0.92</v>
      </c>
      <c r="AD650" t="str">
        <f>IF(AND('CVD Dataset'!AA650="Normal",'CVD Dataset'!AB650&gt;AVERAGE('CVD Dataset'!AB:AB),'CVD Dataset'!AF650="High"),"High Lipid Category","Normal Category")</f>
        <v>Normal Category</v>
      </c>
      <c r="AE650">
        <v>15.29</v>
      </c>
      <c r="AF650" t="s">
        <v>28</v>
      </c>
      <c r="AG650">
        <v>0</v>
      </c>
      <c r="AH650" t="s">
        <v>1380</v>
      </c>
      <c r="AI650">
        <f t="shared" si="43"/>
        <v>0</v>
      </c>
      <c r="AJ650" t="s">
        <v>1391</v>
      </c>
    </row>
    <row r="651" spans="1:36" x14ac:dyDescent="0.3">
      <c r="A651" t="s">
        <v>33</v>
      </c>
      <c r="B651">
        <v>45</v>
      </c>
      <c r="C651">
        <v>117.2</v>
      </c>
      <c r="D651">
        <v>1.87</v>
      </c>
      <c r="E651">
        <v>33.5</v>
      </c>
      <c r="F651">
        <f t="shared" si="41"/>
        <v>33.515399353713285</v>
      </c>
      <c r="G651">
        <f t="shared" si="40"/>
        <v>0</v>
      </c>
      <c r="H651" t="s">
        <v>1399</v>
      </c>
      <c r="I651">
        <v>102.7</v>
      </c>
      <c r="J651" t="s">
        <v>595</v>
      </c>
      <c r="K651" s="24">
        <v>147</v>
      </c>
      <c r="L651" s="24">
        <v>77</v>
      </c>
      <c r="M651">
        <v>143</v>
      </c>
      <c r="N651" t="s">
        <v>1434</v>
      </c>
      <c r="O651">
        <v>74</v>
      </c>
      <c r="P651">
        <v>86</v>
      </c>
      <c r="Q651" t="s">
        <v>24</v>
      </c>
      <c r="R651" t="s">
        <v>25</v>
      </c>
      <c r="S651" t="s">
        <v>30</v>
      </c>
      <c r="T651" t="s">
        <v>25</v>
      </c>
      <c r="U651">
        <f t="shared" si="42"/>
        <v>2</v>
      </c>
      <c r="V651">
        <v>187</v>
      </c>
      <c r="W651">
        <v>0.54900000000000004</v>
      </c>
      <c r="X651" t="s">
        <v>1407</v>
      </c>
      <c r="Y651">
        <v>147</v>
      </c>
      <c r="Z651">
        <v>77</v>
      </c>
      <c r="AA651" t="s">
        <v>40</v>
      </c>
      <c r="AB651">
        <v>39</v>
      </c>
      <c r="AC651" s="23">
        <v>0.53</v>
      </c>
      <c r="AD651" t="str">
        <f>IF(AND('CVD Dataset'!AA651="Normal",'CVD Dataset'!AB651&gt;AVERAGE('CVD Dataset'!AB:AB),'CVD Dataset'!AF651="High"),"High Lipid Category","Normal Category")</f>
        <v>Normal Category</v>
      </c>
      <c r="AE651">
        <v>18.91</v>
      </c>
      <c r="AF651" t="s">
        <v>28</v>
      </c>
      <c r="AG651">
        <v>0</v>
      </c>
      <c r="AH651" t="s">
        <v>1380</v>
      </c>
      <c r="AI651">
        <f t="shared" si="43"/>
        <v>0</v>
      </c>
      <c r="AJ651" t="s">
        <v>1391</v>
      </c>
    </row>
    <row r="652" spans="1:36" x14ac:dyDescent="0.3">
      <c r="A652" t="s">
        <v>33</v>
      </c>
      <c r="B652">
        <v>36</v>
      </c>
      <c r="C652">
        <v>52.8</v>
      </c>
      <c r="D652">
        <v>1.64</v>
      </c>
      <c r="E652">
        <v>19.600000000000001</v>
      </c>
      <c r="F652">
        <f t="shared" si="41"/>
        <v>19.631171921475314</v>
      </c>
      <c r="G652">
        <f t="shared" si="40"/>
        <v>0</v>
      </c>
      <c r="H652" t="s">
        <v>1398</v>
      </c>
      <c r="I652">
        <v>74.2</v>
      </c>
      <c r="J652" t="s">
        <v>596</v>
      </c>
      <c r="K652" s="24">
        <v>139</v>
      </c>
      <c r="L652" s="24">
        <v>78</v>
      </c>
      <c r="M652">
        <v>225</v>
      </c>
      <c r="N652" t="s">
        <v>1432</v>
      </c>
      <c r="O652">
        <v>76</v>
      </c>
      <c r="P652">
        <v>86</v>
      </c>
      <c r="Q652" t="s">
        <v>24</v>
      </c>
      <c r="R652" t="s">
        <v>24</v>
      </c>
      <c r="S652" t="s">
        <v>26</v>
      </c>
      <c r="T652" t="s">
        <v>25</v>
      </c>
      <c r="U652">
        <f t="shared" si="42"/>
        <v>2</v>
      </c>
      <c r="V652">
        <v>164</v>
      </c>
      <c r="W652">
        <v>0.45200000000000001</v>
      </c>
      <c r="X652" t="s">
        <v>1408</v>
      </c>
      <c r="Y652">
        <v>139</v>
      </c>
      <c r="Z652">
        <v>78</v>
      </c>
      <c r="AA652" t="s">
        <v>31</v>
      </c>
      <c r="AB652">
        <v>119</v>
      </c>
      <c r="AC652" s="23">
        <v>1.57</v>
      </c>
      <c r="AD652" t="str">
        <f>IF(AND('CVD Dataset'!AA652="Normal",'CVD Dataset'!AB652&gt;AVERAGE('CVD Dataset'!AB:AB),'CVD Dataset'!AF652="High"),"High Lipid Category","Normal Category")</f>
        <v>Normal Category</v>
      </c>
      <c r="AE652">
        <v>15.37</v>
      </c>
      <c r="AF652" t="s">
        <v>28</v>
      </c>
      <c r="AG652">
        <v>0</v>
      </c>
      <c r="AH652" t="s">
        <v>1380</v>
      </c>
      <c r="AI652">
        <f t="shared" si="43"/>
        <v>0</v>
      </c>
      <c r="AJ652" t="s">
        <v>1391</v>
      </c>
    </row>
    <row r="653" spans="1:36" x14ac:dyDescent="0.3">
      <c r="A653" t="s">
        <v>22</v>
      </c>
      <c r="B653">
        <v>41</v>
      </c>
      <c r="C653">
        <v>104.3</v>
      </c>
      <c r="D653">
        <v>1.86</v>
      </c>
      <c r="E653">
        <v>30.1</v>
      </c>
      <c r="F653">
        <f t="shared" si="41"/>
        <v>30.147993987744243</v>
      </c>
      <c r="G653">
        <f t="shared" si="40"/>
        <v>0</v>
      </c>
      <c r="H653" t="s">
        <v>1399</v>
      </c>
      <c r="I653">
        <v>84.3</v>
      </c>
      <c r="J653" t="s">
        <v>350</v>
      </c>
      <c r="K653" s="24">
        <v>125</v>
      </c>
      <c r="L653" s="24">
        <v>61</v>
      </c>
      <c r="N653" t="s">
        <v>1434</v>
      </c>
      <c r="O653">
        <v>64</v>
      </c>
      <c r="P653">
        <v>119</v>
      </c>
      <c r="Q653" t="s">
        <v>24</v>
      </c>
      <c r="R653" t="s">
        <v>24</v>
      </c>
      <c r="S653" t="s">
        <v>39</v>
      </c>
      <c r="T653" t="s">
        <v>25</v>
      </c>
      <c r="U653">
        <f t="shared" si="42"/>
        <v>1</v>
      </c>
      <c r="V653">
        <v>186</v>
      </c>
      <c r="W653">
        <v>0.45300000000000001</v>
      </c>
      <c r="X653" t="s">
        <v>1408</v>
      </c>
      <c r="Y653">
        <v>125</v>
      </c>
      <c r="Z653">
        <v>61</v>
      </c>
      <c r="AA653" t="s">
        <v>27</v>
      </c>
      <c r="AC653" s="23">
        <v>0</v>
      </c>
      <c r="AD653" t="str">
        <f>IF(AND('CVD Dataset'!AA653="Normal",'CVD Dataset'!AB653&gt;AVERAGE('CVD Dataset'!AB:AB),'CVD Dataset'!AF653="High"),"High Lipid Category","Normal Category")</f>
        <v>Normal Category</v>
      </c>
      <c r="AE653">
        <v>17.71</v>
      </c>
      <c r="AF653" t="s">
        <v>28</v>
      </c>
      <c r="AG653">
        <v>0</v>
      </c>
      <c r="AH653" t="s">
        <v>1380</v>
      </c>
      <c r="AI653">
        <f t="shared" si="43"/>
        <v>0</v>
      </c>
      <c r="AJ653" t="s">
        <v>1391</v>
      </c>
    </row>
    <row r="654" spans="1:36" x14ac:dyDescent="0.3">
      <c r="A654" t="s">
        <v>22</v>
      </c>
      <c r="B654">
        <v>37</v>
      </c>
      <c r="C654">
        <v>100</v>
      </c>
      <c r="D654">
        <v>1.75</v>
      </c>
      <c r="F654">
        <f t="shared" si="41"/>
        <v>32.653061224489797</v>
      </c>
      <c r="G654">
        <f t="shared" si="40"/>
        <v>1</v>
      </c>
      <c r="H654" t="s">
        <v>1401</v>
      </c>
      <c r="I654">
        <v>91.6</v>
      </c>
      <c r="J654" t="s">
        <v>597</v>
      </c>
      <c r="K654" s="24">
        <v>131</v>
      </c>
      <c r="L654" s="24">
        <v>100</v>
      </c>
      <c r="M654">
        <v>128</v>
      </c>
      <c r="N654" t="s">
        <v>1434</v>
      </c>
      <c r="O654">
        <v>36</v>
      </c>
      <c r="P654">
        <v>131</v>
      </c>
      <c r="Q654" t="s">
        <v>24</v>
      </c>
      <c r="R654" t="s">
        <v>25</v>
      </c>
      <c r="S654" t="s">
        <v>39</v>
      </c>
      <c r="T654" t="s">
        <v>25</v>
      </c>
      <c r="U654">
        <f t="shared" si="42"/>
        <v>2</v>
      </c>
      <c r="V654">
        <v>175</v>
      </c>
      <c r="X654" t="s">
        <v>1410</v>
      </c>
      <c r="Y654">
        <v>131</v>
      </c>
      <c r="Z654">
        <v>100</v>
      </c>
      <c r="AA654" t="s">
        <v>31</v>
      </c>
      <c r="AB654">
        <v>62</v>
      </c>
      <c r="AC654" s="23">
        <v>1.72</v>
      </c>
      <c r="AD654" t="str">
        <f>IF(AND('CVD Dataset'!AA654="Normal",'CVD Dataset'!AB654&gt;AVERAGE('CVD Dataset'!AB:AB),'CVD Dataset'!AF654="High"),"High Lipid Category","Normal Category")</f>
        <v>Normal Category</v>
      </c>
      <c r="AE654">
        <v>17.649999999999999</v>
      </c>
      <c r="AF654" t="s">
        <v>32</v>
      </c>
      <c r="AG654">
        <v>0</v>
      </c>
      <c r="AH654" t="s">
        <v>1379</v>
      </c>
      <c r="AI654">
        <f t="shared" si="43"/>
        <v>1</v>
      </c>
      <c r="AJ654" t="s">
        <v>1391</v>
      </c>
    </row>
    <row r="655" spans="1:36" x14ac:dyDescent="0.3">
      <c r="A655" t="s">
        <v>22</v>
      </c>
      <c r="B655">
        <v>58</v>
      </c>
      <c r="C655">
        <v>51.6</v>
      </c>
      <c r="D655">
        <v>1.73</v>
      </c>
      <c r="E655">
        <v>17.2</v>
      </c>
      <c r="F655">
        <f t="shared" si="41"/>
        <v>17.240803234321227</v>
      </c>
      <c r="G655">
        <f t="shared" ref="G655:G718" si="44">IFERROR(IF(ABS(E655 - F655) &lt;= 0.1, 0, 1),"")</f>
        <v>0</v>
      </c>
      <c r="H655" t="s">
        <v>1401</v>
      </c>
      <c r="I655">
        <v>79.7</v>
      </c>
      <c r="J655" t="s">
        <v>598</v>
      </c>
      <c r="K655" s="24">
        <v>103</v>
      </c>
      <c r="L655" s="24">
        <v>83</v>
      </c>
      <c r="M655">
        <v>151</v>
      </c>
      <c r="N655" t="s">
        <v>1433</v>
      </c>
      <c r="O655">
        <v>71</v>
      </c>
      <c r="P655">
        <v>88</v>
      </c>
      <c r="Q655" t="s">
        <v>25</v>
      </c>
      <c r="R655" t="s">
        <v>24</v>
      </c>
      <c r="S655" t="s">
        <v>30</v>
      </c>
      <c r="T655" t="s">
        <v>25</v>
      </c>
      <c r="U655">
        <f t="shared" si="42"/>
        <v>2</v>
      </c>
      <c r="V655">
        <v>173</v>
      </c>
      <c r="W655">
        <v>0.46100000000000002</v>
      </c>
      <c r="X655" t="s">
        <v>1406</v>
      </c>
      <c r="Y655">
        <v>103</v>
      </c>
      <c r="Z655">
        <v>83</v>
      </c>
      <c r="AA655" t="s">
        <v>31</v>
      </c>
      <c r="AB655">
        <v>50</v>
      </c>
      <c r="AC655" s="23">
        <v>0.7</v>
      </c>
      <c r="AD655" t="str">
        <f>IF(AND('CVD Dataset'!AA655="Normal",'CVD Dataset'!AB655&gt;AVERAGE('CVD Dataset'!AB:AB),'CVD Dataset'!AF655="High"),"High Lipid Category","Normal Category")</f>
        <v>Normal Category</v>
      </c>
      <c r="AE655">
        <v>11.61</v>
      </c>
      <c r="AF655" t="s">
        <v>28</v>
      </c>
      <c r="AG655">
        <v>0</v>
      </c>
      <c r="AH655" t="s">
        <v>1380</v>
      </c>
      <c r="AI655">
        <f t="shared" si="43"/>
        <v>0</v>
      </c>
      <c r="AJ655" t="s">
        <v>1391</v>
      </c>
    </row>
    <row r="656" spans="1:36" x14ac:dyDescent="0.3">
      <c r="A656" t="s">
        <v>22</v>
      </c>
      <c r="B656">
        <v>38</v>
      </c>
      <c r="C656">
        <v>58.6</v>
      </c>
      <c r="D656">
        <v>1.72</v>
      </c>
      <c r="E656">
        <v>19.8</v>
      </c>
      <c r="F656">
        <f t="shared" si="41"/>
        <v>19.808004326663063</v>
      </c>
      <c r="G656">
        <f t="shared" si="44"/>
        <v>0</v>
      </c>
      <c r="H656" t="s">
        <v>1398</v>
      </c>
      <c r="I656">
        <v>102</v>
      </c>
      <c r="J656" t="s">
        <v>599</v>
      </c>
      <c r="K656" s="24">
        <v>117</v>
      </c>
      <c r="L656" s="24">
        <v>92</v>
      </c>
      <c r="M656">
        <v>102</v>
      </c>
      <c r="N656" t="s">
        <v>1434</v>
      </c>
      <c r="O656">
        <v>78</v>
      </c>
      <c r="P656">
        <v>141</v>
      </c>
      <c r="Q656" t="s">
        <v>24</v>
      </c>
      <c r="R656" t="s">
        <v>24</v>
      </c>
      <c r="S656" t="s">
        <v>30</v>
      </c>
      <c r="T656" t="s">
        <v>24</v>
      </c>
      <c r="U656">
        <f t="shared" si="42"/>
        <v>0</v>
      </c>
      <c r="W656">
        <v>0.59299999999999997</v>
      </c>
      <c r="X656" t="s">
        <v>1409</v>
      </c>
      <c r="Y656">
        <v>117</v>
      </c>
      <c r="Z656">
        <v>92</v>
      </c>
      <c r="AA656" t="s">
        <v>40</v>
      </c>
      <c r="AB656">
        <v>-6</v>
      </c>
      <c r="AC656" s="23">
        <v>-0.08</v>
      </c>
      <c r="AD656" t="str">
        <f>IF(AND('CVD Dataset'!AA656="Normal",'CVD Dataset'!AB656&gt;AVERAGE('CVD Dataset'!AB:AB),'CVD Dataset'!AF656="High"),"High Lipid Category","Normal Category")</f>
        <v>Normal Category</v>
      </c>
      <c r="AF656" t="s">
        <v>54</v>
      </c>
      <c r="AG656">
        <v>0</v>
      </c>
      <c r="AH656" t="s">
        <v>1380</v>
      </c>
      <c r="AI656">
        <f t="shared" si="43"/>
        <v>0</v>
      </c>
      <c r="AJ656" t="s">
        <v>1391</v>
      </c>
    </row>
    <row r="657" spans="1:36" x14ac:dyDescent="0.3">
      <c r="A657" t="s">
        <v>33</v>
      </c>
      <c r="C657">
        <v>117.8</v>
      </c>
      <c r="D657">
        <v>1.8</v>
      </c>
      <c r="E657">
        <v>36.4</v>
      </c>
      <c r="F657">
        <f t="shared" si="41"/>
        <v>36.358024691358018</v>
      </c>
      <c r="G657">
        <f t="shared" si="44"/>
        <v>0</v>
      </c>
      <c r="H657" t="s">
        <v>1399</v>
      </c>
      <c r="I657">
        <v>95</v>
      </c>
      <c r="J657" t="s">
        <v>74</v>
      </c>
      <c r="K657" s="24">
        <v>130</v>
      </c>
      <c r="L657" s="24">
        <v>75</v>
      </c>
      <c r="M657">
        <v>298</v>
      </c>
      <c r="N657" t="s">
        <v>1432</v>
      </c>
      <c r="O657">
        <v>41</v>
      </c>
      <c r="P657">
        <v>149</v>
      </c>
      <c r="Q657" t="s">
        <v>24</v>
      </c>
      <c r="R657" t="s">
        <v>25</v>
      </c>
      <c r="S657" t="s">
        <v>26</v>
      </c>
      <c r="T657" t="s">
        <v>25</v>
      </c>
      <c r="U657">
        <f t="shared" si="42"/>
        <v>3</v>
      </c>
      <c r="V657">
        <v>180</v>
      </c>
      <c r="W657">
        <v>0.52800000000000002</v>
      </c>
      <c r="X657" t="s">
        <v>1407</v>
      </c>
      <c r="Z657">
        <v>75</v>
      </c>
      <c r="AA657" t="s">
        <v>31</v>
      </c>
      <c r="AB657">
        <v>227</v>
      </c>
      <c r="AC657" s="23">
        <v>5.54</v>
      </c>
      <c r="AD657" t="str">
        <f>IF(AND('CVD Dataset'!AA657="Normal",'CVD Dataset'!AB657&gt;AVERAGE('CVD Dataset'!AB:AB),'CVD Dataset'!AF657="High"),"High Lipid Category","Normal Category")</f>
        <v>Normal Category</v>
      </c>
      <c r="AE657">
        <v>21.74</v>
      </c>
      <c r="AF657" t="s">
        <v>32</v>
      </c>
      <c r="AG657">
        <v>0</v>
      </c>
      <c r="AH657" t="s">
        <v>1379</v>
      </c>
      <c r="AI657">
        <f t="shared" si="43"/>
        <v>1</v>
      </c>
      <c r="AJ657" t="s">
        <v>1391</v>
      </c>
    </row>
    <row r="658" spans="1:36" x14ac:dyDescent="0.3">
      <c r="A658" t="s">
        <v>22</v>
      </c>
      <c r="B658">
        <v>56</v>
      </c>
      <c r="C658">
        <v>110</v>
      </c>
      <c r="D658">
        <v>1.89</v>
      </c>
      <c r="E658">
        <v>30.8</v>
      </c>
      <c r="F658">
        <f t="shared" si="41"/>
        <v>30.794210688390585</v>
      </c>
      <c r="G658">
        <f t="shared" si="44"/>
        <v>0</v>
      </c>
      <c r="H658" t="s">
        <v>1399</v>
      </c>
      <c r="I658">
        <v>97</v>
      </c>
      <c r="J658" t="s">
        <v>187</v>
      </c>
      <c r="K658" s="24">
        <v>97</v>
      </c>
      <c r="L658" s="24">
        <v>79</v>
      </c>
      <c r="M658">
        <v>264</v>
      </c>
      <c r="N658" t="s">
        <v>1432</v>
      </c>
      <c r="O658">
        <v>44</v>
      </c>
      <c r="P658">
        <v>108</v>
      </c>
      <c r="Q658" t="s">
        <v>24</v>
      </c>
      <c r="R658" t="s">
        <v>25</v>
      </c>
      <c r="S658" t="s">
        <v>39</v>
      </c>
      <c r="T658" t="s">
        <v>25</v>
      </c>
      <c r="U658">
        <f t="shared" si="42"/>
        <v>2</v>
      </c>
      <c r="V658">
        <v>189</v>
      </c>
      <c r="W658">
        <v>0.51300000000000001</v>
      </c>
      <c r="X658" t="s">
        <v>1406</v>
      </c>
      <c r="Y658">
        <v>97</v>
      </c>
      <c r="Z658">
        <v>79</v>
      </c>
      <c r="AA658" t="s">
        <v>35</v>
      </c>
      <c r="AB658">
        <v>190</v>
      </c>
      <c r="AC658" s="23">
        <v>4.32</v>
      </c>
      <c r="AD658" t="str">
        <f>IF(AND('CVD Dataset'!AA658="Normal",'CVD Dataset'!AB658&gt;AVERAGE('CVD Dataset'!AB:AB),'CVD Dataset'!AF658="High"),"High Lipid Category","Normal Category")</f>
        <v>High Lipid Category</v>
      </c>
      <c r="AE658">
        <v>18.29</v>
      </c>
      <c r="AF658" t="s">
        <v>32</v>
      </c>
      <c r="AG658">
        <v>0</v>
      </c>
      <c r="AH658" t="s">
        <v>1379</v>
      </c>
      <c r="AI658">
        <f t="shared" si="43"/>
        <v>1</v>
      </c>
      <c r="AJ658" t="s">
        <v>1391</v>
      </c>
    </row>
    <row r="659" spans="1:36" x14ac:dyDescent="0.3">
      <c r="A659" t="s">
        <v>22</v>
      </c>
      <c r="B659">
        <v>34</v>
      </c>
      <c r="C659">
        <v>66.8</v>
      </c>
      <c r="D659">
        <v>1.71</v>
      </c>
      <c r="E659">
        <v>22.8</v>
      </c>
      <c r="F659">
        <f t="shared" si="41"/>
        <v>22.844635956362644</v>
      </c>
      <c r="G659">
        <f t="shared" si="44"/>
        <v>0</v>
      </c>
      <c r="H659" t="s">
        <v>1398</v>
      </c>
      <c r="I659">
        <v>87.7</v>
      </c>
      <c r="J659" t="s">
        <v>543</v>
      </c>
      <c r="K659" s="24">
        <v>120</v>
      </c>
      <c r="L659" s="24">
        <v>100</v>
      </c>
      <c r="M659">
        <v>235</v>
      </c>
      <c r="N659" t="s">
        <v>1432</v>
      </c>
      <c r="O659">
        <v>58</v>
      </c>
      <c r="P659">
        <v>85</v>
      </c>
      <c r="Q659" t="s">
        <v>24</v>
      </c>
      <c r="R659" t="s">
        <v>25</v>
      </c>
      <c r="S659" t="s">
        <v>26</v>
      </c>
      <c r="T659" t="s">
        <v>25</v>
      </c>
      <c r="U659">
        <f t="shared" si="42"/>
        <v>3</v>
      </c>
      <c r="V659">
        <v>171</v>
      </c>
      <c r="W659">
        <v>0.51300000000000001</v>
      </c>
      <c r="X659" t="s">
        <v>1406</v>
      </c>
      <c r="Y659">
        <v>120</v>
      </c>
      <c r="Z659">
        <v>100</v>
      </c>
      <c r="AA659" t="s">
        <v>40</v>
      </c>
      <c r="AB659">
        <v>147</v>
      </c>
      <c r="AC659" s="23">
        <v>2.5299999999999998</v>
      </c>
      <c r="AD659" t="str">
        <f>IF(AND('CVD Dataset'!AA659="Normal",'CVD Dataset'!AB659&gt;AVERAGE('CVD Dataset'!AB:AB),'CVD Dataset'!AF659="High"),"High Lipid Category","Normal Category")</f>
        <v>Normal Category</v>
      </c>
      <c r="AE659">
        <v>17.260000000000002</v>
      </c>
      <c r="AF659" t="s">
        <v>32</v>
      </c>
      <c r="AG659">
        <v>0</v>
      </c>
      <c r="AH659" t="s">
        <v>1379</v>
      </c>
      <c r="AI659">
        <f t="shared" si="43"/>
        <v>1</v>
      </c>
      <c r="AJ659" t="s">
        <v>1391</v>
      </c>
    </row>
    <row r="660" spans="1:36" x14ac:dyDescent="0.3">
      <c r="A660" t="s">
        <v>22</v>
      </c>
      <c r="B660">
        <v>59</v>
      </c>
      <c r="C660">
        <v>60.6</v>
      </c>
      <c r="D660">
        <v>1.75</v>
      </c>
      <c r="E660">
        <v>19.8</v>
      </c>
      <c r="F660">
        <f t="shared" si="41"/>
        <v>19.787755102040816</v>
      </c>
      <c r="G660">
        <f t="shared" si="44"/>
        <v>0</v>
      </c>
      <c r="H660" t="s">
        <v>1398</v>
      </c>
      <c r="I660">
        <v>78.099999999999994</v>
      </c>
      <c r="J660" t="s">
        <v>600</v>
      </c>
      <c r="K660" s="24">
        <v>130</v>
      </c>
      <c r="L660" s="24">
        <v>98</v>
      </c>
      <c r="M660">
        <v>153</v>
      </c>
      <c r="N660" t="s">
        <v>1433</v>
      </c>
      <c r="O660">
        <v>58</v>
      </c>
      <c r="P660">
        <v>144</v>
      </c>
      <c r="Q660" t="s">
        <v>24</v>
      </c>
      <c r="R660" t="s">
        <v>25</v>
      </c>
      <c r="S660" t="s">
        <v>26</v>
      </c>
      <c r="T660" t="s">
        <v>25</v>
      </c>
      <c r="U660">
        <f t="shared" si="42"/>
        <v>3</v>
      </c>
      <c r="V660">
        <v>175</v>
      </c>
      <c r="W660">
        <v>0.44600000000000001</v>
      </c>
      <c r="X660" t="s">
        <v>1408</v>
      </c>
      <c r="Y660">
        <v>130</v>
      </c>
      <c r="Z660">
        <v>98</v>
      </c>
      <c r="AA660" t="s">
        <v>31</v>
      </c>
      <c r="AB660">
        <v>65</v>
      </c>
      <c r="AC660" s="23">
        <v>1.1200000000000001</v>
      </c>
      <c r="AD660" t="str">
        <f>IF(AND('CVD Dataset'!AA660="Normal",'CVD Dataset'!AB660&gt;AVERAGE('CVD Dataset'!AB:AB),'CVD Dataset'!AF660="High"),"High Lipid Category","Normal Category")</f>
        <v>Normal Category</v>
      </c>
      <c r="AE660">
        <v>15.52</v>
      </c>
      <c r="AF660" t="s">
        <v>32</v>
      </c>
      <c r="AG660">
        <v>0</v>
      </c>
      <c r="AH660" t="s">
        <v>1379</v>
      </c>
      <c r="AI660">
        <f t="shared" si="43"/>
        <v>1</v>
      </c>
      <c r="AJ660" t="s">
        <v>1392</v>
      </c>
    </row>
    <row r="661" spans="1:36" x14ac:dyDescent="0.3">
      <c r="A661" t="s">
        <v>33</v>
      </c>
      <c r="B661">
        <v>58</v>
      </c>
      <c r="C661">
        <v>109.5</v>
      </c>
      <c r="D661">
        <v>1.79</v>
      </c>
      <c r="E661">
        <v>34.200000000000003</v>
      </c>
      <c r="F661">
        <f t="shared" si="41"/>
        <v>34.174963328235698</v>
      </c>
      <c r="G661">
        <f t="shared" si="44"/>
        <v>0</v>
      </c>
      <c r="H661" t="s">
        <v>1399</v>
      </c>
      <c r="I661">
        <v>103.4</v>
      </c>
      <c r="J661" t="s">
        <v>366</v>
      </c>
      <c r="K661" s="24">
        <v>117</v>
      </c>
      <c r="L661" s="24">
        <v>81</v>
      </c>
      <c r="M661">
        <v>109</v>
      </c>
      <c r="N661" t="s">
        <v>1434</v>
      </c>
      <c r="P661">
        <v>92</v>
      </c>
      <c r="Q661" t="s">
        <v>25</v>
      </c>
      <c r="R661" t="s">
        <v>25</v>
      </c>
      <c r="S661" t="s">
        <v>30</v>
      </c>
      <c r="T661" t="s">
        <v>24</v>
      </c>
      <c r="U661">
        <f t="shared" si="42"/>
        <v>2</v>
      </c>
      <c r="V661">
        <v>179</v>
      </c>
      <c r="W661">
        <v>0.57799999999999996</v>
      </c>
      <c r="X661" t="s">
        <v>1407</v>
      </c>
      <c r="Y661">
        <v>117</v>
      </c>
      <c r="Z661">
        <v>81</v>
      </c>
      <c r="AA661" t="s">
        <v>31</v>
      </c>
      <c r="AB661">
        <v>31</v>
      </c>
      <c r="AC661" s="23" t="s">
        <v>1410</v>
      </c>
      <c r="AD661" t="str">
        <f>IF(AND('CVD Dataset'!AA661="Normal",'CVD Dataset'!AB661&gt;AVERAGE('CVD Dataset'!AB:AB),'CVD Dataset'!AF661="High"),"High Lipid Category","Normal Category")</f>
        <v>Normal Category</v>
      </c>
      <c r="AE661">
        <v>16.87</v>
      </c>
      <c r="AF661" t="s">
        <v>32</v>
      </c>
      <c r="AG661">
        <v>0</v>
      </c>
      <c r="AH661" t="s">
        <v>1379</v>
      </c>
      <c r="AI661">
        <f t="shared" si="43"/>
        <v>1</v>
      </c>
      <c r="AJ661" t="s">
        <v>1392</v>
      </c>
    </row>
    <row r="662" spans="1:36" x14ac:dyDescent="0.3">
      <c r="A662" t="s">
        <v>22</v>
      </c>
      <c r="B662">
        <v>51</v>
      </c>
      <c r="C662">
        <v>112.1</v>
      </c>
      <c r="D662">
        <v>1.81</v>
      </c>
      <c r="E662">
        <v>34.200000000000003</v>
      </c>
      <c r="F662">
        <f t="shared" si="41"/>
        <v>34.217514727877656</v>
      </c>
      <c r="G662">
        <f t="shared" si="44"/>
        <v>0</v>
      </c>
      <c r="H662" t="s">
        <v>1399</v>
      </c>
      <c r="I662">
        <v>100.2</v>
      </c>
      <c r="J662" t="s">
        <v>601</v>
      </c>
      <c r="K662" s="24">
        <v>103</v>
      </c>
      <c r="L662" s="24">
        <v>85</v>
      </c>
      <c r="M662">
        <v>289</v>
      </c>
      <c r="N662" t="s">
        <v>1432</v>
      </c>
      <c r="O662">
        <v>43</v>
      </c>
      <c r="Q662" t="s">
        <v>24</v>
      </c>
      <c r="R662" t="s">
        <v>24</v>
      </c>
      <c r="S662" t="s">
        <v>39</v>
      </c>
      <c r="T662" t="s">
        <v>24</v>
      </c>
      <c r="U662">
        <f t="shared" si="42"/>
        <v>0</v>
      </c>
      <c r="V662">
        <v>181</v>
      </c>
      <c r="W662">
        <v>0.55400000000000005</v>
      </c>
      <c r="X662" t="s">
        <v>1407</v>
      </c>
      <c r="Y662">
        <v>103</v>
      </c>
      <c r="Z662">
        <v>85</v>
      </c>
      <c r="AA662" t="s">
        <v>31</v>
      </c>
      <c r="AB662">
        <v>216</v>
      </c>
      <c r="AC662" s="23">
        <v>5.0199999999999996</v>
      </c>
      <c r="AD662" t="str">
        <f>IF(AND('CVD Dataset'!AA662="Normal",'CVD Dataset'!AB662&gt;AVERAGE('CVD Dataset'!AB:AB),'CVD Dataset'!AF662="High"),"High Lipid Category","Normal Category")</f>
        <v>Normal Category</v>
      </c>
      <c r="AE662">
        <v>17.77</v>
      </c>
      <c r="AF662" t="s">
        <v>28</v>
      </c>
      <c r="AG662">
        <v>0</v>
      </c>
      <c r="AH662" t="s">
        <v>1380</v>
      </c>
      <c r="AI662">
        <f t="shared" si="43"/>
        <v>0</v>
      </c>
      <c r="AJ662" t="s">
        <v>1391</v>
      </c>
    </row>
    <row r="663" spans="1:36" x14ac:dyDescent="0.3">
      <c r="A663" t="s">
        <v>33</v>
      </c>
      <c r="B663">
        <v>41</v>
      </c>
      <c r="C663">
        <v>59.2</v>
      </c>
      <c r="D663">
        <v>1.65</v>
      </c>
      <c r="F663">
        <f t="shared" si="41"/>
        <v>21.74471992653811</v>
      </c>
      <c r="G663">
        <f t="shared" si="44"/>
        <v>1</v>
      </c>
      <c r="H663" t="s">
        <v>1401</v>
      </c>
      <c r="I663">
        <v>90.4</v>
      </c>
      <c r="J663" t="s">
        <v>602</v>
      </c>
      <c r="K663" s="24">
        <v>150</v>
      </c>
      <c r="L663" s="24">
        <v>98</v>
      </c>
      <c r="M663">
        <v>114</v>
      </c>
      <c r="N663" t="s">
        <v>1434</v>
      </c>
      <c r="O663">
        <v>56</v>
      </c>
      <c r="P663">
        <v>134</v>
      </c>
      <c r="Q663" t="s">
        <v>25</v>
      </c>
      <c r="R663" t="s">
        <v>24</v>
      </c>
      <c r="S663" t="s">
        <v>30</v>
      </c>
      <c r="T663" t="s">
        <v>25</v>
      </c>
      <c r="U663">
        <f t="shared" si="42"/>
        <v>2</v>
      </c>
      <c r="V663">
        <v>165</v>
      </c>
      <c r="W663">
        <v>0.54800000000000004</v>
      </c>
      <c r="X663" t="s">
        <v>1407</v>
      </c>
      <c r="Y663">
        <v>150</v>
      </c>
      <c r="Z663">
        <v>98</v>
      </c>
      <c r="AA663" t="s">
        <v>40</v>
      </c>
      <c r="AB663">
        <v>28</v>
      </c>
      <c r="AC663" s="23">
        <v>0.5</v>
      </c>
      <c r="AD663" t="str">
        <f>IF(AND('CVD Dataset'!AA663="Normal",'CVD Dataset'!AB663&gt;AVERAGE('CVD Dataset'!AB:AB),'CVD Dataset'!AF663="High"),"High Lipid Category","Normal Category")</f>
        <v>Normal Category</v>
      </c>
      <c r="AE663">
        <v>14.12</v>
      </c>
      <c r="AF663" t="s">
        <v>28</v>
      </c>
      <c r="AG663">
        <v>0</v>
      </c>
      <c r="AH663" t="s">
        <v>1380</v>
      </c>
      <c r="AI663">
        <f t="shared" si="43"/>
        <v>0</v>
      </c>
      <c r="AJ663" t="s">
        <v>1391</v>
      </c>
    </row>
    <row r="664" spans="1:36" x14ac:dyDescent="0.3">
      <c r="A664" t="s">
        <v>22</v>
      </c>
      <c r="B664">
        <v>32</v>
      </c>
      <c r="C664">
        <v>73.3</v>
      </c>
      <c r="D664">
        <v>1.61</v>
      </c>
      <c r="E664">
        <v>28.3</v>
      </c>
      <c r="F664">
        <f t="shared" si="41"/>
        <v>28.278230006558385</v>
      </c>
      <c r="G664">
        <f t="shared" si="44"/>
        <v>0</v>
      </c>
      <c r="H664" t="s">
        <v>1400</v>
      </c>
      <c r="I664">
        <v>101.2</v>
      </c>
      <c r="J664" t="s">
        <v>71</v>
      </c>
      <c r="K664" s="24">
        <v>136</v>
      </c>
      <c r="L664" s="24">
        <v>80</v>
      </c>
      <c r="M664">
        <v>260</v>
      </c>
      <c r="N664" t="s">
        <v>1432</v>
      </c>
      <c r="O664">
        <v>78</v>
      </c>
      <c r="P664">
        <v>74</v>
      </c>
      <c r="Q664" t="s">
        <v>24</v>
      </c>
      <c r="R664" t="s">
        <v>25</v>
      </c>
      <c r="S664" t="s">
        <v>39</v>
      </c>
      <c r="T664" t="s">
        <v>24</v>
      </c>
      <c r="U664">
        <f t="shared" si="42"/>
        <v>1</v>
      </c>
      <c r="V664">
        <v>161</v>
      </c>
      <c r="X664" t="s">
        <v>1410</v>
      </c>
      <c r="Y664">
        <v>136</v>
      </c>
      <c r="Z664">
        <v>80</v>
      </c>
      <c r="AA664" t="s">
        <v>31</v>
      </c>
      <c r="AB664">
        <v>152</v>
      </c>
      <c r="AC664" s="23">
        <v>1.95</v>
      </c>
      <c r="AD664" t="str">
        <f>IF(AND('CVD Dataset'!AA664="Normal",'CVD Dataset'!AB664&gt;AVERAGE('CVD Dataset'!AB:AB),'CVD Dataset'!AF664="High"),"High Lipid Category","Normal Category")</f>
        <v>Normal Category</v>
      </c>
      <c r="AE664">
        <v>19.66</v>
      </c>
      <c r="AF664" t="s">
        <v>28</v>
      </c>
      <c r="AG664">
        <v>0</v>
      </c>
      <c r="AH664" t="s">
        <v>1380</v>
      </c>
      <c r="AI664">
        <f t="shared" si="43"/>
        <v>0</v>
      </c>
      <c r="AJ664" t="s">
        <v>1391</v>
      </c>
    </row>
    <row r="665" spans="1:36" x14ac:dyDescent="0.3">
      <c r="A665" t="s">
        <v>33</v>
      </c>
      <c r="B665">
        <v>41</v>
      </c>
      <c r="C665">
        <v>110.9</v>
      </c>
      <c r="D665">
        <v>1.74</v>
      </c>
      <c r="E665">
        <v>36.6</v>
      </c>
      <c r="F665">
        <f t="shared" si="41"/>
        <v>36.629673668912673</v>
      </c>
      <c r="G665">
        <f t="shared" si="44"/>
        <v>0</v>
      </c>
      <c r="H665" t="s">
        <v>1399</v>
      </c>
      <c r="I665">
        <v>92.8</v>
      </c>
      <c r="J665" t="s">
        <v>603</v>
      </c>
      <c r="K665" s="24">
        <v>114</v>
      </c>
      <c r="L665" s="24">
        <v>89</v>
      </c>
      <c r="M665">
        <v>125</v>
      </c>
      <c r="N665" t="s">
        <v>1434</v>
      </c>
      <c r="O665">
        <v>70</v>
      </c>
      <c r="P665">
        <v>85</v>
      </c>
      <c r="Q665" t="s">
        <v>25</v>
      </c>
      <c r="R665" t="s">
        <v>25</v>
      </c>
      <c r="S665" t="s">
        <v>26</v>
      </c>
      <c r="T665" t="s">
        <v>24</v>
      </c>
      <c r="U665">
        <f t="shared" si="42"/>
        <v>3</v>
      </c>
      <c r="V665">
        <v>174</v>
      </c>
      <c r="W665">
        <v>0.53300000000000003</v>
      </c>
      <c r="X665" t="s">
        <v>1407</v>
      </c>
      <c r="Y665">
        <v>114</v>
      </c>
      <c r="Z665">
        <v>89</v>
      </c>
      <c r="AA665" t="s">
        <v>31</v>
      </c>
      <c r="AB665">
        <v>25</v>
      </c>
      <c r="AC665" s="23">
        <v>0.36</v>
      </c>
      <c r="AD665" t="str">
        <f>IF(AND('CVD Dataset'!AA665="Normal",'CVD Dataset'!AB665&gt;AVERAGE('CVD Dataset'!AB:AB),'CVD Dataset'!AF665="High"),"High Lipid Category","Normal Category")</f>
        <v>Normal Category</v>
      </c>
      <c r="AE665">
        <v>17.52</v>
      </c>
      <c r="AF665" t="s">
        <v>32</v>
      </c>
      <c r="AG665">
        <v>1</v>
      </c>
      <c r="AH665" t="s">
        <v>1379</v>
      </c>
      <c r="AI665">
        <f t="shared" si="43"/>
        <v>1</v>
      </c>
      <c r="AJ665" t="s">
        <v>1391</v>
      </c>
    </row>
    <row r="666" spans="1:36" x14ac:dyDescent="0.3">
      <c r="A666" t="s">
        <v>22</v>
      </c>
      <c r="B666">
        <v>35</v>
      </c>
      <c r="C666">
        <v>50.1</v>
      </c>
      <c r="D666">
        <v>1.8</v>
      </c>
      <c r="E666">
        <v>15.5</v>
      </c>
      <c r="F666">
        <f t="shared" si="41"/>
        <v>15.462962962962962</v>
      </c>
      <c r="G666">
        <f t="shared" si="44"/>
        <v>0</v>
      </c>
      <c r="H666" t="s">
        <v>1401</v>
      </c>
      <c r="I666">
        <v>89</v>
      </c>
      <c r="J666" t="s">
        <v>604</v>
      </c>
      <c r="K666" s="24">
        <v>127</v>
      </c>
      <c r="L666" s="24">
        <v>74</v>
      </c>
      <c r="M666">
        <v>262</v>
      </c>
      <c r="N666" t="s">
        <v>1432</v>
      </c>
      <c r="O666">
        <v>54</v>
      </c>
      <c r="P666">
        <v>121</v>
      </c>
      <c r="Q666" t="s">
        <v>24</v>
      </c>
      <c r="R666" t="s">
        <v>24</v>
      </c>
      <c r="S666" t="s">
        <v>26</v>
      </c>
      <c r="T666" t="s">
        <v>25</v>
      </c>
      <c r="U666">
        <f t="shared" si="42"/>
        <v>2</v>
      </c>
      <c r="V666">
        <v>180</v>
      </c>
      <c r="W666">
        <v>0.49399999999999999</v>
      </c>
      <c r="X666" t="s">
        <v>1406</v>
      </c>
      <c r="Y666">
        <v>127</v>
      </c>
      <c r="Z666">
        <v>74</v>
      </c>
      <c r="AA666" t="s">
        <v>27</v>
      </c>
      <c r="AB666">
        <v>178</v>
      </c>
      <c r="AC666" s="23">
        <v>3.3</v>
      </c>
      <c r="AD666" t="str">
        <f>IF(AND('CVD Dataset'!AA666="Normal",'CVD Dataset'!AB666&gt;AVERAGE('CVD Dataset'!AB:AB),'CVD Dataset'!AF666="High"),"High Lipid Category","Normal Category")</f>
        <v>Normal Category</v>
      </c>
      <c r="AE666">
        <v>14.69</v>
      </c>
      <c r="AF666" t="s">
        <v>28</v>
      </c>
      <c r="AG666">
        <v>0</v>
      </c>
      <c r="AH666" t="s">
        <v>1380</v>
      </c>
      <c r="AI666">
        <f t="shared" si="43"/>
        <v>0</v>
      </c>
      <c r="AJ666" t="s">
        <v>1391</v>
      </c>
    </row>
    <row r="667" spans="1:36" x14ac:dyDescent="0.3">
      <c r="A667" t="s">
        <v>33</v>
      </c>
      <c r="B667">
        <v>36</v>
      </c>
      <c r="C667">
        <v>58.7</v>
      </c>
      <c r="D667">
        <v>1.74</v>
      </c>
      <c r="F667">
        <f t="shared" si="41"/>
        <v>19.388294358567844</v>
      </c>
      <c r="G667">
        <f t="shared" si="44"/>
        <v>1</v>
      </c>
      <c r="H667" t="s">
        <v>1401</v>
      </c>
      <c r="I667">
        <v>98.7</v>
      </c>
      <c r="J667" t="s">
        <v>105</v>
      </c>
      <c r="K667" s="24">
        <v>102</v>
      </c>
      <c r="L667" s="24">
        <v>79</v>
      </c>
      <c r="M667">
        <v>159</v>
      </c>
      <c r="N667" t="s">
        <v>1433</v>
      </c>
      <c r="O667">
        <v>74</v>
      </c>
      <c r="P667">
        <v>139</v>
      </c>
      <c r="Q667" t="s">
        <v>24</v>
      </c>
      <c r="R667" t="s">
        <v>25</v>
      </c>
      <c r="S667" t="s">
        <v>30</v>
      </c>
      <c r="T667" t="s">
        <v>24</v>
      </c>
      <c r="U667">
        <f t="shared" si="42"/>
        <v>1</v>
      </c>
      <c r="V667">
        <v>174</v>
      </c>
      <c r="W667">
        <v>0.56699999999999995</v>
      </c>
      <c r="X667" t="s">
        <v>1407</v>
      </c>
      <c r="Y667">
        <v>102</v>
      </c>
      <c r="Z667">
        <v>79</v>
      </c>
      <c r="AA667" t="s">
        <v>35</v>
      </c>
      <c r="AB667">
        <v>55</v>
      </c>
      <c r="AC667" s="23">
        <v>0.74</v>
      </c>
      <c r="AD667" t="str">
        <f>IF(AND('CVD Dataset'!AA667="Normal",'CVD Dataset'!AB667&gt;AVERAGE('CVD Dataset'!AB:AB),'CVD Dataset'!AF667="High"),"High Lipid Category","Normal Category")</f>
        <v>Normal Category</v>
      </c>
      <c r="AE667">
        <v>14.16</v>
      </c>
      <c r="AF667" t="s">
        <v>54</v>
      </c>
      <c r="AG667">
        <v>0</v>
      </c>
      <c r="AH667" t="s">
        <v>1380</v>
      </c>
      <c r="AI667">
        <f t="shared" si="43"/>
        <v>0</v>
      </c>
      <c r="AJ667" t="s">
        <v>1391</v>
      </c>
    </row>
    <row r="668" spans="1:36" x14ac:dyDescent="0.3">
      <c r="A668" t="s">
        <v>33</v>
      </c>
      <c r="B668">
        <v>53</v>
      </c>
      <c r="C668">
        <v>87.9</v>
      </c>
      <c r="D668">
        <v>1.75</v>
      </c>
      <c r="E668">
        <v>28.7</v>
      </c>
      <c r="F668">
        <f t="shared" si="41"/>
        <v>28.702040816326534</v>
      </c>
      <c r="G668">
        <f t="shared" si="44"/>
        <v>0</v>
      </c>
      <c r="H668" t="s">
        <v>1400</v>
      </c>
      <c r="I668">
        <v>89.9</v>
      </c>
      <c r="J668" t="s">
        <v>605</v>
      </c>
      <c r="K668" s="24">
        <v>140</v>
      </c>
      <c r="L668" s="24">
        <v>72</v>
      </c>
      <c r="M668">
        <v>230</v>
      </c>
      <c r="N668" t="s">
        <v>1432</v>
      </c>
      <c r="O668">
        <v>34</v>
      </c>
      <c r="P668">
        <v>112</v>
      </c>
      <c r="Q668" t="s">
        <v>24</v>
      </c>
      <c r="R668" t="s">
        <v>24</v>
      </c>
      <c r="S668" t="s">
        <v>39</v>
      </c>
      <c r="T668" t="s">
        <v>25</v>
      </c>
      <c r="U668">
        <f t="shared" si="42"/>
        <v>1</v>
      </c>
      <c r="W668">
        <v>0.51400000000000001</v>
      </c>
      <c r="X668" t="s">
        <v>1406</v>
      </c>
      <c r="Y668">
        <v>140</v>
      </c>
      <c r="Z668">
        <v>72</v>
      </c>
      <c r="AA668" t="s">
        <v>40</v>
      </c>
      <c r="AB668">
        <v>166</v>
      </c>
      <c r="AC668" s="23">
        <v>4.88</v>
      </c>
      <c r="AD668" t="str">
        <f>IF(AND('CVD Dataset'!AA668="Normal",'CVD Dataset'!AB668&gt;AVERAGE('CVD Dataset'!AB:AB),'CVD Dataset'!AF668="High"),"High Lipid Category","Normal Category")</f>
        <v>Normal Category</v>
      </c>
      <c r="AE668">
        <v>17.34</v>
      </c>
      <c r="AF668" t="s">
        <v>32</v>
      </c>
      <c r="AG668">
        <v>0</v>
      </c>
      <c r="AH668" t="s">
        <v>1379</v>
      </c>
      <c r="AI668">
        <f t="shared" si="43"/>
        <v>1</v>
      </c>
      <c r="AJ668" t="s">
        <v>1391</v>
      </c>
    </row>
    <row r="669" spans="1:36" x14ac:dyDescent="0.3">
      <c r="A669" t="s">
        <v>33</v>
      </c>
      <c r="B669">
        <v>50</v>
      </c>
      <c r="C669">
        <v>52.1</v>
      </c>
      <c r="D669">
        <v>1.79</v>
      </c>
      <c r="E669">
        <v>16.3</v>
      </c>
      <c r="F669">
        <f t="shared" si="41"/>
        <v>16.260416341562372</v>
      </c>
      <c r="G669">
        <f t="shared" si="44"/>
        <v>0</v>
      </c>
      <c r="H669" t="s">
        <v>1401</v>
      </c>
      <c r="I669">
        <v>73.7</v>
      </c>
      <c r="J669" t="s">
        <v>575</v>
      </c>
      <c r="K669" s="24">
        <v>118</v>
      </c>
      <c r="L669" s="24">
        <v>97</v>
      </c>
      <c r="M669">
        <v>296</v>
      </c>
      <c r="N669" t="s">
        <v>1432</v>
      </c>
      <c r="O669">
        <v>54</v>
      </c>
      <c r="P669">
        <v>106</v>
      </c>
      <c r="Q669" t="s">
        <v>25</v>
      </c>
      <c r="R669" t="s">
        <v>24</v>
      </c>
      <c r="S669" t="s">
        <v>26</v>
      </c>
      <c r="T669" t="s">
        <v>24</v>
      </c>
      <c r="U669">
        <f t="shared" si="42"/>
        <v>2</v>
      </c>
      <c r="V669">
        <v>179</v>
      </c>
      <c r="W669">
        <v>0.41199999999999998</v>
      </c>
      <c r="X669" t="s">
        <v>1408</v>
      </c>
      <c r="Y669">
        <v>118</v>
      </c>
      <c r="Z669">
        <v>97</v>
      </c>
      <c r="AA669" t="s">
        <v>40</v>
      </c>
      <c r="AB669">
        <v>212</v>
      </c>
      <c r="AC669" s="23">
        <v>3.93</v>
      </c>
      <c r="AD669" t="str">
        <f>IF(AND('CVD Dataset'!AA669="Normal",'CVD Dataset'!AB669&gt;AVERAGE('CVD Dataset'!AB:AB),'CVD Dataset'!AF669="High"),"High Lipid Category","Normal Category")</f>
        <v>Normal Category</v>
      </c>
      <c r="AE669">
        <v>15.08</v>
      </c>
      <c r="AF669" t="s">
        <v>32</v>
      </c>
      <c r="AG669">
        <v>0</v>
      </c>
      <c r="AH669" t="s">
        <v>1379</v>
      </c>
      <c r="AI669">
        <f t="shared" si="43"/>
        <v>1</v>
      </c>
      <c r="AJ669" t="s">
        <v>1391</v>
      </c>
    </row>
    <row r="670" spans="1:36" x14ac:dyDescent="0.3">
      <c r="A670" t="s">
        <v>22</v>
      </c>
      <c r="B670">
        <v>30</v>
      </c>
      <c r="D670">
        <v>1.65</v>
      </c>
      <c r="E670">
        <v>36.700000000000003</v>
      </c>
      <c r="F670">
        <f t="shared" si="41"/>
        <v>0</v>
      </c>
      <c r="G670">
        <f t="shared" si="44"/>
        <v>1</v>
      </c>
      <c r="H670" t="s">
        <v>1399</v>
      </c>
      <c r="I670">
        <v>108.1</v>
      </c>
      <c r="J670" t="s">
        <v>606</v>
      </c>
      <c r="K670" s="24">
        <v>130</v>
      </c>
      <c r="L670" s="24">
        <v>81</v>
      </c>
      <c r="M670">
        <v>101</v>
      </c>
      <c r="N670" t="s">
        <v>1434</v>
      </c>
      <c r="O670">
        <v>31</v>
      </c>
      <c r="P670">
        <v>83</v>
      </c>
      <c r="Q670" t="s">
        <v>24</v>
      </c>
      <c r="R670" t="s">
        <v>25</v>
      </c>
      <c r="S670" t="s">
        <v>39</v>
      </c>
      <c r="T670" t="s">
        <v>24</v>
      </c>
      <c r="U670">
        <f t="shared" si="42"/>
        <v>1</v>
      </c>
      <c r="V670">
        <v>165</v>
      </c>
      <c r="W670">
        <v>0.65500000000000003</v>
      </c>
      <c r="X670" t="s">
        <v>1409</v>
      </c>
      <c r="Y670">
        <v>130</v>
      </c>
      <c r="Z670">
        <v>81</v>
      </c>
      <c r="AA670" t="s">
        <v>31</v>
      </c>
      <c r="AB670">
        <v>40</v>
      </c>
      <c r="AC670" s="23">
        <v>1.29</v>
      </c>
      <c r="AD670" t="str">
        <f>IF(AND('CVD Dataset'!AA670="Normal",'CVD Dataset'!AB670&gt;AVERAGE('CVD Dataset'!AB:AB),'CVD Dataset'!AF670="High"),"High Lipid Category","Normal Category")</f>
        <v>Normal Category</v>
      </c>
      <c r="AE670">
        <v>17.86</v>
      </c>
      <c r="AF670" t="s">
        <v>28</v>
      </c>
      <c r="AG670">
        <v>0</v>
      </c>
      <c r="AH670" t="s">
        <v>1380</v>
      </c>
      <c r="AI670">
        <f t="shared" si="43"/>
        <v>0</v>
      </c>
      <c r="AJ670" t="s">
        <v>1391</v>
      </c>
    </row>
    <row r="671" spans="1:36" x14ac:dyDescent="0.3">
      <c r="A671" t="s">
        <v>22</v>
      </c>
      <c r="B671">
        <v>59</v>
      </c>
      <c r="C671">
        <v>85.6</v>
      </c>
      <c r="D671">
        <v>1.89</v>
      </c>
      <c r="E671">
        <v>24</v>
      </c>
      <c r="F671">
        <f t="shared" si="41"/>
        <v>23.963494862965764</v>
      </c>
      <c r="G671">
        <f t="shared" si="44"/>
        <v>0</v>
      </c>
      <c r="H671" t="s">
        <v>1398</v>
      </c>
      <c r="I671">
        <v>89.1</v>
      </c>
      <c r="J671" t="s">
        <v>607</v>
      </c>
      <c r="K671" s="24">
        <v>91</v>
      </c>
      <c r="L671" s="24">
        <v>69</v>
      </c>
      <c r="M671">
        <v>243</v>
      </c>
      <c r="N671" t="s">
        <v>1432</v>
      </c>
      <c r="O671">
        <v>79</v>
      </c>
      <c r="P671">
        <v>104</v>
      </c>
      <c r="Q671" t="s">
        <v>25</v>
      </c>
      <c r="R671" t="s">
        <v>24</v>
      </c>
      <c r="S671" t="s">
        <v>30</v>
      </c>
      <c r="T671" t="s">
        <v>24</v>
      </c>
      <c r="U671">
        <f t="shared" si="42"/>
        <v>1</v>
      </c>
      <c r="V671">
        <v>189</v>
      </c>
      <c r="W671">
        <v>0.47099999999999997</v>
      </c>
      <c r="X671" t="s">
        <v>1406</v>
      </c>
      <c r="Z671">
        <v>69</v>
      </c>
      <c r="AA671" t="s">
        <v>35</v>
      </c>
      <c r="AB671">
        <v>134</v>
      </c>
      <c r="AC671" s="23">
        <v>1.7</v>
      </c>
      <c r="AD671" t="str">
        <f>IF(AND('CVD Dataset'!AA671="Normal",'CVD Dataset'!AB671&gt;AVERAGE('CVD Dataset'!AB:AB),'CVD Dataset'!AF671="High"),"High Lipid Category","Normal Category")</f>
        <v>Normal Category</v>
      </c>
      <c r="AE671">
        <v>14.21</v>
      </c>
      <c r="AF671" t="s">
        <v>28</v>
      </c>
      <c r="AG671">
        <v>0</v>
      </c>
      <c r="AH671" t="s">
        <v>1380</v>
      </c>
      <c r="AI671">
        <f t="shared" si="43"/>
        <v>0</v>
      </c>
      <c r="AJ671" t="s">
        <v>1391</v>
      </c>
    </row>
    <row r="672" spans="1:36" x14ac:dyDescent="0.3">
      <c r="A672" t="s">
        <v>33</v>
      </c>
      <c r="B672">
        <v>39</v>
      </c>
      <c r="C672">
        <v>95.5</v>
      </c>
      <c r="D672">
        <v>1.61</v>
      </c>
      <c r="F672">
        <f t="shared" si="41"/>
        <v>36.842714401450557</v>
      </c>
      <c r="G672">
        <f t="shared" si="44"/>
        <v>1</v>
      </c>
      <c r="H672" t="s">
        <v>1401</v>
      </c>
      <c r="I672">
        <v>107.5</v>
      </c>
      <c r="J672" t="s">
        <v>608</v>
      </c>
      <c r="K672" s="24">
        <v>121</v>
      </c>
      <c r="L672" s="24">
        <v>61</v>
      </c>
      <c r="M672">
        <v>294</v>
      </c>
      <c r="N672" t="s">
        <v>1432</v>
      </c>
      <c r="O672">
        <v>34</v>
      </c>
      <c r="P672">
        <v>125</v>
      </c>
      <c r="Q672" t="s">
        <v>24</v>
      </c>
      <c r="R672" t="s">
        <v>24</v>
      </c>
      <c r="S672" t="s">
        <v>26</v>
      </c>
      <c r="T672" t="s">
        <v>24</v>
      </c>
      <c r="U672">
        <f t="shared" si="42"/>
        <v>1</v>
      </c>
      <c r="V672">
        <v>161</v>
      </c>
      <c r="W672">
        <v>0.66800000000000004</v>
      </c>
      <c r="X672" t="s">
        <v>1409</v>
      </c>
      <c r="Y672">
        <v>121</v>
      </c>
      <c r="Z672">
        <v>61</v>
      </c>
      <c r="AA672" t="s">
        <v>27</v>
      </c>
      <c r="AB672">
        <v>230</v>
      </c>
      <c r="AC672" s="23">
        <v>6.76</v>
      </c>
      <c r="AD672" t="str">
        <f>IF(AND('CVD Dataset'!AA672="Normal",'CVD Dataset'!AB672&gt;AVERAGE('CVD Dataset'!AB:AB),'CVD Dataset'!AF672="High"),"High Lipid Category","Normal Category")</f>
        <v>Normal Category</v>
      </c>
      <c r="AE672">
        <v>19.29</v>
      </c>
      <c r="AF672" t="s">
        <v>32</v>
      </c>
      <c r="AG672">
        <v>0</v>
      </c>
      <c r="AH672" t="s">
        <v>1379</v>
      </c>
      <c r="AI672">
        <f t="shared" si="43"/>
        <v>1</v>
      </c>
      <c r="AJ672" t="s">
        <v>1391</v>
      </c>
    </row>
    <row r="673" spans="1:36" x14ac:dyDescent="0.3">
      <c r="A673" t="s">
        <v>22</v>
      </c>
      <c r="B673">
        <v>35</v>
      </c>
      <c r="C673">
        <v>71.3</v>
      </c>
      <c r="D673">
        <v>1.72</v>
      </c>
      <c r="E673">
        <v>24.1</v>
      </c>
      <c r="F673">
        <f t="shared" si="41"/>
        <v>24.100865332612223</v>
      </c>
      <c r="G673">
        <f t="shared" si="44"/>
        <v>0</v>
      </c>
      <c r="H673" t="s">
        <v>1398</v>
      </c>
      <c r="I673">
        <v>82.2</v>
      </c>
      <c r="J673" t="s">
        <v>609</v>
      </c>
      <c r="K673" s="24">
        <v>113</v>
      </c>
      <c r="L673" s="24">
        <v>77</v>
      </c>
      <c r="M673">
        <v>106</v>
      </c>
      <c r="N673" t="s">
        <v>1434</v>
      </c>
      <c r="O673">
        <v>39</v>
      </c>
      <c r="P673">
        <v>95</v>
      </c>
      <c r="Q673" t="s">
        <v>25</v>
      </c>
      <c r="R673" t="s">
        <v>24</v>
      </c>
      <c r="S673" t="s">
        <v>30</v>
      </c>
      <c r="T673" t="s">
        <v>24</v>
      </c>
      <c r="U673">
        <f t="shared" si="42"/>
        <v>1</v>
      </c>
      <c r="V673">
        <v>172</v>
      </c>
      <c r="W673">
        <v>0.47799999999999998</v>
      </c>
      <c r="X673" t="s">
        <v>1406</v>
      </c>
      <c r="Y673">
        <v>113</v>
      </c>
      <c r="AA673" t="s">
        <v>35</v>
      </c>
      <c r="AB673">
        <v>37</v>
      </c>
      <c r="AC673" s="23">
        <v>0.95</v>
      </c>
      <c r="AD673" t="str">
        <f>IF(AND('CVD Dataset'!AA673="Normal",'CVD Dataset'!AB673&gt;AVERAGE('CVD Dataset'!AB:AB),'CVD Dataset'!AF673="High"),"High Lipid Category","Normal Category")</f>
        <v>Normal Category</v>
      </c>
      <c r="AE673">
        <v>12.59</v>
      </c>
      <c r="AF673" t="s">
        <v>28</v>
      </c>
      <c r="AG673">
        <v>0</v>
      </c>
      <c r="AH673" t="s">
        <v>1380</v>
      </c>
      <c r="AI673">
        <f t="shared" si="43"/>
        <v>0</v>
      </c>
      <c r="AJ673" t="s">
        <v>1391</v>
      </c>
    </row>
    <row r="674" spans="1:36" x14ac:dyDescent="0.3">
      <c r="A674" t="s">
        <v>33</v>
      </c>
      <c r="B674">
        <v>31</v>
      </c>
      <c r="C674">
        <v>64.2</v>
      </c>
      <c r="D674">
        <v>1.84</v>
      </c>
      <c r="F674">
        <f t="shared" si="41"/>
        <v>18.96266540642722</v>
      </c>
      <c r="G674">
        <f t="shared" si="44"/>
        <v>1</v>
      </c>
      <c r="H674" t="s">
        <v>1401</v>
      </c>
      <c r="I674">
        <v>75.5</v>
      </c>
      <c r="J674" t="s">
        <v>191</v>
      </c>
      <c r="K674" s="24">
        <v>131</v>
      </c>
      <c r="L674" s="24">
        <v>79</v>
      </c>
      <c r="M674">
        <v>294</v>
      </c>
      <c r="N674" t="s">
        <v>1432</v>
      </c>
      <c r="O674">
        <v>74</v>
      </c>
      <c r="P674">
        <v>74</v>
      </c>
      <c r="Q674" t="s">
        <v>24</v>
      </c>
      <c r="R674" t="s">
        <v>25</v>
      </c>
      <c r="S674" t="s">
        <v>39</v>
      </c>
      <c r="T674" t="s">
        <v>25</v>
      </c>
      <c r="U674">
        <f t="shared" si="42"/>
        <v>2</v>
      </c>
      <c r="V674">
        <v>184</v>
      </c>
      <c r="W674">
        <v>0.41</v>
      </c>
      <c r="X674" t="s">
        <v>1408</v>
      </c>
      <c r="Y674">
        <v>131</v>
      </c>
      <c r="Z674">
        <v>79</v>
      </c>
      <c r="AA674" t="s">
        <v>31</v>
      </c>
      <c r="AB674">
        <v>190</v>
      </c>
      <c r="AC674" s="23">
        <v>2.57</v>
      </c>
      <c r="AD674" t="str">
        <f>IF(AND('CVD Dataset'!AA674="Normal",'CVD Dataset'!AB674&gt;AVERAGE('CVD Dataset'!AB:AB),'CVD Dataset'!AF674="High"),"High Lipid Category","Normal Category")</f>
        <v>Normal Category</v>
      </c>
      <c r="AE674">
        <v>18.23</v>
      </c>
      <c r="AF674" t="s">
        <v>28</v>
      </c>
      <c r="AG674">
        <v>0</v>
      </c>
      <c r="AH674" t="s">
        <v>1380</v>
      </c>
      <c r="AI674">
        <f t="shared" si="43"/>
        <v>0</v>
      </c>
      <c r="AJ674" t="s">
        <v>1391</v>
      </c>
    </row>
    <row r="675" spans="1:36" x14ac:dyDescent="0.3">
      <c r="A675" t="s">
        <v>33</v>
      </c>
      <c r="B675">
        <v>33</v>
      </c>
      <c r="C675">
        <v>105.1</v>
      </c>
      <c r="D675">
        <v>1.83</v>
      </c>
      <c r="E675">
        <v>31.4</v>
      </c>
      <c r="F675">
        <f t="shared" si="41"/>
        <v>31.383439338290181</v>
      </c>
      <c r="G675">
        <f t="shared" si="44"/>
        <v>0</v>
      </c>
      <c r="H675" t="s">
        <v>1399</v>
      </c>
      <c r="I675">
        <v>78.099999999999994</v>
      </c>
      <c r="J675" t="s">
        <v>610</v>
      </c>
      <c r="K675" s="24">
        <v>119</v>
      </c>
      <c r="L675" s="24">
        <v>97</v>
      </c>
      <c r="M675">
        <v>146</v>
      </c>
      <c r="N675" t="s">
        <v>1434</v>
      </c>
      <c r="O675">
        <v>70</v>
      </c>
      <c r="Q675" t="s">
        <v>24</v>
      </c>
      <c r="R675" t="s">
        <v>24</v>
      </c>
      <c r="S675" t="s">
        <v>39</v>
      </c>
      <c r="T675" t="s">
        <v>25</v>
      </c>
      <c r="U675">
        <f t="shared" si="42"/>
        <v>1</v>
      </c>
      <c r="V675">
        <v>183</v>
      </c>
      <c r="W675">
        <v>0.42699999999999999</v>
      </c>
      <c r="X675" t="s">
        <v>1408</v>
      </c>
      <c r="Y675">
        <v>119</v>
      </c>
      <c r="Z675">
        <v>97</v>
      </c>
      <c r="AA675" t="s">
        <v>40</v>
      </c>
      <c r="AB675">
        <v>46</v>
      </c>
      <c r="AC675" s="23">
        <v>0.66</v>
      </c>
      <c r="AD675" t="str">
        <f>IF(AND('CVD Dataset'!AA675="Normal",'CVD Dataset'!AB675&gt;AVERAGE('CVD Dataset'!AB:AB),'CVD Dataset'!AF675="High"),"High Lipid Category","Normal Category")</f>
        <v>Normal Category</v>
      </c>
      <c r="AE675">
        <v>15.15</v>
      </c>
      <c r="AF675" t="s">
        <v>28</v>
      </c>
      <c r="AG675">
        <v>0</v>
      </c>
      <c r="AH675" t="s">
        <v>1380</v>
      </c>
      <c r="AI675">
        <f t="shared" si="43"/>
        <v>0</v>
      </c>
      <c r="AJ675" t="s">
        <v>1391</v>
      </c>
    </row>
    <row r="676" spans="1:36" x14ac:dyDescent="0.3">
      <c r="A676" t="s">
        <v>22</v>
      </c>
      <c r="B676">
        <v>55</v>
      </c>
      <c r="C676">
        <v>81.5</v>
      </c>
      <c r="D676">
        <v>1.8</v>
      </c>
      <c r="E676">
        <v>25.2</v>
      </c>
      <c r="F676">
        <f t="shared" si="41"/>
        <v>25.154320987654319</v>
      </c>
      <c r="G676">
        <f t="shared" si="44"/>
        <v>0</v>
      </c>
      <c r="H676" t="s">
        <v>1400</v>
      </c>
      <c r="I676">
        <v>104.6</v>
      </c>
      <c r="J676" t="s">
        <v>403</v>
      </c>
      <c r="K676" s="24">
        <v>133</v>
      </c>
      <c r="L676" s="24">
        <v>87</v>
      </c>
      <c r="M676">
        <v>149</v>
      </c>
      <c r="N676" t="s">
        <v>1434</v>
      </c>
      <c r="O676">
        <v>40</v>
      </c>
      <c r="P676">
        <v>140</v>
      </c>
      <c r="Q676" t="s">
        <v>25</v>
      </c>
      <c r="R676" t="s">
        <v>25</v>
      </c>
      <c r="S676" t="s">
        <v>30</v>
      </c>
      <c r="T676" t="s">
        <v>24</v>
      </c>
      <c r="U676">
        <f t="shared" si="42"/>
        <v>2</v>
      </c>
      <c r="V676">
        <v>180</v>
      </c>
      <c r="W676">
        <v>0.58099999999999996</v>
      </c>
      <c r="X676" t="s">
        <v>1407</v>
      </c>
      <c r="Y676">
        <v>133</v>
      </c>
      <c r="Z676">
        <v>87</v>
      </c>
      <c r="AA676" t="s">
        <v>31</v>
      </c>
      <c r="AB676">
        <v>79</v>
      </c>
      <c r="AC676" s="23">
        <v>1.98</v>
      </c>
      <c r="AD676" t="str">
        <f>IF(AND('CVD Dataset'!AA676="Normal",'CVD Dataset'!AB676&gt;AVERAGE('CVD Dataset'!AB:AB),'CVD Dataset'!AF676="High"),"High Lipid Category","Normal Category")</f>
        <v>Normal Category</v>
      </c>
      <c r="AE676">
        <v>16.670000000000002</v>
      </c>
      <c r="AF676" t="s">
        <v>32</v>
      </c>
      <c r="AG676">
        <v>0</v>
      </c>
      <c r="AH676" t="s">
        <v>1379</v>
      </c>
      <c r="AI676">
        <f t="shared" si="43"/>
        <v>1</v>
      </c>
      <c r="AJ676" t="s">
        <v>1392</v>
      </c>
    </row>
    <row r="677" spans="1:36" x14ac:dyDescent="0.3">
      <c r="A677" t="s">
        <v>33</v>
      </c>
      <c r="B677">
        <v>50</v>
      </c>
      <c r="C677">
        <v>57</v>
      </c>
      <c r="D677">
        <v>1.79</v>
      </c>
      <c r="E677">
        <v>17.8</v>
      </c>
      <c r="F677">
        <f t="shared" si="41"/>
        <v>17.789706937985706</v>
      </c>
      <c r="G677">
        <f t="shared" si="44"/>
        <v>0</v>
      </c>
      <c r="H677" t="s">
        <v>1401</v>
      </c>
      <c r="I677">
        <v>86.4</v>
      </c>
      <c r="J677" t="s">
        <v>611</v>
      </c>
      <c r="K677" s="24">
        <v>109</v>
      </c>
      <c r="L677" s="24">
        <v>84</v>
      </c>
      <c r="M677">
        <v>269</v>
      </c>
      <c r="N677" t="s">
        <v>1432</v>
      </c>
      <c r="O677">
        <v>48</v>
      </c>
      <c r="P677">
        <v>70</v>
      </c>
      <c r="Q677" t="s">
        <v>24</v>
      </c>
      <c r="R677" t="s">
        <v>25</v>
      </c>
      <c r="S677" t="s">
        <v>26</v>
      </c>
      <c r="T677" t="s">
        <v>25</v>
      </c>
      <c r="U677">
        <f t="shared" si="42"/>
        <v>3</v>
      </c>
      <c r="V677">
        <v>179</v>
      </c>
      <c r="W677">
        <v>0.48299999999999998</v>
      </c>
      <c r="X677" t="s">
        <v>1406</v>
      </c>
      <c r="Y677">
        <v>109</v>
      </c>
      <c r="Z677">
        <v>84</v>
      </c>
      <c r="AA677" t="s">
        <v>31</v>
      </c>
      <c r="AB677">
        <v>191</v>
      </c>
      <c r="AC677" s="23">
        <v>3.98</v>
      </c>
      <c r="AD677" t="str">
        <f>IF(AND('CVD Dataset'!AA677="Normal",'CVD Dataset'!AB677&gt;AVERAGE('CVD Dataset'!AB:AB),'CVD Dataset'!AF677="High"),"High Lipid Category","Normal Category")</f>
        <v>Normal Category</v>
      </c>
      <c r="AE677">
        <v>16.39</v>
      </c>
      <c r="AF677" t="s">
        <v>32</v>
      </c>
      <c r="AG677">
        <v>0</v>
      </c>
      <c r="AH677" t="s">
        <v>1379</v>
      </c>
      <c r="AI677">
        <f t="shared" si="43"/>
        <v>1</v>
      </c>
      <c r="AJ677" t="s">
        <v>1391</v>
      </c>
    </row>
    <row r="678" spans="1:36" x14ac:dyDescent="0.3">
      <c r="A678" t="s">
        <v>33</v>
      </c>
      <c r="B678">
        <v>36</v>
      </c>
      <c r="C678">
        <v>71.099999999999994</v>
      </c>
      <c r="D678">
        <v>1.87</v>
      </c>
      <c r="E678">
        <v>20.3</v>
      </c>
      <c r="F678">
        <f t="shared" si="41"/>
        <v>20.332294317824353</v>
      </c>
      <c r="G678">
        <f t="shared" si="44"/>
        <v>0</v>
      </c>
      <c r="H678" t="s">
        <v>1398</v>
      </c>
      <c r="I678">
        <v>81.599999999999994</v>
      </c>
      <c r="J678" t="s">
        <v>612</v>
      </c>
      <c r="K678" s="24">
        <v>126</v>
      </c>
      <c r="L678" s="24">
        <v>91</v>
      </c>
      <c r="M678">
        <v>289</v>
      </c>
      <c r="N678" t="s">
        <v>1432</v>
      </c>
      <c r="O678">
        <v>31</v>
      </c>
      <c r="P678">
        <v>92</v>
      </c>
      <c r="Q678" t="s">
        <v>25</v>
      </c>
      <c r="R678" t="s">
        <v>25</v>
      </c>
      <c r="S678" t="s">
        <v>39</v>
      </c>
      <c r="T678" t="s">
        <v>24</v>
      </c>
      <c r="U678">
        <f t="shared" si="42"/>
        <v>2</v>
      </c>
      <c r="V678">
        <v>187</v>
      </c>
      <c r="W678">
        <v>0.436</v>
      </c>
      <c r="X678" t="s">
        <v>1408</v>
      </c>
      <c r="Y678">
        <v>126</v>
      </c>
      <c r="Z678">
        <v>91</v>
      </c>
      <c r="AA678" t="s">
        <v>40</v>
      </c>
      <c r="AB678">
        <v>228</v>
      </c>
      <c r="AC678" s="23">
        <v>7.35</v>
      </c>
      <c r="AD678" t="str">
        <f>IF(AND('CVD Dataset'!AA678="Normal",'CVD Dataset'!AB678&gt;AVERAGE('CVD Dataset'!AB:AB),'CVD Dataset'!AF678="High"),"High Lipid Category","Normal Category")</f>
        <v>Normal Category</v>
      </c>
      <c r="AE678">
        <v>18.14</v>
      </c>
      <c r="AF678" t="s">
        <v>32</v>
      </c>
      <c r="AG678">
        <v>0</v>
      </c>
      <c r="AH678" t="s">
        <v>1379</v>
      </c>
      <c r="AI678">
        <f t="shared" si="43"/>
        <v>1</v>
      </c>
      <c r="AJ678" t="s">
        <v>1391</v>
      </c>
    </row>
    <row r="679" spans="1:36" x14ac:dyDescent="0.3">
      <c r="A679" t="s">
        <v>22</v>
      </c>
      <c r="B679">
        <v>48</v>
      </c>
      <c r="C679">
        <v>106.4</v>
      </c>
      <c r="D679">
        <v>1.73</v>
      </c>
      <c r="E679">
        <v>35.6</v>
      </c>
      <c r="F679">
        <f t="shared" si="41"/>
        <v>35.550803568445318</v>
      </c>
      <c r="G679">
        <f t="shared" si="44"/>
        <v>0</v>
      </c>
      <c r="H679" t="s">
        <v>1399</v>
      </c>
      <c r="I679">
        <v>108</v>
      </c>
      <c r="J679" t="s">
        <v>613</v>
      </c>
      <c r="K679" s="24">
        <v>128</v>
      </c>
      <c r="L679" s="24">
        <v>67</v>
      </c>
      <c r="M679">
        <v>181</v>
      </c>
      <c r="N679" t="s">
        <v>1432</v>
      </c>
      <c r="O679">
        <v>56</v>
      </c>
      <c r="P679">
        <v>96</v>
      </c>
      <c r="Q679" t="s">
        <v>24</v>
      </c>
      <c r="R679" t="s">
        <v>24</v>
      </c>
      <c r="S679" t="s">
        <v>39</v>
      </c>
      <c r="T679" t="s">
        <v>25</v>
      </c>
      <c r="U679">
        <f t="shared" si="42"/>
        <v>1</v>
      </c>
      <c r="V679">
        <v>173</v>
      </c>
      <c r="W679">
        <v>0.624</v>
      </c>
      <c r="X679" t="s">
        <v>1409</v>
      </c>
      <c r="Y679">
        <v>128</v>
      </c>
      <c r="Z679">
        <v>67</v>
      </c>
      <c r="AA679" t="s">
        <v>27</v>
      </c>
      <c r="AB679">
        <v>95</v>
      </c>
      <c r="AC679" s="23">
        <v>1.7</v>
      </c>
      <c r="AD679" t="str">
        <f>IF(AND('CVD Dataset'!AA679="Normal",'CVD Dataset'!AB679&gt;AVERAGE('CVD Dataset'!AB:AB),'CVD Dataset'!AF679="High"),"High Lipid Category","Normal Category")</f>
        <v>Normal Category</v>
      </c>
      <c r="AE679">
        <v>17.14</v>
      </c>
      <c r="AF679" t="s">
        <v>28</v>
      </c>
      <c r="AG679">
        <v>0</v>
      </c>
      <c r="AH679" t="s">
        <v>1380</v>
      </c>
      <c r="AI679">
        <f t="shared" si="43"/>
        <v>0</v>
      </c>
      <c r="AJ679" t="s">
        <v>1391</v>
      </c>
    </row>
    <row r="680" spans="1:36" x14ac:dyDescent="0.3">
      <c r="A680" t="s">
        <v>22</v>
      </c>
      <c r="B680">
        <v>51</v>
      </c>
      <c r="C680">
        <v>118.8</v>
      </c>
      <c r="D680">
        <v>1.88</v>
      </c>
      <c r="E680">
        <v>33.6</v>
      </c>
      <c r="F680">
        <f t="shared" si="41"/>
        <v>33.612494341330923</v>
      </c>
      <c r="G680">
        <f t="shared" si="44"/>
        <v>0</v>
      </c>
      <c r="H680" t="s">
        <v>1399</v>
      </c>
      <c r="I680">
        <v>89.9</v>
      </c>
      <c r="J680" t="s">
        <v>599</v>
      </c>
      <c r="K680" s="24">
        <v>117</v>
      </c>
      <c r="L680" s="24">
        <v>92</v>
      </c>
      <c r="M680">
        <v>150</v>
      </c>
      <c r="N680" t="s">
        <v>1433</v>
      </c>
      <c r="O680">
        <v>53</v>
      </c>
      <c r="P680">
        <v>85</v>
      </c>
      <c r="Q680" t="s">
        <v>25</v>
      </c>
      <c r="R680" t="s">
        <v>24</v>
      </c>
      <c r="S680" t="s">
        <v>30</v>
      </c>
      <c r="T680" t="s">
        <v>25</v>
      </c>
      <c r="U680">
        <f t="shared" si="42"/>
        <v>2</v>
      </c>
      <c r="V680">
        <v>188</v>
      </c>
      <c r="W680">
        <v>0.47799999999999998</v>
      </c>
      <c r="X680" t="s">
        <v>1406</v>
      </c>
      <c r="Y680">
        <v>117</v>
      </c>
      <c r="Z680">
        <v>92</v>
      </c>
      <c r="AA680" t="s">
        <v>40</v>
      </c>
      <c r="AB680">
        <v>67</v>
      </c>
      <c r="AC680" s="23">
        <v>1.26</v>
      </c>
      <c r="AD680" t="str">
        <f>IF(AND('CVD Dataset'!AA680="Normal",'CVD Dataset'!AB680&gt;AVERAGE('CVD Dataset'!AB:AB),'CVD Dataset'!AF680="High"),"High Lipid Category","Normal Category")</f>
        <v>Normal Category</v>
      </c>
      <c r="AE680">
        <v>15.57</v>
      </c>
      <c r="AF680" t="s">
        <v>32</v>
      </c>
      <c r="AG680">
        <v>0</v>
      </c>
      <c r="AH680" t="s">
        <v>1379</v>
      </c>
      <c r="AI680">
        <f t="shared" si="43"/>
        <v>1</v>
      </c>
      <c r="AJ680" t="s">
        <v>1391</v>
      </c>
    </row>
    <row r="681" spans="1:36" x14ac:dyDescent="0.3">
      <c r="A681" t="s">
        <v>22</v>
      </c>
      <c r="B681">
        <v>44</v>
      </c>
      <c r="C681">
        <v>105.8</v>
      </c>
      <c r="D681">
        <v>1.8</v>
      </c>
      <c r="E681">
        <v>32.700000000000003</v>
      </c>
      <c r="F681">
        <f t="shared" si="41"/>
        <v>32.654320987654316</v>
      </c>
      <c r="G681">
        <f t="shared" si="44"/>
        <v>0</v>
      </c>
      <c r="H681" t="s">
        <v>1399</v>
      </c>
      <c r="I681">
        <v>99.1</v>
      </c>
      <c r="J681" t="s">
        <v>614</v>
      </c>
      <c r="K681" s="24">
        <v>91</v>
      </c>
      <c r="L681" s="24">
        <v>98</v>
      </c>
      <c r="M681">
        <v>244</v>
      </c>
      <c r="N681" t="s">
        <v>1432</v>
      </c>
      <c r="O681">
        <v>36</v>
      </c>
      <c r="P681">
        <v>146</v>
      </c>
      <c r="Q681" t="s">
        <v>25</v>
      </c>
      <c r="R681" t="s">
        <v>24</v>
      </c>
      <c r="S681" t="s">
        <v>39</v>
      </c>
      <c r="T681" t="s">
        <v>24</v>
      </c>
      <c r="U681">
        <f t="shared" si="42"/>
        <v>1</v>
      </c>
      <c r="V681">
        <v>180</v>
      </c>
      <c r="W681">
        <v>0.55100000000000005</v>
      </c>
      <c r="X681" t="s">
        <v>1407</v>
      </c>
      <c r="Y681">
        <v>91</v>
      </c>
      <c r="Z681">
        <v>98</v>
      </c>
      <c r="AA681" t="s">
        <v>40</v>
      </c>
      <c r="AB681">
        <v>178</v>
      </c>
      <c r="AC681" s="23">
        <v>4.9400000000000004</v>
      </c>
      <c r="AD681" t="str">
        <f>IF(AND('CVD Dataset'!AA681="Normal",'CVD Dataset'!AB681&gt;AVERAGE('CVD Dataset'!AB:AB),'CVD Dataset'!AF681="High"),"High Lipid Category","Normal Category")</f>
        <v>Normal Category</v>
      </c>
      <c r="AE681">
        <v>15.97</v>
      </c>
      <c r="AF681" t="s">
        <v>32</v>
      </c>
      <c r="AG681">
        <v>0</v>
      </c>
      <c r="AH681" t="s">
        <v>1379</v>
      </c>
      <c r="AI681">
        <f t="shared" si="43"/>
        <v>1</v>
      </c>
      <c r="AJ681" t="s">
        <v>1391</v>
      </c>
    </row>
    <row r="682" spans="1:36" x14ac:dyDescent="0.3">
      <c r="A682" t="s">
        <v>22</v>
      </c>
      <c r="B682">
        <v>52</v>
      </c>
      <c r="C682">
        <v>69.2</v>
      </c>
      <c r="D682">
        <v>1.82</v>
      </c>
      <c r="E682">
        <v>20.9</v>
      </c>
      <c r="F682">
        <f t="shared" si="41"/>
        <v>20.891196715372541</v>
      </c>
      <c r="G682">
        <f t="shared" si="44"/>
        <v>0</v>
      </c>
      <c r="H682" t="s">
        <v>1398</v>
      </c>
      <c r="I682">
        <v>104.5</v>
      </c>
      <c r="J682" t="s">
        <v>615</v>
      </c>
      <c r="K682" s="24">
        <v>105</v>
      </c>
      <c r="L682" s="24">
        <v>72</v>
      </c>
      <c r="M682">
        <v>254</v>
      </c>
      <c r="N682" t="s">
        <v>1432</v>
      </c>
      <c r="O682">
        <v>46</v>
      </c>
      <c r="P682">
        <v>117</v>
      </c>
      <c r="Q682" t="s">
        <v>24</v>
      </c>
      <c r="R682" t="s">
        <v>25</v>
      </c>
      <c r="S682" t="s">
        <v>26</v>
      </c>
      <c r="T682" t="s">
        <v>24</v>
      </c>
      <c r="U682">
        <f t="shared" si="42"/>
        <v>2</v>
      </c>
      <c r="V682">
        <v>182</v>
      </c>
      <c r="W682">
        <v>0.57399999999999995</v>
      </c>
      <c r="X682" t="s">
        <v>1407</v>
      </c>
      <c r="Y682">
        <v>105</v>
      </c>
      <c r="Z682">
        <v>72</v>
      </c>
      <c r="AA682" t="s">
        <v>35</v>
      </c>
      <c r="AB682">
        <v>178</v>
      </c>
      <c r="AC682" s="23">
        <v>3.87</v>
      </c>
      <c r="AD682" t="str">
        <f>IF(AND('CVD Dataset'!AA682="Normal",'CVD Dataset'!AB682&gt;AVERAGE('CVD Dataset'!AB:AB),'CVD Dataset'!AF682="High"),"High Lipid Category","Normal Category")</f>
        <v>High Lipid Category</v>
      </c>
      <c r="AE682">
        <v>16.510000000000002</v>
      </c>
      <c r="AF682" t="s">
        <v>32</v>
      </c>
      <c r="AG682">
        <v>0</v>
      </c>
      <c r="AH682" t="s">
        <v>1379</v>
      </c>
      <c r="AI682">
        <f t="shared" si="43"/>
        <v>1</v>
      </c>
      <c r="AJ682" t="s">
        <v>1391</v>
      </c>
    </row>
    <row r="683" spans="1:36" x14ac:dyDescent="0.3">
      <c r="A683" t="s">
        <v>22</v>
      </c>
      <c r="B683">
        <v>34</v>
      </c>
      <c r="C683">
        <v>108</v>
      </c>
      <c r="D683">
        <v>1.72</v>
      </c>
      <c r="E683">
        <v>36.5</v>
      </c>
      <c r="F683">
        <f t="shared" si="41"/>
        <v>36.506219578150358</v>
      </c>
      <c r="G683">
        <f t="shared" si="44"/>
        <v>0</v>
      </c>
      <c r="H683" t="s">
        <v>1399</v>
      </c>
      <c r="I683">
        <v>101.1</v>
      </c>
      <c r="J683" t="s">
        <v>616</v>
      </c>
      <c r="K683" s="24">
        <v>134</v>
      </c>
      <c r="L683" s="24">
        <v>60</v>
      </c>
      <c r="M683">
        <v>130</v>
      </c>
      <c r="N683" t="s">
        <v>1434</v>
      </c>
      <c r="O683">
        <v>52</v>
      </c>
      <c r="P683">
        <v>98</v>
      </c>
      <c r="Q683" t="s">
        <v>24</v>
      </c>
      <c r="R683" t="s">
        <v>24</v>
      </c>
      <c r="S683" t="s">
        <v>30</v>
      </c>
      <c r="T683" t="s">
        <v>24</v>
      </c>
      <c r="U683">
        <f t="shared" si="42"/>
        <v>0</v>
      </c>
      <c r="V683">
        <v>172</v>
      </c>
      <c r="W683">
        <v>0.58799999999999997</v>
      </c>
      <c r="X683" t="s">
        <v>1409</v>
      </c>
      <c r="Y683">
        <v>134</v>
      </c>
      <c r="Z683">
        <v>60</v>
      </c>
      <c r="AA683" t="s">
        <v>31</v>
      </c>
      <c r="AB683">
        <v>48</v>
      </c>
      <c r="AC683" s="23">
        <v>0.92</v>
      </c>
      <c r="AD683" t="str">
        <f>IF(AND('CVD Dataset'!AA683="Normal",'CVD Dataset'!AB683&gt;AVERAGE('CVD Dataset'!AB:AB),'CVD Dataset'!AF683="High"),"High Lipid Category","Normal Category")</f>
        <v>Normal Category</v>
      </c>
      <c r="AE683">
        <v>16.600000000000001</v>
      </c>
      <c r="AF683" t="s">
        <v>54</v>
      </c>
      <c r="AG683">
        <v>0</v>
      </c>
      <c r="AH683" t="s">
        <v>1380</v>
      </c>
      <c r="AI683">
        <f t="shared" si="43"/>
        <v>0</v>
      </c>
      <c r="AJ683" t="s">
        <v>1391</v>
      </c>
    </row>
    <row r="684" spans="1:36" x14ac:dyDescent="0.3">
      <c r="A684" t="s">
        <v>22</v>
      </c>
      <c r="B684">
        <v>35</v>
      </c>
      <c r="C684">
        <v>58</v>
      </c>
      <c r="D684">
        <v>1.63</v>
      </c>
      <c r="E684">
        <v>21.8</v>
      </c>
      <c r="F684">
        <f t="shared" si="41"/>
        <v>21.829952199932254</v>
      </c>
      <c r="G684">
        <f t="shared" si="44"/>
        <v>0</v>
      </c>
      <c r="H684" t="s">
        <v>1398</v>
      </c>
      <c r="I684">
        <v>78.2</v>
      </c>
      <c r="J684" t="s">
        <v>617</v>
      </c>
      <c r="K684" s="24">
        <v>95</v>
      </c>
      <c r="L684" s="24">
        <v>100</v>
      </c>
      <c r="M684">
        <v>262</v>
      </c>
      <c r="N684" t="s">
        <v>1432</v>
      </c>
      <c r="O684">
        <v>54</v>
      </c>
      <c r="P684">
        <v>139</v>
      </c>
      <c r="Q684" t="s">
        <v>25</v>
      </c>
      <c r="R684" t="s">
        <v>25</v>
      </c>
      <c r="S684" t="s">
        <v>30</v>
      </c>
      <c r="T684" t="s">
        <v>25</v>
      </c>
      <c r="U684">
        <f t="shared" si="42"/>
        <v>3</v>
      </c>
      <c r="V684">
        <v>163</v>
      </c>
      <c r="W684">
        <v>0.48</v>
      </c>
      <c r="X684" t="s">
        <v>1406</v>
      </c>
      <c r="Y684">
        <v>95</v>
      </c>
      <c r="Z684">
        <v>100</v>
      </c>
      <c r="AA684" t="s">
        <v>40</v>
      </c>
      <c r="AB684">
        <v>178</v>
      </c>
      <c r="AC684" s="23">
        <v>3.3</v>
      </c>
      <c r="AD684" t="str">
        <f>IF(AND('CVD Dataset'!AA684="Normal",'CVD Dataset'!AB684&gt;AVERAGE('CVD Dataset'!AB:AB),'CVD Dataset'!AF684="High"),"High Lipid Category","Normal Category")</f>
        <v>Normal Category</v>
      </c>
      <c r="AE684">
        <v>16.350000000000001</v>
      </c>
      <c r="AF684" t="s">
        <v>32</v>
      </c>
      <c r="AG684">
        <v>0</v>
      </c>
      <c r="AH684" t="s">
        <v>1379</v>
      </c>
      <c r="AI684">
        <f t="shared" si="43"/>
        <v>1</v>
      </c>
      <c r="AJ684" t="s">
        <v>1391</v>
      </c>
    </row>
    <row r="685" spans="1:36" x14ac:dyDescent="0.3">
      <c r="A685" t="s">
        <v>22</v>
      </c>
      <c r="B685">
        <v>37</v>
      </c>
      <c r="C685">
        <v>116.9</v>
      </c>
      <c r="D685">
        <v>1.85</v>
      </c>
      <c r="E685">
        <v>34.200000000000003</v>
      </c>
      <c r="F685">
        <f t="shared" si="41"/>
        <v>34.156318480642803</v>
      </c>
      <c r="G685">
        <f t="shared" si="44"/>
        <v>0</v>
      </c>
      <c r="H685" t="s">
        <v>1399</v>
      </c>
      <c r="I685">
        <v>96.7</v>
      </c>
      <c r="J685" t="s">
        <v>106</v>
      </c>
      <c r="K685" s="24">
        <v>96</v>
      </c>
      <c r="L685" s="24">
        <v>65</v>
      </c>
      <c r="M685">
        <v>198</v>
      </c>
      <c r="N685" t="s">
        <v>1432</v>
      </c>
      <c r="O685">
        <v>77</v>
      </c>
      <c r="P685">
        <v>108</v>
      </c>
      <c r="Q685" t="s">
        <v>25</v>
      </c>
      <c r="R685" t="s">
        <v>24</v>
      </c>
      <c r="S685" t="s">
        <v>26</v>
      </c>
      <c r="T685" t="s">
        <v>24</v>
      </c>
      <c r="U685">
        <f t="shared" si="42"/>
        <v>2</v>
      </c>
      <c r="V685">
        <v>185</v>
      </c>
      <c r="W685">
        <v>0.52300000000000002</v>
      </c>
      <c r="X685" t="s">
        <v>1407</v>
      </c>
      <c r="Y685">
        <v>96</v>
      </c>
      <c r="Z685">
        <v>65</v>
      </c>
      <c r="AA685" t="s">
        <v>35</v>
      </c>
      <c r="AB685">
        <v>91</v>
      </c>
      <c r="AC685" s="23">
        <v>1.18</v>
      </c>
      <c r="AD685" t="str">
        <f>IF(AND('CVD Dataset'!AA685="Normal",'CVD Dataset'!AB685&gt;AVERAGE('CVD Dataset'!AB:AB),'CVD Dataset'!AF685="High"),"High Lipid Category","Normal Category")</f>
        <v>Normal Category</v>
      </c>
      <c r="AF685" t="s">
        <v>28</v>
      </c>
      <c r="AG685">
        <v>0</v>
      </c>
      <c r="AH685" t="s">
        <v>1380</v>
      </c>
      <c r="AI685">
        <f t="shared" si="43"/>
        <v>0</v>
      </c>
      <c r="AJ685" t="s">
        <v>1391</v>
      </c>
    </row>
    <row r="686" spans="1:36" x14ac:dyDescent="0.3">
      <c r="A686" t="s">
        <v>22</v>
      </c>
      <c r="B686">
        <v>37</v>
      </c>
      <c r="C686">
        <v>105.4</v>
      </c>
      <c r="E686">
        <v>38.200000000000003</v>
      </c>
      <c r="F686" t="str">
        <f t="shared" si="41"/>
        <v/>
      </c>
      <c r="G686" t="str">
        <f t="shared" si="44"/>
        <v/>
      </c>
      <c r="H686" t="s">
        <v>1399</v>
      </c>
      <c r="I686">
        <v>73.900000000000006</v>
      </c>
      <c r="J686" t="s">
        <v>45</v>
      </c>
      <c r="K686" s="24">
        <v>129</v>
      </c>
      <c r="L686" s="24">
        <v>87</v>
      </c>
      <c r="M686">
        <v>175</v>
      </c>
      <c r="N686" t="s">
        <v>1433</v>
      </c>
      <c r="O686">
        <v>44</v>
      </c>
      <c r="P686">
        <v>72</v>
      </c>
      <c r="Q686" t="s">
        <v>25</v>
      </c>
      <c r="R686" t="s">
        <v>24</v>
      </c>
      <c r="S686" t="s">
        <v>39</v>
      </c>
      <c r="T686" t="s">
        <v>25</v>
      </c>
      <c r="U686">
        <f t="shared" si="42"/>
        <v>2</v>
      </c>
      <c r="V686">
        <v>166</v>
      </c>
      <c r="W686">
        <v>0.44500000000000001</v>
      </c>
      <c r="X686" t="s">
        <v>1408</v>
      </c>
      <c r="Y686">
        <v>129</v>
      </c>
      <c r="Z686">
        <v>87</v>
      </c>
      <c r="AA686" t="s">
        <v>31</v>
      </c>
      <c r="AB686">
        <v>101</v>
      </c>
      <c r="AC686" s="23">
        <v>2.2999999999999998</v>
      </c>
      <c r="AD686" t="str">
        <f>IF(AND('CVD Dataset'!AA686="Normal",'CVD Dataset'!AB686&gt;AVERAGE('CVD Dataset'!AB:AB),'CVD Dataset'!AF686="High"),"High Lipid Category","Normal Category")</f>
        <v>Normal Category</v>
      </c>
      <c r="AF686" t="s">
        <v>28</v>
      </c>
      <c r="AG686">
        <v>0</v>
      </c>
      <c r="AH686" t="s">
        <v>1380</v>
      </c>
      <c r="AI686">
        <f t="shared" si="43"/>
        <v>0</v>
      </c>
      <c r="AJ686" t="s">
        <v>1391</v>
      </c>
    </row>
    <row r="687" spans="1:36" x14ac:dyDescent="0.3">
      <c r="A687" t="s">
        <v>33</v>
      </c>
      <c r="B687">
        <v>44</v>
      </c>
      <c r="C687">
        <v>98.7</v>
      </c>
      <c r="D687">
        <v>1.71</v>
      </c>
      <c r="E687">
        <v>33.799999999999997</v>
      </c>
      <c r="F687">
        <f t="shared" si="41"/>
        <v>33.753975582230431</v>
      </c>
      <c r="G687">
        <f t="shared" si="44"/>
        <v>0</v>
      </c>
      <c r="H687" t="s">
        <v>1399</v>
      </c>
      <c r="I687">
        <v>85.3</v>
      </c>
      <c r="J687" t="s">
        <v>535</v>
      </c>
      <c r="K687" s="24">
        <v>137</v>
      </c>
      <c r="L687" s="24">
        <v>91</v>
      </c>
      <c r="M687">
        <v>192</v>
      </c>
      <c r="N687" t="s">
        <v>1432</v>
      </c>
      <c r="O687">
        <v>37</v>
      </c>
      <c r="P687">
        <v>76</v>
      </c>
      <c r="Q687" t="s">
        <v>24</v>
      </c>
      <c r="R687" t="s">
        <v>25</v>
      </c>
      <c r="S687" t="s">
        <v>39</v>
      </c>
      <c r="T687" t="s">
        <v>24</v>
      </c>
      <c r="U687">
        <f t="shared" si="42"/>
        <v>1</v>
      </c>
      <c r="V687">
        <v>171</v>
      </c>
      <c r="W687">
        <v>0.499</v>
      </c>
      <c r="X687" t="s">
        <v>1406</v>
      </c>
      <c r="Y687">
        <v>137</v>
      </c>
      <c r="Z687">
        <v>91</v>
      </c>
      <c r="AA687" t="s">
        <v>31</v>
      </c>
      <c r="AB687">
        <v>125</v>
      </c>
      <c r="AC687" s="23">
        <v>3.38</v>
      </c>
      <c r="AD687" t="str">
        <f>IF(AND('CVD Dataset'!AA687="Normal",'CVD Dataset'!AB687&gt;AVERAGE('CVD Dataset'!AB:AB),'CVD Dataset'!AF687="High"),"High Lipid Category","Normal Category")</f>
        <v>Normal Category</v>
      </c>
      <c r="AE687">
        <v>19.45</v>
      </c>
      <c r="AF687" t="s">
        <v>28</v>
      </c>
      <c r="AG687">
        <v>0</v>
      </c>
      <c r="AH687" t="s">
        <v>1380</v>
      </c>
      <c r="AI687">
        <f t="shared" si="43"/>
        <v>0</v>
      </c>
      <c r="AJ687" t="s">
        <v>1391</v>
      </c>
    </row>
    <row r="688" spans="1:36" x14ac:dyDescent="0.3">
      <c r="A688" t="s">
        <v>33</v>
      </c>
      <c r="B688">
        <v>46</v>
      </c>
      <c r="C688">
        <v>61.8</v>
      </c>
      <c r="D688">
        <v>1.67</v>
      </c>
      <c r="E688">
        <v>22.2</v>
      </c>
      <c r="F688">
        <f t="shared" si="41"/>
        <v>22.159274265839578</v>
      </c>
      <c r="G688">
        <f t="shared" si="44"/>
        <v>0</v>
      </c>
      <c r="H688" t="s">
        <v>1398</v>
      </c>
      <c r="I688">
        <v>91.8</v>
      </c>
      <c r="J688" t="s">
        <v>618</v>
      </c>
      <c r="K688" s="24">
        <v>112</v>
      </c>
      <c r="L688" s="24">
        <v>61</v>
      </c>
      <c r="M688">
        <v>154</v>
      </c>
      <c r="N688" t="s">
        <v>1433</v>
      </c>
      <c r="O688">
        <v>46</v>
      </c>
      <c r="P688">
        <v>121</v>
      </c>
      <c r="Q688" t="s">
        <v>25</v>
      </c>
      <c r="R688" t="s">
        <v>24</v>
      </c>
      <c r="S688" t="s">
        <v>30</v>
      </c>
      <c r="T688" t="s">
        <v>25</v>
      </c>
      <c r="U688">
        <f t="shared" si="42"/>
        <v>2</v>
      </c>
      <c r="V688">
        <v>167</v>
      </c>
      <c r="W688">
        <v>0.55000000000000004</v>
      </c>
      <c r="X688" t="s">
        <v>1407</v>
      </c>
      <c r="Y688">
        <v>112</v>
      </c>
      <c r="Z688">
        <v>61</v>
      </c>
      <c r="AA688" t="s">
        <v>35</v>
      </c>
      <c r="AB688">
        <v>78</v>
      </c>
      <c r="AC688" s="23">
        <v>1.7</v>
      </c>
      <c r="AD688" t="str">
        <f>IF(AND('CVD Dataset'!AA688="Normal",'CVD Dataset'!AB688&gt;AVERAGE('CVD Dataset'!AB:AB),'CVD Dataset'!AF688="High"),"High Lipid Category","Normal Category")</f>
        <v>Normal Category</v>
      </c>
      <c r="AE688">
        <v>13.12</v>
      </c>
      <c r="AF688" t="s">
        <v>28</v>
      </c>
      <c r="AG688">
        <v>0</v>
      </c>
      <c r="AH688" t="s">
        <v>1380</v>
      </c>
      <c r="AI688">
        <f t="shared" si="43"/>
        <v>0</v>
      </c>
      <c r="AJ688" t="s">
        <v>1391</v>
      </c>
    </row>
    <row r="689" spans="1:36" x14ac:dyDescent="0.3">
      <c r="A689" t="s">
        <v>22</v>
      </c>
      <c r="B689">
        <v>43</v>
      </c>
      <c r="C689">
        <v>57.1</v>
      </c>
      <c r="E689">
        <v>16.5</v>
      </c>
      <c r="F689" t="str">
        <f t="shared" si="41"/>
        <v/>
      </c>
      <c r="G689" t="str">
        <f t="shared" si="44"/>
        <v/>
      </c>
      <c r="H689" t="s">
        <v>1401</v>
      </c>
      <c r="I689">
        <v>78.599999999999994</v>
      </c>
      <c r="J689" t="s">
        <v>619</v>
      </c>
      <c r="K689" s="24">
        <v>104</v>
      </c>
      <c r="L689" s="24">
        <v>66</v>
      </c>
      <c r="N689" t="s">
        <v>1434</v>
      </c>
      <c r="P689">
        <v>137</v>
      </c>
      <c r="Q689" t="s">
        <v>25</v>
      </c>
      <c r="R689" t="s">
        <v>24</v>
      </c>
      <c r="S689" t="s">
        <v>26</v>
      </c>
      <c r="T689" t="s">
        <v>24</v>
      </c>
      <c r="U689">
        <f t="shared" si="42"/>
        <v>2</v>
      </c>
      <c r="V689">
        <v>186</v>
      </c>
      <c r="W689">
        <v>0.42299999999999999</v>
      </c>
      <c r="X689" t="s">
        <v>1408</v>
      </c>
      <c r="Z689">
        <v>66</v>
      </c>
      <c r="AA689" t="s">
        <v>35</v>
      </c>
      <c r="AB689">
        <v>101</v>
      </c>
      <c r="AC689" s="23" t="s">
        <v>1410</v>
      </c>
      <c r="AD689" t="str">
        <f>IF(AND('CVD Dataset'!AA689="Normal",'CVD Dataset'!AB689&gt;AVERAGE('CVD Dataset'!AB:AB),'CVD Dataset'!AF689="High"),"High Lipid Category","Normal Category")</f>
        <v>Normal Category</v>
      </c>
      <c r="AE689">
        <v>12.04</v>
      </c>
      <c r="AF689" t="s">
        <v>28</v>
      </c>
      <c r="AG689">
        <v>0</v>
      </c>
      <c r="AH689" t="s">
        <v>1380</v>
      </c>
      <c r="AI689">
        <f t="shared" si="43"/>
        <v>0</v>
      </c>
      <c r="AJ689" t="s">
        <v>1391</v>
      </c>
    </row>
    <row r="690" spans="1:36" x14ac:dyDescent="0.3">
      <c r="A690" t="s">
        <v>33</v>
      </c>
      <c r="B690">
        <v>32</v>
      </c>
      <c r="C690">
        <v>74.8</v>
      </c>
      <c r="D690">
        <v>1.69</v>
      </c>
      <c r="E690">
        <v>26.2</v>
      </c>
      <c r="F690">
        <f t="shared" si="41"/>
        <v>26.189559189104024</v>
      </c>
      <c r="G690">
        <f t="shared" si="44"/>
        <v>0</v>
      </c>
      <c r="H690" t="s">
        <v>1400</v>
      </c>
      <c r="I690">
        <v>102.5</v>
      </c>
      <c r="J690" t="s">
        <v>620</v>
      </c>
      <c r="K690" s="24">
        <v>148</v>
      </c>
      <c r="L690" s="24">
        <v>98</v>
      </c>
      <c r="M690">
        <v>207</v>
      </c>
      <c r="N690" t="s">
        <v>1432</v>
      </c>
      <c r="O690">
        <v>80</v>
      </c>
      <c r="P690">
        <v>124</v>
      </c>
      <c r="Q690" t="s">
        <v>24</v>
      </c>
      <c r="R690" t="s">
        <v>25</v>
      </c>
      <c r="S690" t="s">
        <v>30</v>
      </c>
      <c r="T690" t="s">
        <v>24</v>
      </c>
      <c r="U690">
        <f t="shared" si="42"/>
        <v>1</v>
      </c>
      <c r="V690">
        <v>169</v>
      </c>
      <c r="W690">
        <v>0.60699999999999998</v>
      </c>
      <c r="X690" t="s">
        <v>1409</v>
      </c>
      <c r="Y690">
        <v>148</v>
      </c>
      <c r="Z690">
        <v>98</v>
      </c>
      <c r="AA690" t="s">
        <v>40</v>
      </c>
      <c r="AB690">
        <v>97</v>
      </c>
      <c r="AC690" s="23">
        <v>1.21</v>
      </c>
      <c r="AD690" t="str">
        <f>IF(AND('CVD Dataset'!AA690="Normal",'CVD Dataset'!AB690&gt;AVERAGE('CVD Dataset'!AB:AB),'CVD Dataset'!AF690="High"),"High Lipid Category","Normal Category")</f>
        <v>Normal Category</v>
      </c>
      <c r="AE690">
        <v>18.78</v>
      </c>
      <c r="AF690" t="s">
        <v>28</v>
      </c>
      <c r="AG690">
        <v>0</v>
      </c>
      <c r="AH690" t="s">
        <v>1380</v>
      </c>
      <c r="AI690">
        <f t="shared" si="43"/>
        <v>0</v>
      </c>
      <c r="AJ690" t="s">
        <v>1391</v>
      </c>
    </row>
    <row r="691" spans="1:36" x14ac:dyDescent="0.3">
      <c r="A691" t="s">
        <v>22</v>
      </c>
      <c r="B691">
        <v>31</v>
      </c>
      <c r="C691">
        <v>89.2</v>
      </c>
      <c r="D691">
        <v>1.87</v>
      </c>
      <c r="E691">
        <v>25.5</v>
      </c>
      <c r="F691">
        <f t="shared" si="41"/>
        <v>25.508307357945604</v>
      </c>
      <c r="G691">
        <f t="shared" si="44"/>
        <v>0</v>
      </c>
      <c r="H691" t="s">
        <v>1400</v>
      </c>
      <c r="I691">
        <v>72.5</v>
      </c>
      <c r="J691" t="s">
        <v>621</v>
      </c>
      <c r="K691" s="24">
        <v>115</v>
      </c>
      <c r="L691" s="24">
        <v>72</v>
      </c>
      <c r="M691">
        <v>229</v>
      </c>
      <c r="N691" t="s">
        <v>1432</v>
      </c>
      <c r="O691">
        <v>41</v>
      </c>
      <c r="P691">
        <v>70</v>
      </c>
      <c r="Q691" t="s">
        <v>25</v>
      </c>
      <c r="R691" t="s">
        <v>25</v>
      </c>
      <c r="S691" t="s">
        <v>30</v>
      </c>
      <c r="T691" t="s">
        <v>24</v>
      </c>
      <c r="U691">
        <f t="shared" si="42"/>
        <v>2</v>
      </c>
      <c r="V691">
        <v>187</v>
      </c>
      <c r="W691">
        <v>0.38800000000000001</v>
      </c>
      <c r="X691" t="s">
        <v>1408</v>
      </c>
      <c r="Y691">
        <v>115</v>
      </c>
      <c r="Z691">
        <v>72</v>
      </c>
      <c r="AA691" t="s">
        <v>35</v>
      </c>
      <c r="AB691">
        <v>158</v>
      </c>
      <c r="AC691" s="23">
        <v>3.85</v>
      </c>
      <c r="AD691" t="str">
        <f>IF(AND('CVD Dataset'!AA691="Normal",'CVD Dataset'!AB691&gt;AVERAGE('CVD Dataset'!AB:AB),'CVD Dataset'!AF691="High"),"High Lipid Category","Normal Category")</f>
        <v>High Lipid Category</v>
      </c>
      <c r="AF691" t="s">
        <v>32</v>
      </c>
      <c r="AG691">
        <v>0</v>
      </c>
      <c r="AH691" t="s">
        <v>1379</v>
      </c>
      <c r="AI691">
        <f t="shared" si="43"/>
        <v>1</v>
      </c>
      <c r="AJ691" t="s">
        <v>1391</v>
      </c>
    </row>
    <row r="692" spans="1:36" x14ac:dyDescent="0.3">
      <c r="A692" t="s">
        <v>22</v>
      </c>
      <c r="B692">
        <v>50</v>
      </c>
      <c r="C692">
        <v>63.4</v>
      </c>
      <c r="D692">
        <v>1.63</v>
      </c>
      <c r="E692">
        <v>23.9</v>
      </c>
      <c r="F692">
        <f t="shared" si="41"/>
        <v>23.862396025443186</v>
      </c>
      <c r="G692">
        <f t="shared" si="44"/>
        <v>0</v>
      </c>
      <c r="H692" t="s">
        <v>1398</v>
      </c>
      <c r="I692">
        <v>76.3</v>
      </c>
      <c r="J692" t="s">
        <v>622</v>
      </c>
      <c r="K692" s="24">
        <v>125</v>
      </c>
      <c r="L692" s="24">
        <v>87</v>
      </c>
      <c r="M692">
        <v>141</v>
      </c>
      <c r="N692" t="s">
        <v>1434</v>
      </c>
      <c r="O692">
        <v>39</v>
      </c>
      <c r="P692">
        <v>88</v>
      </c>
      <c r="Q692" t="s">
        <v>25</v>
      </c>
      <c r="R692" t="s">
        <v>24</v>
      </c>
      <c r="S692" t="s">
        <v>26</v>
      </c>
      <c r="T692" t="s">
        <v>25</v>
      </c>
      <c r="U692">
        <f t="shared" si="42"/>
        <v>3</v>
      </c>
      <c r="V692">
        <v>163</v>
      </c>
      <c r="W692">
        <v>0.46800000000000003</v>
      </c>
      <c r="X692" t="s">
        <v>1406</v>
      </c>
      <c r="Y692">
        <v>125</v>
      </c>
      <c r="Z692">
        <v>87</v>
      </c>
      <c r="AA692" t="s">
        <v>31</v>
      </c>
      <c r="AB692">
        <v>72</v>
      </c>
      <c r="AC692" s="23">
        <v>1.85</v>
      </c>
      <c r="AD692" t="str">
        <f>IF(AND('CVD Dataset'!AA692="Normal",'CVD Dataset'!AB692&gt;AVERAGE('CVD Dataset'!AB:AB),'CVD Dataset'!AF692="High"),"High Lipid Category","Normal Category")</f>
        <v>Normal Category</v>
      </c>
      <c r="AE692">
        <v>13.85</v>
      </c>
      <c r="AF692" t="s">
        <v>32</v>
      </c>
      <c r="AG692">
        <v>0</v>
      </c>
      <c r="AH692" t="s">
        <v>1379</v>
      </c>
      <c r="AI692">
        <f t="shared" si="43"/>
        <v>1</v>
      </c>
      <c r="AJ692" t="s">
        <v>1391</v>
      </c>
    </row>
    <row r="693" spans="1:36" x14ac:dyDescent="0.3">
      <c r="A693" t="s">
        <v>33</v>
      </c>
      <c r="B693">
        <v>32</v>
      </c>
      <c r="C693">
        <v>65.2</v>
      </c>
      <c r="D693">
        <v>1.76</v>
      </c>
      <c r="E693">
        <v>21</v>
      </c>
      <c r="F693">
        <f t="shared" si="41"/>
        <v>21.048553719008265</v>
      </c>
      <c r="G693">
        <f t="shared" si="44"/>
        <v>0</v>
      </c>
      <c r="H693" t="s">
        <v>1398</v>
      </c>
      <c r="I693">
        <v>72.599999999999994</v>
      </c>
      <c r="J693" t="s">
        <v>208</v>
      </c>
      <c r="K693" s="24">
        <v>141</v>
      </c>
      <c r="L693" s="24">
        <v>69</v>
      </c>
      <c r="M693">
        <v>147</v>
      </c>
      <c r="N693" t="s">
        <v>1434</v>
      </c>
      <c r="O693">
        <v>46</v>
      </c>
      <c r="Q693" t="s">
        <v>24</v>
      </c>
      <c r="R693" t="s">
        <v>24</v>
      </c>
      <c r="S693" t="s">
        <v>26</v>
      </c>
      <c r="T693" t="s">
        <v>24</v>
      </c>
      <c r="U693">
        <f t="shared" si="42"/>
        <v>1</v>
      </c>
      <c r="V693">
        <v>176</v>
      </c>
      <c r="W693">
        <v>0.41199999999999998</v>
      </c>
      <c r="X693" t="s">
        <v>1408</v>
      </c>
      <c r="Y693">
        <v>141</v>
      </c>
      <c r="Z693">
        <v>69</v>
      </c>
      <c r="AA693" t="s">
        <v>40</v>
      </c>
      <c r="AB693">
        <v>71</v>
      </c>
      <c r="AC693" s="23">
        <v>1.54</v>
      </c>
      <c r="AD693" t="str">
        <f>IF(AND('CVD Dataset'!AA693="Normal",'CVD Dataset'!AB693&gt;AVERAGE('CVD Dataset'!AB:AB),'CVD Dataset'!AF693="High"),"High Lipid Category","Normal Category")</f>
        <v>Normal Category</v>
      </c>
      <c r="AE693">
        <v>14.19</v>
      </c>
      <c r="AF693" t="s">
        <v>54</v>
      </c>
      <c r="AG693">
        <v>0</v>
      </c>
      <c r="AH693" t="s">
        <v>1380</v>
      </c>
      <c r="AI693">
        <f t="shared" si="43"/>
        <v>0</v>
      </c>
      <c r="AJ693" t="s">
        <v>1391</v>
      </c>
    </row>
    <row r="694" spans="1:36" x14ac:dyDescent="0.3">
      <c r="A694" t="s">
        <v>22</v>
      </c>
      <c r="B694">
        <v>55</v>
      </c>
      <c r="C694">
        <v>91.8</v>
      </c>
      <c r="D694">
        <v>1.66</v>
      </c>
      <c r="E694">
        <v>33.299999999999997</v>
      </c>
      <c r="F694">
        <f t="shared" si="41"/>
        <v>33.313978806793443</v>
      </c>
      <c r="G694">
        <f t="shared" si="44"/>
        <v>0</v>
      </c>
      <c r="H694" t="s">
        <v>1399</v>
      </c>
      <c r="I694">
        <v>88.7</v>
      </c>
      <c r="J694" t="s">
        <v>623</v>
      </c>
      <c r="K694" s="24">
        <v>132</v>
      </c>
      <c r="L694" s="24">
        <v>65</v>
      </c>
      <c r="M694">
        <v>171</v>
      </c>
      <c r="N694" t="s">
        <v>1433</v>
      </c>
      <c r="O694">
        <v>41</v>
      </c>
      <c r="P694">
        <v>89</v>
      </c>
      <c r="Q694" t="s">
        <v>24</v>
      </c>
      <c r="R694" t="s">
        <v>24</v>
      </c>
      <c r="S694" t="s">
        <v>26</v>
      </c>
      <c r="T694" t="s">
        <v>25</v>
      </c>
      <c r="U694">
        <f t="shared" si="42"/>
        <v>2</v>
      </c>
      <c r="V694">
        <v>166</v>
      </c>
      <c r="W694">
        <v>0.53400000000000003</v>
      </c>
      <c r="X694" t="s">
        <v>1407</v>
      </c>
      <c r="Y694">
        <v>132</v>
      </c>
      <c r="Z694">
        <v>65</v>
      </c>
      <c r="AA694" t="s">
        <v>31</v>
      </c>
      <c r="AB694">
        <v>100</v>
      </c>
      <c r="AC694" s="23">
        <v>2.44</v>
      </c>
      <c r="AD694" t="str">
        <f>IF(AND('CVD Dataset'!AA694="Normal",'CVD Dataset'!AB694&gt;AVERAGE('CVD Dataset'!AB:AB),'CVD Dataset'!AF694="High"),"High Lipid Category","Normal Category")</f>
        <v>Normal Category</v>
      </c>
      <c r="AE694">
        <v>16.68</v>
      </c>
      <c r="AF694" t="s">
        <v>32</v>
      </c>
      <c r="AG694">
        <v>0</v>
      </c>
      <c r="AH694" t="s">
        <v>1379</v>
      </c>
      <c r="AI694">
        <f t="shared" si="43"/>
        <v>1</v>
      </c>
      <c r="AJ694" t="s">
        <v>1391</v>
      </c>
    </row>
    <row r="695" spans="1:36" x14ac:dyDescent="0.3">
      <c r="A695" t="s">
        <v>33</v>
      </c>
      <c r="B695">
        <v>60</v>
      </c>
      <c r="C695">
        <v>69.2</v>
      </c>
      <c r="D695">
        <v>1.9</v>
      </c>
      <c r="E695">
        <v>19.2</v>
      </c>
      <c r="F695">
        <f t="shared" si="41"/>
        <v>19.168975069252078</v>
      </c>
      <c r="G695">
        <f t="shared" si="44"/>
        <v>0</v>
      </c>
      <c r="H695" t="s">
        <v>1398</v>
      </c>
      <c r="I695">
        <v>88.5</v>
      </c>
      <c r="J695" t="s">
        <v>624</v>
      </c>
      <c r="K695" s="24">
        <v>123</v>
      </c>
      <c r="L695" s="24">
        <v>72</v>
      </c>
      <c r="M695">
        <v>121</v>
      </c>
      <c r="N695" t="s">
        <v>1434</v>
      </c>
      <c r="O695">
        <v>44</v>
      </c>
      <c r="P695">
        <v>124</v>
      </c>
      <c r="Q695" t="s">
        <v>25</v>
      </c>
      <c r="R695" t="s">
        <v>25</v>
      </c>
      <c r="S695" t="s">
        <v>39</v>
      </c>
      <c r="T695" t="s">
        <v>24</v>
      </c>
      <c r="U695">
        <f t="shared" si="42"/>
        <v>2</v>
      </c>
      <c r="V695">
        <v>190</v>
      </c>
      <c r="W695">
        <v>0.46600000000000003</v>
      </c>
      <c r="X695" t="s">
        <v>1406</v>
      </c>
      <c r="Y695">
        <v>123</v>
      </c>
      <c r="Z695">
        <v>72</v>
      </c>
      <c r="AA695" t="s">
        <v>27</v>
      </c>
      <c r="AB695">
        <v>47</v>
      </c>
      <c r="AC695" s="23">
        <v>1.07</v>
      </c>
      <c r="AD695" t="str">
        <f>IF(AND('CVD Dataset'!AA695="Normal",'CVD Dataset'!AB695&gt;AVERAGE('CVD Dataset'!AB:AB),'CVD Dataset'!AF695="High"),"High Lipid Category","Normal Category")</f>
        <v>Normal Category</v>
      </c>
      <c r="AF695" t="s">
        <v>28</v>
      </c>
      <c r="AG695">
        <v>0</v>
      </c>
      <c r="AH695" t="s">
        <v>1380</v>
      </c>
      <c r="AI695">
        <f t="shared" si="43"/>
        <v>0</v>
      </c>
      <c r="AJ695" t="s">
        <v>1391</v>
      </c>
    </row>
    <row r="696" spans="1:36" x14ac:dyDescent="0.3">
      <c r="A696" t="s">
        <v>22</v>
      </c>
      <c r="B696">
        <v>33</v>
      </c>
      <c r="C696">
        <v>89.4</v>
      </c>
      <c r="D696">
        <v>1.61</v>
      </c>
      <c r="E696">
        <v>34.5</v>
      </c>
      <c r="F696">
        <f t="shared" si="41"/>
        <v>34.489410130781991</v>
      </c>
      <c r="G696">
        <f t="shared" si="44"/>
        <v>0</v>
      </c>
      <c r="H696" t="s">
        <v>1399</v>
      </c>
      <c r="I696">
        <v>97.6</v>
      </c>
      <c r="J696" t="s">
        <v>625</v>
      </c>
      <c r="K696" s="24">
        <v>142</v>
      </c>
      <c r="L696" s="24">
        <v>61</v>
      </c>
      <c r="M696">
        <v>214</v>
      </c>
      <c r="N696" t="s">
        <v>1432</v>
      </c>
      <c r="O696">
        <v>54</v>
      </c>
      <c r="P696">
        <v>145</v>
      </c>
      <c r="Q696" t="s">
        <v>25</v>
      </c>
      <c r="R696" t="s">
        <v>25</v>
      </c>
      <c r="S696" t="s">
        <v>39</v>
      </c>
      <c r="T696" t="s">
        <v>24</v>
      </c>
      <c r="U696">
        <f t="shared" si="42"/>
        <v>2</v>
      </c>
      <c r="V696">
        <v>161</v>
      </c>
      <c r="W696">
        <v>0.60599999999999998</v>
      </c>
      <c r="X696" t="s">
        <v>1409</v>
      </c>
      <c r="Y696">
        <v>142</v>
      </c>
      <c r="Z696">
        <v>61</v>
      </c>
      <c r="AA696" t="s">
        <v>40</v>
      </c>
      <c r="AB696">
        <v>130</v>
      </c>
      <c r="AC696" s="23">
        <v>2.41</v>
      </c>
      <c r="AD696" t="str">
        <f>IF(AND('CVD Dataset'!AA696="Normal",'CVD Dataset'!AB696&gt;AVERAGE('CVD Dataset'!AB:AB),'CVD Dataset'!AF696="High"),"High Lipid Category","Normal Category")</f>
        <v>Normal Category</v>
      </c>
      <c r="AE696">
        <v>20.28</v>
      </c>
      <c r="AF696" t="s">
        <v>32</v>
      </c>
      <c r="AG696">
        <v>0</v>
      </c>
      <c r="AH696" t="s">
        <v>1379</v>
      </c>
      <c r="AI696">
        <f t="shared" si="43"/>
        <v>1</v>
      </c>
      <c r="AJ696" t="s">
        <v>1391</v>
      </c>
    </row>
    <row r="697" spans="1:36" x14ac:dyDescent="0.3">
      <c r="A697" t="s">
        <v>33</v>
      </c>
      <c r="B697">
        <v>33</v>
      </c>
      <c r="C697">
        <v>74</v>
      </c>
      <c r="D697">
        <v>1.76</v>
      </c>
      <c r="E697">
        <v>23.9</v>
      </c>
      <c r="F697">
        <f t="shared" si="41"/>
        <v>23.889462809917354</v>
      </c>
      <c r="G697">
        <f t="shared" si="44"/>
        <v>0</v>
      </c>
      <c r="H697" t="s">
        <v>1398</v>
      </c>
      <c r="I697">
        <v>77.400000000000006</v>
      </c>
      <c r="J697" t="s">
        <v>626</v>
      </c>
      <c r="K697" s="24">
        <v>118</v>
      </c>
      <c r="L697" s="24">
        <v>86</v>
      </c>
      <c r="M697">
        <v>165</v>
      </c>
      <c r="N697" t="s">
        <v>1433</v>
      </c>
      <c r="O697">
        <v>71</v>
      </c>
      <c r="P697">
        <v>90</v>
      </c>
      <c r="Q697" t="s">
        <v>24</v>
      </c>
      <c r="R697" t="s">
        <v>24</v>
      </c>
      <c r="S697" t="s">
        <v>30</v>
      </c>
      <c r="T697" t="s">
        <v>25</v>
      </c>
      <c r="U697">
        <f t="shared" si="42"/>
        <v>1</v>
      </c>
      <c r="V697">
        <v>176</v>
      </c>
      <c r="W697">
        <v>0.44</v>
      </c>
      <c r="X697" t="s">
        <v>1408</v>
      </c>
      <c r="Y697">
        <v>118</v>
      </c>
      <c r="AA697" t="s">
        <v>31</v>
      </c>
      <c r="AB697">
        <v>64</v>
      </c>
      <c r="AC697" s="23">
        <v>0.9</v>
      </c>
      <c r="AD697" t="str">
        <f>IF(AND('CVD Dataset'!AA697="Normal",'CVD Dataset'!AB697&gt;AVERAGE('CVD Dataset'!AB:AB),'CVD Dataset'!AF697="High"),"High Lipid Category","Normal Category")</f>
        <v>Normal Category</v>
      </c>
      <c r="AE697">
        <v>13.98</v>
      </c>
      <c r="AF697" t="s">
        <v>54</v>
      </c>
      <c r="AG697">
        <v>0</v>
      </c>
      <c r="AH697" t="s">
        <v>1380</v>
      </c>
      <c r="AI697">
        <f t="shared" si="43"/>
        <v>0</v>
      </c>
      <c r="AJ697" t="s">
        <v>1391</v>
      </c>
    </row>
    <row r="698" spans="1:36" x14ac:dyDescent="0.3">
      <c r="A698" t="s">
        <v>33</v>
      </c>
      <c r="B698">
        <v>36</v>
      </c>
      <c r="C698">
        <v>116.9</v>
      </c>
      <c r="D698">
        <v>1.74</v>
      </c>
      <c r="E698">
        <v>38.6</v>
      </c>
      <c r="F698">
        <f t="shared" si="41"/>
        <v>38.611441405733913</v>
      </c>
      <c r="G698">
        <f t="shared" si="44"/>
        <v>0</v>
      </c>
      <c r="H698" t="s">
        <v>1399</v>
      </c>
      <c r="I698">
        <v>89.3</v>
      </c>
      <c r="J698" t="s">
        <v>627</v>
      </c>
      <c r="K698" s="24">
        <v>126</v>
      </c>
      <c r="L698" s="24">
        <v>73</v>
      </c>
      <c r="M698">
        <v>103</v>
      </c>
      <c r="N698" t="s">
        <v>1434</v>
      </c>
      <c r="O698">
        <v>41</v>
      </c>
      <c r="P698">
        <v>148</v>
      </c>
      <c r="Q698" t="s">
        <v>24</v>
      </c>
      <c r="R698" t="s">
        <v>24</v>
      </c>
      <c r="S698" t="s">
        <v>39</v>
      </c>
      <c r="T698" t="s">
        <v>25</v>
      </c>
      <c r="U698">
        <f t="shared" si="42"/>
        <v>1</v>
      </c>
      <c r="V698">
        <v>174</v>
      </c>
      <c r="W698">
        <v>0.51300000000000001</v>
      </c>
      <c r="X698" t="s">
        <v>1406</v>
      </c>
      <c r="Y698">
        <v>126</v>
      </c>
      <c r="Z698">
        <v>73</v>
      </c>
      <c r="AA698" t="s">
        <v>27</v>
      </c>
      <c r="AB698">
        <v>32</v>
      </c>
      <c r="AC698" s="23">
        <v>0.78</v>
      </c>
      <c r="AD698" t="str">
        <f>IF(AND('CVD Dataset'!AA698="Normal",'CVD Dataset'!AB698&gt;AVERAGE('CVD Dataset'!AB:AB),'CVD Dataset'!AF698="High"),"High Lipid Category","Normal Category")</f>
        <v>Normal Category</v>
      </c>
      <c r="AE698">
        <v>16.079999999999998</v>
      </c>
      <c r="AF698" t="s">
        <v>28</v>
      </c>
      <c r="AG698">
        <v>0</v>
      </c>
      <c r="AH698" t="s">
        <v>1380</v>
      </c>
      <c r="AI698">
        <f t="shared" si="43"/>
        <v>0</v>
      </c>
      <c r="AJ698" t="s">
        <v>1391</v>
      </c>
    </row>
    <row r="699" spans="1:36" x14ac:dyDescent="0.3">
      <c r="A699" t="s">
        <v>22</v>
      </c>
      <c r="B699">
        <v>32</v>
      </c>
      <c r="D699">
        <v>1.62</v>
      </c>
      <c r="E699">
        <v>40.6</v>
      </c>
      <c r="F699">
        <f t="shared" si="41"/>
        <v>0</v>
      </c>
      <c r="G699">
        <f t="shared" si="44"/>
        <v>1</v>
      </c>
      <c r="H699" t="s">
        <v>1399</v>
      </c>
      <c r="I699">
        <v>98.2</v>
      </c>
      <c r="J699" t="s">
        <v>628</v>
      </c>
      <c r="K699" s="24">
        <v>113</v>
      </c>
      <c r="L699" s="24">
        <v>98</v>
      </c>
      <c r="M699">
        <v>255</v>
      </c>
      <c r="N699" t="s">
        <v>1432</v>
      </c>
      <c r="O699">
        <v>59</v>
      </c>
      <c r="P699">
        <v>78</v>
      </c>
      <c r="Q699" t="s">
        <v>24</v>
      </c>
      <c r="R699" t="s">
        <v>24</v>
      </c>
      <c r="S699" t="s">
        <v>26</v>
      </c>
      <c r="T699" t="s">
        <v>25</v>
      </c>
      <c r="U699">
        <f t="shared" si="42"/>
        <v>2</v>
      </c>
      <c r="V699">
        <v>162</v>
      </c>
      <c r="W699">
        <v>0.60599999999999998</v>
      </c>
      <c r="X699" t="s">
        <v>1409</v>
      </c>
      <c r="Y699">
        <v>113</v>
      </c>
      <c r="Z699">
        <v>98</v>
      </c>
      <c r="AA699" t="s">
        <v>40</v>
      </c>
      <c r="AB699">
        <v>166</v>
      </c>
      <c r="AC699" s="23">
        <v>2.81</v>
      </c>
      <c r="AD699" t="str">
        <f>IF(AND('CVD Dataset'!AA699="Normal",'CVD Dataset'!AB699&gt;AVERAGE('CVD Dataset'!AB:AB),'CVD Dataset'!AF699="High"),"High Lipid Category","Normal Category")</f>
        <v>Normal Category</v>
      </c>
      <c r="AE699">
        <v>18.87</v>
      </c>
      <c r="AF699" t="s">
        <v>32</v>
      </c>
      <c r="AG699">
        <v>0</v>
      </c>
      <c r="AH699" t="s">
        <v>1379</v>
      </c>
      <c r="AI699">
        <f t="shared" si="43"/>
        <v>1</v>
      </c>
      <c r="AJ699" t="s">
        <v>1391</v>
      </c>
    </row>
    <row r="700" spans="1:36" x14ac:dyDescent="0.3">
      <c r="A700" t="s">
        <v>22</v>
      </c>
      <c r="B700">
        <v>37</v>
      </c>
      <c r="C700">
        <v>50.5</v>
      </c>
      <c r="D700">
        <v>1.72</v>
      </c>
      <c r="E700">
        <v>17.100000000000001</v>
      </c>
      <c r="F700">
        <f t="shared" si="41"/>
        <v>17.070037858301788</v>
      </c>
      <c r="G700">
        <f t="shared" si="44"/>
        <v>0</v>
      </c>
      <c r="H700" t="s">
        <v>1401</v>
      </c>
      <c r="I700">
        <v>76.3</v>
      </c>
      <c r="J700" t="s">
        <v>629</v>
      </c>
      <c r="K700" s="24">
        <v>146</v>
      </c>
      <c r="L700" s="24">
        <v>89</v>
      </c>
      <c r="M700">
        <v>274</v>
      </c>
      <c r="N700" t="s">
        <v>1432</v>
      </c>
      <c r="O700">
        <v>54</v>
      </c>
      <c r="P700">
        <v>84</v>
      </c>
      <c r="Q700" t="s">
        <v>24</v>
      </c>
      <c r="R700" t="s">
        <v>24</v>
      </c>
      <c r="S700" t="s">
        <v>26</v>
      </c>
      <c r="T700" t="s">
        <v>24</v>
      </c>
      <c r="U700">
        <f t="shared" si="42"/>
        <v>1</v>
      </c>
      <c r="V700">
        <v>172</v>
      </c>
      <c r="W700">
        <v>0.44400000000000001</v>
      </c>
      <c r="X700" t="s">
        <v>1408</v>
      </c>
      <c r="Y700">
        <v>146</v>
      </c>
      <c r="Z700">
        <v>89</v>
      </c>
      <c r="AA700" t="s">
        <v>31</v>
      </c>
      <c r="AB700">
        <v>190</v>
      </c>
      <c r="AC700" s="23">
        <v>3.52</v>
      </c>
      <c r="AD700" t="str">
        <f>IF(AND('CVD Dataset'!AA700="Normal",'CVD Dataset'!AB700&gt;AVERAGE('CVD Dataset'!AB:AB),'CVD Dataset'!AF700="High"),"High Lipid Category","Normal Category")</f>
        <v>Normal Category</v>
      </c>
      <c r="AE700">
        <v>16.2</v>
      </c>
      <c r="AF700" t="s">
        <v>28</v>
      </c>
      <c r="AG700">
        <v>0</v>
      </c>
      <c r="AH700" t="s">
        <v>1380</v>
      </c>
      <c r="AI700">
        <f t="shared" si="43"/>
        <v>0</v>
      </c>
      <c r="AJ700" t="s">
        <v>1391</v>
      </c>
    </row>
    <row r="701" spans="1:36" x14ac:dyDescent="0.3">
      <c r="A701" t="s">
        <v>33</v>
      </c>
      <c r="B701">
        <v>54</v>
      </c>
      <c r="C701">
        <v>89.5</v>
      </c>
      <c r="D701">
        <v>1.86</v>
      </c>
      <c r="E701">
        <v>25.9</v>
      </c>
      <c r="F701">
        <f t="shared" si="41"/>
        <v>25.87004277951208</v>
      </c>
      <c r="G701">
        <f t="shared" si="44"/>
        <v>0</v>
      </c>
      <c r="H701" t="s">
        <v>1400</v>
      </c>
      <c r="I701">
        <v>73.8</v>
      </c>
      <c r="J701" t="s">
        <v>630</v>
      </c>
      <c r="K701" s="24">
        <v>107</v>
      </c>
      <c r="L701" s="24">
        <v>83</v>
      </c>
      <c r="M701">
        <v>298</v>
      </c>
      <c r="N701" t="s">
        <v>1432</v>
      </c>
      <c r="O701">
        <v>37</v>
      </c>
      <c r="P701">
        <v>71</v>
      </c>
      <c r="Q701" t="s">
        <v>25</v>
      </c>
      <c r="R701" t="s">
        <v>25</v>
      </c>
      <c r="S701" t="s">
        <v>30</v>
      </c>
      <c r="T701" t="s">
        <v>24</v>
      </c>
      <c r="U701">
        <f t="shared" si="42"/>
        <v>2</v>
      </c>
      <c r="V701">
        <v>186</v>
      </c>
      <c r="W701">
        <v>0.39700000000000002</v>
      </c>
      <c r="X701" t="s">
        <v>1408</v>
      </c>
      <c r="Y701">
        <v>107</v>
      </c>
      <c r="Z701">
        <v>83</v>
      </c>
      <c r="AA701" t="s">
        <v>31</v>
      </c>
      <c r="AB701">
        <v>231</v>
      </c>
      <c r="AC701" s="23">
        <v>6.24</v>
      </c>
      <c r="AD701" t="str">
        <f>IF(AND('CVD Dataset'!AA701="Normal",'CVD Dataset'!AB701&gt;AVERAGE('CVD Dataset'!AB:AB),'CVD Dataset'!AF701="High"),"High Lipid Category","Normal Category")</f>
        <v>Normal Category</v>
      </c>
      <c r="AE701">
        <v>18.489999999999998</v>
      </c>
      <c r="AF701" t="s">
        <v>32</v>
      </c>
      <c r="AG701">
        <v>0</v>
      </c>
      <c r="AH701" t="s">
        <v>1379</v>
      </c>
      <c r="AI701">
        <f t="shared" si="43"/>
        <v>1</v>
      </c>
      <c r="AJ701" t="s">
        <v>1392</v>
      </c>
    </row>
    <row r="702" spans="1:36" x14ac:dyDescent="0.3">
      <c r="A702" t="s">
        <v>22</v>
      </c>
      <c r="B702">
        <v>60</v>
      </c>
      <c r="C702">
        <v>113.2</v>
      </c>
      <c r="D702">
        <v>1.73</v>
      </c>
      <c r="E702">
        <v>37.799999999999997</v>
      </c>
      <c r="F702">
        <f t="shared" si="41"/>
        <v>37.82284740552641</v>
      </c>
      <c r="G702">
        <f t="shared" si="44"/>
        <v>0</v>
      </c>
      <c r="H702" t="s">
        <v>1399</v>
      </c>
      <c r="I702">
        <v>82.1</v>
      </c>
      <c r="J702" t="s">
        <v>631</v>
      </c>
      <c r="K702" s="24">
        <v>137</v>
      </c>
      <c r="L702" s="24">
        <v>89</v>
      </c>
      <c r="M702">
        <v>216</v>
      </c>
      <c r="N702" t="s">
        <v>1432</v>
      </c>
      <c r="O702">
        <v>61</v>
      </c>
      <c r="P702">
        <v>115</v>
      </c>
      <c r="Q702" t="s">
        <v>25</v>
      </c>
      <c r="R702" t="s">
        <v>25</v>
      </c>
      <c r="S702" t="s">
        <v>39</v>
      </c>
      <c r="T702" t="s">
        <v>25</v>
      </c>
      <c r="U702">
        <f t="shared" si="42"/>
        <v>3</v>
      </c>
      <c r="W702">
        <v>0.47499999999999998</v>
      </c>
      <c r="X702" t="s">
        <v>1406</v>
      </c>
      <c r="Y702">
        <v>137</v>
      </c>
      <c r="Z702">
        <v>89</v>
      </c>
      <c r="AA702" t="s">
        <v>31</v>
      </c>
      <c r="AB702">
        <v>125</v>
      </c>
      <c r="AC702" s="23">
        <v>2.0499999999999998</v>
      </c>
      <c r="AD702" t="str">
        <f>IF(AND('CVD Dataset'!AA702="Normal",'CVD Dataset'!AB702&gt;AVERAGE('CVD Dataset'!AB:AB),'CVD Dataset'!AF702="High"),"High Lipid Category","Normal Category")</f>
        <v>Normal Category</v>
      </c>
      <c r="AE702">
        <v>20.73</v>
      </c>
      <c r="AF702" t="s">
        <v>32</v>
      </c>
      <c r="AG702">
        <v>1</v>
      </c>
      <c r="AH702" t="s">
        <v>1379</v>
      </c>
      <c r="AI702">
        <f t="shared" si="43"/>
        <v>1</v>
      </c>
      <c r="AJ702" t="s">
        <v>1392</v>
      </c>
    </row>
    <row r="703" spans="1:36" x14ac:dyDescent="0.3">
      <c r="A703" t="s">
        <v>33</v>
      </c>
      <c r="B703">
        <v>53</v>
      </c>
      <c r="C703">
        <v>57.8</v>
      </c>
      <c r="D703">
        <v>1.74</v>
      </c>
      <c r="E703">
        <v>19.100000000000001</v>
      </c>
      <c r="F703">
        <f t="shared" si="41"/>
        <v>19.091029198044655</v>
      </c>
      <c r="G703">
        <f t="shared" si="44"/>
        <v>0</v>
      </c>
      <c r="H703" t="s">
        <v>1398</v>
      </c>
      <c r="I703">
        <v>89</v>
      </c>
      <c r="J703" t="s">
        <v>632</v>
      </c>
      <c r="K703" s="24">
        <v>119</v>
      </c>
      <c r="L703" s="24">
        <v>68</v>
      </c>
      <c r="M703">
        <v>222</v>
      </c>
      <c r="N703" t="s">
        <v>1432</v>
      </c>
      <c r="O703">
        <v>52</v>
      </c>
      <c r="P703">
        <v>137</v>
      </c>
      <c r="Q703" t="s">
        <v>24</v>
      </c>
      <c r="R703" t="s">
        <v>24</v>
      </c>
      <c r="S703" t="s">
        <v>26</v>
      </c>
      <c r="T703" t="s">
        <v>25</v>
      </c>
      <c r="U703">
        <f t="shared" si="42"/>
        <v>2</v>
      </c>
      <c r="V703">
        <v>174</v>
      </c>
      <c r="W703">
        <v>0.51100000000000001</v>
      </c>
      <c r="X703" t="s">
        <v>1406</v>
      </c>
      <c r="Y703">
        <v>119</v>
      </c>
      <c r="Z703">
        <v>68</v>
      </c>
      <c r="AA703" t="s">
        <v>35</v>
      </c>
      <c r="AB703">
        <v>140</v>
      </c>
      <c r="AC703" s="23">
        <v>2.69</v>
      </c>
      <c r="AD703" t="str">
        <f>IF(AND('CVD Dataset'!AA703="Normal",'CVD Dataset'!AB703&gt;AVERAGE('CVD Dataset'!AB:AB),'CVD Dataset'!AF703="High"),"High Lipid Category","Normal Category")</f>
        <v>High Lipid Category</v>
      </c>
      <c r="AE703">
        <v>14.21</v>
      </c>
      <c r="AF703" t="s">
        <v>32</v>
      </c>
      <c r="AG703">
        <v>0</v>
      </c>
      <c r="AH703" t="s">
        <v>1379</v>
      </c>
      <c r="AI703">
        <f t="shared" si="43"/>
        <v>1</v>
      </c>
      <c r="AJ703" t="s">
        <v>1391</v>
      </c>
    </row>
    <row r="704" spans="1:36" x14ac:dyDescent="0.3">
      <c r="A704" t="s">
        <v>22</v>
      </c>
      <c r="B704">
        <v>31</v>
      </c>
      <c r="C704">
        <v>87.7</v>
      </c>
      <c r="D704">
        <v>1.89</v>
      </c>
      <c r="E704">
        <v>24.6</v>
      </c>
      <c r="F704">
        <f t="shared" si="41"/>
        <v>24.551384339744128</v>
      </c>
      <c r="G704">
        <f t="shared" si="44"/>
        <v>0</v>
      </c>
      <c r="H704" t="s">
        <v>1398</v>
      </c>
      <c r="I704">
        <v>92.6</v>
      </c>
      <c r="J704" t="s">
        <v>633</v>
      </c>
      <c r="K704" s="24">
        <v>105</v>
      </c>
      <c r="L704" s="24">
        <v>93</v>
      </c>
      <c r="M704">
        <v>263</v>
      </c>
      <c r="N704" t="s">
        <v>1432</v>
      </c>
      <c r="O704">
        <v>52</v>
      </c>
      <c r="P704">
        <v>126</v>
      </c>
      <c r="Q704" t="s">
        <v>25</v>
      </c>
      <c r="R704" t="s">
        <v>25</v>
      </c>
      <c r="S704" t="s">
        <v>26</v>
      </c>
      <c r="T704" t="s">
        <v>25</v>
      </c>
      <c r="U704">
        <f t="shared" si="42"/>
        <v>4</v>
      </c>
      <c r="V704">
        <v>189</v>
      </c>
      <c r="X704" t="s">
        <v>1410</v>
      </c>
      <c r="Y704">
        <v>105</v>
      </c>
      <c r="Z704">
        <v>93</v>
      </c>
      <c r="AA704" t="s">
        <v>40</v>
      </c>
      <c r="AB704">
        <v>181</v>
      </c>
      <c r="AC704" s="23">
        <v>3.48</v>
      </c>
      <c r="AD704" t="str">
        <f>IF(AND('CVD Dataset'!AA704="Normal",'CVD Dataset'!AB704&gt;AVERAGE('CVD Dataset'!AB:AB),'CVD Dataset'!AF704="High"),"High Lipid Category","Normal Category")</f>
        <v>Normal Category</v>
      </c>
      <c r="AE704">
        <v>17.43</v>
      </c>
      <c r="AF704" t="s">
        <v>32</v>
      </c>
      <c r="AG704">
        <v>0</v>
      </c>
      <c r="AH704" t="s">
        <v>1379</v>
      </c>
      <c r="AI704">
        <f t="shared" si="43"/>
        <v>1</v>
      </c>
      <c r="AJ704" t="s">
        <v>1391</v>
      </c>
    </row>
    <row r="705" spans="1:36" x14ac:dyDescent="0.3">
      <c r="A705" t="s">
        <v>33</v>
      </c>
      <c r="B705">
        <v>32</v>
      </c>
      <c r="C705">
        <v>57.7</v>
      </c>
      <c r="D705">
        <v>1.86</v>
      </c>
      <c r="E705">
        <v>16.7</v>
      </c>
      <c r="F705">
        <f t="shared" si="41"/>
        <v>16.678228696959184</v>
      </c>
      <c r="G705">
        <f t="shared" si="44"/>
        <v>0</v>
      </c>
      <c r="H705" t="s">
        <v>1401</v>
      </c>
      <c r="I705">
        <v>84.3</v>
      </c>
      <c r="J705" t="s">
        <v>163</v>
      </c>
      <c r="K705" s="24">
        <v>107</v>
      </c>
      <c r="L705" s="24">
        <v>66</v>
      </c>
      <c r="N705" t="s">
        <v>1434</v>
      </c>
      <c r="O705">
        <v>79</v>
      </c>
      <c r="P705">
        <v>150</v>
      </c>
      <c r="Q705" t="s">
        <v>25</v>
      </c>
      <c r="R705" t="s">
        <v>24</v>
      </c>
      <c r="S705" t="s">
        <v>30</v>
      </c>
      <c r="T705" t="s">
        <v>25</v>
      </c>
      <c r="U705">
        <f t="shared" si="42"/>
        <v>2</v>
      </c>
      <c r="V705">
        <v>186</v>
      </c>
      <c r="W705">
        <v>0.45300000000000001</v>
      </c>
      <c r="X705" t="s">
        <v>1408</v>
      </c>
      <c r="Y705">
        <v>107</v>
      </c>
      <c r="Z705">
        <v>66</v>
      </c>
      <c r="AA705" t="s">
        <v>35</v>
      </c>
      <c r="AC705" s="23">
        <v>0</v>
      </c>
      <c r="AD705" t="str">
        <f>IF(AND('CVD Dataset'!AA705="Normal",'CVD Dataset'!AB705&gt;AVERAGE('CVD Dataset'!AB:AB),'CVD Dataset'!AF705="High"),"High Lipid Category","Normal Category")</f>
        <v>Normal Category</v>
      </c>
      <c r="AE705">
        <v>13.45</v>
      </c>
      <c r="AF705" t="s">
        <v>28</v>
      </c>
      <c r="AG705">
        <v>0</v>
      </c>
      <c r="AH705" t="s">
        <v>1380</v>
      </c>
      <c r="AI705">
        <f t="shared" si="43"/>
        <v>0</v>
      </c>
      <c r="AJ705" t="s">
        <v>1391</v>
      </c>
    </row>
    <row r="706" spans="1:36" x14ac:dyDescent="0.3">
      <c r="A706" t="s">
        <v>33</v>
      </c>
      <c r="B706">
        <v>46</v>
      </c>
      <c r="C706">
        <v>70.400000000000006</v>
      </c>
      <c r="D706">
        <v>1.9</v>
      </c>
      <c r="E706">
        <v>19.5</v>
      </c>
      <c r="F706">
        <f t="shared" si="41"/>
        <v>19.501385041551249</v>
      </c>
      <c r="G706">
        <f t="shared" si="44"/>
        <v>0</v>
      </c>
      <c r="H706" t="s">
        <v>1398</v>
      </c>
      <c r="I706">
        <v>71.5</v>
      </c>
      <c r="J706" t="s">
        <v>634</v>
      </c>
      <c r="K706" s="24">
        <v>95</v>
      </c>
      <c r="L706" s="24">
        <v>86</v>
      </c>
      <c r="M706">
        <v>281</v>
      </c>
      <c r="N706" t="s">
        <v>1432</v>
      </c>
      <c r="O706">
        <v>58</v>
      </c>
      <c r="P706">
        <v>113</v>
      </c>
      <c r="Q706" t="s">
        <v>24</v>
      </c>
      <c r="R706" t="s">
        <v>24</v>
      </c>
      <c r="S706" t="s">
        <v>30</v>
      </c>
      <c r="T706" t="s">
        <v>24</v>
      </c>
      <c r="U706">
        <f t="shared" si="42"/>
        <v>0</v>
      </c>
      <c r="V706">
        <v>190</v>
      </c>
      <c r="W706">
        <v>0.376</v>
      </c>
      <c r="X706" t="s">
        <v>1408</v>
      </c>
      <c r="Y706">
        <v>95</v>
      </c>
      <c r="Z706">
        <v>86</v>
      </c>
      <c r="AA706" t="s">
        <v>31</v>
      </c>
      <c r="AB706">
        <v>193</v>
      </c>
      <c r="AC706" s="23">
        <v>3.33</v>
      </c>
      <c r="AD706" t="str">
        <f>IF(AND('CVD Dataset'!AA706="Normal",'CVD Dataset'!AB706&gt;AVERAGE('CVD Dataset'!AB:AB),'CVD Dataset'!AF706="High"),"High Lipid Category","Normal Category")</f>
        <v>Normal Category</v>
      </c>
      <c r="AE706">
        <v>14.27</v>
      </c>
      <c r="AF706" t="s">
        <v>28</v>
      </c>
      <c r="AG706">
        <v>0</v>
      </c>
      <c r="AH706" t="s">
        <v>1380</v>
      </c>
      <c r="AI706">
        <f t="shared" si="43"/>
        <v>0</v>
      </c>
      <c r="AJ706" t="s">
        <v>1391</v>
      </c>
    </row>
    <row r="707" spans="1:36" x14ac:dyDescent="0.3">
      <c r="A707" t="s">
        <v>22</v>
      </c>
      <c r="B707">
        <v>55</v>
      </c>
      <c r="C707">
        <v>67.400000000000006</v>
      </c>
      <c r="D707">
        <v>1.87</v>
      </c>
      <c r="E707">
        <v>19.3</v>
      </c>
      <c r="F707">
        <f t="shared" ref="F707:F770" si="45">IFERROR(C707/POWER(D707,2),"")</f>
        <v>19.274214304097914</v>
      </c>
      <c r="G707">
        <f t="shared" si="44"/>
        <v>0</v>
      </c>
      <c r="H707" t="s">
        <v>1398</v>
      </c>
      <c r="J707" t="s">
        <v>91</v>
      </c>
      <c r="K707" s="24">
        <v>94</v>
      </c>
      <c r="L707" s="24">
        <v>81</v>
      </c>
      <c r="M707">
        <v>177</v>
      </c>
      <c r="N707" t="s">
        <v>1433</v>
      </c>
      <c r="O707">
        <v>51</v>
      </c>
      <c r="P707">
        <v>93</v>
      </c>
      <c r="Q707" t="s">
        <v>25</v>
      </c>
      <c r="R707" t="s">
        <v>24</v>
      </c>
      <c r="S707" t="s">
        <v>30</v>
      </c>
      <c r="T707" t="s">
        <v>24</v>
      </c>
      <c r="U707">
        <f t="shared" ref="U707:U770" si="46">SUM(IF(Q707="Y",1,0),IF(R707="Y",1,0),IF(S707="Low",1,0),IF(T707="Y",1,0))</f>
        <v>1</v>
      </c>
      <c r="V707">
        <v>187</v>
      </c>
      <c r="W707">
        <v>0.52200000000000002</v>
      </c>
      <c r="X707" t="s">
        <v>1406</v>
      </c>
      <c r="Y707">
        <v>94</v>
      </c>
      <c r="Z707">
        <v>81</v>
      </c>
      <c r="AA707" t="s">
        <v>31</v>
      </c>
      <c r="AB707">
        <v>96</v>
      </c>
      <c r="AC707" s="23">
        <v>1.88</v>
      </c>
      <c r="AD707" t="str">
        <f>IF(AND('CVD Dataset'!AA707="Normal",'CVD Dataset'!AB707&gt;AVERAGE('CVD Dataset'!AB:AB),'CVD Dataset'!AF707="High"),"High Lipid Category","Normal Category")</f>
        <v>Normal Category</v>
      </c>
      <c r="AE707">
        <v>12.1</v>
      </c>
      <c r="AF707" t="s">
        <v>28</v>
      </c>
      <c r="AG707">
        <v>0</v>
      </c>
      <c r="AH707" t="s">
        <v>1380</v>
      </c>
      <c r="AI707">
        <f t="shared" ref="AI707:AI770" si="47">IF(AF707="HIGH",1,0)</f>
        <v>0</v>
      </c>
      <c r="AJ707" t="s">
        <v>1391</v>
      </c>
    </row>
    <row r="708" spans="1:36" x14ac:dyDescent="0.3">
      <c r="A708" t="s">
        <v>33</v>
      </c>
      <c r="B708">
        <v>40</v>
      </c>
      <c r="C708">
        <v>84.4</v>
      </c>
      <c r="D708">
        <v>1.76</v>
      </c>
      <c r="E708">
        <v>27.2</v>
      </c>
      <c r="F708">
        <f t="shared" si="45"/>
        <v>27.246900826446282</v>
      </c>
      <c r="G708">
        <f t="shared" si="44"/>
        <v>0</v>
      </c>
      <c r="H708" t="s">
        <v>1400</v>
      </c>
      <c r="I708">
        <v>102.8</v>
      </c>
      <c r="J708" t="s">
        <v>635</v>
      </c>
      <c r="K708" s="24">
        <v>127</v>
      </c>
      <c r="L708" s="24">
        <v>89</v>
      </c>
      <c r="N708" t="s">
        <v>1434</v>
      </c>
      <c r="O708">
        <v>60</v>
      </c>
      <c r="P708">
        <v>129</v>
      </c>
      <c r="Q708" t="s">
        <v>25</v>
      </c>
      <c r="R708" t="s">
        <v>25</v>
      </c>
      <c r="S708" t="s">
        <v>30</v>
      </c>
      <c r="T708" t="s">
        <v>24</v>
      </c>
      <c r="U708">
        <f t="shared" si="46"/>
        <v>2</v>
      </c>
      <c r="V708">
        <v>176</v>
      </c>
      <c r="W708">
        <v>0.58399999999999996</v>
      </c>
      <c r="X708" t="s">
        <v>1407</v>
      </c>
      <c r="Y708">
        <v>127</v>
      </c>
      <c r="Z708">
        <v>89</v>
      </c>
      <c r="AA708" t="s">
        <v>31</v>
      </c>
      <c r="AB708">
        <v>56</v>
      </c>
      <c r="AC708" s="23">
        <v>0.93</v>
      </c>
      <c r="AD708" t="str">
        <f>IF(AND('CVD Dataset'!AA708="Normal",'CVD Dataset'!AB708&gt;AVERAGE('CVD Dataset'!AB:AB),'CVD Dataset'!AF708="High"),"High Lipid Category","Normal Category")</f>
        <v>Normal Category</v>
      </c>
      <c r="AE708">
        <v>16.71</v>
      </c>
      <c r="AF708" t="s">
        <v>28</v>
      </c>
      <c r="AG708">
        <v>0</v>
      </c>
      <c r="AH708" t="s">
        <v>1380</v>
      </c>
      <c r="AI708">
        <f t="shared" si="47"/>
        <v>0</v>
      </c>
      <c r="AJ708" t="s">
        <v>1391</v>
      </c>
    </row>
    <row r="709" spans="1:36" x14ac:dyDescent="0.3">
      <c r="A709" t="s">
        <v>33</v>
      </c>
      <c r="C709">
        <v>92</v>
      </c>
      <c r="D709">
        <v>1.84</v>
      </c>
      <c r="E709">
        <v>27.2</v>
      </c>
      <c r="F709">
        <f t="shared" si="45"/>
        <v>27.173913043478258</v>
      </c>
      <c r="G709">
        <f t="shared" si="44"/>
        <v>0</v>
      </c>
      <c r="H709" t="s">
        <v>1400</v>
      </c>
      <c r="I709">
        <v>89.5</v>
      </c>
      <c r="J709" t="s">
        <v>636</v>
      </c>
      <c r="K709" s="24">
        <v>136</v>
      </c>
      <c r="L709" s="24">
        <v>77</v>
      </c>
      <c r="M709">
        <v>247</v>
      </c>
      <c r="N709" t="s">
        <v>1432</v>
      </c>
      <c r="O709">
        <v>61</v>
      </c>
      <c r="P709">
        <v>103</v>
      </c>
      <c r="Q709" t="s">
        <v>25</v>
      </c>
      <c r="R709" t="s">
        <v>24</v>
      </c>
      <c r="S709" t="s">
        <v>26</v>
      </c>
      <c r="T709" t="s">
        <v>24</v>
      </c>
      <c r="U709">
        <f t="shared" si="46"/>
        <v>2</v>
      </c>
      <c r="W709">
        <v>0.48599999999999999</v>
      </c>
      <c r="X709" t="s">
        <v>1406</v>
      </c>
      <c r="Y709">
        <v>136</v>
      </c>
      <c r="Z709">
        <v>77</v>
      </c>
      <c r="AA709" t="s">
        <v>31</v>
      </c>
      <c r="AB709">
        <v>156</v>
      </c>
      <c r="AC709" s="23">
        <v>2.56</v>
      </c>
      <c r="AD709" t="str">
        <f>IF(AND('CVD Dataset'!AA709="Normal",'CVD Dataset'!AB709&gt;AVERAGE('CVD Dataset'!AB:AB),'CVD Dataset'!AF709="High"),"High Lipid Category","Normal Category")</f>
        <v>Normal Category</v>
      </c>
      <c r="AE709">
        <v>17.18</v>
      </c>
      <c r="AF709" t="s">
        <v>32</v>
      </c>
      <c r="AG709">
        <v>1</v>
      </c>
      <c r="AH709" t="s">
        <v>1379</v>
      </c>
      <c r="AI709">
        <f t="shared" si="47"/>
        <v>1</v>
      </c>
      <c r="AJ709" t="s">
        <v>1391</v>
      </c>
    </row>
    <row r="710" spans="1:36" x14ac:dyDescent="0.3">
      <c r="A710" t="s">
        <v>33</v>
      </c>
      <c r="B710">
        <v>56</v>
      </c>
      <c r="C710">
        <v>110.6</v>
      </c>
      <c r="D710">
        <v>1.85</v>
      </c>
      <c r="E710">
        <v>32.299999999999997</v>
      </c>
      <c r="F710">
        <f t="shared" si="45"/>
        <v>32.315558802045281</v>
      </c>
      <c r="G710">
        <f t="shared" si="44"/>
        <v>0</v>
      </c>
      <c r="H710" t="s">
        <v>1399</v>
      </c>
      <c r="I710">
        <v>70.8</v>
      </c>
      <c r="J710" t="s">
        <v>637</v>
      </c>
      <c r="K710" s="24">
        <v>118</v>
      </c>
      <c r="L710" s="24">
        <v>68</v>
      </c>
      <c r="M710">
        <v>115</v>
      </c>
      <c r="N710" t="s">
        <v>1434</v>
      </c>
      <c r="O710">
        <v>40</v>
      </c>
      <c r="P710">
        <v>72</v>
      </c>
      <c r="Q710" t="s">
        <v>25</v>
      </c>
      <c r="R710" t="s">
        <v>24</v>
      </c>
      <c r="S710" t="s">
        <v>30</v>
      </c>
      <c r="T710" t="s">
        <v>24</v>
      </c>
      <c r="U710">
        <f t="shared" si="46"/>
        <v>1</v>
      </c>
      <c r="V710">
        <v>185</v>
      </c>
      <c r="W710">
        <v>0.38300000000000001</v>
      </c>
      <c r="X710" t="s">
        <v>1408</v>
      </c>
      <c r="Z710">
        <v>68</v>
      </c>
      <c r="AA710" t="s">
        <v>35</v>
      </c>
      <c r="AB710">
        <v>45</v>
      </c>
      <c r="AC710" s="23">
        <v>1.1299999999999999</v>
      </c>
      <c r="AD710" t="str">
        <f>IF(AND('CVD Dataset'!AA710="Normal",'CVD Dataset'!AB710&gt;AVERAGE('CVD Dataset'!AB:AB),'CVD Dataset'!AF710="High"),"High Lipid Category","Normal Category")</f>
        <v>Normal Category</v>
      </c>
      <c r="AE710">
        <v>14.66</v>
      </c>
      <c r="AF710" t="s">
        <v>28</v>
      </c>
      <c r="AG710">
        <v>0</v>
      </c>
      <c r="AH710" t="s">
        <v>1380</v>
      </c>
      <c r="AI710">
        <f t="shared" si="47"/>
        <v>0</v>
      </c>
      <c r="AJ710" t="s">
        <v>1391</v>
      </c>
    </row>
    <row r="711" spans="1:36" x14ac:dyDescent="0.3">
      <c r="A711" t="s">
        <v>33</v>
      </c>
      <c r="B711">
        <v>41</v>
      </c>
      <c r="C711">
        <v>72.8</v>
      </c>
      <c r="D711">
        <v>1.76</v>
      </c>
      <c r="E711">
        <v>23.5</v>
      </c>
      <c r="F711">
        <f t="shared" si="45"/>
        <v>23.50206611570248</v>
      </c>
      <c r="G711">
        <f t="shared" si="44"/>
        <v>0</v>
      </c>
      <c r="H711" t="s">
        <v>1398</v>
      </c>
      <c r="I711">
        <v>76.3</v>
      </c>
      <c r="J711" t="s">
        <v>638</v>
      </c>
      <c r="K711" s="24">
        <v>130</v>
      </c>
      <c r="L711" s="24">
        <v>66</v>
      </c>
      <c r="M711">
        <v>118</v>
      </c>
      <c r="N711" t="s">
        <v>1434</v>
      </c>
      <c r="O711">
        <v>63</v>
      </c>
      <c r="P711">
        <v>109</v>
      </c>
      <c r="Q711" t="s">
        <v>25</v>
      </c>
      <c r="R711" t="s">
        <v>24</v>
      </c>
      <c r="S711" t="s">
        <v>39</v>
      </c>
      <c r="T711" t="s">
        <v>24</v>
      </c>
      <c r="U711">
        <f t="shared" si="46"/>
        <v>1</v>
      </c>
      <c r="V711">
        <v>176</v>
      </c>
      <c r="W711">
        <v>0.434</v>
      </c>
      <c r="X711" t="s">
        <v>1408</v>
      </c>
      <c r="Y711">
        <v>130</v>
      </c>
      <c r="Z711">
        <v>66</v>
      </c>
      <c r="AA711" t="s">
        <v>31</v>
      </c>
      <c r="AB711">
        <v>25</v>
      </c>
      <c r="AC711" s="23">
        <v>0.4</v>
      </c>
      <c r="AD711" t="str">
        <f>IF(AND('CVD Dataset'!AA711="Normal",'CVD Dataset'!AB711&gt;AVERAGE('CVD Dataset'!AB:AB),'CVD Dataset'!AF711="High"),"High Lipid Category","Normal Category")</f>
        <v>Normal Category</v>
      </c>
      <c r="AE711">
        <v>13.56</v>
      </c>
      <c r="AF711" t="s">
        <v>54</v>
      </c>
      <c r="AG711">
        <v>0</v>
      </c>
      <c r="AH711" t="s">
        <v>1380</v>
      </c>
      <c r="AI711">
        <f t="shared" si="47"/>
        <v>0</v>
      </c>
      <c r="AJ711" t="s">
        <v>1391</v>
      </c>
    </row>
    <row r="712" spans="1:36" x14ac:dyDescent="0.3">
      <c r="A712" t="s">
        <v>33</v>
      </c>
      <c r="B712">
        <v>49</v>
      </c>
      <c r="C712">
        <v>61.1</v>
      </c>
      <c r="D712">
        <v>1.63</v>
      </c>
      <c r="E712">
        <v>23</v>
      </c>
      <c r="F712">
        <f t="shared" si="45"/>
        <v>22.996725507170012</v>
      </c>
      <c r="G712">
        <f t="shared" si="44"/>
        <v>0</v>
      </c>
      <c r="H712" t="s">
        <v>1398</v>
      </c>
      <c r="I712">
        <v>91.5</v>
      </c>
      <c r="J712" t="s">
        <v>639</v>
      </c>
      <c r="K712" s="24">
        <v>98</v>
      </c>
      <c r="L712" s="24">
        <v>85</v>
      </c>
      <c r="M712">
        <v>111</v>
      </c>
      <c r="N712" t="s">
        <v>1434</v>
      </c>
      <c r="O712">
        <v>73</v>
      </c>
      <c r="P712">
        <v>113</v>
      </c>
      <c r="Q712" t="s">
        <v>25</v>
      </c>
      <c r="R712" t="s">
        <v>25</v>
      </c>
      <c r="S712" t="s">
        <v>30</v>
      </c>
      <c r="T712" t="s">
        <v>25</v>
      </c>
      <c r="U712">
        <f t="shared" si="46"/>
        <v>3</v>
      </c>
      <c r="V712">
        <v>163</v>
      </c>
      <c r="W712">
        <v>0.56100000000000005</v>
      </c>
      <c r="X712" t="s">
        <v>1407</v>
      </c>
      <c r="Y712">
        <v>98</v>
      </c>
      <c r="Z712">
        <v>85</v>
      </c>
      <c r="AA712" t="s">
        <v>31</v>
      </c>
      <c r="AB712">
        <v>8</v>
      </c>
      <c r="AC712" s="23">
        <v>0.11</v>
      </c>
      <c r="AD712" t="str">
        <f>IF(AND('CVD Dataset'!AA712="Normal",'CVD Dataset'!AB712&gt;AVERAGE('CVD Dataset'!AB:AB),'CVD Dataset'!AF712="High"),"High Lipid Category","Normal Category")</f>
        <v>Normal Category</v>
      </c>
      <c r="AE712">
        <v>13.72</v>
      </c>
      <c r="AF712" t="s">
        <v>32</v>
      </c>
      <c r="AG712">
        <v>1</v>
      </c>
      <c r="AH712" t="s">
        <v>1379</v>
      </c>
      <c r="AI712">
        <f t="shared" si="47"/>
        <v>1</v>
      </c>
      <c r="AJ712" t="s">
        <v>1391</v>
      </c>
    </row>
    <row r="713" spans="1:36" x14ac:dyDescent="0.3">
      <c r="A713" t="s">
        <v>22</v>
      </c>
      <c r="C713">
        <v>85.6</v>
      </c>
      <c r="D713">
        <v>1.66</v>
      </c>
      <c r="E713">
        <v>31.1</v>
      </c>
      <c r="F713">
        <f t="shared" si="45"/>
        <v>31.064015096530699</v>
      </c>
      <c r="G713">
        <f t="shared" si="44"/>
        <v>0</v>
      </c>
      <c r="H713" t="s">
        <v>1399</v>
      </c>
      <c r="I713">
        <v>83.6</v>
      </c>
      <c r="J713" t="s">
        <v>288</v>
      </c>
      <c r="K713" s="24">
        <v>103</v>
      </c>
      <c r="L713" s="24">
        <v>99</v>
      </c>
      <c r="M713">
        <v>222</v>
      </c>
      <c r="N713" t="s">
        <v>1432</v>
      </c>
      <c r="O713">
        <v>66</v>
      </c>
      <c r="P713">
        <v>99</v>
      </c>
      <c r="Q713" t="s">
        <v>25</v>
      </c>
      <c r="R713" t="s">
        <v>25</v>
      </c>
      <c r="S713" t="s">
        <v>30</v>
      </c>
      <c r="T713" t="s">
        <v>24</v>
      </c>
      <c r="U713">
        <f t="shared" si="46"/>
        <v>2</v>
      </c>
      <c r="V713">
        <v>166</v>
      </c>
      <c r="W713">
        <v>0.504</v>
      </c>
      <c r="X713" t="s">
        <v>1406</v>
      </c>
      <c r="Y713">
        <v>103</v>
      </c>
      <c r="Z713">
        <v>99</v>
      </c>
      <c r="AA713" t="s">
        <v>40</v>
      </c>
      <c r="AB713">
        <v>126</v>
      </c>
      <c r="AC713" s="23">
        <v>1.91</v>
      </c>
      <c r="AD713" t="str">
        <f>IF(AND('CVD Dataset'!AA713="Normal",'CVD Dataset'!AB713&gt;AVERAGE('CVD Dataset'!AB:AB),'CVD Dataset'!AF713="High"),"High Lipid Category","Normal Category")</f>
        <v>Normal Category</v>
      </c>
      <c r="AF713" t="s">
        <v>32</v>
      </c>
      <c r="AG713">
        <v>1</v>
      </c>
      <c r="AH713" t="s">
        <v>1379</v>
      </c>
      <c r="AI713">
        <f t="shared" si="47"/>
        <v>1</v>
      </c>
      <c r="AJ713" t="s">
        <v>1391</v>
      </c>
    </row>
    <row r="714" spans="1:36" x14ac:dyDescent="0.3">
      <c r="A714" t="s">
        <v>22</v>
      </c>
      <c r="B714">
        <v>47</v>
      </c>
      <c r="C714">
        <v>82.2</v>
      </c>
      <c r="D714">
        <v>1.87</v>
      </c>
      <c r="E714">
        <v>23.5</v>
      </c>
      <c r="F714">
        <f t="shared" si="45"/>
        <v>23.506534359003687</v>
      </c>
      <c r="G714">
        <f t="shared" si="44"/>
        <v>0</v>
      </c>
      <c r="H714" t="s">
        <v>1398</v>
      </c>
      <c r="J714" t="s">
        <v>280</v>
      </c>
      <c r="K714" s="24">
        <v>113</v>
      </c>
      <c r="L714" s="24">
        <v>69</v>
      </c>
      <c r="M714">
        <v>217</v>
      </c>
      <c r="N714" t="s">
        <v>1432</v>
      </c>
      <c r="O714">
        <v>34</v>
      </c>
      <c r="P714">
        <v>103</v>
      </c>
      <c r="Q714" t="s">
        <v>25</v>
      </c>
      <c r="R714" t="s">
        <v>25</v>
      </c>
      <c r="S714" t="s">
        <v>26</v>
      </c>
      <c r="T714" t="s">
        <v>24</v>
      </c>
      <c r="U714">
        <f t="shared" si="46"/>
        <v>3</v>
      </c>
      <c r="V714">
        <v>187</v>
      </c>
      <c r="W714">
        <v>0.48699999999999999</v>
      </c>
      <c r="X714" t="s">
        <v>1406</v>
      </c>
      <c r="Y714">
        <v>113</v>
      </c>
      <c r="Z714">
        <v>69</v>
      </c>
      <c r="AA714" t="s">
        <v>35</v>
      </c>
      <c r="AB714">
        <v>153</v>
      </c>
      <c r="AC714" s="23">
        <v>4.5</v>
      </c>
      <c r="AD714" t="str">
        <f>IF(AND('CVD Dataset'!AA714="Normal",'CVD Dataset'!AB714&gt;AVERAGE('CVD Dataset'!AB:AB),'CVD Dataset'!AF714="High"),"High Lipid Category","Normal Category")</f>
        <v>High Lipid Category</v>
      </c>
      <c r="AE714">
        <v>16.690000000000001</v>
      </c>
      <c r="AF714" t="s">
        <v>32</v>
      </c>
      <c r="AG714">
        <v>0</v>
      </c>
      <c r="AH714" t="s">
        <v>1379</v>
      </c>
      <c r="AI714">
        <f t="shared" si="47"/>
        <v>1</v>
      </c>
      <c r="AJ714" t="s">
        <v>1391</v>
      </c>
    </row>
    <row r="715" spans="1:36" x14ac:dyDescent="0.3">
      <c r="A715" t="s">
        <v>22</v>
      </c>
      <c r="B715">
        <v>56</v>
      </c>
      <c r="C715">
        <v>113.9</v>
      </c>
      <c r="D715">
        <v>1.89</v>
      </c>
      <c r="E715">
        <v>31.9</v>
      </c>
      <c r="F715">
        <f t="shared" si="45"/>
        <v>31.88600543097898</v>
      </c>
      <c r="G715">
        <f t="shared" si="44"/>
        <v>0</v>
      </c>
      <c r="H715" t="s">
        <v>1399</v>
      </c>
      <c r="J715" t="s">
        <v>640</v>
      </c>
      <c r="K715" s="24">
        <v>129</v>
      </c>
      <c r="L715" s="24">
        <v>82</v>
      </c>
      <c r="M715">
        <v>239</v>
      </c>
      <c r="N715" t="s">
        <v>1432</v>
      </c>
      <c r="O715">
        <v>61</v>
      </c>
      <c r="P715">
        <v>90</v>
      </c>
      <c r="Q715" t="s">
        <v>24</v>
      </c>
      <c r="R715" t="s">
        <v>25</v>
      </c>
      <c r="S715" t="s">
        <v>30</v>
      </c>
      <c r="T715" t="s">
        <v>25</v>
      </c>
      <c r="U715">
        <f t="shared" si="46"/>
        <v>2</v>
      </c>
      <c r="V715">
        <v>189</v>
      </c>
      <c r="W715">
        <v>0.40400000000000003</v>
      </c>
      <c r="X715" t="s">
        <v>1408</v>
      </c>
      <c r="Y715">
        <v>129</v>
      </c>
      <c r="Z715">
        <v>82</v>
      </c>
      <c r="AA715" t="s">
        <v>31</v>
      </c>
      <c r="AB715">
        <v>148</v>
      </c>
      <c r="AC715" s="23">
        <v>2.4300000000000002</v>
      </c>
      <c r="AD715" t="str">
        <f>IF(AND('CVD Dataset'!AA715="Normal",'CVD Dataset'!AB715&gt;AVERAGE('CVD Dataset'!AB:AB),'CVD Dataset'!AF715="High"),"High Lipid Category","Normal Category")</f>
        <v>Normal Category</v>
      </c>
      <c r="AE715">
        <v>19.61</v>
      </c>
      <c r="AF715" t="s">
        <v>32</v>
      </c>
      <c r="AG715">
        <v>1</v>
      </c>
      <c r="AH715" t="s">
        <v>1379</v>
      </c>
      <c r="AI715">
        <f t="shared" si="47"/>
        <v>1</v>
      </c>
      <c r="AJ715" t="s">
        <v>1392</v>
      </c>
    </row>
    <row r="716" spans="1:36" x14ac:dyDescent="0.3">
      <c r="A716" t="s">
        <v>22</v>
      </c>
      <c r="C716">
        <v>86.8</v>
      </c>
      <c r="D716">
        <v>1.67</v>
      </c>
      <c r="E716">
        <v>31.1</v>
      </c>
      <c r="F716">
        <f t="shared" si="45"/>
        <v>31.123381978557855</v>
      </c>
      <c r="G716">
        <f t="shared" si="44"/>
        <v>0</v>
      </c>
      <c r="H716" t="s">
        <v>1399</v>
      </c>
      <c r="I716">
        <v>71.599999999999994</v>
      </c>
      <c r="J716" t="s">
        <v>641</v>
      </c>
      <c r="K716" s="24">
        <v>120</v>
      </c>
      <c r="L716" s="24">
        <v>69</v>
      </c>
      <c r="M716">
        <v>105</v>
      </c>
      <c r="N716" t="s">
        <v>1434</v>
      </c>
      <c r="O716">
        <v>53</v>
      </c>
      <c r="P716">
        <v>97</v>
      </c>
      <c r="Q716" t="s">
        <v>25</v>
      </c>
      <c r="R716" t="s">
        <v>25</v>
      </c>
      <c r="S716" t="s">
        <v>30</v>
      </c>
      <c r="T716" t="s">
        <v>25</v>
      </c>
      <c r="U716">
        <f t="shared" si="46"/>
        <v>3</v>
      </c>
      <c r="V716">
        <v>167</v>
      </c>
      <c r="W716">
        <v>0.42899999999999999</v>
      </c>
      <c r="X716" t="s">
        <v>1408</v>
      </c>
      <c r="Y716">
        <v>120</v>
      </c>
      <c r="Z716">
        <v>69</v>
      </c>
      <c r="AA716" t="s">
        <v>27</v>
      </c>
      <c r="AB716">
        <v>22</v>
      </c>
      <c r="AC716" s="23">
        <v>0.42</v>
      </c>
      <c r="AD716" t="str">
        <f>IF(AND('CVD Dataset'!AA716="Normal",'CVD Dataset'!AB716&gt;AVERAGE('CVD Dataset'!AB:AB),'CVD Dataset'!AF716="High"),"High Lipid Category","Normal Category")</f>
        <v>Normal Category</v>
      </c>
      <c r="AE716">
        <v>16.32</v>
      </c>
      <c r="AF716" t="s">
        <v>32</v>
      </c>
      <c r="AG716">
        <v>0</v>
      </c>
      <c r="AH716" t="s">
        <v>1379</v>
      </c>
      <c r="AI716">
        <f t="shared" si="47"/>
        <v>1</v>
      </c>
      <c r="AJ716" t="s">
        <v>1391</v>
      </c>
    </row>
    <row r="717" spans="1:36" x14ac:dyDescent="0.3">
      <c r="A717" t="s">
        <v>33</v>
      </c>
      <c r="B717">
        <v>32</v>
      </c>
      <c r="C717">
        <v>53.1</v>
      </c>
      <c r="D717">
        <v>1.69</v>
      </c>
      <c r="E717">
        <v>18.600000000000001</v>
      </c>
      <c r="F717">
        <f t="shared" si="45"/>
        <v>18.591786001890693</v>
      </c>
      <c r="G717">
        <f t="shared" si="44"/>
        <v>0</v>
      </c>
      <c r="H717" t="s">
        <v>1398</v>
      </c>
      <c r="I717">
        <v>82.9</v>
      </c>
      <c r="J717" t="s">
        <v>642</v>
      </c>
      <c r="K717" s="24">
        <v>124</v>
      </c>
      <c r="L717" s="24">
        <v>73</v>
      </c>
      <c r="M717">
        <v>192</v>
      </c>
      <c r="N717" t="s">
        <v>1432</v>
      </c>
      <c r="O717">
        <v>76</v>
      </c>
      <c r="P717">
        <v>103</v>
      </c>
      <c r="Q717" t="s">
        <v>24</v>
      </c>
      <c r="R717" t="s">
        <v>24</v>
      </c>
      <c r="S717" t="s">
        <v>39</v>
      </c>
      <c r="T717" t="s">
        <v>24</v>
      </c>
      <c r="U717">
        <f t="shared" si="46"/>
        <v>0</v>
      </c>
      <c r="V717">
        <v>169</v>
      </c>
      <c r="W717">
        <v>0.49099999999999999</v>
      </c>
      <c r="X717" t="s">
        <v>1406</v>
      </c>
      <c r="Z717">
        <v>73</v>
      </c>
      <c r="AA717" t="s">
        <v>27</v>
      </c>
      <c r="AB717">
        <v>86</v>
      </c>
      <c r="AC717" s="23">
        <v>1.1299999999999999</v>
      </c>
      <c r="AD717" t="str">
        <f>IF(AND('CVD Dataset'!AA717="Normal",'CVD Dataset'!AB717&gt;AVERAGE('CVD Dataset'!AB:AB),'CVD Dataset'!AF717="High"),"High Lipid Category","Normal Category")</f>
        <v>Normal Category</v>
      </c>
      <c r="AE717">
        <v>13.76</v>
      </c>
      <c r="AF717" t="s">
        <v>54</v>
      </c>
      <c r="AG717">
        <v>0</v>
      </c>
      <c r="AH717" t="s">
        <v>1380</v>
      </c>
      <c r="AI717">
        <f t="shared" si="47"/>
        <v>0</v>
      </c>
      <c r="AJ717" t="s">
        <v>1391</v>
      </c>
    </row>
    <row r="718" spans="1:36" x14ac:dyDescent="0.3">
      <c r="A718" t="s">
        <v>22</v>
      </c>
      <c r="B718">
        <v>55</v>
      </c>
      <c r="C718">
        <v>79.7</v>
      </c>
      <c r="D718">
        <v>1.78</v>
      </c>
      <c r="E718">
        <v>25.2</v>
      </c>
      <c r="F718">
        <f t="shared" si="45"/>
        <v>25.154652190380002</v>
      </c>
      <c r="G718">
        <f t="shared" si="44"/>
        <v>0</v>
      </c>
      <c r="H718" t="s">
        <v>1400</v>
      </c>
      <c r="I718">
        <v>86.9</v>
      </c>
      <c r="J718" t="s">
        <v>643</v>
      </c>
      <c r="K718" s="24">
        <v>140</v>
      </c>
      <c r="L718" s="24">
        <v>62</v>
      </c>
      <c r="M718">
        <v>248</v>
      </c>
      <c r="N718" t="s">
        <v>1432</v>
      </c>
      <c r="O718">
        <v>36</v>
      </c>
      <c r="P718">
        <v>73</v>
      </c>
      <c r="Q718" t="s">
        <v>25</v>
      </c>
      <c r="R718" t="s">
        <v>25</v>
      </c>
      <c r="S718" t="s">
        <v>39</v>
      </c>
      <c r="T718" t="s">
        <v>25</v>
      </c>
      <c r="U718">
        <f t="shared" si="46"/>
        <v>3</v>
      </c>
      <c r="V718">
        <v>178</v>
      </c>
      <c r="W718">
        <v>0.48799999999999999</v>
      </c>
      <c r="X718" t="s">
        <v>1406</v>
      </c>
      <c r="Y718">
        <v>140</v>
      </c>
      <c r="Z718">
        <v>62</v>
      </c>
      <c r="AA718" t="s">
        <v>40</v>
      </c>
      <c r="AB718">
        <v>182</v>
      </c>
      <c r="AC718" s="23">
        <v>5.0599999999999996</v>
      </c>
      <c r="AD718" t="str">
        <f>IF(AND('CVD Dataset'!AA718="Normal",'CVD Dataset'!AB718&gt;AVERAGE('CVD Dataset'!AB:AB),'CVD Dataset'!AF718="High"),"High Lipid Category","Normal Category")</f>
        <v>Normal Category</v>
      </c>
      <c r="AE718">
        <v>19</v>
      </c>
      <c r="AF718" t="s">
        <v>32</v>
      </c>
      <c r="AG718">
        <v>0</v>
      </c>
      <c r="AH718" t="s">
        <v>1379</v>
      </c>
      <c r="AI718">
        <f t="shared" si="47"/>
        <v>1</v>
      </c>
      <c r="AJ718" t="s">
        <v>1392</v>
      </c>
    </row>
    <row r="719" spans="1:36" x14ac:dyDescent="0.3">
      <c r="A719" t="s">
        <v>33</v>
      </c>
      <c r="B719">
        <v>34</v>
      </c>
      <c r="C719">
        <v>115.8</v>
      </c>
      <c r="D719">
        <v>1.61</v>
      </c>
      <c r="E719">
        <v>44.7</v>
      </c>
      <c r="F719">
        <f t="shared" si="45"/>
        <v>44.674202384167273</v>
      </c>
      <c r="G719">
        <f t="shared" ref="G719:G782" si="48">IFERROR(IF(ABS(E719 - F719) &lt;= 0.1, 0, 1),"")</f>
        <v>0</v>
      </c>
      <c r="H719" t="s">
        <v>1399</v>
      </c>
      <c r="I719">
        <v>81.3</v>
      </c>
      <c r="J719" t="s">
        <v>57</v>
      </c>
      <c r="K719" s="24">
        <v>120</v>
      </c>
      <c r="L719" s="24">
        <v>89</v>
      </c>
      <c r="M719">
        <v>232</v>
      </c>
      <c r="N719" t="s">
        <v>1432</v>
      </c>
      <c r="O719">
        <v>64</v>
      </c>
      <c r="P719">
        <v>89</v>
      </c>
      <c r="Q719" t="s">
        <v>24</v>
      </c>
      <c r="R719" t="s">
        <v>25</v>
      </c>
      <c r="S719" t="s">
        <v>39</v>
      </c>
      <c r="T719" t="s">
        <v>25</v>
      </c>
      <c r="U719">
        <f t="shared" si="46"/>
        <v>2</v>
      </c>
      <c r="V719">
        <v>161</v>
      </c>
      <c r="W719">
        <v>0.505</v>
      </c>
      <c r="X719" t="s">
        <v>1406</v>
      </c>
      <c r="Y719">
        <v>120</v>
      </c>
      <c r="Z719">
        <v>89</v>
      </c>
      <c r="AA719" t="s">
        <v>31</v>
      </c>
      <c r="AB719">
        <v>138</v>
      </c>
      <c r="AC719" s="23">
        <v>2.16</v>
      </c>
      <c r="AD719" t="str">
        <f>IF(AND('CVD Dataset'!AA719="Normal",'CVD Dataset'!AB719&gt;AVERAGE('CVD Dataset'!AB:AB),'CVD Dataset'!AF719="High"),"High Lipid Category","Normal Category")</f>
        <v>Normal Category</v>
      </c>
      <c r="AE719">
        <v>21.58</v>
      </c>
      <c r="AF719" t="s">
        <v>32</v>
      </c>
      <c r="AG719">
        <v>1</v>
      </c>
      <c r="AH719" t="s">
        <v>1379</v>
      </c>
      <c r="AI719">
        <f t="shared" si="47"/>
        <v>1</v>
      </c>
      <c r="AJ719" t="s">
        <v>1391</v>
      </c>
    </row>
    <row r="720" spans="1:36" x14ac:dyDescent="0.3">
      <c r="A720" t="s">
        <v>22</v>
      </c>
      <c r="B720">
        <v>34</v>
      </c>
      <c r="C720">
        <v>111.3</v>
      </c>
      <c r="D720">
        <v>1.63</v>
      </c>
      <c r="E720">
        <v>41.9</v>
      </c>
      <c r="F720">
        <f t="shared" si="45"/>
        <v>41.890925514697585</v>
      </c>
      <c r="G720">
        <f t="shared" si="48"/>
        <v>0</v>
      </c>
      <c r="H720" t="s">
        <v>1399</v>
      </c>
      <c r="I720">
        <v>94.9</v>
      </c>
      <c r="J720" t="s">
        <v>642</v>
      </c>
      <c r="K720" s="24">
        <v>124</v>
      </c>
      <c r="L720" s="24">
        <v>73</v>
      </c>
      <c r="M720">
        <v>224</v>
      </c>
      <c r="N720" t="s">
        <v>1432</v>
      </c>
      <c r="O720">
        <v>41</v>
      </c>
      <c r="P720">
        <v>78</v>
      </c>
      <c r="Q720" t="s">
        <v>25</v>
      </c>
      <c r="R720" t="s">
        <v>25</v>
      </c>
      <c r="S720" t="s">
        <v>39</v>
      </c>
      <c r="T720" t="s">
        <v>24</v>
      </c>
      <c r="U720">
        <f t="shared" si="46"/>
        <v>2</v>
      </c>
      <c r="W720">
        <v>0.58199999999999996</v>
      </c>
      <c r="X720" t="s">
        <v>1407</v>
      </c>
      <c r="Y720">
        <v>124</v>
      </c>
      <c r="Z720">
        <v>73</v>
      </c>
      <c r="AA720" t="s">
        <v>27</v>
      </c>
      <c r="AB720">
        <v>153</v>
      </c>
      <c r="AC720" s="23">
        <v>3.73</v>
      </c>
      <c r="AD720" t="str">
        <f>IF(AND('CVD Dataset'!AA720="Normal",'CVD Dataset'!AB720&gt;AVERAGE('CVD Dataset'!AB:AB),'CVD Dataset'!AF720="High"),"High Lipid Category","Normal Category")</f>
        <v>Normal Category</v>
      </c>
      <c r="AE720">
        <v>21.06</v>
      </c>
      <c r="AF720" t="s">
        <v>32</v>
      </c>
      <c r="AG720">
        <v>0</v>
      </c>
      <c r="AH720" t="s">
        <v>1379</v>
      </c>
      <c r="AI720">
        <f t="shared" si="47"/>
        <v>1</v>
      </c>
      <c r="AJ720" t="s">
        <v>1391</v>
      </c>
    </row>
    <row r="721" spans="1:36" x14ac:dyDescent="0.3">
      <c r="A721" t="s">
        <v>22</v>
      </c>
      <c r="B721">
        <v>41</v>
      </c>
      <c r="C721">
        <v>91.8</v>
      </c>
      <c r="D721">
        <v>1.76</v>
      </c>
      <c r="E721">
        <v>29.6</v>
      </c>
      <c r="F721">
        <f t="shared" si="45"/>
        <v>29.635847107438018</v>
      </c>
      <c r="G721">
        <f t="shared" si="48"/>
        <v>0</v>
      </c>
      <c r="H721" t="s">
        <v>1400</v>
      </c>
      <c r="I721">
        <v>71</v>
      </c>
      <c r="J721" t="s">
        <v>644</v>
      </c>
      <c r="K721" s="24">
        <v>148</v>
      </c>
      <c r="L721" s="24">
        <v>67</v>
      </c>
      <c r="M721">
        <v>256</v>
      </c>
      <c r="N721" t="s">
        <v>1432</v>
      </c>
      <c r="O721">
        <v>73</v>
      </c>
      <c r="P721">
        <v>134</v>
      </c>
      <c r="Q721" t="s">
        <v>25</v>
      </c>
      <c r="R721" t="s">
        <v>25</v>
      </c>
      <c r="S721" t="s">
        <v>26</v>
      </c>
      <c r="T721" t="s">
        <v>24</v>
      </c>
      <c r="U721">
        <f t="shared" si="46"/>
        <v>3</v>
      </c>
      <c r="V721">
        <v>176</v>
      </c>
      <c r="W721">
        <v>0.40300000000000002</v>
      </c>
      <c r="X721" t="s">
        <v>1408</v>
      </c>
      <c r="Y721">
        <v>148</v>
      </c>
      <c r="Z721">
        <v>67</v>
      </c>
      <c r="AA721" t="s">
        <v>40</v>
      </c>
      <c r="AB721">
        <v>153</v>
      </c>
      <c r="AC721" s="23">
        <v>2.1</v>
      </c>
      <c r="AD721" t="str">
        <f>IF(AND('CVD Dataset'!AA721="Normal",'CVD Dataset'!AB721&gt;AVERAGE('CVD Dataset'!AB:AB),'CVD Dataset'!AF721="High"),"High Lipid Category","Normal Category")</f>
        <v>Normal Category</v>
      </c>
      <c r="AE721">
        <v>20.440000000000001</v>
      </c>
      <c r="AF721" t="s">
        <v>32</v>
      </c>
      <c r="AG721">
        <v>1</v>
      </c>
      <c r="AH721" t="s">
        <v>1379</v>
      </c>
      <c r="AI721">
        <f t="shared" si="47"/>
        <v>1</v>
      </c>
      <c r="AJ721" t="s">
        <v>1391</v>
      </c>
    </row>
    <row r="722" spans="1:36" x14ac:dyDescent="0.3">
      <c r="A722" t="s">
        <v>33</v>
      </c>
      <c r="B722">
        <v>47</v>
      </c>
      <c r="C722">
        <v>117</v>
      </c>
      <c r="E722">
        <v>40.5</v>
      </c>
      <c r="F722" t="str">
        <f t="shared" si="45"/>
        <v/>
      </c>
      <c r="G722" t="str">
        <f t="shared" si="48"/>
        <v/>
      </c>
      <c r="H722" t="s">
        <v>1399</v>
      </c>
      <c r="I722">
        <v>81.3</v>
      </c>
      <c r="J722" t="s">
        <v>645</v>
      </c>
      <c r="K722" s="24">
        <v>122</v>
      </c>
      <c r="L722" s="24">
        <v>74</v>
      </c>
      <c r="M722">
        <v>238</v>
      </c>
      <c r="N722" t="s">
        <v>1432</v>
      </c>
      <c r="O722">
        <v>67</v>
      </c>
      <c r="P722">
        <v>96</v>
      </c>
      <c r="Q722" t="s">
        <v>25</v>
      </c>
      <c r="R722" t="s">
        <v>24</v>
      </c>
      <c r="S722" t="s">
        <v>30</v>
      </c>
      <c r="T722" t="s">
        <v>25</v>
      </c>
      <c r="U722">
        <f t="shared" si="46"/>
        <v>2</v>
      </c>
      <c r="V722">
        <v>170</v>
      </c>
      <c r="W722">
        <v>0.47799999999999998</v>
      </c>
      <c r="X722" t="s">
        <v>1406</v>
      </c>
      <c r="Y722">
        <v>122</v>
      </c>
      <c r="Z722">
        <v>74</v>
      </c>
      <c r="AA722" t="s">
        <v>27</v>
      </c>
      <c r="AB722">
        <v>141</v>
      </c>
      <c r="AC722" s="23">
        <v>2.1</v>
      </c>
      <c r="AD722" t="str">
        <f>IF(AND('CVD Dataset'!AA722="Normal",'CVD Dataset'!AB722&gt;AVERAGE('CVD Dataset'!AB:AB),'CVD Dataset'!AF722="High"),"High Lipid Category","Normal Category")</f>
        <v>Normal Category</v>
      </c>
      <c r="AE722">
        <v>18.96</v>
      </c>
      <c r="AF722" t="s">
        <v>32</v>
      </c>
      <c r="AG722">
        <v>1</v>
      </c>
      <c r="AH722" t="s">
        <v>1379</v>
      </c>
      <c r="AI722">
        <f t="shared" si="47"/>
        <v>1</v>
      </c>
      <c r="AJ722" t="s">
        <v>1391</v>
      </c>
    </row>
    <row r="723" spans="1:36" x14ac:dyDescent="0.3">
      <c r="A723" t="s">
        <v>33</v>
      </c>
      <c r="B723">
        <v>32</v>
      </c>
      <c r="C723">
        <v>110.5</v>
      </c>
      <c r="D723">
        <v>1.76</v>
      </c>
      <c r="E723">
        <v>35.700000000000003</v>
      </c>
      <c r="F723">
        <f t="shared" si="45"/>
        <v>35.672778925619838</v>
      </c>
      <c r="G723">
        <f t="shared" si="48"/>
        <v>0</v>
      </c>
      <c r="H723" t="s">
        <v>1399</v>
      </c>
      <c r="I723">
        <v>87.5</v>
      </c>
      <c r="J723" t="s">
        <v>646</v>
      </c>
      <c r="K723" s="24">
        <v>119</v>
      </c>
      <c r="L723" s="24">
        <v>74</v>
      </c>
      <c r="M723">
        <v>150</v>
      </c>
      <c r="N723" t="s">
        <v>1433</v>
      </c>
      <c r="O723">
        <v>44</v>
      </c>
      <c r="P723">
        <v>136</v>
      </c>
      <c r="Q723" t="s">
        <v>25</v>
      </c>
      <c r="R723" t="s">
        <v>24</v>
      </c>
      <c r="S723" t="s">
        <v>39</v>
      </c>
      <c r="T723" t="s">
        <v>25</v>
      </c>
      <c r="U723">
        <f t="shared" si="46"/>
        <v>2</v>
      </c>
      <c r="V723">
        <v>176</v>
      </c>
      <c r="W723">
        <v>0.497</v>
      </c>
      <c r="X723" t="s">
        <v>1406</v>
      </c>
      <c r="Y723">
        <v>119</v>
      </c>
      <c r="Z723">
        <v>74</v>
      </c>
      <c r="AA723" t="s">
        <v>35</v>
      </c>
      <c r="AB723">
        <v>76</v>
      </c>
      <c r="AC723" s="23">
        <v>1.73</v>
      </c>
      <c r="AD723" t="str">
        <f>IF(AND('CVD Dataset'!AA723="Normal",'CVD Dataset'!AB723&gt;AVERAGE('CVD Dataset'!AB:AB),'CVD Dataset'!AF723="High"),"High Lipid Category","Normal Category")</f>
        <v>Normal Category</v>
      </c>
      <c r="AE723">
        <v>16.09</v>
      </c>
      <c r="AF723" t="s">
        <v>28</v>
      </c>
      <c r="AG723">
        <v>0</v>
      </c>
      <c r="AH723" t="s">
        <v>1380</v>
      </c>
      <c r="AI723">
        <f t="shared" si="47"/>
        <v>0</v>
      </c>
      <c r="AJ723" t="s">
        <v>1391</v>
      </c>
    </row>
    <row r="724" spans="1:36" x14ac:dyDescent="0.3">
      <c r="A724" t="s">
        <v>33</v>
      </c>
      <c r="B724">
        <v>40</v>
      </c>
      <c r="D724">
        <v>1.63</v>
      </c>
      <c r="E724">
        <v>41.6</v>
      </c>
      <c r="F724">
        <f t="shared" si="45"/>
        <v>0</v>
      </c>
      <c r="G724">
        <f t="shared" si="48"/>
        <v>1</v>
      </c>
      <c r="H724" t="s">
        <v>1399</v>
      </c>
      <c r="I724">
        <v>108.7</v>
      </c>
      <c r="J724" t="s">
        <v>647</v>
      </c>
      <c r="K724" s="24">
        <v>122</v>
      </c>
      <c r="L724" s="24">
        <v>73</v>
      </c>
      <c r="M724">
        <v>273</v>
      </c>
      <c r="N724" t="s">
        <v>1432</v>
      </c>
      <c r="P724">
        <v>71</v>
      </c>
      <c r="Q724" t="s">
        <v>25</v>
      </c>
      <c r="R724" t="s">
        <v>25</v>
      </c>
      <c r="S724" t="s">
        <v>39</v>
      </c>
      <c r="T724" t="s">
        <v>25</v>
      </c>
      <c r="U724">
        <f t="shared" si="46"/>
        <v>3</v>
      </c>
      <c r="V724">
        <v>163</v>
      </c>
      <c r="W724">
        <v>0.66700000000000004</v>
      </c>
      <c r="X724" t="s">
        <v>1409</v>
      </c>
      <c r="Y724">
        <v>122</v>
      </c>
      <c r="Z724">
        <v>73</v>
      </c>
      <c r="AA724" t="s">
        <v>27</v>
      </c>
      <c r="AB724">
        <v>172</v>
      </c>
      <c r="AC724" s="23" t="s">
        <v>1410</v>
      </c>
      <c r="AD724" t="str">
        <f>IF(AND('CVD Dataset'!AA724="Normal",'CVD Dataset'!AB724&gt;AVERAGE('CVD Dataset'!AB:AB),'CVD Dataset'!AF724="High"),"High Lipid Category","Normal Category")</f>
        <v>Normal Category</v>
      </c>
      <c r="AE724">
        <v>21.88</v>
      </c>
      <c r="AF724" t="s">
        <v>32</v>
      </c>
      <c r="AG724">
        <v>0</v>
      </c>
      <c r="AH724" t="s">
        <v>1379</v>
      </c>
      <c r="AI724">
        <f t="shared" si="47"/>
        <v>1</v>
      </c>
      <c r="AJ724" t="s">
        <v>1391</v>
      </c>
    </row>
    <row r="725" spans="1:36" x14ac:dyDescent="0.3">
      <c r="A725" t="s">
        <v>22</v>
      </c>
      <c r="B725">
        <v>43</v>
      </c>
      <c r="C725">
        <v>115.5</v>
      </c>
      <c r="D725">
        <v>1.88</v>
      </c>
      <c r="E725">
        <v>32.700000000000003</v>
      </c>
      <c r="F725">
        <f t="shared" si="45"/>
        <v>32.678813942960616</v>
      </c>
      <c r="G725">
        <f t="shared" si="48"/>
        <v>0</v>
      </c>
      <c r="H725" t="s">
        <v>1399</v>
      </c>
      <c r="I725">
        <v>74.5</v>
      </c>
      <c r="J725" t="s">
        <v>648</v>
      </c>
      <c r="K725" s="24">
        <v>131</v>
      </c>
      <c r="L725" s="24">
        <v>68</v>
      </c>
      <c r="M725">
        <v>232</v>
      </c>
      <c r="N725" t="s">
        <v>1432</v>
      </c>
      <c r="O725">
        <v>62</v>
      </c>
      <c r="P725">
        <v>142</v>
      </c>
      <c r="Q725" t="s">
        <v>25</v>
      </c>
      <c r="R725" t="s">
        <v>25</v>
      </c>
      <c r="S725" t="s">
        <v>30</v>
      </c>
      <c r="T725" t="s">
        <v>24</v>
      </c>
      <c r="U725">
        <f t="shared" si="46"/>
        <v>2</v>
      </c>
      <c r="V725">
        <v>188</v>
      </c>
      <c r="W725">
        <v>0.39600000000000002</v>
      </c>
      <c r="X725" t="s">
        <v>1408</v>
      </c>
      <c r="Y725">
        <v>131</v>
      </c>
      <c r="Z725">
        <v>68</v>
      </c>
      <c r="AA725" t="s">
        <v>31</v>
      </c>
      <c r="AB725">
        <v>140</v>
      </c>
      <c r="AC725" s="23">
        <v>2.2599999999999998</v>
      </c>
      <c r="AD725" t="str">
        <f>IF(AND('CVD Dataset'!AA725="Normal",'CVD Dataset'!AB725&gt;AVERAGE('CVD Dataset'!AB:AB),'CVD Dataset'!AF725="High"),"High Lipid Category","Normal Category")</f>
        <v>Normal Category</v>
      </c>
      <c r="AE725">
        <v>19.73</v>
      </c>
      <c r="AF725" t="s">
        <v>32</v>
      </c>
      <c r="AG725">
        <v>1</v>
      </c>
      <c r="AH725" t="s">
        <v>1379</v>
      </c>
      <c r="AI725">
        <f t="shared" si="47"/>
        <v>1</v>
      </c>
      <c r="AJ725" t="s">
        <v>1391</v>
      </c>
    </row>
    <row r="726" spans="1:36" x14ac:dyDescent="0.3">
      <c r="A726" t="s">
        <v>33</v>
      </c>
      <c r="B726">
        <v>49</v>
      </c>
      <c r="C726">
        <v>68.2</v>
      </c>
      <c r="D726">
        <v>1.87</v>
      </c>
      <c r="E726">
        <v>19.5</v>
      </c>
      <c r="F726">
        <f t="shared" si="45"/>
        <v>19.502988361119847</v>
      </c>
      <c r="G726">
        <f t="shared" si="48"/>
        <v>0</v>
      </c>
      <c r="H726" t="s">
        <v>1398</v>
      </c>
      <c r="I726">
        <v>79.3</v>
      </c>
      <c r="J726" t="s">
        <v>649</v>
      </c>
      <c r="K726" s="24">
        <v>107</v>
      </c>
      <c r="L726" s="24">
        <v>100</v>
      </c>
      <c r="M726">
        <v>175</v>
      </c>
      <c r="N726" t="s">
        <v>1433</v>
      </c>
      <c r="O726">
        <v>56</v>
      </c>
      <c r="P726">
        <v>139</v>
      </c>
      <c r="Q726" t="s">
        <v>24</v>
      </c>
      <c r="R726" t="s">
        <v>24</v>
      </c>
      <c r="S726" t="s">
        <v>39</v>
      </c>
      <c r="T726" t="s">
        <v>25</v>
      </c>
      <c r="U726">
        <f t="shared" si="46"/>
        <v>1</v>
      </c>
      <c r="V726">
        <v>187</v>
      </c>
      <c r="W726">
        <v>0.42399999999999999</v>
      </c>
      <c r="X726" t="s">
        <v>1408</v>
      </c>
      <c r="Y726">
        <v>107</v>
      </c>
      <c r="Z726">
        <v>100</v>
      </c>
      <c r="AA726" t="s">
        <v>40</v>
      </c>
      <c r="AB726">
        <v>89</v>
      </c>
      <c r="AC726" s="23">
        <v>1.59</v>
      </c>
      <c r="AD726" t="str">
        <f>IF(AND('CVD Dataset'!AA726="Normal",'CVD Dataset'!AB726&gt;AVERAGE('CVD Dataset'!AB:AB),'CVD Dataset'!AF726="High"),"High Lipid Category","Normal Category")</f>
        <v>Normal Category</v>
      </c>
      <c r="AE726">
        <v>12.75</v>
      </c>
      <c r="AF726" t="s">
        <v>28</v>
      </c>
      <c r="AG726">
        <v>0</v>
      </c>
      <c r="AH726" t="s">
        <v>1380</v>
      </c>
      <c r="AI726">
        <f t="shared" si="47"/>
        <v>0</v>
      </c>
      <c r="AJ726" t="s">
        <v>1391</v>
      </c>
    </row>
    <row r="727" spans="1:36" x14ac:dyDescent="0.3">
      <c r="A727" t="s">
        <v>33</v>
      </c>
      <c r="B727">
        <v>60</v>
      </c>
      <c r="C727">
        <v>113.3</v>
      </c>
      <c r="D727">
        <v>1.81</v>
      </c>
      <c r="E727">
        <v>34.6</v>
      </c>
      <c r="F727">
        <f t="shared" si="45"/>
        <v>34.583803913189463</v>
      </c>
      <c r="G727">
        <f t="shared" si="48"/>
        <v>0</v>
      </c>
      <c r="H727" t="s">
        <v>1399</v>
      </c>
      <c r="I727">
        <v>83.7</v>
      </c>
      <c r="J727" t="s">
        <v>650</v>
      </c>
      <c r="K727" s="24">
        <v>95</v>
      </c>
      <c r="L727" s="24">
        <v>82</v>
      </c>
      <c r="M727">
        <v>177</v>
      </c>
      <c r="N727" t="s">
        <v>1433</v>
      </c>
      <c r="O727">
        <v>44</v>
      </c>
      <c r="P727">
        <v>74</v>
      </c>
      <c r="Q727" t="s">
        <v>24</v>
      </c>
      <c r="R727" t="s">
        <v>25</v>
      </c>
      <c r="S727" t="s">
        <v>39</v>
      </c>
      <c r="T727" t="s">
        <v>24</v>
      </c>
      <c r="U727">
        <f t="shared" si="46"/>
        <v>1</v>
      </c>
      <c r="V727">
        <v>181</v>
      </c>
      <c r="W727">
        <v>0.46200000000000002</v>
      </c>
      <c r="X727" t="s">
        <v>1406</v>
      </c>
      <c r="Z727">
        <v>82</v>
      </c>
      <c r="AA727" t="s">
        <v>31</v>
      </c>
      <c r="AB727">
        <v>103</v>
      </c>
      <c r="AC727" s="23">
        <v>2.34</v>
      </c>
      <c r="AD727" t="str">
        <f>IF(AND('CVD Dataset'!AA727="Normal",'CVD Dataset'!AB727&gt;AVERAGE('CVD Dataset'!AB:AB),'CVD Dataset'!AF727="High"),"High Lipid Category","Normal Category")</f>
        <v>Normal Category</v>
      </c>
      <c r="AE727">
        <v>17.21</v>
      </c>
      <c r="AF727" t="s">
        <v>28</v>
      </c>
      <c r="AG727">
        <v>0</v>
      </c>
      <c r="AH727" t="s">
        <v>1380</v>
      </c>
      <c r="AI727">
        <f t="shared" si="47"/>
        <v>0</v>
      </c>
      <c r="AJ727" t="s">
        <v>1392</v>
      </c>
    </row>
    <row r="728" spans="1:36" x14ac:dyDescent="0.3">
      <c r="A728" t="s">
        <v>22</v>
      </c>
      <c r="B728">
        <v>34</v>
      </c>
      <c r="C728">
        <v>67.2</v>
      </c>
      <c r="D728">
        <v>1.82</v>
      </c>
      <c r="E728">
        <v>20.3</v>
      </c>
      <c r="F728">
        <f t="shared" si="45"/>
        <v>20.287404902789518</v>
      </c>
      <c r="G728">
        <f t="shared" si="48"/>
        <v>0</v>
      </c>
      <c r="H728" t="s">
        <v>1398</v>
      </c>
      <c r="I728">
        <v>109.5</v>
      </c>
      <c r="J728" t="s">
        <v>651</v>
      </c>
      <c r="K728" s="24">
        <v>96</v>
      </c>
      <c r="L728" s="24">
        <v>60</v>
      </c>
      <c r="M728">
        <v>290</v>
      </c>
      <c r="N728" t="s">
        <v>1432</v>
      </c>
      <c r="O728">
        <v>66</v>
      </c>
      <c r="P728">
        <v>96</v>
      </c>
      <c r="Q728" t="s">
        <v>25</v>
      </c>
      <c r="R728" t="s">
        <v>25</v>
      </c>
      <c r="S728" t="s">
        <v>39</v>
      </c>
      <c r="T728" t="s">
        <v>24</v>
      </c>
      <c r="U728">
        <f t="shared" si="46"/>
        <v>2</v>
      </c>
      <c r="V728">
        <v>182</v>
      </c>
      <c r="W728">
        <v>0.60199999999999998</v>
      </c>
      <c r="X728" t="s">
        <v>1409</v>
      </c>
      <c r="Y728">
        <v>96</v>
      </c>
      <c r="Z728">
        <v>60</v>
      </c>
      <c r="AA728" t="s">
        <v>35</v>
      </c>
      <c r="AB728">
        <v>194</v>
      </c>
      <c r="AC728" s="23">
        <v>2.94</v>
      </c>
      <c r="AD728" t="str">
        <f>IF(AND('CVD Dataset'!AA728="Normal",'CVD Dataset'!AB728&gt;AVERAGE('CVD Dataset'!AB:AB),'CVD Dataset'!AF728="High"),"High Lipid Category","Normal Category")</f>
        <v>Normal Category</v>
      </c>
      <c r="AE728">
        <v>16.66</v>
      </c>
      <c r="AF728" t="s">
        <v>28</v>
      </c>
      <c r="AG728">
        <v>0</v>
      </c>
      <c r="AH728" t="s">
        <v>1380</v>
      </c>
      <c r="AI728">
        <f t="shared" si="47"/>
        <v>0</v>
      </c>
      <c r="AJ728" t="s">
        <v>1391</v>
      </c>
    </row>
    <row r="729" spans="1:36" x14ac:dyDescent="0.3">
      <c r="A729" t="s">
        <v>33</v>
      </c>
      <c r="B729">
        <v>30</v>
      </c>
      <c r="C729">
        <v>78</v>
      </c>
      <c r="D729">
        <v>1.71</v>
      </c>
      <c r="E729">
        <v>26.7</v>
      </c>
      <c r="F729">
        <f t="shared" si="45"/>
        <v>26.674874320303687</v>
      </c>
      <c r="G729">
        <f t="shared" si="48"/>
        <v>0</v>
      </c>
      <c r="H729" t="s">
        <v>1400</v>
      </c>
      <c r="I729">
        <v>102.1</v>
      </c>
      <c r="J729" t="s">
        <v>647</v>
      </c>
      <c r="K729" s="24">
        <v>122</v>
      </c>
      <c r="L729" s="24">
        <v>73</v>
      </c>
      <c r="M729">
        <v>275</v>
      </c>
      <c r="N729" t="s">
        <v>1432</v>
      </c>
      <c r="P729">
        <v>108</v>
      </c>
      <c r="Q729" t="s">
        <v>24</v>
      </c>
      <c r="R729" t="s">
        <v>24</v>
      </c>
      <c r="S729" t="s">
        <v>30</v>
      </c>
      <c r="T729" t="s">
        <v>24</v>
      </c>
      <c r="U729">
        <f t="shared" si="46"/>
        <v>0</v>
      </c>
      <c r="V729">
        <v>171</v>
      </c>
      <c r="W729">
        <v>0.59699999999999998</v>
      </c>
      <c r="X729" t="s">
        <v>1409</v>
      </c>
      <c r="Y729">
        <v>122</v>
      </c>
      <c r="Z729">
        <v>73</v>
      </c>
      <c r="AA729" t="s">
        <v>27</v>
      </c>
      <c r="AB729">
        <v>168</v>
      </c>
      <c r="AC729" s="23" t="s">
        <v>1410</v>
      </c>
      <c r="AD729" t="str">
        <f>IF(AND('CVD Dataset'!AA729="Normal",'CVD Dataset'!AB729&gt;AVERAGE('CVD Dataset'!AB:AB),'CVD Dataset'!AF729="High"),"High Lipid Category","Normal Category")</f>
        <v>Normal Category</v>
      </c>
      <c r="AE729">
        <v>16.940000000000001</v>
      </c>
      <c r="AF729" t="s">
        <v>28</v>
      </c>
      <c r="AG729">
        <v>0</v>
      </c>
      <c r="AH729" t="s">
        <v>1380</v>
      </c>
      <c r="AI729">
        <f t="shared" si="47"/>
        <v>0</v>
      </c>
      <c r="AJ729" t="s">
        <v>1391</v>
      </c>
    </row>
    <row r="730" spans="1:36" x14ac:dyDescent="0.3">
      <c r="A730" t="s">
        <v>33</v>
      </c>
      <c r="B730">
        <v>42</v>
      </c>
      <c r="C730">
        <v>115.8</v>
      </c>
      <c r="D730">
        <v>1.74</v>
      </c>
      <c r="E730">
        <v>38.200000000000003</v>
      </c>
      <c r="F730">
        <f t="shared" si="45"/>
        <v>38.248117320650017</v>
      </c>
      <c r="G730">
        <f t="shared" si="48"/>
        <v>0</v>
      </c>
      <c r="H730" t="s">
        <v>1399</v>
      </c>
      <c r="I730">
        <v>88.8</v>
      </c>
      <c r="J730" t="s">
        <v>652</v>
      </c>
      <c r="K730" s="24">
        <v>143</v>
      </c>
      <c r="L730" s="24">
        <v>82</v>
      </c>
      <c r="M730">
        <v>249</v>
      </c>
      <c r="N730" t="s">
        <v>1432</v>
      </c>
      <c r="O730">
        <v>66</v>
      </c>
      <c r="P730">
        <v>92</v>
      </c>
      <c r="Q730" t="s">
        <v>25</v>
      </c>
      <c r="R730" t="s">
        <v>25</v>
      </c>
      <c r="S730" t="s">
        <v>39</v>
      </c>
      <c r="T730" t="s">
        <v>24</v>
      </c>
      <c r="U730">
        <f t="shared" si="46"/>
        <v>2</v>
      </c>
      <c r="V730">
        <v>174</v>
      </c>
      <c r="W730">
        <v>0.51</v>
      </c>
      <c r="X730" t="s">
        <v>1406</v>
      </c>
      <c r="Y730">
        <v>143</v>
      </c>
      <c r="Z730">
        <v>82</v>
      </c>
      <c r="AA730" t="s">
        <v>31</v>
      </c>
      <c r="AB730">
        <v>153</v>
      </c>
      <c r="AC730" s="23">
        <v>2.3199999999999998</v>
      </c>
      <c r="AD730" t="str">
        <f>IF(AND('CVD Dataset'!AA730="Normal",'CVD Dataset'!AB730&gt;AVERAGE('CVD Dataset'!AB:AB),'CVD Dataset'!AF730="High"),"High Lipid Category","Normal Category")</f>
        <v>Normal Category</v>
      </c>
      <c r="AE730">
        <v>21.77</v>
      </c>
      <c r="AF730" t="s">
        <v>32</v>
      </c>
      <c r="AG730">
        <v>1</v>
      </c>
      <c r="AH730" t="s">
        <v>1379</v>
      </c>
      <c r="AI730">
        <f t="shared" si="47"/>
        <v>1</v>
      </c>
      <c r="AJ730" t="s">
        <v>1391</v>
      </c>
    </row>
    <row r="731" spans="1:36" x14ac:dyDescent="0.3">
      <c r="A731" t="s">
        <v>33</v>
      </c>
      <c r="B731">
        <v>37</v>
      </c>
      <c r="C731">
        <v>112.7</v>
      </c>
      <c r="D731">
        <v>1.64</v>
      </c>
      <c r="E731">
        <v>41.9</v>
      </c>
      <c r="F731">
        <f t="shared" si="45"/>
        <v>41.902141582391444</v>
      </c>
      <c r="G731">
        <f t="shared" si="48"/>
        <v>0</v>
      </c>
      <c r="H731" t="s">
        <v>1399</v>
      </c>
      <c r="I731">
        <v>76.099999999999994</v>
      </c>
      <c r="J731" t="s">
        <v>653</v>
      </c>
      <c r="K731" s="24">
        <v>98</v>
      </c>
      <c r="L731" s="24">
        <v>92</v>
      </c>
      <c r="M731">
        <v>189</v>
      </c>
      <c r="N731" t="s">
        <v>1432</v>
      </c>
      <c r="O731">
        <v>68</v>
      </c>
      <c r="P731">
        <v>111</v>
      </c>
      <c r="Q731" t="s">
        <v>25</v>
      </c>
      <c r="R731" t="s">
        <v>25</v>
      </c>
      <c r="S731" t="s">
        <v>30</v>
      </c>
      <c r="T731" t="s">
        <v>25</v>
      </c>
      <c r="U731">
        <f t="shared" si="46"/>
        <v>3</v>
      </c>
      <c r="V731">
        <v>164</v>
      </c>
      <c r="W731">
        <v>0.46400000000000002</v>
      </c>
      <c r="X731" t="s">
        <v>1406</v>
      </c>
      <c r="Y731">
        <v>98</v>
      </c>
      <c r="Z731">
        <v>92</v>
      </c>
      <c r="AA731" t="s">
        <v>40</v>
      </c>
      <c r="AB731">
        <v>91</v>
      </c>
      <c r="AC731" s="23">
        <v>1.34</v>
      </c>
      <c r="AD731" t="str">
        <f>IF(AND('CVD Dataset'!AA731="Normal",'CVD Dataset'!AB731&gt;AVERAGE('CVD Dataset'!AB:AB),'CVD Dataset'!AF731="High"),"High Lipid Category","Normal Category")</f>
        <v>Normal Category</v>
      </c>
      <c r="AE731">
        <v>19.059999999999999</v>
      </c>
      <c r="AF731" t="s">
        <v>32</v>
      </c>
      <c r="AG731">
        <v>1</v>
      </c>
      <c r="AH731" t="s">
        <v>1379</v>
      </c>
      <c r="AI731">
        <f t="shared" si="47"/>
        <v>1</v>
      </c>
      <c r="AJ731" t="s">
        <v>1391</v>
      </c>
    </row>
    <row r="732" spans="1:36" x14ac:dyDescent="0.3">
      <c r="A732" t="s">
        <v>33</v>
      </c>
      <c r="B732">
        <v>48</v>
      </c>
      <c r="C732">
        <v>117.8</v>
      </c>
      <c r="D732">
        <v>1.85</v>
      </c>
      <c r="E732">
        <v>34.4</v>
      </c>
      <c r="F732">
        <f t="shared" si="45"/>
        <v>34.419284149013876</v>
      </c>
      <c r="G732">
        <f t="shared" si="48"/>
        <v>0</v>
      </c>
      <c r="H732" t="s">
        <v>1399</v>
      </c>
      <c r="I732">
        <v>93.3</v>
      </c>
      <c r="J732" t="s">
        <v>654</v>
      </c>
      <c r="K732" s="24">
        <v>110</v>
      </c>
      <c r="L732" s="24">
        <v>76</v>
      </c>
      <c r="M732">
        <v>141</v>
      </c>
      <c r="N732" t="s">
        <v>1434</v>
      </c>
      <c r="O732">
        <v>42</v>
      </c>
      <c r="P732">
        <v>106</v>
      </c>
      <c r="Q732" t="s">
        <v>24</v>
      </c>
      <c r="R732" t="s">
        <v>24</v>
      </c>
      <c r="S732" t="s">
        <v>26</v>
      </c>
      <c r="T732" t="s">
        <v>24</v>
      </c>
      <c r="U732">
        <f t="shared" si="46"/>
        <v>1</v>
      </c>
      <c r="V732">
        <v>185</v>
      </c>
      <c r="W732">
        <v>0.504</v>
      </c>
      <c r="X732" t="s">
        <v>1406</v>
      </c>
      <c r="Z732">
        <v>76</v>
      </c>
      <c r="AA732" t="s">
        <v>35</v>
      </c>
      <c r="AC732" s="23">
        <v>0</v>
      </c>
      <c r="AD732" t="str">
        <f>IF(AND('CVD Dataset'!AA732="Normal",'CVD Dataset'!AB732&gt;AVERAGE('CVD Dataset'!AB:AB),'CVD Dataset'!AF732="High"),"High Lipid Category","Normal Category")</f>
        <v>Normal Category</v>
      </c>
      <c r="AE732">
        <v>15.2</v>
      </c>
      <c r="AF732" t="s">
        <v>28</v>
      </c>
      <c r="AG732">
        <v>0</v>
      </c>
      <c r="AH732" t="s">
        <v>1380</v>
      </c>
      <c r="AI732">
        <f t="shared" si="47"/>
        <v>0</v>
      </c>
      <c r="AJ732" t="s">
        <v>1391</v>
      </c>
    </row>
    <row r="733" spans="1:36" x14ac:dyDescent="0.3">
      <c r="A733" t="s">
        <v>22</v>
      </c>
      <c r="B733">
        <v>60</v>
      </c>
      <c r="C733">
        <v>116.2</v>
      </c>
      <c r="E733">
        <v>36.700000000000003</v>
      </c>
      <c r="F733" t="str">
        <f t="shared" si="45"/>
        <v/>
      </c>
      <c r="G733" t="str">
        <f t="shared" si="48"/>
        <v/>
      </c>
      <c r="H733" t="s">
        <v>1399</v>
      </c>
      <c r="I733">
        <v>97.8</v>
      </c>
      <c r="J733" t="s">
        <v>655</v>
      </c>
      <c r="K733" s="24">
        <v>112</v>
      </c>
      <c r="L733" s="24">
        <v>80</v>
      </c>
      <c r="M733">
        <v>188</v>
      </c>
      <c r="N733" t="s">
        <v>1432</v>
      </c>
      <c r="O733">
        <v>52</v>
      </c>
      <c r="P733">
        <v>97</v>
      </c>
      <c r="Q733" t="s">
        <v>25</v>
      </c>
      <c r="R733" t="s">
        <v>24</v>
      </c>
      <c r="S733" t="s">
        <v>39</v>
      </c>
      <c r="T733" t="s">
        <v>24</v>
      </c>
      <c r="U733">
        <f t="shared" si="46"/>
        <v>1</v>
      </c>
      <c r="W733">
        <v>0.54900000000000004</v>
      </c>
      <c r="X733" t="s">
        <v>1407</v>
      </c>
      <c r="Y733">
        <v>112</v>
      </c>
      <c r="Z733">
        <v>80</v>
      </c>
      <c r="AA733" t="s">
        <v>31</v>
      </c>
      <c r="AB733">
        <v>106</v>
      </c>
      <c r="AC733" s="23">
        <v>2.04</v>
      </c>
      <c r="AD733" t="str">
        <f>IF(AND('CVD Dataset'!AA733="Normal",'CVD Dataset'!AB733&gt;AVERAGE('CVD Dataset'!AB:AB),'CVD Dataset'!AF733="High"),"High Lipid Category","Normal Category")</f>
        <v>Normal Category</v>
      </c>
      <c r="AE733">
        <v>16.7</v>
      </c>
      <c r="AF733" t="s">
        <v>28</v>
      </c>
      <c r="AG733">
        <v>0</v>
      </c>
      <c r="AH733" t="s">
        <v>1380</v>
      </c>
      <c r="AI733">
        <f t="shared" si="47"/>
        <v>0</v>
      </c>
      <c r="AJ733" t="s">
        <v>1391</v>
      </c>
    </row>
    <row r="734" spans="1:36" x14ac:dyDescent="0.3">
      <c r="A734" t="s">
        <v>33</v>
      </c>
      <c r="B734">
        <v>44</v>
      </c>
      <c r="C734">
        <v>97.8</v>
      </c>
      <c r="D734">
        <v>1.89</v>
      </c>
      <c r="E734">
        <v>27.4</v>
      </c>
      <c r="F734">
        <f t="shared" si="45"/>
        <v>27.378852775678173</v>
      </c>
      <c r="G734">
        <f t="shared" si="48"/>
        <v>0</v>
      </c>
      <c r="H734" t="s">
        <v>1400</v>
      </c>
      <c r="I734">
        <v>91.9</v>
      </c>
      <c r="J734" t="s">
        <v>448</v>
      </c>
      <c r="K734" s="24">
        <v>129</v>
      </c>
      <c r="L734" s="24">
        <v>61</v>
      </c>
      <c r="M734">
        <v>166</v>
      </c>
      <c r="N734" t="s">
        <v>1433</v>
      </c>
      <c r="O734">
        <v>61</v>
      </c>
      <c r="P734">
        <v>143</v>
      </c>
      <c r="Q734" t="s">
        <v>25</v>
      </c>
      <c r="R734" t="s">
        <v>25</v>
      </c>
      <c r="S734" t="s">
        <v>39</v>
      </c>
      <c r="T734" t="s">
        <v>25</v>
      </c>
      <c r="U734">
        <f t="shared" si="46"/>
        <v>3</v>
      </c>
      <c r="V734">
        <v>189</v>
      </c>
      <c r="W734">
        <v>0.48599999999999999</v>
      </c>
      <c r="X734" t="s">
        <v>1406</v>
      </c>
      <c r="Y734">
        <v>129</v>
      </c>
      <c r="Z734">
        <v>61</v>
      </c>
      <c r="AA734" t="s">
        <v>27</v>
      </c>
      <c r="AB734">
        <v>75</v>
      </c>
      <c r="AC734" s="23">
        <v>1.23</v>
      </c>
      <c r="AD734" t="str">
        <f>IF(AND('CVD Dataset'!AA734="Normal",'CVD Dataset'!AB734&gt;AVERAGE('CVD Dataset'!AB:AB),'CVD Dataset'!AF734="High"),"High Lipid Category","Normal Category")</f>
        <v>Normal Category</v>
      </c>
      <c r="AE734">
        <v>17.25</v>
      </c>
      <c r="AF734" t="s">
        <v>32</v>
      </c>
      <c r="AG734">
        <v>1</v>
      </c>
      <c r="AH734" t="s">
        <v>1379</v>
      </c>
      <c r="AI734">
        <f t="shared" si="47"/>
        <v>1</v>
      </c>
      <c r="AJ734" t="s">
        <v>1391</v>
      </c>
    </row>
    <row r="735" spans="1:36" x14ac:dyDescent="0.3">
      <c r="A735" t="s">
        <v>22</v>
      </c>
      <c r="B735">
        <v>58</v>
      </c>
      <c r="C735">
        <v>115</v>
      </c>
      <c r="D735">
        <v>1.81</v>
      </c>
      <c r="E735">
        <v>35.1</v>
      </c>
      <c r="F735">
        <f t="shared" si="45"/>
        <v>35.102713592381185</v>
      </c>
      <c r="G735">
        <f t="shared" si="48"/>
        <v>0</v>
      </c>
      <c r="H735" t="s">
        <v>1399</v>
      </c>
      <c r="I735">
        <v>107.1</v>
      </c>
      <c r="J735" t="s">
        <v>230</v>
      </c>
      <c r="K735" s="24">
        <v>139</v>
      </c>
      <c r="L735" s="24">
        <v>76</v>
      </c>
      <c r="M735">
        <v>293</v>
      </c>
      <c r="N735" t="s">
        <v>1432</v>
      </c>
      <c r="O735">
        <v>68</v>
      </c>
      <c r="P735">
        <v>124</v>
      </c>
      <c r="Q735" t="s">
        <v>25</v>
      </c>
      <c r="R735" t="s">
        <v>25</v>
      </c>
      <c r="S735" t="s">
        <v>26</v>
      </c>
      <c r="T735" t="s">
        <v>24</v>
      </c>
      <c r="U735">
        <f t="shared" si="46"/>
        <v>3</v>
      </c>
      <c r="V735">
        <v>181</v>
      </c>
      <c r="W735">
        <v>0.59199999999999997</v>
      </c>
      <c r="X735" t="s">
        <v>1409</v>
      </c>
      <c r="Y735">
        <v>139</v>
      </c>
      <c r="AA735" t="s">
        <v>31</v>
      </c>
      <c r="AB735">
        <v>195</v>
      </c>
      <c r="AC735" s="23">
        <v>2.87</v>
      </c>
      <c r="AD735" t="str">
        <f>IF(AND('CVD Dataset'!AA735="Normal",'CVD Dataset'!AB735&gt;AVERAGE('CVD Dataset'!AB:AB),'CVD Dataset'!AF735="High"),"High Lipid Category","Normal Category")</f>
        <v>Normal Category</v>
      </c>
      <c r="AE735">
        <v>21.83</v>
      </c>
      <c r="AF735" t="s">
        <v>32</v>
      </c>
      <c r="AG735">
        <v>1</v>
      </c>
      <c r="AH735" t="s">
        <v>1379</v>
      </c>
      <c r="AI735">
        <f t="shared" si="47"/>
        <v>1</v>
      </c>
      <c r="AJ735" t="s">
        <v>1392</v>
      </c>
    </row>
    <row r="736" spans="1:36" x14ac:dyDescent="0.3">
      <c r="A736" t="s">
        <v>33</v>
      </c>
      <c r="B736">
        <v>60</v>
      </c>
      <c r="C736">
        <v>78.599999999999994</v>
      </c>
      <c r="D736">
        <v>1.8</v>
      </c>
      <c r="E736">
        <v>24.3</v>
      </c>
      <c r="F736">
        <f t="shared" si="45"/>
        <v>24.259259259259256</v>
      </c>
      <c r="G736">
        <f t="shared" si="48"/>
        <v>0</v>
      </c>
      <c r="H736" t="s">
        <v>1398</v>
      </c>
      <c r="I736">
        <v>105.7</v>
      </c>
      <c r="J736" t="s">
        <v>209</v>
      </c>
      <c r="K736" s="24">
        <v>130</v>
      </c>
      <c r="L736" s="24">
        <v>71</v>
      </c>
      <c r="M736">
        <v>141</v>
      </c>
      <c r="N736" t="s">
        <v>1434</v>
      </c>
      <c r="O736">
        <v>37</v>
      </c>
      <c r="P736">
        <v>80</v>
      </c>
      <c r="Q736" t="s">
        <v>25</v>
      </c>
      <c r="R736" t="s">
        <v>24</v>
      </c>
      <c r="S736" t="s">
        <v>26</v>
      </c>
      <c r="T736" t="s">
        <v>24</v>
      </c>
      <c r="U736">
        <f t="shared" si="46"/>
        <v>2</v>
      </c>
      <c r="W736">
        <v>0.58699999999999997</v>
      </c>
      <c r="X736" t="s">
        <v>1409</v>
      </c>
      <c r="Y736">
        <v>130</v>
      </c>
      <c r="Z736">
        <v>71</v>
      </c>
      <c r="AA736" t="s">
        <v>31</v>
      </c>
      <c r="AB736">
        <v>74</v>
      </c>
      <c r="AC736" s="23">
        <v>2</v>
      </c>
      <c r="AD736" t="str">
        <f>IF(AND('CVD Dataset'!AA736="Normal",'CVD Dataset'!AB736&gt;AVERAGE('CVD Dataset'!AB:AB),'CVD Dataset'!AF736="High"),"High Lipid Category","Normal Category")</f>
        <v>Normal Category</v>
      </c>
      <c r="AE736">
        <v>14.18</v>
      </c>
      <c r="AF736" t="s">
        <v>32</v>
      </c>
      <c r="AG736">
        <v>0</v>
      </c>
      <c r="AH736" t="s">
        <v>1379</v>
      </c>
      <c r="AI736">
        <f t="shared" si="47"/>
        <v>1</v>
      </c>
      <c r="AJ736" t="s">
        <v>1391</v>
      </c>
    </row>
    <row r="737" spans="1:36" x14ac:dyDescent="0.3">
      <c r="A737" t="s">
        <v>22</v>
      </c>
      <c r="B737">
        <v>46</v>
      </c>
      <c r="C737">
        <v>74.5</v>
      </c>
      <c r="D737">
        <v>1.81</v>
      </c>
      <c r="E737">
        <v>22.7</v>
      </c>
      <c r="F737">
        <f t="shared" si="45"/>
        <v>22.740453588107812</v>
      </c>
      <c r="G737">
        <f t="shared" si="48"/>
        <v>0</v>
      </c>
      <c r="H737" t="s">
        <v>1398</v>
      </c>
      <c r="I737">
        <v>79</v>
      </c>
      <c r="J737" t="s">
        <v>358</v>
      </c>
      <c r="K737" s="24">
        <v>129</v>
      </c>
      <c r="L737" s="24">
        <v>80</v>
      </c>
      <c r="M737">
        <v>231</v>
      </c>
      <c r="N737" t="s">
        <v>1432</v>
      </c>
      <c r="P737">
        <v>97</v>
      </c>
      <c r="Q737" t="s">
        <v>24</v>
      </c>
      <c r="R737" t="s">
        <v>24</v>
      </c>
      <c r="S737" t="s">
        <v>39</v>
      </c>
      <c r="T737" t="s">
        <v>25</v>
      </c>
      <c r="U737">
        <f t="shared" si="46"/>
        <v>1</v>
      </c>
      <c r="V737">
        <v>181</v>
      </c>
      <c r="W737">
        <v>0.436</v>
      </c>
      <c r="X737" t="s">
        <v>1408</v>
      </c>
      <c r="Y737">
        <v>129</v>
      </c>
      <c r="Z737">
        <v>80</v>
      </c>
      <c r="AA737" t="s">
        <v>31</v>
      </c>
      <c r="AB737">
        <v>132</v>
      </c>
      <c r="AC737" s="23" t="s">
        <v>1410</v>
      </c>
      <c r="AD737" t="str">
        <f>IF(AND('CVD Dataset'!AA737="Normal",'CVD Dataset'!AB737&gt;AVERAGE('CVD Dataset'!AB:AB),'CVD Dataset'!AF737="High"),"High Lipid Category","Normal Category")</f>
        <v>Normal Category</v>
      </c>
      <c r="AE737">
        <v>15.61</v>
      </c>
      <c r="AF737" t="s">
        <v>28</v>
      </c>
      <c r="AG737">
        <v>0</v>
      </c>
      <c r="AH737" t="s">
        <v>1380</v>
      </c>
      <c r="AI737">
        <f t="shared" si="47"/>
        <v>0</v>
      </c>
      <c r="AJ737" t="s">
        <v>1391</v>
      </c>
    </row>
    <row r="738" spans="1:36" x14ac:dyDescent="0.3">
      <c r="A738" t="s">
        <v>22</v>
      </c>
      <c r="B738">
        <v>44</v>
      </c>
      <c r="C738">
        <v>81.7</v>
      </c>
      <c r="D738">
        <v>1.61</v>
      </c>
      <c r="E738">
        <v>31.5</v>
      </c>
      <c r="F738">
        <f t="shared" si="45"/>
        <v>31.518845723544615</v>
      </c>
      <c r="G738">
        <f t="shared" si="48"/>
        <v>0</v>
      </c>
      <c r="H738" t="s">
        <v>1399</v>
      </c>
      <c r="I738">
        <v>70.8</v>
      </c>
      <c r="J738" t="s">
        <v>656</v>
      </c>
      <c r="K738" s="24">
        <v>148</v>
      </c>
      <c r="L738" s="24">
        <v>65</v>
      </c>
      <c r="M738">
        <v>140</v>
      </c>
      <c r="N738" t="s">
        <v>1434</v>
      </c>
      <c r="O738">
        <v>70</v>
      </c>
      <c r="P738">
        <v>108</v>
      </c>
      <c r="Q738" t="s">
        <v>24</v>
      </c>
      <c r="R738" t="s">
        <v>25</v>
      </c>
      <c r="S738" t="s">
        <v>26</v>
      </c>
      <c r="T738" t="s">
        <v>25</v>
      </c>
      <c r="U738">
        <f t="shared" si="46"/>
        <v>3</v>
      </c>
      <c r="V738">
        <v>161</v>
      </c>
      <c r="W738">
        <v>0.44</v>
      </c>
      <c r="X738" t="s">
        <v>1408</v>
      </c>
      <c r="Y738">
        <v>148</v>
      </c>
      <c r="Z738">
        <v>65</v>
      </c>
      <c r="AA738" t="s">
        <v>40</v>
      </c>
      <c r="AB738">
        <v>40</v>
      </c>
      <c r="AC738" s="23">
        <v>0.56999999999999995</v>
      </c>
      <c r="AD738" t="str">
        <f>IF(AND('CVD Dataset'!AA738="Normal",'CVD Dataset'!AB738&gt;AVERAGE('CVD Dataset'!AB:AB),'CVD Dataset'!AF738="High"),"High Lipid Category","Normal Category")</f>
        <v>Normal Category</v>
      </c>
      <c r="AE738">
        <v>18.5</v>
      </c>
      <c r="AF738" t="s">
        <v>32</v>
      </c>
      <c r="AG738">
        <v>1</v>
      </c>
      <c r="AH738" t="s">
        <v>1379</v>
      </c>
      <c r="AI738">
        <f t="shared" si="47"/>
        <v>1</v>
      </c>
      <c r="AJ738" t="s">
        <v>1391</v>
      </c>
    </row>
    <row r="739" spans="1:36" x14ac:dyDescent="0.3">
      <c r="A739" t="s">
        <v>22</v>
      </c>
      <c r="B739">
        <v>58</v>
      </c>
      <c r="C739">
        <v>88.6</v>
      </c>
      <c r="D739">
        <v>1.67</v>
      </c>
      <c r="E739">
        <v>31.8</v>
      </c>
      <c r="F739">
        <f t="shared" si="45"/>
        <v>31.768797733873569</v>
      </c>
      <c r="G739">
        <f t="shared" si="48"/>
        <v>0</v>
      </c>
      <c r="H739" t="s">
        <v>1399</v>
      </c>
      <c r="I739">
        <v>95.3</v>
      </c>
      <c r="J739" t="s">
        <v>657</v>
      </c>
      <c r="K739" s="24">
        <v>90</v>
      </c>
      <c r="L739" s="24">
        <v>74</v>
      </c>
      <c r="M739">
        <v>133</v>
      </c>
      <c r="N739" t="s">
        <v>1434</v>
      </c>
      <c r="O739">
        <v>80</v>
      </c>
      <c r="P739">
        <v>73</v>
      </c>
      <c r="Q739" t="s">
        <v>25</v>
      </c>
      <c r="R739" t="s">
        <v>25</v>
      </c>
      <c r="S739" t="s">
        <v>30</v>
      </c>
      <c r="T739" t="s">
        <v>25</v>
      </c>
      <c r="U739">
        <f t="shared" si="46"/>
        <v>3</v>
      </c>
      <c r="V739">
        <v>167</v>
      </c>
      <c r="W739">
        <v>0.57099999999999995</v>
      </c>
      <c r="X739" t="s">
        <v>1407</v>
      </c>
      <c r="Y739">
        <v>90</v>
      </c>
      <c r="Z739">
        <v>74</v>
      </c>
      <c r="AA739" t="s">
        <v>35</v>
      </c>
      <c r="AB739">
        <v>23</v>
      </c>
      <c r="AC739" s="23">
        <v>0.28999999999999998</v>
      </c>
      <c r="AD739" t="str">
        <f>IF(AND('CVD Dataset'!AA739="Normal",'CVD Dataset'!AB739&gt;AVERAGE('CVD Dataset'!AB:AB),'CVD Dataset'!AF739="High"),"High Lipid Category","Normal Category")</f>
        <v>Normal Category</v>
      </c>
      <c r="AE739">
        <v>15.52</v>
      </c>
      <c r="AF739" t="s">
        <v>32</v>
      </c>
      <c r="AG739">
        <v>1</v>
      </c>
      <c r="AH739" t="s">
        <v>1379</v>
      </c>
      <c r="AI739">
        <f t="shared" si="47"/>
        <v>1</v>
      </c>
      <c r="AJ739" t="s">
        <v>1391</v>
      </c>
    </row>
    <row r="740" spans="1:36" x14ac:dyDescent="0.3">
      <c r="A740" t="s">
        <v>33</v>
      </c>
      <c r="B740">
        <v>41</v>
      </c>
      <c r="C740">
        <v>92.4</v>
      </c>
      <c r="D740">
        <v>1.8</v>
      </c>
      <c r="E740">
        <v>28.5</v>
      </c>
      <c r="F740">
        <f t="shared" si="45"/>
        <v>28.518518518518519</v>
      </c>
      <c r="G740">
        <f t="shared" si="48"/>
        <v>0</v>
      </c>
      <c r="H740" t="s">
        <v>1400</v>
      </c>
      <c r="I740">
        <v>78.8</v>
      </c>
      <c r="J740" t="s">
        <v>658</v>
      </c>
      <c r="K740" s="24">
        <v>101</v>
      </c>
      <c r="L740" s="24">
        <v>77</v>
      </c>
      <c r="M740">
        <v>135</v>
      </c>
      <c r="N740" t="s">
        <v>1434</v>
      </c>
      <c r="O740">
        <v>67</v>
      </c>
      <c r="P740">
        <v>123</v>
      </c>
      <c r="Q740" t="s">
        <v>25</v>
      </c>
      <c r="R740" t="s">
        <v>25</v>
      </c>
      <c r="S740" t="s">
        <v>26</v>
      </c>
      <c r="T740" t="s">
        <v>24</v>
      </c>
      <c r="U740">
        <f t="shared" si="46"/>
        <v>3</v>
      </c>
      <c r="V740">
        <v>180</v>
      </c>
      <c r="W740">
        <v>0.438</v>
      </c>
      <c r="X740" t="s">
        <v>1408</v>
      </c>
      <c r="Y740">
        <v>101</v>
      </c>
      <c r="Z740">
        <v>77</v>
      </c>
      <c r="AA740" t="s">
        <v>35</v>
      </c>
      <c r="AB740">
        <v>38</v>
      </c>
      <c r="AC740" s="23">
        <v>0.56999999999999995</v>
      </c>
      <c r="AD740" t="str">
        <f>IF(AND('CVD Dataset'!AA740="Normal",'CVD Dataset'!AB740&gt;AVERAGE('CVD Dataset'!AB:AB),'CVD Dataset'!AF740="High"),"High Lipid Category","Normal Category")</f>
        <v>Normal Category</v>
      </c>
      <c r="AE740">
        <v>15.45</v>
      </c>
      <c r="AF740" t="s">
        <v>32</v>
      </c>
      <c r="AG740">
        <v>1</v>
      </c>
      <c r="AH740" t="s">
        <v>1379</v>
      </c>
      <c r="AI740">
        <f t="shared" si="47"/>
        <v>1</v>
      </c>
      <c r="AJ740" t="s">
        <v>1391</v>
      </c>
    </row>
    <row r="741" spans="1:36" x14ac:dyDescent="0.3">
      <c r="A741" t="s">
        <v>33</v>
      </c>
      <c r="B741">
        <v>31</v>
      </c>
      <c r="C741">
        <v>119.7</v>
      </c>
      <c r="D741">
        <v>1.61</v>
      </c>
      <c r="E741">
        <v>46.2</v>
      </c>
      <c r="F741">
        <f t="shared" si="45"/>
        <v>46.178773967053736</v>
      </c>
      <c r="G741">
        <f t="shared" si="48"/>
        <v>0</v>
      </c>
      <c r="H741" t="s">
        <v>1399</v>
      </c>
      <c r="J741" t="s">
        <v>659</v>
      </c>
      <c r="K741" s="24">
        <v>127</v>
      </c>
      <c r="L741" s="24">
        <v>70</v>
      </c>
      <c r="M741">
        <v>280</v>
      </c>
      <c r="N741" t="s">
        <v>1432</v>
      </c>
      <c r="O741">
        <v>80</v>
      </c>
      <c r="P741">
        <v>136</v>
      </c>
      <c r="Q741" t="s">
        <v>25</v>
      </c>
      <c r="R741" t="s">
        <v>24</v>
      </c>
      <c r="S741" t="s">
        <v>39</v>
      </c>
      <c r="T741" t="s">
        <v>25</v>
      </c>
      <c r="U741">
        <f t="shared" si="46"/>
        <v>2</v>
      </c>
      <c r="V741">
        <v>161</v>
      </c>
      <c r="W741">
        <v>0.55300000000000005</v>
      </c>
      <c r="X741" t="s">
        <v>1407</v>
      </c>
      <c r="Y741">
        <v>127</v>
      </c>
      <c r="Z741">
        <v>70</v>
      </c>
      <c r="AA741" t="s">
        <v>27</v>
      </c>
      <c r="AB741">
        <v>170</v>
      </c>
      <c r="AC741" s="23">
        <v>2.13</v>
      </c>
      <c r="AD741" t="str">
        <f>IF(AND('CVD Dataset'!AA741="Normal",'CVD Dataset'!AB741&gt;AVERAGE('CVD Dataset'!AB:AB),'CVD Dataset'!AF741="High"),"High Lipid Category","Normal Category")</f>
        <v>Normal Category</v>
      </c>
      <c r="AE741">
        <v>21.19</v>
      </c>
      <c r="AF741" t="s">
        <v>32</v>
      </c>
      <c r="AG741">
        <v>1</v>
      </c>
      <c r="AH741" t="s">
        <v>1379</v>
      </c>
      <c r="AI741">
        <f t="shared" si="47"/>
        <v>1</v>
      </c>
      <c r="AJ741" t="s">
        <v>1391</v>
      </c>
    </row>
    <row r="742" spans="1:36" x14ac:dyDescent="0.3">
      <c r="A742" t="s">
        <v>33</v>
      </c>
      <c r="B742">
        <v>53</v>
      </c>
      <c r="C742">
        <v>112.7</v>
      </c>
      <c r="E742">
        <v>37.200000000000003</v>
      </c>
      <c r="F742" t="str">
        <f t="shared" si="45"/>
        <v/>
      </c>
      <c r="G742" t="str">
        <f t="shared" si="48"/>
        <v/>
      </c>
      <c r="H742" t="s">
        <v>1399</v>
      </c>
      <c r="I742">
        <v>104.1</v>
      </c>
      <c r="J742" t="s">
        <v>660</v>
      </c>
      <c r="K742" s="24">
        <v>132</v>
      </c>
      <c r="L742" s="24">
        <v>83</v>
      </c>
      <c r="M742">
        <v>126</v>
      </c>
      <c r="N742" t="s">
        <v>1434</v>
      </c>
      <c r="O742">
        <v>30</v>
      </c>
      <c r="P742">
        <v>74</v>
      </c>
      <c r="Q742" t="s">
        <v>25</v>
      </c>
      <c r="R742" t="s">
        <v>24</v>
      </c>
      <c r="S742" t="s">
        <v>26</v>
      </c>
      <c r="T742" t="s">
        <v>24</v>
      </c>
      <c r="U742">
        <f t="shared" si="46"/>
        <v>2</v>
      </c>
      <c r="V742">
        <v>174</v>
      </c>
      <c r="W742">
        <v>0.59799999999999998</v>
      </c>
      <c r="X742" t="s">
        <v>1409</v>
      </c>
      <c r="Y742">
        <v>132</v>
      </c>
      <c r="Z742">
        <v>83</v>
      </c>
      <c r="AA742" t="s">
        <v>31</v>
      </c>
      <c r="AB742">
        <v>66</v>
      </c>
      <c r="AC742" s="23">
        <v>2.2000000000000002</v>
      </c>
      <c r="AD742" t="str">
        <f>IF(AND('CVD Dataset'!AA742="Normal",'CVD Dataset'!AB742&gt;AVERAGE('CVD Dataset'!AB:AB),'CVD Dataset'!AF742="High"),"High Lipid Category","Normal Category")</f>
        <v>Normal Category</v>
      </c>
      <c r="AE742">
        <v>16.559999999999999</v>
      </c>
      <c r="AF742" t="s">
        <v>32</v>
      </c>
      <c r="AG742">
        <v>0</v>
      </c>
      <c r="AH742" t="s">
        <v>1379</v>
      </c>
      <c r="AI742">
        <f t="shared" si="47"/>
        <v>1</v>
      </c>
      <c r="AJ742" t="s">
        <v>1391</v>
      </c>
    </row>
    <row r="743" spans="1:36" x14ac:dyDescent="0.3">
      <c r="A743" t="s">
        <v>33</v>
      </c>
      <c r="B743">
        <v>45</v>
      </c>
      <c r="C743">
        <v>105.6</v>
      </c>
      <c r="D743">
        <v>1.81</v>
      </c>
      <c r="E743">
        <v>32.200000000000003</v>
      </c>
      <c r="F743">
        <f t="shared" si="45"/>
        <v>32.233448307438721</v>
      </c>
      <c r="G743">
        <f t="shared" si="48"/>
        <v>0</v>
      </c>
      <c r="H743" t="s">
        <v>1399</v>
      </c>
      <c r="I743">
        <v>100.6</v>
      </c>
      <c r="J743" t="s">
        <v>661</v>
      </c>
      <c r="K743" s="24">
        <v>111</v>
      </c>
      <c r="L743" s="24">
        <v>97</v>
      </c>
      <c r="M743">
        <v>201</v>
      </c>
      <c r="N743" t="s">
        <v>1432</v>
      </c>
      <c r="O743">
        <v>36</v>
      </c>
      <c r="P743">
        <v>77</v>
      </c>
      <c r="Q743" t="s">
        <v>25</v>
      </c>
      <c r="R743" t="s">
        <v>25</v>
      </c>
      <c r="S743" t="s">
        <v>26</v>
      </c>
      <c r="T743" t="s">
        <v>24</v>
      </c>
      <c r="U743">
        <f t="shared" si="46"/>
        <v>3</v>
      </c>
      <c r="V743">
        <v>181</v>
      </c>
      <c r="W743">
        <v>0.55600000000000005</v>
      </c>
      <c r="X743" t="s">
        <v>1407</v>
      </c>
      <c r="Y743">
        <v>111</v>
      </c>
      <c r="Z743">
        <v>97</v>
      </c>
      <c r="AA743" t="s">
        <v>40</v>
      </c>
      <c r="AB743">
        <v>135</v>
      </c>
      <c r="AC743" s="23">
        <v>3.75</v>
      </c>
      <c r="AD743" t="str">
        <f>IF(AND('CVD Dataset'!AA743="Normal",'CVD Dataset'!AB743&gt;AVERAGE('CVD Dataset'!AB:AB),'CVD Dataset'!AF743="High"),"High Lipid Category","Normal Category")</f>
        <v>Normal Category</v>
      </c>
      <c r="AE743">
        <v>18.010000000000002</v>
      </c>
      <c r="AF743" t="s">
        <v>32</v>
      </c>
      <c r="AG743">
        <v>0</v>
      </c>
      <c r="AH743" t="s">
        <v>1379</v>
      </c>
      <c r="AI743">
        <f t="shared" si="47"/>
        <v>1</v>
      </c>
      <c r="AJ743" t="s">
        <v>1391</v>
      </c>
    </row>
    <row r="744" spans="1:36" x14ac:dyDescent="0.3">
      <c r="A744" t="s">
        <v>22</v>
      </c>
      <c r="B744">
        <v>50</v>
      </c>
      <c r="C744">
        <v>99.4</v>
      </c>
      <c r="D744">
        <v>1.67</v>
      </c>
      <c r="E744">
        <v>35.6</v>
      </c>
      <c r="F744">
        <f t="shared" si="45"/>
        <v>35.641292265767866</v>
      </c>
      <c r="G744">
        <f t="shared" si="48"/>
        <v>0</v>
      </c>
      <c r="H744" t="s">
        <v>1399</v>
      </c>
      <c r="I744">
        <v>96.3</v>
      </c>
      <c r="J744" t="s">
        <v>662</v>
      </c>
      <c r="K744" s="24">
        <v>144</v>
      </c>
      <c r="L744" s="24">
        <v>81</v>
      </c>
      <c r="M744">
        <v>256</v>
      </c>
      <c r="N744" t="s">
        <v>1432</v>
      </c>
      <c r="O744">
        <v>30</v>
      </c>
      <c r="P744">
        <v>107</v>
      </c>
      <c r="Q744" t="s">
        <v>25</v>
      </c>
      <c r="R744" t="s">
        <v>24</v>
      </c>
      <c r="S744" t="s">
        <v>39</v>
      </c>
      <c r="T744" t="s">
        <v>24</v>
      </c>
      <c r="U744">
        <f t="shared" si="46"/>
        <v>1</v>
      </c>
      <c r="V744">
        <v>167</v>
      </c>
      <c r="W744">
        <v>0.57699999999999996</v>
      </c>
      <c r="X744" t="s">
        <v>1407</v>
      </c>
      <c r="Y744">
        <v>144</v>
      </c>
      <c r="Z744">
        <v>81</v>
      </c>
      <c r="AA744" t="s">
        <v>31</v>
      </c>
      <c r="AB744">
        <v>196</v>
      </c>
      <c r="AC744" s="23">
        <v>6.53</v>
      </c>
      <c r="AD744" t="str">
        <f>IF(AND('CVD Dataset'!AA744="Normal",'CVD Dataset'!AB744&gt;AVERAGE('CVD Dataset'!AB:AB),'CVD Dataset'!AF744="High"),"High Lipid Category","Normal Category")</f>
        <v>Normal Category</v>
      </c>
      <c r="AE744">
        <v>19.440000000000001</v>
      </c>
      <c r="AF744" t="s">
        <v>32</v>
      </c>
      <c r="AG744">
        <v>0</v>
      </c>
      <c r="AH744" t="s">
        <v>1379</v>
      </c>
      <c r="AI744">
        <f t="shared" si="47"/>
        <v>1</v>
      </c>
      <c r="AJ744" t="s">
        <v>1391</v>
      </c>
    </row>
    <row r="745" spans="1:36" x14ac:dyDescent="0.3">
      <c r="A745" t="s">
        <v>33</v>
      </c>
      <c r="B745">
        <v>49</v>
      </c>
      <c r="C745">
        <v>118.3</v>
      </c>
      <c r="D745">
        <v>1.89</v>
      </c>
      <c r="E745">
        <v>33.1</v>
      </c>
      <c r="F745">
        <f t="shared" si="45"/>
        <v>33.117773858514603</v>
      </c>
      <c r="G745">
        <f t="shared" si="48"/>
        <v>0</v>
      </c>
      <c r="H745" t="s">
        <v>1399</v>
      </c>
      <c r="I745">
        <v>96.2</v>
      </c>
      <c r="J745" t="s">
        <v>663</v>
      </c>
      <c r="K745" s="24">
        <v>130</v>
      </c>
      <c r="L745" s="24">
        <v>68</v>
      </c>
      <c r="M745">
        <v>240</v>
      </c>
      <c r="N745" t="s">
        <v>1432</v>
      </c>
      <c r="O745">
        <v>61</v>
      </c>
      <c r="P745">
        <v>86</v>
      </c>
      <c r="Q745" t="s">
        <v>24</v>
      </c>
      <c r="R745" t="s">
        <v>24</v>
      </c>
      <c r="S745" t="s">
        <v>39</v>
      </c>
      <c r="T745" t="s">
        <v>24</v>
      </c>
      <c r="U745">
        <f t="shared" si="46"/>
        <v>0</v>
      </c>
      <c r="V745">
        <v>189</v>
      </c>
      <c r="W745">
        <v>0.50900000000000001</v>
      </c>
      <c r="X745" t="s">
        <v>1406</v>
      </c>
      <c r="Y745">
        <v>130</v>
      </c>
      <c r="Z745">
        <v>68</v>
      </c>
      <c r="AA745" t="s">
        <v>31</v>
      </c>
      <c r="AB745">
        <v>149</v>
      </c>
      <c r="AC745" s="23">
        <v>2.44</v>
      </c>
      <c r="AD745" t="str">
        <f>IF(AND('CVD Dataset'!AA745="Normal",'CVD Dataset'!AB745&gt;AVERAGE('CVD Dataset'!AB:AB),'CVD Dataset'!AF745="High"),"High Lipid Category","Normal Category")</f>
        <v>Normal Category</v>
      </c>
      <c r="AF745" t="s">
        <v>28</v>
      </c>
      <c r="AG745">
        <v>0</v>
      </c>
      <c r="AH745" t="s">
        <v>1380</v>
      </c>
      <c r="AI745">
        <f t="shared" si="47"/>
        <v>0</v>
      </c>
      <c r="AJ745" t="s">
        <v>1391</v>
      </c>
    </row>
    <row r="746" spans="1:36" x14ac:dyDescent="0.3">
      <c r="A746" t="s">
        <v>22</v>
      </c>
      <c r="B746">
        <v>54</v>
      </c>
      <c r="C746">
        <v>74.599999999999994</v>
      </c>
      <c r="D746">
        <v>1.86</v>
      </c>
      <c r="E746">
        <v>21.6</v>
      </c>
      <c r="F746">
        <f t="shared" si="45"/>
        <v>21.563186495548614</v>
      </c>
      <c r="G746">
        <f t="shared" si="48"/>
        <v>0</v>
      </c>
      <c r="H746" t="s">
        <v>1398</v>
      </c>
      <c r="I746">
        <v>103.6</v>
      </c>
      <c r="J746" t="s">
        <v>664</v>
      </c>
      <c r="K746" s="24">
        <v>102</v>
      </c>
      <c r="L746" s="24">
        <v>73</v>
      </c>
      <c r="M746">
        <v>279</v>
      </c>
      <c r="N746" t="s">
        <v>1432</v>
      </c>
      <c r="O746">
        <v>38</v>
      </c>
      <c r="P746">
        <v>146</v>
      </c>
      <c r="Q746" t="s">
        <v>24</v>
      </c>
      <c r="R746" t="s">
        <v>24</v>
      </c>
      <c r="S746" t="s">
        <v>26</v>
      </c>
      <c r="T746" t="s">
        <v>25</v>
      </c>
      <c r="U746">
        <f t="shared" si="46"/>
        <v>2</v>
      </c>
      <c r="V746">
        <v>186</v>
      </c>
      <c r="W746">
        <v>0.55700000000000005</v>
      </c>
      <c r="X746" t="s">
        <v>1407</v>
      </c>
      <c r="Y746">
        <v>102</v>
      </c>
      <c r="Z746">
        <v>73</v>
      </c>
      <c r="AA746" t="s">
        <v>35</v>
      </c>
      <c r="AC746" s="23">
        <v>0</v>
      </c>
      <c r="AD746" t="str">
        <f>IF(AND('CVD Dataset'!AA746="Normal",'CVD Dataset'!AB746&gt;AVERAGE('CVD Dataset'!AB:AB),'CVD Dataset'!AF746="High"),"High Lipid Category","Normal Category")</f>
        <v>Normal Category</v>
      </c>
      <c r="AE746">
        <v>15</v>
      </c>
      <c r="AF746" t="s">
        <v>32</v>
      </c>
      <c r="AG746">
        <v>0</v>
      </c>
      <c r="AH746" t="s">
        <v>1379</v>
      </c>
      <c r="AI746">
        <f t="shared" si="47"/>
        <v>1</v>
      </c>
      <c r="AJ746" t="s">
        <v>1391</v>
      </c>
    </row>
    <row r="747" spans="1:36" x14ac:dyDescent="0.3">
      <c r="A747" t="s">
        <v>33</v>
      </c>
      <c r="B747">
        <v>35</v>
      </c>
      <c r="C747">
        <v>86.5</v>
      </c>
      <c r="D747">
        <v>1.8</v>
      </c>
      <c r="E747">
        <v>26.7</v>
      </c>
      <c r="F747">
        <f t="shared" si="45"/>
        <v>26.697530864197528</v>
      </c>
      <c r="G747">
        <f t="shared" si="48"/>
        <v>0</v>
      </c>
      <c r="H747" t="s">
        <v>1400</v>
      </c>
      <c r="I747">
        <v>96.6</v>
      </c>
      <c r="J747" t="s">
        <v>665</v>
      </c>
      <c r="K747" s="24">
        <v>118</v>
      </c>
      <c r="L747" s="24">
        <v>78</v>
      </c>
      <c r="M747">
        <v>284</v>
      </c>
      <c r="N747" t="s">
        <v>1432</v>
      </c>
      <c r="O747">
        <v>39</v>
      </c>
      <c r="P747">
        <v>77</v>
      </c>
      <c r="Q747" t="s">
        <v>25</v>
      </c>
      <c r="R747" t="s">
        <v>24</v>
      </c>
      <c r="S747" t="s">
        <v>30</v>
      </c>
      <c r="T747" t="s">
        <v>24</v>
      </c>
      <c r="U747">
        <f t="shared" si="46"/>
        <v>1</v>
      </c>
      <c r="V747">
        <v>180</v>
      </c>
      <c r="W747">
        <v>0.53700000000000003</v>
      </c>
      <c r="X747" t="s">
        <v>1407</v>
      </c>
      <c r="Y747">
        <v>118</v>
      </c>
      <c r="Z747">
        <v>78</v>
      </c>
      <c r="AA747" t="s">
        <v>35</v>
      </c>
      <c r="AB747">
        <v>215</v>
      </c>
      <c r="AC747" s="23">
        <v>5.51</v>
      </c>
      <c r="AD747" t="str">
        <f>IF(AND('CVD Dataset'!AA747="Normal",'CVD Dataset'!AB747&gt;AVERAGE('CVD Dataset'!AB:AB),'CVD Dataset'!AF747="High"),"High Lipid Category","Normal Category")</f>
        <v>High Lipid Category</v>
      </c>
      <c r="AE747">
        <v>16.920000000000002</v>
      </c>
      <c r="AF747" t="s">
        <v>32</v>
      </c>
      <c r="AG747">
        <v>0</v>
      </c>
      <c r="AH747" t="s">
        <v>1379</v>
      </c>
      <c r="AI747">
        <f t="shared" si="47"/>
        <v>1</v>
      </c>
      <c r="AJ747" t="s">
        <v>1391</v>
      </c>
    </row>
    <row r="748" spans="1:36" x14ac:dyDescent="0.3">
      <c r="A748" t="s">
        <v>22</v>
      </c>
      <c r="B748">
        <v>37</v>
      </c>
      <c r="C748">
        <v>54.9</v>
      </c>
      <c r="D748">
        <v>1.63</v>
      </c>
      <c r="E748">
        <v>20.7</v>
      </c>
      <c r="F748">
        <f t="shared" si="45"/>
        <v>20.663178892694493</v>
      </c>
      <c r="G748">
        <f t="shared" si="48"/>
        <v>0</v>
      </c>
      <c r="H748" t="s">
        <v>1398</v>
      </c>
      <c r="I748">
        <v>75.2</v>
      </c>
      <c r="J748" t="s">
        <v>666</v>
      </c>
      <c r="K748" s="24">
        <v>118</v>
      </c>
      <c r="L748" s="24">
        <v>81</v>
      </c>
      <c r="M748">
        <v>114</v>
      </c>
      <c r="N748" t="s">
        <v>1434</v>
      </c>
      <c r="O748">
        <v>38</v>
      </c>
      <c r="P748">
        <v>110</v>
      </c>
      <c r="Q748" t="s">
        <v>25</v>
      </c>
      <c r="R748" t="s">
        <v>25</v>
      </c>
      <c r="S748" t="s">
        <v>26</v>
      </c>
      <c r="T748" t="s">
        <v>24</v>
      </c>
      <c r="U748">
        <f t="shared" si="46"/>
        <v>3</v>
      </c>
      <c r="V748">
        <v>163</v>
      </c>
      <c r="W748">
        <v>0.46100000000000002</v>
      </c>
      <c r="X748" t="s">
        <v>1406</v>
      </c>
      <c r="Z748">
        <v>81</v>
      </c>
      <c r="AA748" t="s">
        <v>31</v>
      </c>
      <c r="AB748">
        <v>46</v>
      </c>
      <c r="AC748" s="23">
        <v>1.21</v>
      </c>
      <c r="AD748" t="str">
        <f>IF(AND('CVD Dataset'!AA748="Normal",'CVD Dataset'!AB748&gt;AVERAGE('CVD Dataset'!AB:AB),'CVD Dataset'!AF748="High"),"High Lipid Category","Normal Category")</f>
        <v>Normal Category</v>
      </c>
      <c r="AF748" t="s">
        <v>32</v>
      </c>
      <c r="AG748">
        <v>0</v>
      </c>
      <c r="AH748" t="s">
        <v>1379</v>
      </c>
      <c r="AI748">
        <f t="shared" si="47"/>
        <v>1</v>
      </c>
      <c r="AJ748" t="s">
        <v>1391</v>
      </c>
    </row>
    <row r="749" spans="1:36" x14ac:dyDescent="0.3">
      <c r="A749" t="s">
        <v>22</v>
      </c>
      <c r="B749">
        <v>34</v>
      </c>
      <c r="C749">
        <v>61.1</v>
      </c>
      <c r="D749">
        <v>1.75</v>
      </c>
      <c r="E749">
        <v>20</v>
      </c>
      <c r="F749">
        <f t="shared" si="45"/>
        <v>19.951020408163266</v>
      </c>
      <c r="G749">
        <f t="shared" si="48"/>
        <v>0</v>
      </c>
      <c r="H749" t="s">
        <v>1398</v>
      </c>
      <c r="I749">
        <v>71.599999999999994</v>
      </c>
      <c r="J749" t="s">
        <v>667</v>
      </c>
      <c r="K749" s="24">
        <v>108</v>
      </c>
      <c r="L749" s="24">
        <v>100</v>
      </c>
      <c r="M749">
        <v>277</v>
      </c>
      <c r="N749" t="s">
        <v>1432</v>
      </c>
      <c r="O749">
        <v>40</v>
      </c>
      <c r="P749">
        <v>97</v>
      </c>
      <c r="Q749" t="s">
        <v>25</v>
      </c>
      <c r="R749" t="s">
        <v>24</v>
      </c>
      <c r="S749" t="s">
        <v>39</v>
      </c>
      <c r="T749" t="s">
        <v>24</v>
      </c>
      <c r="U749">
        <f t="shared" si="46"/>
        <v>1</v>
      </c>
      <c r="V749">
        <v>175</v>
      </c>
      <c r="W749">
        <v>0.40899999999999997</v>
      </c>
      <c r="X749" t="s">
        <v>1408</v>
      </c>
      <c r="Y749">
        <v>108</v>
      </c>
      <c r="Z749">
        <v>100</v>
      </c>
      <c r="AA749" t="s">
        <v>40</v>
      </c>
      <c r="AB749">
        <v>207</v>
      </c>
      <c r="AC749" s="23">
        <v>5.18</v>
      </c>
      <c r="AD749" t="str">
        <f>IF(AND('CVD Dataset'!AA749="Normal",'CVD Dataset'!AB749&gt;AVERAGE('CVD Dataset'!AB:AB),'CVD Dataset'!AF749="High"),"High Lipid Category","Normal Category")</f>
        <v>Normal Category</v>
      </c>
      <c r="AE749">
        <v>14.94</v>
      </c>
      <c r="AF749" t="s">
        <v>28</v>
      </c>
      <c r="AG749">
        <v>0</v>
      </c>
      <c r="AH749" t="s">
        <v>1380</v>
      </c>
      <c r="AI749">
        <f t="shared" si="47"/>
        <v>0</v>
      </c>
      <c r="AJ749" t="s">
        <v>1391</v>
      </c>
    </row>
    <row r="750" spans="1:36" x14ac:dyDescent="0.3">
      <c r="A750" t="s">
        <v>22</v>
      </c>
      <c r="B750">
        <v>34</v>
      </c>
      <c r="C750">
        <v>67.7</v>
      </c>
      <c r="D750">
        <v>1.81</v>
      </c>
      <c r="F750">
        <f t="shared" si="45"/>
        <v>20.664814871340923</v>
      </c>
      <c r="G750">
        <f t="shared" si="48"/>
        <v>1</v>
      </c>
      <c r="H750" t="s">
        <v>1401</v>
      </c>
      <c r="I750">
        <v>79.8</v>
      </c>
      <c r="J750" t="s">
        <v>356</v>
      </c>
      <c r="K750" s="24">
        <v>135</v>
      </c>
      <c r="L750" s="24">
        <v>91</v>
      </c>
      <c r="M750">
        <v>235</v>
      </c>
      <c r="N750" t="s">
        <v>1432</v>
      </c>
      <c r="O750">
        <v>31</v>
      </c>
      <c r="P750">
        <v>147</v>
      </c>
      <c r="Q750" t="s">
        <v>25</v>
      </c>
      <c r="R750" t="s">
        <v>24</v>
      </c>
      <c r="S750" t="s">
        <v>26</v>
      </c>
      <c r="T750" t="s">
        <v>24</v>
      </c>
      <c r="U750">
        <f t="shared" si="46"/>
        <v>2</v>
      </c>
      <c r="V750">
        <v>181</v>
      </c>
      <c r="W750">
        <v>0.441</v>
      </c>
      <c r="X750" t="s">
        <v>1408</v>
      </c>
      <c r="Z750">
        <v>91</v>
      </c>
      <c r="AA750" t="s">
        <v>31</v>
      </c>
      <c r="AB750">
        <v>174</v>
      </c>
      <c r="AC750" s="23">
        <v>5.61</v>
      </c>
      <c r="AD750" t="str">
        <f>IF(AND('CVD Dataset'!AA750="Normal",'CVD Dataset'!AB750&gt;AVERAGE('CVD Dataset'!AB:AB),'CVD Dataset'!AF750="High"),"High Lipid Category","Normal Category")</f>
        <v>Normal Category</v>
      </c>
      <c r="AE750">
        <v>15.59</v>
      </c>
      <c r="AF750" t="s">
        <v>32</v>
      </c>
      <c r="AG750">
        <v>0</v>
      </c>
      <c r="AH750" t="s">
        <v>1379</v>
      </c>
      <c r="AI750">
        <f t="shared" si="47"/>
        <v>1</v>
      </c>
      <c r="AJ750" t="s">
        <v>1391</v>
      </c>
    </row>
    <row r="751" spans="1:36" x14ac:dyDescent="0.3">
      <c r="A751" t="s">
        <v>22</v>
      </c>
      <c r="B751">
        <v>36</v>
      </c>
      <c r="C751">
        <v>60.2</v>
      </c>
      <c r="D751">
        <v>1.68</v>
      </c>
      <c r="E751">
        <v>21.3</v>
      </c>
      <c r="F751">
        <f t="shared" si="45"/>
        <v>21.329365079365083</v>
      </c>
      <c r="G751">
        <f t="shared" si="48"/>
        <v>0</v>
      </c>
      <c r="H751" t="s">
        <v>1398</v>
      </c>
      <c r="I751">
        <v>104.7</v>
      </c>
      <c r="J751" t="s">
        <v>668</v>
      </c>
      <c r="K751" s="24">
        <v>111</v>
      </c>
      <c r="L751" s="24">
        <v>87</v>
      </c>
      <c r="M751">
        <v>289</v>
      </c>
      <c r="N751" t="s">
        <v>1432</v>
      </c>
      <c r="O751">
        <v>68</v>
      </c>
      <c r="P751">
        <v>116</v>
      </c>
      <c r="Q751" t="s">
        <v>25</v>
      </c>
      <c r="R751" t="s">
        <v>24</v>
      </c>
      <c r="S751" t="s">
        <v>39</v>
      </c>
      <c r="T751" t="s">
        <v>24</v>
      </c>
      <c r="U751">
        <f t="shared" si="46"/>
        <v>1</v>
      </c>
      <c r="V751">
        <v>168</v>
      </c>
      <c r="W751">
        <v>0.623</v>
      </c>
      <c r="X751" t="s">
        <v>1409</v>
      </c>
      <c r="Y751">
        <v>111</v>
      </c>
      <c r="Z751">
        <v>87</v>
      </c>
      <c r="AA751" t="s">
        <v>31</v>
      </c>
      <c r="AB751">
        <v>191</v>
      </c>
      <c r="AC751" s="23">
        <v>2.81</v>
      </c>
      <c r="AD751" t="str">
        <f>IF(AND('CVD Dataset'!AA751="Normal",'CVD Dataset'!AB751&gt;AVERAGE('CVD Dataset'!AB:AB),'CVD Dataset'!AF751="High"),"High Lipid Category","Normal Category")</f>
        <v>Normal Category</v>
      </c>
      <c r="AE751">
        <v>15.59</v>
      </c>
      <c r="AF751" t="s">
        <v>28</v>
      </c>
      <c r="AG751">
        <v>0</v>
      </c>
      <c r="AH751" t="s">
        <v>1380</v>
      </c>
      <c r="AI751">
        <f t="shared" si="47"/>
        <v>0</v>
      </c>
      <c r="AJ751" t="s">
        <v>1391</v>
      </c>
    </row>
    <row r="752" spans="1:36" x14ac:dyDescent="0.3">
      <c r="A752" t="s">
        <v>22</v>
      </c>
      <c r="B752">
        <v>43</v>
      </c>
      <c r="C752">
        <v>72</v>
      </c>
      <c r="D752">
        <v>1.67</v>
      </c>
      <c r="E752">
        <v>25.8</v>
      </c>
      <c r="F752">
        <f t="shared" si="45"/>
        <v>25.816630212628635</v>
      </c>
      <c r="G752">
        <f t="shared" si="48"/>
        <v>0</v>
      </c>
      <c r="H752" t="s">
        <v>1400</v>
      </c>
      <c r="I752">
        <v>84.9</v>
      </c>
      <c r="J752" t="s">
        <v>669</v>
      </c>
      <c r="K752" s="24">
        <v>92</v>
      </c>
      <c r="L752" s="24">
        <v>69</v>
      </c>
      <c r="M752">
        <v>190</v>
      </c>
      <c r="N752" t="s">
        <v>1432</v>
      </c>
      <c r="O752">
        <v>67</v>
      </c>
      <c r="P752">
        <v>144</v>
      </c>
      <c r="Q752" t="s">
        <v>25</v>
      </c>
      <c r="R752" t="s">
        <v>24</v>
      </c>
      <c r="S752" t="s">
        <v>39</v>
      </c>
      <c r="T752" t="s">
        <v>24</v>
      </c>
      <c r="U752">
        <f t="shared" si="46"/>
        <v>1</v>
      </c>
      <c r="V752">
        <v>167</v>
      </c>
      <c r="W752">
        <v>0.50800000000000001</v>
      </c>
      <c r="X752" t="s">
        <v>1406</v>
      </c>
      <c r="Y752">
        <v>92</v>
      </c>
      <c r="Z752">
        <v>69</v>
      </c>
      <c r="AA752" t="s">
        <v>35</v>
      </c>
      <c r="AB752">
        <v>93</v>
      </c>
      <c r="AC752" s="23">
        <v>1.39</v>
      </c>
      <c r="AD752" t="str">
        <f>IF(AND('CVD Dataset'!AA752="Normal",'CVD Dataset'!AB752&gt;AVERAGE('CVD Dataset'!AB:AB),'CVD Dataset'!AF752="High"),"High Lipid Category","Normal Category")</f>
        <v>Normal Category</v>
      </c>
      <c r="AE752">
        <v>13.56</v>
      </c>
      <c r="AF752" t="s">
        <v>28</v>
      </c>
      <c r="AG752">
        <v>0</v>
      </c>
      <c r="AH752" t="s">
        <v>1380</v>
      </c>
      <c r="AI752">
        <f t="shared" si="47"/>
        <v>0</v>
      </c>
      <c r="AJ752" t="s">
        <v>1391</v>
      </c>
    </row>
    <row r="753" spans="1:36" x14ac:dyDescent="0.3">
      <c r="A753" t="s">
        <v>33</v>
      </c>
      <c r="B753">
        <v>55</v>
      </c>
      <c r="C753">
        <v>85</v>
      </c>
      <c r="D753">
        <v>1.75</v>
      </c>
      <c r="E753">
        <v>27.8</v>
      </c>
      <c r="F753">
        <f t="shared" si="45"/>
        <v>27.755102040816325</v>
      </c>
      <c r="G753">
        <f t="shared" si="48"/>
        <v>0</v>
      </c>
      <c r="H753" t="s">
        <v>1400</v>
      </c>
      <c r="I753">
        <v>79.400000000000006</v>
      </c>
      <c r="J753" t="s">
        <v>670</v>
      </c>
      <c r="K753" s="24">
        <v>94</v>
      </c>
      <c r="L753" s="24">
        <v>71</v>
      </c>
      <c r="M753">
        <v>240</v>
      </c>
      <c r="N753" t="s">
        <v>1432</v>
      </c>
      <c r="O753">
        <v>32</v>
      </c>
      <c r="Q753" t="s">
        <v>24</v>
      </c>
      <c r="R753" t="s">
        <v>25</v>
      </c>
      <c r="S753" t="s">
        <v>26</v>
      </c>
      <c r="T753" t="s">
        <v>25</v>
      </c>
      <c r="U753">
        <f t="shared" si="46"/>
        <v>3</v>
      </c>
      <c r="V753">
        <v>175</v>
      </c>
      <c r="W753">
        <v>0.45400000000000001</v>
      </c>
      <c r="X753" t="s">
        <v>1408</v>
      </c>
      <c r="Y753">
        <v>94</v>
      </c>
      <c r="Z753">
        <v>71</v>
      </c>
      <c r="AA753" t="s">
        <v>35</v>
      </c>
      <c r="AB753">
        <v>178</v>
      </c>
      <c r="AC753" s="23">
        <v>5.56</v>
      </c>
      <c r="AD753" t="str">
        <f>IF(AND('CVD Dataset'!AA753="Normal",'CVD Dataset'!AB753&gt;AVERAGE('CVD Dataset'!AB:AB),'CVD Dataset'!AF753="High"),"High Lipid Category","Normal Category")</f>
        <v>High Lipid Category</v>
      </c>
      <c r="AE753">
        <v>17.059999999999999</v>
      </c>
      <c r="AF753" t="s">
        <v>32</v>
      </c>
      <c r="AG753">
        <v>0</v>
      </c>
      <c r="AH753" t="s">
        <v>1379</v>
      </c>
      <c r="AI753">
        <f t="shared" si="47"/>
        <v>1</v>
      </c>
      <c r="AJ753" t="s">
        <v>1391</v>
      </c>
    </row>
    <row r="754" spans="1:36" x14ac:dyDescent="0.3">
      <c r="A754" t="s">
        <v>22</v>
      </c>
      <c r="B754">
        <v>41</v>
      </c>
      <c r="C754">
        <v>80</v>
      </c>
      <c r="D754">
        <v>1.63</v>
      </c>
      <c r="E754">
        <v>30.1</v>
      </c>
      <c r="F754">
        <f t="shared" si="45"/>
        <v>30.110278896458279</v>
      </c>
      <c r="G754">
        <f t="shared" si="48"/>
        <v>0</v>
      </c>
      <c r="H754" t="s">
        <v>1399</v>
      </c>
      <c r="I754">
        <v>84.5</v>
      </c>
      <c r="J754" t="s">
        <v>671</v>
      </c>
      <c r="K754" s="24">
        <v>119</v>
      </c>
      <c r="L754" s="24">
        <v>73</v>
      </c>
      <c r="M754">
        <v>250</v>
      </c>
      <c r="N754" t="s">
        <v>1432</v>
      </c>
      <c r="O754">
        <v>34</v>
      </c>
      <c r="P754">
        <v>122</v>
      </c>
      <c r="Q754" t="s">
        <v>24</v>
      </c>
      <c r="R754" t="s">
        <v>24</v>
      </c>
      <c r="S754" t="s">
        <v>39</v>
      </c>
      <c r="T754" t="s">
        <v>24</v>
      </c>
      <c r="U754">
        <f t="shared" si="46"/>
        <v>0</v>
      </c>
      <c r="V754">
        <v>163</v>
      </c>
      <c r="W754">
        <v>0.51800000000000002</v>
      </c>
      <c r="X754" t="s">
        <v>1406</v>
      </c>
      <c r="Y754">
        <v>119</v>
      </c>
      <c r="Z754">
        <v>73</v>
      </c>
      <c r="AA754" t="s">
        <v>35</v>
      </c>
      <c r="AB754">
        <v>186</v>
      </c>
      <c r="AC754" s="23">
        <v>5.47</v>
      </c>
      <c r="AD754" t="str">
        <f>IF(AND('CVD Dataset'!AA754="Normal",'CVD Dataset'!AB754&gt;AVERAGE('CVD Dataset'!AB:AB),'CVD Dataset'!AF754="High"),"High Lipid Category","Normal Category")</f>
        <v>Normal Category</v>
      </c>
      <c r="AE754">
        <v>16.97</v>
      </c>
      <c r="AF754" t="s">
        <v>28</v>
      </c>
      <c r="AG754">
        <v>0</v>
      </c>
      <c r="AH754" t="s">
        <v>1380</v>
      </c>
      <c r="AI754">
        <f t="shared" si="47"/>
        <v>0</v>
      </c>
      <c r="AJ754" t="s">
        <v>1391</v>
      </c>
    </row>
    <row r="755" spans="1:36" x14ac:dyDescent="0.3">
      <c r="A755" t="s">
        <v>33</v>
      </c>
      <c r="B755">
        <v>39</v>
      </c>
      <c r="C755">
        <v>70.900000000000006</v>
      </c>
      <c r="D755">
        <v>1.85</v>
      </c>
      <c r="E755">
        <v>20.7</v>
      </c>
      <c r="F755">
        <f t="shared" si="45"/>
        <v>20.715850986121257</v>
      </c>
      <c r="G755">
        <f t="shared" si="48"/>
        <v>0</v>
      </c>
      <c r="H755" t="s">
        <v>1398</v>
      </c>
      <c r="I755">
        <v>73.2</v>
      </c>
      <c r="J755" t="s">
        <v>672</v>
      </c>
      <c r="K755" s="24">
        <v>127</v>
      </c>
      <c r="L755" s="24">
        <v>86</v>
      </c>
      <c r="M755">
        <v>172</v>
      </c>
      <c r="N755" t="s">
        <v>1433</v>
      </c>
      <c r="O755">
        <v>34</v>
      </c>
      <c r="P755">
        <v>133</v>
      </c>
      <c r="Q755" t="s">
        <v>25</v>
      </c>
      <c r="R755" t="s">
        <v>25</v>
      </c>
      <c r="S755" t="s">
        <v>30</v>
      </c>
      <c r="T755" t="s">
        <v>25</v>
      </c>
      <c r="U755">
        <f t="shared" si="46"/>
        <v>3</v>
      </c>
      <c r="V755">
        <v>185</v>
      </c>
      <c r="W755">
        <v>0.39600000000000002</v>
      </c>
      <c r="X755" t="s">
        <v>1408</v>
      </c>
      <c r="Y755">
        <v>127</v>
      </c>
      <c r="Z755">
        <v>86</v>
      </c>
      <c r="AA755" t="s">
        <v>31</v>
      </c>
      <c r="AB755">
        <v>108</v>
      </c>
      <c r="AC755" s="23">
        <v>3.18</v>
      </c>
      <c r="AD755" t="str">
        <f>IF(AND('CVD Dataset'!AA755="Normal",'CVD Dataset'!AB755&gt;AVERAGE('CVD Dataset'!AB:AB),'CVD Dataset'!AF755="High"),"High Lipid Category","Normal Category")</f>
        <v>Normal Category</v>
      </c>
      <c r="AE755">
        <v>15.93</v>
      </c>
      <c r="AF755" t="s">
        <v>32</v>
      </c>
      <c r="AG755">
        <v>0</v>
      </c>
      <c r="AH755" t="s">
        <v>1379</v>
      </c>
      <c r="AI755">
        <f t="shared" si="47"/>
        <v>1</v>
      </c>
      <c r="AJ755" t="s">
        <v>1391</v>
      </c>
    </row>
    <row r="756" spans="1:36" x14ac:dyDescent="0.3">
      <c r="A756" t="s">
        <v>22</v>
      </c>
      <c r="C756">
        <v>79.599999999999994</v>
      </c>
      <c r="D756">
        <v>1.88</v>
      </c>
      <c r="E756">
        <v>22.5</v>
      </c>
      <c r="F756">
        <f t="shared" si="45"/>
        <v>22.521502942507922</v>
      </c>
      <c r="G756">
        <f t="shared" si="48"/>
        <v>0</v>
      </c>
      <c r="H756" t="s">
        <v>1398</v>
      </c>
      <c r="I756">
        <v>97</v>
      </c>
      <c r="J756" t="s">
        <v>673</v>
      </c>
      <c r="K756" s="24">
        <v>114</v>
      </c>
      <c r="L756" s="24">
        <v>85</v>
      </c>
      <c r="M756">
        <v>194</v>
      </c>
      <c r="N756" t="s">
        <v>1432</v>
      </c>
      <c r="O756">
        <v>76</v>
      </c>
      <c r="P756">
        <v>90</v>
      </c>
      <c r="Q756" t="s">
        <v>25</v>
      </c>
      <c r="R756" t="s">
        <v>24</v>
      </c>
      <c r="S756" t="s">
        <v>39</v>
      </c>
      <c r="T756" t="s">
        <v>24</v>
      </c>
      <c r="U756">
        <f t="shared" si="46"/>
        <v>1</v>
      </c>
      <c r="V756">
        <v>188</v>
      </c>
      <c r="W756">
        <v>0.51600000000000001</v>
      </c>
      <c r="X756" t="s">
        <v>1406</v>
      </c>
      <c r="Y756">
        <v>114</v>
      </c>
      <c r="Z756">
        <v>85</v>
      </c>
      <c r="AA756" t="s">
        <v>31</v>
      </c>
      <c r="AC756" s="23">
        <v>0</v>
      </c>
      <c r="AD756" t="str">
        <f>IF(AND('CVD Dataset'!AA756="Normal",'CVD Dataset'!AB756&gt;AVERAGE('CVD Dataset'!AB:AB),'CVD Dataset'!AF756="High"),"High Lipid Category","Normal Category")</f>
        <v>Normal Category</v>
      </c>
      <c r="AE756">
        <v>14.08</v>
      </c>
      <c r="AF756" t="s">
        <v>28</v>
      </c>
      <c r="AG756">
        <v>0</v>
      </c>
      <c r="AH756" t="s">
        <v>1380</v>
      </c>
      <c r="AI756">
        <f t="shared" si="47"/>
        <v>0</v>
      </c>
      <c r="AJ756" t="s">
        <v>1391</v>
      </c>
    </row>
    <row r="757" spans="1:36" x14ac:dyDescent="0.3">
      <c r="A757" t="s">
        <v>33</v>
      </c>
      <c r="B757">
        <v>58</v>
      </c>
      <c r="C757">
        <v>117.8</v>
      </c>
      <c r="D757">
        <v>1.66</v>
      </c>
      <c r="E757">
        <v>42.7</v>
      </c>
      <c r="F757">
        <f t="shared" si="45"/>
        <v>42.749310494992017</v>
      </c>
      <c r="G757">
        <f t="shared" si="48"/>
        <v>0</v>
      </c>
      <c r="H757" t="s">
        <v>1399</v>
      </c>
      <c r="I757">
        <v>103.3</v>
      </c>
      <c r="J757" t="s">
        <v>674</v>
      </c>
      <c r="K757" s="24">
        <v>113</v>
      </c>
      <c r="L757" s="24">
        <v>73</v>
      </c>
      <c r="M757">
        <v>249</v>
      </c>
      <c r="N757" t="s">
        <v>1432</v>
      </c>
      <c r="O757">
        <v>71</v>
      </c>
      <c r="P757">
        <v>122</v>
      </c>
      <c r="Q757" t="s">
        <v>25</v>
      </c>
      <c r="R757" t="s">
        <v>24</v>
      </c>
      <c r="S757" t="s">
        <v>26</v>
      </c>
      <c r="T757" t="s">
        <v>24</v>
      </c>
      <c r="U757">
        <f t="shared" si="46"/>
        <v>2</v>
      </c>
      <c r="V757">
        <v>166</v>
      </c>
      <c r="W757">
        <v>0.622</v>
      </c>
      <c r="X757" t="s">
        <v>1409</v>
      </c>
      <c r="Y757">
        <v>113</v>
      </c>
      <c r="Z757">
        <v>73</v>
      </c>
      <c r="AA757" t="s">
        <v>35</v>
      </c>
      <c r="AB757">
        <v>148</v>
      </c>
      <c r="AC757" s="23">
        <v>2.08</v>
      </c>
      <c r="AD757" t="str">
        <f>IF(AND('CVD Dataset'!AA757="Normal",'CVD Dataset'!AB757&gt;AVERAGE('CVD Dataset'!AB:AB),'CVD Dataset'!AF757="High"),"High Lipid Category","Normal Category")</f>
        <v>High Lipid Category</v>
      </c>
      <c r="AE757">
        <v>19.170000000000002</v>
      </c>
      <c r="AF757" t="s">
        <v>32</v>
      </c>
      <c r="AG757">
        <v>1</v>
      </c>
      <c r="AH757" t="s">
        <v>1379</v>
      </c>
      <c r="AI757">
        <f t="shared" si="47"/>
        <v>1</v>
      </c>
      <c r="AJ757" t="s">
        <v>1391</v>
      </c>
    </row>
    <row r="758" spans="1:36" x14ac:dyDescent="0.3">
      <c r="A758" t="s">
        <v>22</v>
      </c>
      <c r="B758">
        <v>35</v>
      </c>
      <c r="C758">
        <v>116.2</v>
      </c>
      <c r="D758">
        <v>1.83</v>
      </c>
      <c r="E758">
        <v>34.700000000000003</v>
      </c>
      <c r="F758">
        <f t="shared" si="45"/>
        <v>34.697960524351274</v>
      </c>
      <c r="G758">
        <f t="shared" si="48"/>
        <v>0</v>
      </c>
      <c r="H758" t="s">
        <v>1399</v>
      </c>
      <c r="I758">
        <v>108.4</v>
      </c>
      <c r="J758" t="s">
        <v>675</v>
      </c>
      <c r="K758" s="24">
        <v>119</v>
      </c>
      <c r="L758" s="24">
        <v>66</v>
      </c>
      <c r="M758">
        <v>220</v>
      </c>
      <c r="N758" t="s">
        <v>1432</v>
      </c>
      <c r="O758">
        <v>62</v>
      </c>
      <c r="P758">
        <v>135</v>
      </c>
      <c r="Q758" t="s">
        <v>24</v>
      </c>
      <c r="R758" t="s">
        <v>25</v>
      </c>
      <c r="S758" t="s">
        <v>39</v>
      </c>
      <c r="T758" t="s">
        <v>24</v>
      </c>
      <c r="U758">
        <f t="shared" si="46"/>
        <v>1</v>
      </c>
      <c r="V758">
        <v>183</v>
      </c>
      <c r="W758">
        <v>0.59199999999999997</v>
      </c>
      <c r="X758" t="s">
        <v>1409</v>
      </c>
      <c r="Y758">
        <v>119</v>
      </c>
      <c r="Z758">
        <v>66</v>
      </c>
      <c r="AA758" t="s">
        <v>35</v>
      </c>
      <c r="AB758">
        <v>128</v>
      </c>
      <c r="AC758" s="23">
        <v>2.06</v>
      </c>
      <c r="AD758" t="str">
        <f>IF(AND('CVD Dataset'!AA758="Normal",'CVD Dataset'!AB758&gt;AVERAGE('CVD Dataset'!AB:AB),'CVD Dataset'!AF758="High"),"High Lipid Category","Normal Category")</f>
        <v>Normal Category</v>
      </c>
      <c r="AE758">
        <v>19.29</v>
      </c>
      <c r="AF758" t="s">
        <v>28</v>
      </c>
      <c r="AG758">
        <v>0</v>
      </c>
      <c r="AH758" t="s">
        <v>1380</v>
      </c>
      <c r="AI758">
        <f t="shared" si="47"/>
        <v>0</v>
      </c>
      <c r="AJ758" t="s">
        <v>1391</v>
      </c>
    </row>
    <row r="759" spans="1:36" x14ac:dyDescent="0.3">
      <c r="A759" t="s">
        <v>22</v>
      </c>
      <c r="B759">
        <v>41</v>
      </c>
      <c r="C759">
        <v>103.9</v>
      </c>
      <c r="D759">
        <v>1.9</v>
      </c>
      <c r="E759">
        <v>28.8</v>
      </c>
      <c r="F759">
        <f t="shared" si="45"/>
        <v>28.78116343490305</v>
      </c>
      <c r="G759">
        <f t="shared" si="48"/>
        <v>0</v>
      </c>
      <c r="H759" t="s">
        <v>1400</v>
      </c>
      <c r="I759">
        <v>82.4</v>
      </c>
      <c r="J759" t="s">
        <v>676</v>
      </c>
      <c r="K759" s="24">
        <v>142</v>
      </c>
      <c r="L759" s="24">
        <v>93</v>
      </c>
      <c r="M759">
        <v>110</v>
      </c>
      <c r="N759" t="s">
        <v>1434</v>
      </c>
      <c r="P759">
        <v>127</v>
      </c>
      <c r="Q759" t="s">
        <v>25</v>
      </c>
      <c r="R759" t="s">
        <v>25</v>
      </c>
      <c r="S759" t="s">
        <v>39</v>
      </c>
      <c r="T759" t="s">
        <v>25</v>
      </c>
      <c r="U759">
        <f t="shared" si="46"/>
        <v>3</v>
      </c>
      <c r="V759">
        <v>190</v>
      </c>
      <c r="W759">
        <v>0.434</v>
      </c>
      <c r="X759" t="s">
        <v>1408</v>
      </c>
      <c r="Y759">
        <v>142</v>
      </c>
      <c r="Z759">
        <v>93</v>
      </c>
      <c r="AA759" t="s">
        <v>40</v>
      </c>
      <c r="AB759">
        <v>18</v>
      </c>
      <c r="AC759" s="23" t="s">
        <v>1410</v>
      </c>
      <c r="AD759" t="str">
        <f>IF(AND('CVD Dataset'!AA759="Normal",'CVD Dataset'!AB759&gt;AVERAGE('CVD Dataset'!AB:AB),'CVD Dataset'!AF759="High"),"High Lipid Category","Normal Category")</f>
        <v>Normal Category</v>
      </c>
      <c r="AE759">
        <v>17.059999999999999</v>
      </c>
      <c r="AF759" t="s">
        <v>32</v>
      </c>
      <c r="AG759">
        <v>0</v>
      </c>
      <c r="AH759" t="s">
        <v>1379</v>
      </c>
      <c r="AI759">
        <f t="shared" si="47"/>
        <v>1</v>
      </c>
      <c r="AJ759" t="s">
        <v>1391</v>
      </c>
    </row>
    <row r="760" spans="1:36" x14ac:dyDescent="0.3">
      <c r="A760" t="s">
        <v>33</v>
      </c>
      <c r="B760">
        <v>51</v>
      </c>
      <c r="C760">
        <v>50.5</v>
      </c>
      <c r="D760">
        <v>1.66</v>
      </c>
      <c r="E760">
        <v>18.3</v>
      </c>
      <c r="F760">
        <f t="shared" si="45"/>
        <v>18.326317317462621</v>
      </c>
      <c r="G760">
        <f t="shared" si="48"/>
        <v>0</v>
      </c>
      <c r="H760" t="s">
        <v>1401</v>
      </c>
      <c r="I760">
        <v>108</v>
      </c>
      <c r="J760" t="s">
        <v>677</v>
      </c>
      <c r="K760" s="24">
        <v>148</v>
      </c>
      <c r="L760" s="24">
        <v>73</v>
      </c>
      <c r="M760">
        <v>208</v>
      </c>
      <c r="N760" t="s">
        <v>1432</v>
      </c>
      <c r="O760">
        <v>40</v>
      </c>
      <c r="P760">
        <v>80</v>
      </c>
      <c r="Q760" t="s">
        <v>25</v>
      </c>
      <c r="R760" t="s">
        <v>25</v>
      </c>
      <c r="S760" t="s">
        <v>39</v>
      </c>
      <c r="T760" t="s">
        <v>25</v>
      </c>
      <c r="U760">
        <f t="shared" si="46"/>
        <v>3</v>
      </c>
      <c r="V760">
        <v>166</v>
      </c>
      <c r="W760">
        <v>0.65100000000000002</v>
      </c>
      <c r="X760" t="s">
        <v>1409</v>
      </c>
      <c r="Y760">
        <v>148</v>
      </c>
      <c r="Z760">
        <v>73</v>
      </c>
      <c r="AA760" t="s">
        <v>40</v>
      </c>
      <c r="AB760">
        <v>138</v>
      </c>
      <c r="AC760" s="23">
        <v>3.45</v>
      </c>
      <c r="AD760" t="str">
        <f>IF(AND('CVD Dataset'!AA760="Normal",'CVD Dataset'!AB760&gt;AVERAGE('CVD Dataset'!AB:AB),'CVD Dataset'!AF760="High"),"High Lipid Category","Normal Category")</f>
        <v>Normal Category</v>
      </c>
      <c r="AE760">
        <v>17.22</v>
      </c>
      <c r="AF760" t="s">
        <v>32</v>
      </c>
      <c r="AG760">
        <v>0</v>
      </c>
      <c r="AH760" t="s">
        <v>1379</v>
      </c>
      <c r="AI760">
        <f t="shared" si="47"/>
        <v>1</v>
      </c>
      <c r="AJ760" t="s">
        <v>1392</v>
      </c>
    </row>
    <row r="761" spans="1:36" x14ac:dyDescent="0.3">
      <c r="A761" t="s">
        <v>33</v>
      </c>
      <c r="C761">
        <v>55.6</v>
      </c>
      <c r="D761">
        <v>1.83</v>
      </c>
      <c r="E761">
        <v>16.600000000000001</v>
      </c>
      <c r="F761">
        <f t="shared" si="45"/>
        <v>16.602466481531248</v>
      </c>
      <c r="G761">
        <f t="shared" si="48"/>
        <v>0</v>
      </c>
      <c r="H761" t="s">
        <v>1401</v>
      </c>
      <c r="I761">
        <v>104.8</v>
      </c>
      <c r="J761" t="s">
        <v>678</v>
      </c>
      <c r="K761" s="24">
        <v>126</v>
      </c>
      <c r="L761" s="24">
        <v>95</v>
      </c>
      <c r="M761">
        <v>289</v>
      </c>
      <c r="N761" t="s">
        <v>1432</v>
      </c>
      <c r="O761">
        <v>58</v>
      </c>
      <c r="P761">
        <v>135</v>
      </c>
      <c r="Q761" t="s">
        <v>25</v>
      </c>
      <c r="R761" t="s">
        <v>24</v>
      </c>
      <c r="S761" t="s">
        <v>30</v>
      </c>
      <c r="T761" t="s">
        <v>24</v>
      </c>
      <c r="U761">
        <f t="shared" si="46"/>
        <v>1</v>
      </c>
      <c r="V761">
        <v>183</v>
      </c>
      <c r="W761">
        <v>0.57299999999999995</v>
      </c>
      <c r="X761" t="s">
        <v>1407</v>
      </c>
      <c r="Y761">
        <v>126</v>
      </c>
      <c r="Z761">
        <v>95</v>
      </c>
      <c r="AA761" t="s">
        <v>40</v>
      </c>
      <c r="AB761">
        <v>201</v>
      </c>
      <c r="AC761" s="23">
        <v>3.47</v>
      </c>
      <c r="AD761" t="str">
        <f>IF(AND('CVD Dataset'!AA761="Normal",'CVD Dataset'!AB761&gt;AVERAGE('CVD Dataset'!AB:AB),'CVD Dataset'!AF761="High"),"High Lipid Category","Normal Category")</f>
        <v>Normal Category</v>
      </c>
      <c r="AE761">
        <v>15.4</v>
      </c>
      <c r="AF761" t="s">
        <v>28</v>
      </c>
      <c r="AG761">
        <v>0</v>
      </c>
      <c r="AH761" t="s">
        <v>1380</v>
      </c>
      <c r="AI761">
        <f t="shared" si="47"/>
        <v>0</v>
      </c>
      <c r="AJ761" t="s">
        <v>1391</v>
      </c>
    </row>
    <row r="762" spans="1:36" x14ac:dyDescent="0.3">
      <c r="A762" t="s">
        <v>22</v>
      </c>
      <c r="B762">
        <v>52</v>
      </c>
      <c r="C762">
        <v>98.9</v>
      </c>
      <c r="D762">
        <v>1.78</v>
      </c>
      <c r="E762">
        <v>31.2</v>
      </c>
      <c r="F762">
        <f t="shared" si="45"/>
        <v>31.214493119555613</v>
      </c>
      <c r="G762">
        <f t="shared" si="48"/>
        <v>0</v>
      </c>
      <c r="H762" t="s">
        <v>1399</v>
      </c>
      <c r="I762">
        <v>86.4</v>
      </c>
      <c r="J762" t="s">
        <v>679</v>
      </c>
      <c r="K762" s="24">
        <v>138</v>
      </c>
      <c r="L762" s="24">
        <v>84</v>
      </c>
      <c r="M762">
        <v>277</v>
      </c>
      <c r="N762" t="s">
        <v>1432</v>
      </c>
      <c r="O762">
        <v>36</v>
      </c>
      <c r="P762">
        <v>88</v>
      </c>
      <c r="Q762" t="s">
        <v>25</v>
      </c>
      <c r="R762" t="s">
        <v>25</v>
      </c>
      <c r="S762" t="s">
        <v>39</v>
      </c>
      <c r="T762" t="s">
        <v>25</v>
      </c>
      <c r="U762">
        <f t="shared" si="46"/>
        <v>3</v>
      </c>
      <c r="V762">
        <v>178</v>
      </c>
      <c r="W762">
        <v>0.48499999999999999</v>
      </c>
      <c r="X762" t="s">
        <v>1406</v>
      </c>
      <c r="Y762">
        <v>138</v>
      </c>
      <c r="Z762">
        <v>84</v>
      </c>
      <c r="AA762" t="s">
        <v>31</v>
      </c>
      <c r="AB762">
        <v>211</v>
      </c>
      <c r="AC762" s="23">
        <v>5.86</v>
      </c>
      <c r="AD762" t="str">
        <f>IF(AND('CVD Dataset'!AA762="Normal",'CVD Dataset'!AB762&gt;AVERAGE('CVD Dataset'!AB:AB),'CVD Dataset'!AF762="High"),"High Lipid Category","Normal Category")</f>
        <v>Normal Category</v>
      </c>
      <c r="AE762">
        <v>20.68</v>
      </c>
      <c r="AF762" t="s">
        <v>32</v>
      </c>
      <c r="AG762">
        <v>0</v>
      </c>
      <c r="AH762" t="s">
        <v>1379</v>
      </c>
      <c r="AI762">
        <f t="shared" si="47"/>
        <v>1</v>
      </c>
      <c r="AJ762" t="s">
        <v>1392</v>
      </c>
    </row>
    <row r="763" spans="1:36" x14ac:dyDescent="0.3">
      <c r="A763" t="s">
        <v>33</v>
      </c>
      <c r="B763">
        <v>51</v>
      </c>
      <c r="C763">
        <v>72.8</v>
      </c>
      <c r="D763">
        <v>1.81</v>
      </c>
      <c r="E763">
        <v>22.2</v>
      </c>
      <c r="F763">
        <f t="shared" si="45"/>
        <v>22.22154390891609</v>
      </c>
      <c r="G763">
        <f t="shared" si="48"/>
        <v>0</v>
      </c>
      <c r="H763" t="s">
        <v>1398</v>
      </c>
      <c r="J763" t="s">
        <v>680</v>
      </c>
      <c r="K763" s="24">
        <v>126</v>
      </c>
      <c r="L763" s="24">
        <v>82</v>
      </c>
      <c r="M763">
        <v>101</v>
      </c>
      <c r="N763" t="s">
        <v>1434</v>
      </c>
      <c r="O763">
        <v>78</v>
      </c>
      <c r="P763">
        <v>76</v>
      </c>
      <c r="Q763" t="s">
        <v>24</v>
      </c>
      <c r="R763" t="s">
        <v>24</v>
      </c>
      <c r="S763" t="s">
        <v>39</v>
      </c>
      <c r="T763" t="s">
        <v>25</v>
      </c>
      <c r="U763">
        <f t="shared" si="46"/>
        <v>1</v>
      </c>
      <c r="V763">
        <v>181</v>
      </c>
      <c r="W763">
        <v>0.50800000000000001</v>
      </c>
      <c r="X763" t="s">
        <v>1406</v>
      </c>
      <c r="Y763">
        <v>126</v>
      </c>
      <c r="Z763">
        <v>82</v>
      </c>
      <c r="AA763" t="s">
        <v>31</v>
      </c>
      <c r="AB763">
        <v>-7</v>
      </c>
      <c r="AC763" s="23">
        <v>-0.09</v>
      </c>
      <c r="AD763" t="str">
        <f>IF(AND('CVD Dataset'!AA763="Normal",'CVD Dataset'!AB763&gt;AVERAGE('CVD Dataset'!AB:AB),'CVD Dataset'!AF763="High"),"High Lipid Category","Normal Category")</f>
        <v>Normal Category</v>
      </c>
      <c r="AE763">
        <v>12.76</v>
      </c>
      <c r="AF763" t="s">
        <v>28</v>
      </c>
      <c r="AG763">
        <v>0</v>
      </c>
      <c r="AH763" t="s">
        <v>1380</v>
      </c>
      <c r="AI763">
        <f t="shared" si="47"/>
        <v>0</v>
      </c>
      <c r="AJ763" t="s">
        <v>1391</v>
      </c>
    </row>
    <row r="764" spans="1:36" x14ac:dyDescent="0.3">
      <c r="A764" t="s">
        <v>22</v>
      </c>
      <c r="B764">
        <v>49</v>
      </c>
      <c r="C764">
        <v>85.8</v>
      </c>
      <c r="D764">
        <v>1.78</v>
      </c>
      <c r="E764">
        <v>27.1</v>
      </c>
      <c r="F764">
        <f t="shared" si="45"/>
        <v>27.079914152253501</v>
      </c>
      <c r="G764">
        <f t="shared" si="48"/>
        <v>0</v>
      </c>
      <c r="H764" t="s">
        <v>1400</v>
      </c>
      <c r="I764">
        <v>76.900000000000006</v>
      </c>
      <c r="J764" t="s">
        <v>189</v>
      </c>
      <c r="K764" s="24">
        <v>121</v>
      </c>
      <c r="L764" s="24">
        <v>67</v>
      </c>
      <c r="M764">
        <v>136</v>
      </c>
      <c r="N764" t="s">
        <v>1434</v>
      </c>
      <c r="O764">
        <v>31</v>
      </c>
      <c r="P764">
        <v>125</v>
      </c>
      <c r="Q764" t="s">
        <v>24</v>
      </c>
      <c r="R764" t="s">
        <v>25</v>
      </c>
      <c r="S764" t="s">
        <v>39</v>
      </c>
      <c r="T764" t="s">
        <v>24</v>
      </c>
      <c r="U764">
        <f t="shared" si="46"/>
        <v>1</v>
      </c>
      <c r="V764">
        <v>178</v>
      </c>
      <c r="W764">
        <v>0.432</v>
      </c>
      <c r="X764" t="s">
        <v>1408</v>
      </c>
      <c r="Y764">
        <v>121</v>
      </c>
      <c r="Z764">
        <v>67</v>
      </c>
      <c r="AA764" t="s">
        <v>27</v>
      </c>
      <c r="AB764">
        <v>75</v>
      </c>
      <c r="AC764" s="23">
        <v>2.42</v>
      </c>
      <c r="AD764" t="str">
        <f>IF(AND('CVD Dataset'!AA764="Normal",'CVD Dataset'!AB764&gt;AVERAGE('CVD Dataset'!AB:AB),'CVD Dataset'!AF764="High"),"High Lipid Category","Normal Category")</f>
        <v>Normal Category</v>
      </c>
      <c r="AE764">
        <v>16.190000000000001</v>
      </c>
      <c r="AF764" t="s">
        <v>32</v>
      </c>
      <c r="AG764">
        <v>0</v>
      </c>
      <c r="AH764" t="s">
        <v>1379</v>
      </c>
      <c r="AI764">
        <f t="shared" si="47"/>
        <v>1</v>
      </c>
      <c r="AJ764" t="s">
        <v>1391</v>
      </c>
    </row>
    <row r="765" spans="1:36" x14ac:dyDescent="0.3">
      <c r="A765" t="s">
        <v>22</v>
      </c>
      <c r="B765">
        <v>37</v>
      </c>
      <c r="D765">
        <v>1.87</v>
      </c>
      <c r="E765">
        <v>25.9</v>
      </c>
      <c r="F765">
        <f t="shared" si="45"/>
        <v>0</v>
      </c>
      <c r="G765">
        <f t="shared" si="48"/>
        <v>1</v>
      </c>
      <c r="H765" t="s">
        <v>1400</v>
      </c>
      <c r="I765">
        <v>87.6</v>
      </c>
      <c r="J765" t="s">
        <v>681</v>
      </c>
      <c r="K765" s="24">
        <v>113</v>
      </c>
      <c r="L765" s="24">
        <v>75</v>
      </c>
      <c r="M765">
        <v>252</v>
      </c>
      <c r="N765" t="s">
        <v>1432</v>
      </c>
      <c r="O765">
        <v>79</v>
      </c>
      <c r="P765">
        <v>133</v>
      </c>
      <c r="Q765" t="s">
        <v>25</v>
      </c>
      <c r="R765" t="s">
        <v>25</v>
      </c>
      <c r="S765" t="s">
        <v>30</v>
      </c>
      <c r="T765" t="s">
        <v>25</v>
      </c>
      <c r="U765">
        <f t="shared" si="46"/>
        <v>3</v>
      </c>
      <c r="V765">
        <v>187</v>
      </c>
      <c r="W765">
        <v>0.46800000000000003</v>
      </c>
      <c r="X765" t="s">
        <v>1406</v>
      </c>
      <c r="Y765">
        <v>113</v>
      </c>
      <c r="Z765">
        <v>75</v>
      </c>
      <c r="AA765" t="s">
        <v>35</v>
      </c>
      <c r="AB765">
        <v>143</v>
      </c>
      <c r="AC765" s="23">
        <v>1.81</v>
      </c>
      <c r="AD765" t="str">
        <f>IF(AND('CVD Dataset'!AA765="Normal",'CVD Dataset'!AB765&gt;AVERAGE('CVD Dataset'!AB:AB),'CVD Dataset'!AF765="High"),"High Lipid Category","Normal Category")</f>
        <v>High Lipid Category</v>
      </c>
      <c r="AE765">
        <v>17.87</v>
      </c>
      <c r="AF765" t="s">
        <v>32</v>
      </c>
      <c r="AG765">
        <v>1</v>
      </c>
      <c r="AH765" t="s">
        <v>1379</v>
      </c>
      <c r="AI765">
        <f t="shared" si="47"/>
        <v>1</v>
      </c>
      <c r="AJ765" t="s">
        <v>1391</v>
      </c>
    </row>
    <row r="766" spans="1:36" x14ac:dyDescent="0.3">
      <c r="A766" t="s">
        <v>22</v>
      </c>
      <c r="B766">
        <v>60</v>
      </c>
      <c r="C766">
        <v>71.3</v>
      </c>
      <c r="D766">
        <v>1.68</v>
      </c>
      <c r="E766">
        <v>25.3</v>
      </c>
      <c r="F766">
        <f t="shared" si="45"/>
        <v>25.262188208616784</v>
      </c>
      <c r="G766">
        <f t="shared" si="48"/>
        <v>0</v>
      </c>
      <c r="H766" t="s">
        <v>1400</v>
      </c>
      <c r="I766">
        <v>95.3</v>
      </c>
      <c r="J766" t="s">
        <v>682</v>
      </c>
      <c r="K766" s="24">
        <v>92</v>
      </c>
      <c r="L766" s="24">
        <v>70</v>
      </c>
      <c r="M766">
        <v>271</v>
      </c>
      <c r="N766" t="s">
        <v>1432</v>
      </c>
      <c r="O766">
        <v>59</v>
      </c>
      <c r="P766">
        <v>93</v>
      </c>
      <c r="Q766" t="s">
        <v>25</v>
      </c>
      <c r="R766" t="s">
        <v>25</v>
      </c>
      <c r="S766" t="s">
        <v>30</v>
      </c>
      <c r="T766" t="s">
        <v>25</v>
      </c>
      <c r="U766">
        <f t="shared" si="46"/>
        <v>3</v>
      </c>
      <c r="V766">
        <v>168</v>
      </c>
      <c r="X766" t="s">
        <v>1410</v>
      </c>
      <c r="Y766">
        <v>92</v>
      </c>
      <c r="Z766">
        <v>70</v>
      </c>
      <c r="AA766" t="s">
        <v>35</v>
      </c>
      <c r="AB766">
        <v>182</v>
      </c>
      <c r="AC766" s="23">
        <v>3.08</v>
      </c>
      <c r="AD766" t="str">
        <f>IF(AND('CVD Dataset'!AA766="Normal",'CVD Dataset'!AB766&gt;AVERAGE('CVD Dataset'!AB:AB),'CVD Dataset'!AF766="High"),"High Lipid Category","Normal Category")</f>
        <v>High Lipid Category</v>
      </c>
      <c r="AE766">
        <v>17.079999999999998</v>
      </c>
      <c r="AF766" t="s">
        <v>32</v>
      </c>
      <c r="AG766">
        <v>0</v>
      </c>
      <c r="AH766" t="s">
        <v>1379</v>
      </c>
      <c r="AI766">
        <f t="shared" si="47"/>
        <v>1</v>
      </c>
      <c r="AJ766" t="s">
        <v>1391</v>
      </c>
    </row>
    <row r="767" spans="1:36" x14ac:dyDescent="0.3">
      <c r="A767" t="s">
        <v>22</v>
      </c>
      <c r="B767">
        <v>31</v>
      </c>
      <c r="C767">
        <v>94.5</v>
      </c>
      <c r="D767">
        <v>1.82</v>
      </c>
      <c r="E767">
        <v>28.5</v>
      </c>
      <c r="F767">
        <f t="shared" si="45"/>
        <v>28.529163144547759</v>
      </c>
      <c r="G767">
        <f t="shared" si="48"/>
        <v>0</v>
      </c>
      <c r="H767" t="s">
        <v>1400</v>
      </c>
      <c r="I767">
        <v>74.599999999999994</v>
      </c>
      <c r="J767" t="s">
        <v>683</v>
      </c>
      <c r="K767" s="24">
        <v>90</v>
      </c>
      <c r="L767" s="24">
        <v>79</v>
      </c>
      <c r="M767">
        <v>115</v>
      </c>
      <c r="N767" t="s">
        <v>1434</v>
      </c>
      <c r="P767">
        <v>144</v>
      </c>
      <c r="Q767" t="s">
        <v>25</v>
      </c>
      <c r="R767" t="s">
        <v>25</v>
      </c>
      <c r="S767" t="s">
        <v>39</v>
      </c>
      <c r="T767" t="s">
        <v>24</v>
      </c>
      <c r="U767">
        <f t="shared" si="46"/>
        <v>2</v>
      </c>
      <c r="V767">
        <v>182</v>
      </c>
      <c r="W767">
        <v>0.41</v>
      </c>
      <c r="X767" t="s">
        <v>1408</v>
      </c>
      <c r="Y767">
        <v>90</v>
      </c>
      <c r="Z767">
        <v>79</v>
      </c>
      <c r="AA767" t="s">
        <v>35</v>
      </c>
      <c r="AB767">
        <v>13</v>
      </c>
      <c r="AC767" s="23" t="s">
        <v>1410</v>
      </c>
      <c r="AD767" t="str">
        <f>IF(AND('CVD Dataset'!AA767="Normal",'CVD Dataset'!AB767&gt;AVERAGE('CVD Dataset'!AB:AB),'CVD Dataset'!AF767="High"),"High Lipid Category","Normal Category")</f>
        <v>Normal Category</v>
      </c>
      <c r="AE767">
        <v>14.5</v>
      </c>
      <c r="AF767" t="s">
        <v>28</v>
      </c>
      <c r="AG767">
        <v>0</v>
      </c>
      <c r="AH767" t="s">
        <v>1380</v>
      </c>
      <c r="AI767">
        <f t="shared" si="47"/>
        <v>0</v>
      </c>
      <c r="AJ767" t="s">
        <v>1391</v>
      </c>
    </row>
    <row r="768" spans="1:36" x14ac:dyDescent="0.3">
      <c r="A768" t="s">
        <v>22</v>
      </c>
      <c r="B768">
        <v>36</v>
      </c>
      <c r="C768">
        <v>62.1</v>
      </c>
      <c r="D768">
        <v>1.76</v>
      </c>
      <c r="E768">
        <v>20</v>
      </c>
      <c r="F768">
        <f t="shared" si="45"/>
        <v>20.047778925619834</v>
      </c>
      <c r="G768">
        <f t="shared" si="48"/>
        <v>0</v>
      </c>
      <c r="H768" t="s">
        <v>1398</v>
      </c>
      <c r="I768">
        <v>70.599999999999994</v>
      </c>
      <c r="J768" t="s">
        <v>684</v>
      </c>
      <c r="K768" s="24">
        <v>126</v>
      </c>
      <c r="L768" s="24">
        <v>89</v>
      </c>
      <c r="M768">
        <v>226</v>
      </c>
      <c r="N768" t="s">
        <v>1432</v>
      </c>
      <c r="O768">
        <v>63</v>
      </c>
      <c r="P768">
        <v>107</v>
      </c>
      <c r="Q768" t="s">
        <v>25</v>
      </c>
      <c r="R768" t="s">
        <v>24</v>
      </c>
      <c r="S768" t="s">
        <v>30</v>
      </c>
      <c r="T768" t="s">
        <v>24</v>
      </c>
      <c r="U768">
        <f t="shared" si="46"/>
        <v>1</v>
      </c>
      <c r="V768">
        <v>176</v>
      </c>
      <c r="W768">
        <v>0.40100000000000002</v>
      </c>
      <c r="X768" t="s">
        <v>1408</v>
      </c>
      <c r="Y768">
        <v>126</v>
      </c>
      <c r="Z768">
        <v>89</v>
      </c>
      <c r="AA768" t="s">
        <v>31</v>
      </c>
      <c r="AB768">
        <v>133</v>
      </c>
      <c r="AC768" s="23">
        <v>2.11</v>
      </c>
      <c r="AD768" t="str">
        <f>IF(AND('CVD Dataset'!AA768="Normal",'CVD Dataset'!AB768&gt;AVERAGE('CVD Dataset'!AB:AB),'CVD Dataset'!AF768="High"),"High Lipid Category","Normal Category")</f>
        <v>Normal Category</v>
      </c>
      <c r="AF768" t="s">
        <v>28</v>
      </c>
      <c r="AG768">
        <v>0</v>
      </c>
      <c r="AH768" t="s">
        <v>1380</v>
      </c>
      <c r="AI768">
        <f t="shared" si="47"/>
        <v>0</v>
      </c>
      <c r="AJ768" t="s">
        <v>1391</v>
      </c>
    </row>
    <row r="769" spans="1:36" x14ac:dyDescent="0.3">
      <c r="A769" t="s">
        <v>33</v>
      </c>
      <c r="B769">
        <v>58</v>
      </c>
      <c r="C769">
        <v>56</v>
      </c>
      <c r="D769">
        <v>1.82</v>
      </c>
      <c r="E769">
        <v>16.899999999999999</v>
      </c>
      <c r="F769">
        <f t="shared" si="45"/>
        <v>16.906170752324599</v>
      </c>
      <c r="G769">
        <f t="shared" si="48"/>
        <v>0</v>
      </c>
      <c r="H769" t="s">
        <v>1401</v>
      </c>
      <c r="I769">
        <v>104.2</v>
      </c>
      <c r="J769" t="s">
        <v>685</v>
      </c>
      <c r="K769" s="24">
        <v>132</v>
      </c>
      <c r="L769" s="24">
        <v>78</v>
      </c>
      <c r="M769">
        <v>144</v>
      </c>
      <c r="N769" t="s">
        <v>1434</v>
      </c>
      <c r="O769">
        <v>43</v>
      </c>
      <c r="P769">
        <v>98</v>
      </c>
      <c r="Q769" t="s">
        <v>25</v>
      </c>
      <c r="R769" t="s">
        <v>24</v>
      </c>
      <c r="S769" t="s">
        <v>26</v>
      </c>
      <c r="T769" t="s">
        <v>25</v>
      </c>
      <c r="U769">
        <f t="shared" si="46"/>
        <v>3</v>
      </c>
      <c r="V769">
        <v>182</v>
      </c>
      <c r="X769" t="s">
        <v>1410</v>
      </c>
      <c r="Y769">
        <v>132</v>
      </c>
      <c r="Z769">
        <v>78</v>
      </c>
      <c r="AA769" t="s">
        <v>31</v>
      </c>
      <c r="AB769">
        <v>71</v>
      </c>
      <c r="AC769" s="23">
        <v>1.65</v>
      </c>
      <c r="AD769" t="str">
        <f>IF(AND('CVD Dataset'!AA769="Normal",'CVD Dataset'!AB769&gt;AVERAGE('CVD Dataset'!AB:AB),'CVD Dataset'!AF769="High"),"High Lipid Category","Normal Category")</f>
        <v>Normal Category</v>
      </c>
      <c r="AE769">
        <v>12.86</v>
      </c>
      <c r="AF769" t="s">
        <v>32</v>
      </c>
      <c r="AG769">
        <v>0</v>
      </c>
      <c r="AH769" t="s">
        <v>1379</v>
      </c>
      <c r="AI769">
        <f t="shared" si="47"/>
        <v>1</v>
      </c>
      <c r="AJ769" t="s">
        <v>1391</v>
      </c>
    </row>
    <row r="770" spans="1:36" x14ac:dyDescent="0.3">
      <c r="A770" t="s">
        <v>22</v>
      </c>
      <c r="B770">
        <v>53</v>
      </c>
      <c r="C770">
        <v>68.599999999999994</v>
      </c>
      <c r="D770">
        <v>1.89</v>
      </c>
      <c r="E770">
        <v>19.2</v>
      </c>
      <c r="F770">
        <f t="shared" si="45"/>
        <v>19.204389574759944</v>
      </c>
      <c r="G770">
        <f t="shared" si="48"/>
        <v>0</v>
      </c>
      <c r="H770" t="s">
        <v>1398</v>
      </c>
      <c r="I770">
        <v>88.2</v>
      </c>
      <c r="J770" t="s">
        <v>189</v>
      </c>
      <c r="K770" s="24">
        <v>121</v>
      </c>
      <c r="L770" s="24">
        <v>67</v>
      </c>
      <c r="M770">
        <v>199</v>
      </c>
      <c r="N770" t="s">
        <v>1432</v>
      </c>
      <c r="O770">
        <v>73</v>
      </c>
      <c r="P770">
        <v>129</v>
      </c>
      <c r="Q770" t="s">
        <v>24</v>
      </c>
      <c r="R770" t="s">
        <v>25</v>
      </c>
      <c r="S770" t="s">
        <v>30</v>
      </c>
      <c r="T770" t="s">
        <v>24</v>
      </c>
      <c r="U770">
        <f t="shared" si="46"/>
        <v>1</v>
      </c>
      <c r="V770">
        <v>189</v>
      </c>
      <c r="W770">
        <v>0.46700000000000003</v>
      </c>
      <c r="X770" t="s">
        <v>1406</v>
      </c>
      <c r="Y770">
        <v>121</v>
      </c>
      <c r="Z770">
        <v>67</v>
      </c>
      <c r="AA770" t="s">
        <v>27</v>
      </c>
      <c r="AB770">
        <v>96</v>
      </c>
      <c r="AC770" s="23">
        <v>1.32</v>
      </c>
      <c r="AD770" t="str">
        <f>IF(AND('CVD Dataset'!AA770="Normal",'CVD Dataset'!AB770&gt;AVERAGE('CVD Dataset'!AB:AB),'CVD Dataset'!AF770="High"),"High Lipid Category","Normal Category")</f>
        <v>Normal Category</v>
      </c>
      <c r="AE770">
        <v>15.87</v>
      </c>
      <c r="AF770" t="s">
        <v>28</v>
      </c>
      <c r="AG770">
        <v>0</v>
      </c>
      <c r="AH770" t="s">
        <v>1380</v>
      </c>
      <c r="AI770">
        <f t="shared" si="47"/>
        <v>0</v>
      </c>
      <c r="AJ770" t="s">
        <v>1391</v>
      </c>
    </row>
    <row r="771" spans="1:36" x14ac:dyDescent="0.3">
      <c r="A771" t="s">
        <v>22</v>
      </c>
      <c r="B771">
        <v>49</v>
      </c>
      <c r="C771">
        <v>51.7</v>
      </c>
      <c r="D771">
        <v>1.63</v>
      </c>
      <c r="E771">
        <v>19.5</v>
      </c>
      <c r="F771">
        <f t="shared" ref="F771:F834" si="49">IFERROR(C771/POWER(D771,2),"")</f>
        <v>19.458767736836165</v>
      </c>
      <c r="G771">
        <f t="shared" si="48"/>
        <v>0</v>
      </c>
      <c r="H771" t="s">
        <v>1398</v>
      </c>
      <c r="I771">
        <v>105.1</v>
      </c>
      <c r="J771" t="s">
        <v>195</v>
      </c>
      <c r="K771" s="24">
        <v>137</v>
      </c>
      <c r="L771" s="24">
        <v>64</v>
      </c>
      <c r="M771">
        <v>135</v>
      </c>
      <c r="N771" t="s">
        <v>1434</v>
      </c>
      <c r="O771">
        <v>77</v>
      </c>
      <c r="P771">
        <v>125</v>
      </c>
      <c r="Q771" t="s">
        <v>24</v>
      </c>
      <c r="R771" t="s">
        <v>25</v>
      </c>
      <c r="S771" t="s">
        <v>39</v>
      </c>
      <c r="T771" t="s">
        <v>25</v>
      </c>
      <c r="U771">
        <f t="shared" ref="U771:U834" si="50">SUM(IF(Q771="Y",1,0),IF(R771="Y",1,0),IF(S771="Low",1,0),IF(T771="Y",1,0))</f>
        <v>2</v>
      </c>
      <c r="V771">
        <v>163</v>
      </c>
      <c r="W771">
        <v>0.64500000000000002</v>
      </c>
      <c r="X771" t="s">
        <v>1409</v>
      </c>
      <c r="Y771">
        <v>137</v>
      </c>
      <c r="Z771">
        <v>64</v>
      </c>
      <c r="AA771" t="s">
        <v>31</v>
      </c>
      <c r="AB771">
        <v>28</v>
      </c>
      <c r="AC771" s="23">
        <v>0.36</v>
      </c>
      <c r="AD771" t="str">
        <f>IF(AND('CVD Dataset'!AA771="Normal",'CVD Dataset'!AB771&gt;AVERAGE('CVD Dataset'!AB:AB),'CVD Dataset'!AF771="High"),"High Lipid Category","Normal Category")</f>
        <v>Normal Category</v>
      </c>
      <c r="AE771">
        <v>15.45</v>
      </c>
      <c r="AF771" t="s">
        <v>28</v>
      </c>
      <c r="AG771">
        <v>0</v>
      </c>
      <c r="AH771" t="s">
        <v>1380</v>
      </c>
      <c r="AI771">
        <f t="shared" ref="AI771:AI834" si="51">IF(AF771="HIGH",1,0)</f>
        <v>0</v>
      </c>
      <c r="AJ771" t="s">
        <v>1391</v>
      </c>
    </row>
    <row r="772" spans="1:36" x14ac:dyDescent="0.3">
      <c r="A772" t="s">
        <v>33</v>
      </c>
      <c r="B772">
        <v>50</v>
      </c>
      <c r="C772">
        <v>95.4</v>
      </c>
      <c r="D772">
        <v>1.87</v>
      </c>
      <c r="E772">
        <v>27.3</v>
      </c>
      <c r="F772">
        <f t="shared" si="49"/>
        <v>27.281306299865591</v>
      </c>
      <c r="G772">
        <f t="shared" si="48"/>
        <v>0</v>
      </c>
      <c r="H772" t="s">
        <v>1400</v>
      </c>
      <c r="I772">
        <v>94.4</v>
      </c>
      <c r="J772" t="s">
        <v>638</v>
      </c>
      <c r="K772" s="24">
        <v>130</v>
      </c>
      <c r="L772" s="24">
        <v>66</v>
      </c>
      <c r="N772" t="s">
        <v>1434</v>
      </c>
      <c r="O772">
        <v>56</v>
      </c>
      <c r="P772">
        <v>128</v>
      </c>
      <c r="Q772" t="s">
        <v>25</v>
      </c>
      <c r="R772" t="s">
        <v>24</v>
      </c>
      <c r="S772" t="s">
        <v>30</v>
      </c>
      <c r="T772" t="s">
        <v>25</v>
      </c>
      <c r="U772">
        <f t="shared" si="50"/>
        <v>2</v>
      </c>
      <c r="V772">
        <v>187</v>
      </c>
      <c r="W772">
        <v>0.505</v>
      </c>
      <c r="X772" t="s">
        <v>1406</v>
      </c>
      <c r="Y772">
        <v>130</v>
      </c>
      <c r="Z772">
        <v>66</v>
      </c>
      <c r="AA772" t="s">
        <v>31</v>
      </c>
      <c r="AB772">
        <v>24</v>
      </c>
      <c r="AC772" s="23">
        <v>0.43</v>
      </c>
      <c r="AD772" t="str">
        <f>IF(AND('CVD Dataset'!AA772="Normal",'CVD Dataset'!AB772&gt;AVERAGE('CVD Dataset'!AB:AB),'CVD Dataset'!AF772="High"),"High Lipid Category","Normal Category")</f>
        <v>Normal Category</v>
      </c>
      <c r="AE772">
        <v>14.16</v>
      </c>
      <c r="AF772" t="s">
        <v>32</v>
      </c>
      <c r="AG772">
        <v>0</v>
      </c>
      <c r="AH772" t="s">
        <v>1379</v>
      </c>
      <c r="AI772">
        <f t="shared" si="51"/>
        <v>1</v>
      </c>
      <c r="AJ772" t="s">
        <v>1391</v>
      </c>
    </row>
    <row r="773" spans="1:36" x14ac:dyDescent="0.3">
      <c r="A773" t="s">
        <v>22</v>
      </c>
      <c r="B773">
        <v>35</v>
      </c>
      <c r="D773">
        <v>1.71</v>
      </c>
      <c r="E773">
        <v>29</v>
      </c>
      <c r="F773">
        <f t="shared" si="49"/>
        <v>0</v>
      </c>
      <c r="G773">
        <f t="shared" si="48"/>
        <v>1</v>
      </c>
      <c r="H773" t="s">
        <v>1400</v>
      </c>
      <c r="I773">
        <v>92.8</v>
      </c>
      <c r="J773" t="s">
        <v>686</v>
      </c>
      <c r="K773" s="24">
        <v>149</v>
      </c>
      <c r="L773" s="24">
        <v>69</v>
      </c>
      <c r="M773">
        <v>151</v>
      </c>
      <c r="N773" t="s">
        <v>1433</v>
      </c>
      <c r="O773">
        <v>42</v>
      </c>
      <c r="P773">
        <v>99</v>
      </c>
      <c r="Q773" t="s">
        <v>24</v>
      </c>
      <c r="R773" t="s">
        <v>24</v>
      </c>
      <c r="S773" t="s">
        <v>30</v>
      </c>
      <c r="T773" t="s">
        <v>25</v>
      </c>
      <c r="U773">
        <f t="shared" si="50"/>
        <v>1</v>
      </c>
      <c r="V773">
        <v>171</v>
      </c>
      <c r="W773">
        <v>0.54300000000000004</v>
      </c>
      <c r="X773" t="s">
        <v>1407</v>
      </c>
      <c r="Y773">
        <v>149</v>
      </c>
      <c r="Z773">
        <v>69</v>
      </c>
      <c r="AA773" t="s">
        <v>40</v>
      </c>
      <c r="AB773">
        <v>79</v>
      </c>
      <c r="AC773" s="23">
        <v>1.88</v>
      </c>
      <c r="AD773" t="str">
        <f>IF(AND('CVD Dataset'!AA773="Normal",'CVD Dataset'!AB773&gt;AVERAGE('CVD Dataset'!AB:AB),'CVD Dataset'!AF773="High"),"High Lipid Category","Normal Category")</f>
        <v>Normal Category</v>
      </c>
      <c r="AE773">
        <v>16.27</v>
      </c>
      <c r="AF773" t="s">
        <v>28</v>
      </c>
      <c r="AG773">
        <v>0</v>
      </c>
      <c r="AH773" t="s">
        <v>1380</v>
      </c>
      <c r="AI773">
        <f t="shared" si="51"/>
        <v>0</v>
      </c>
      <c r="AJ773" t="s">
        <v>1391</v>
      </c>
    </row>
    <row r="774" spans="1:36" x14ac:dyDescent="0.3">
      <c r="A774" t="s">
        <v>22</v>
      </c>
      <c r="B774">
        <v>56</v>
      </c>
      <c r="C774">
        <v>111.3</v>
      </c>
      <c r="D774">
        <v>1.82</v>
      </c>
      <c r="E774">
        <v>33.6</v>
      </c>
      <c r="F774">
        <f t="shared" si="49"/>
        <v>33.601014370245139</v>
      </c>
      <c r="G774">
        <f t="shared" si="48"/>
        <v>0</v>
      </c>
      <c r="H774" t="s">
        <v>1399</v>
      </c>
      <c r="I774">
        <v>79.5</v>
      </c>
      <c r="J774" t="s">
        <v>687</v>
      </c>
      <c r="K774" s="24">
        <v>110</v>
      </c>
      <c r="L774" s="24">
        <v>86</v>
      </c>
      <c r="M774">
        <v>296</v>
      </c>
      <c r="N774" t="s">
        <v>1432</v>
      </c>
      <c r="O774">
        <v>62</v>
      </c>
      <c r="P774">
        <v>137</v>
      </c>
      <c r="Q774" t="s">
        <v>24</v>
      </c>
      <c r="R774" t="s">
        <v>25</v>
      </c>
      <c r="S774" t="s">
        <v>39</v>
      </c>
      <c r="T774" t="s">
        <v>24</v>
      </c>
      <c r="U774">
        <f t="shared" si="50"/>
        <v>1</v>
      </c>
      <c r="V774">
        <v>182</v>
      </c>
      <c r="W774">
        <v>0.437</v>
      </c>
      <c r="X774" t="s">
        <v>1408</v>
      </c>
      <c r="Y774">
        <v>110</v>
      </c>
      <c r="Z774">
        <v>86</v>
      </c>
      <c r="AA774" t="s">
        <v>31</v>
      </c>
      <c r="AB774">
        <v>204</v>
      </c>
      <c r="AC774" s="23">
        <v>3.29</v>
      </c>
      <c r="AD774" t="str">
        <f>IF(AND('CVD Dataset'!AA774="Normal",'CVD Dataset'!AB774&gt;AVERAGE('CVD Dataset'!AB:AB),'CVD Dataset'!AF774="High"),"High Lipid Category","Normal Category")</f>
        <v>Normal Category</v>
      </c>
      <c r="AE774">
        <v>20.14</v>
      </c>
      <c r="AF774" t="s">
        <v>32</v>
      </c>
      <c r="AG774">
        <v>1</v>
      </c>
      <c r="AH774" t="s">
        <v>1379</v>
      </c>
      <c r="AI774">
        <f t="shared" si="51"/>
        <v>1</v>
      </c>
      <c r="AJ774" t="s">
        <v>1392</v>
      </c>
    </row>
    <row r="775" spans="1:36" x14ac:dyDescent="0.3">
      <c r="A775" t="s">
        <v>22</v>
      </c>
      <c r="B775">
        <v>35</v>
      </c>
      <c r="C775">
        <v>100.7</v>
      </c>
      <c r="D775">
        <v>1.83</v>
      </c>
      <c r="E775">
        <v>30.1</v>
      </c>
      <c r="F775">
        <f t="shared" si="49"/>
        <v>30.069575084356053</v>
      </c>
      <c r="G775">
        <f t="shared" si="48"/>
        <v>0</v>
      </c>
      <c r="H775" t="s">
        <v>1399</v>
      </c>
      <c r="I775">
        <v>108.8</v>
      </c>
      <c r="J775" t="s">
        <v>688</v>
      </c>
      <c r="K775" s="24">
        <v>143</v>
      </c>
      <c r="L775" s="24">
        <v>64</v>
      </c>
      <c r="M775">
        <v>162</v>
      </c>
      <c r="N775" t="s">
        <v>1433</v>
      </c>
      <c r="O775">
        <v>57</v>
      </c>
      <c r="P775">
        <v>90</v>
      </c>
      <c r="Q775" t="s">
        <v>25</v>
      </c>
      <c r="R775" t="s">
        <v>24</v>
      </c>
      <c r="S775" t="s">
        <v>39</v>
      </c>
      <c r="T775" t="s">
        <v>24</v>
      </c>
      <c r="U775">
        <f t="shared" si="50"/>
        <v>1</v>
      </c>
      <c r="V775">
        <v>183</v>
      </c>
      <c r="W775">
        <v>0.59499999999999997</v>
      </c>
      <c r="X775" t="s">
        <v>1409</v>
      </c>
      <c r="Y775">
        <v>143</v>
      </c>
      <c r="Z775">
        <v>64</v>
      </c>
      <c r="AA775" t="s">
        <v>40</v>
      </c>
      <c r="AB775">
        <v>75</v>
      </c>
      <c r="AC775" s="23">
        <v>1.32</v>
      </c>
      <c r="AD775" t="str">
        <f>IF(AND('CVD Dataset'!AA775="Normal",'CVD Dataset'!AB775&gt;AVERAGE('CVD Dataset'!AB:AB),'CVD Dataset'!AF775="High"),"High Lipid Category","Normal Category")</f>
        <v>Normal Category</v>
      </c>
      <c r="AF775" t="s">
        <v>28</v>
      </c>
      <c r="AG775">
        <v>0</v>
      </c>
      <c r="AH775" t="s">
        <v>1380</v>
      </c>
      <c r="AI775">
        <f t="shared" si="51"/>
        <v>0</v>
      </c>
      <c r="AJ775" t="s">
        <v>1391</v>
      </c>
    </row>
    <row r="776" spans="1:36" x14ac:dyDescent="0.3">
      <c r="A776" t="s">
        <v>33</v>
      </c>
      <c r="B776">
        <v>55</v>
      </c>
      <c r="C776">
        <v>110.5</v>
      </c>
      <c r="D776">
        <v>1.73</v>
      </c>
      <c r="E776">
        <v>36.9</v>
      </c>
      <c r="F776">
        <f t="shared" si="49"/>
        <v>36.92071235256774</v>
      </c>
      <c r="G776">
        <f t="shared" si="48"/>
        <v>0</v>
      </c>
      <c r="H776" t="s">
        <v>1399</v>
      </c>
      <c r="J776" t="s">
        <v>689</v>
      </c>
      <c r="K776" s="24">
        <v>118</v>
      </c>
      <c r="L776" s="24">
        <v>72</v>
      </c>
      <c r="M776">
        <v>196</v>
      </c>
      <c r="N776" t="s">
        <v>1432</v>
      </c>
      <c r="O776">
        <v>39</v>
      </c>
      <c r="P776">
        <v>98</v>
      </c>
      <c r="Q776" t="s">
        <v>25</v>
      </c>
      <c r="R776" t="s">
        <v>24</v>
      </c>
      <c r="S776" t="s">
        <v>30</v>
      </c>
      <c r="T776" t="s">
        <v>25</v>
      </c>
      <c r="U776">
        <f t="shared" si="50"/>
        <v>2</v>
      </c>
      <c r="V776">
        <v>173</v>
      </c>
      <c r="W776">
        <v>0.441</v>
      </c>
      <c r="X776" t="s">
        <v>1408</v>
      </c>
      <c r="Y776">
        <v>118</v>
      </c>
      <c r="Z776">
        <v>72</v>
      </c>
      <c r="AA776" t="s">
        <v>35</v>
      </c>
      <c r="AB776">
        <v>127</v>
      </c>
      <c r="AC776" s="23">
        <v>3.26</v>
      </c>
      <c r="AD776" t="str">
        <f>IF(AND('CVD Dataset'!AA776="Normal",'CVD Dataset'!AB776&gt;AVERAGE('CVD Dataset'!AB:AB),'CVD Dataset'!AF776="High"),"High Lipid Category","Normal Category")</f>
        <v>High Lipid Category</v>
      </c>
      <c r="AF776" t="s">
        <v>32</v>
      </c>
      <c r="AG776">
        <v>0</v>
      </c>
      <c r="AH776" t="s">
        <v>1379</v>
      </c>
      <c r="AI776">
        <f t="shared" si="51"/>
        <v>1</v>
      </c>
      <c r="AJ776" t="s">
        <v>1391</v>
      </c>
    </row>
    <row r="777" spans="1:36" x14ac:dyDescent="0.3">
      <c r="A777" t="s">
        <v>22</v>
      </c>
      <c r="B777">
        <v>40</v>
      </c>
      <c r="C777">
        <v>101.7</v>
      </c>
      <c r="D777">
        <v>1.82</v>
      </c>
      <c r="E777">
        <v>30.7</v>
      </c>
      <c r="F777">
        <f t="shared" si="49"/>
        <v>30.702813669846634</v>
      </c>
      <c r="G777">
        <f t="shared" si="48"/>
        <v>0</v>
      </c>
      <c r="H777" t="s">
        <v>1399</v>
      </c>
      <c r="I777">
        <v>77.099999999999994</v>
      </c>
      <c r="J777" t="s">
        <v>690</v>
      </c>
      <c r="K777" s="24">
        <v>125</v>
      </c>
      <c r="L777" s="24">
        <v>80</v>
      </c>
      <c r="M777">
        <v>172</v>
      </c>
      <c r="N777" t="s">
        <v>1433</v>
      </c>
      <c r="O777">
        <v>42</v>
      </c>
      <c r="P777">
        <v>135</v>
      </c>
      <c r="Q777" t="s">
        <v>24</v>
      </c>
      <c r="R777" t="s">
        <v>24</v>
      </c>
      <c r="S777" t="s">
        <v>26</v>
      </c>
      <c r="T777" t="s">
        <v>24</v>
      </c>
      <c r="U777">
        <f t="shared" si="50"/>
        <v>1</v>
      </c>
      <c r="V777">
        <v>182</v>
      </c>
      <c r="W777">
        <v>0.42399999999999999</v>
      </c>
      <c r="X777" t="s">
        <v>1408</v>
      </c>
      <c r="Y777">
        <v>125</v>
      </c>
      <c r="Z777">
        <v>80</v>
      </c>
      <c r="AA777" t="s">
        <v>31</v>
      </c>
      <c r="AB777">
        <v>100</v>
      </c>
      <c r="AC777" s="23">
        <v>2.38</v>
      </c>
      <c r="AD777" t="str">
        <f>IF(AND('CVD Dataset'!AA777="Normal",'CVD Dataset'!AB777&gt;AVERAGE('CVD Dataset'!AB:AB),'CVD Dataset'!AF777="High"),"High Lipid Category","Normal Category")</f>
        <v>Normal Category</v>
      </c>
      <c r="AE777">
        <v>15.83</v>
      </c>
      <c r="AF777" t="s">
        <v>28</v>
      </c>
      <c r="AG777">
        <v>0</v>
      </c>
      <c r="AH777" t="s">
        <v>1380</v>
      </c>
      <c r="AI777">
        <f t="shared" si="51"/>
        <v>0</v>
      </c>
      <c r="AJ777" t="s">
        <v>1391</v>
      </c>
    </row>
    <row r="778" spans="1:36" x14ac:dyDescent="0.3">
      <c r="A778" t="s">
        <v>22</v>
      </c>
      <c r="B778">
        <v>37</v>
      </c>
      <c r="C778">
        <v>95.7</v>
      </c>
      <c r="D778">
        <v>1.76</v>
      </c>
      <c r="E778">
        <v>30.9</v>
      </c>
      <c r="F778">
        <f t="shared" si="49"/>
        <v>30.894886363636367</v>
      </c>
      <c r="G778">
        <f t="shared" si="48"/>
        <v>0</v>
      </c>
      <c r="H778" t="s">
        <v>1399</v>
      </c>
      <c r="I778">
        <v>102.8</v>
      </c>
      <c r="J778" t="s">
        <v>691</v>
      </c>
      <c r="K778" s="24">
        <v>93</v>
      </c>
      <c r="L778" s="24">
        <v>71</v>
      </c>
      <c r="M778">
        <v>256</v>
      </c>
      <c r="N778" t="s">
        <v>1432</v>
      </c>
      <c r="O778">
        <v>47</v>
      </c>
      <c r="P778">
        <v>102</v>
      </c>
      <c r="Q778" t="s">
        <v>24</v>
      </c>
      <c r="R778" t="s">
        <v>25</v>
      </c>
      <c r="S778" t="s">
        <v>26</v>
      </c>
      <c r="T778" t="s">
        <v>24</v>
      </c>
      <c r="U778">
        <f t="shared" si="50"/>
        <v>2</v>
      </c>
      <c r="W778">
        <v>0.58399999999999996</v>
      </c>
      <c r="X778" t="s">
        <v>1407</v>
      </c>
      <c r="Y778">
        <v>93</v>
      </c>
      <c r="AA778" t="s">
        <v>35</v>
      </c>
      <c r="AB778">
        <v>179</v>
      </c>
      <c r="AC778" s="23">
        <v>3.81</v>
      </c>
      <c r="AD778" t="str">
        <f>IF(AND('CVD Dataset'!AA778="Normal",'CVD Dataset'!AB778&gt;AVERAGE('CVD Dataset'!AB:AB),'CVD Dataset'!AF778="High"),"High Lipid Category","Normal Category")</f>
        <v>High Lipid Category</v>
      </c>
      <c r="AE778">
        <v>17.95</v>
      </c>
      <c r="AF778" t="s">
        <v>32</v>
      </c>
      <c r="AG778">
        <v>0</v>
      </c>
      <c r="AH778" t="s">
        <v>1379</v>
      </c>
      <c r="AI778">
        <f t="shared" si="51"/>
        <v>1</v>
      </c>
      <c r="AJ778" t="s">
        <v>1391</v>
      </c>
    </row>
    <row r="779" spans="1:36" x14ac:dyDescent="0.3">
      <c r="A779" t="s">
        <v>22</v>
      </c>
      <c r="B779">
        <v>60</v>
      </c>
      <c r="C779">
        <v>104.2</v>
      </c>
      <c r="D779">
        <v>1.7</v>
      </c>
      <c r="E779">
        <v>36.1</v>
      </c>
      <c r="F779">
        <f t="shared" si="49"/>
        <v>36.055363321799312</v>
      </c>
      <c r="G779">
        <f t="shared" si="48"/>
        <v>0</v>
      </c>
      <c r="H779" t="s">
        <v>1399</v>
      </c>
      <c r="I779">
        <v>73.7</v>
      </c>
      <c r="J779" t="s">
        <v>692</v>
      </c>
      <c r="K779" s="24">
        <v>150</v>
      </c>
      <c r="L779" s="24">
        <v>67</v>
      </c>
      <c r="M779">
        <v>155</v>
      </c>
      <c r="N779" t="s">
        <v>1433</v>
      </c>
      <c r="O779">
        <v>59</v>
      </c>
      <c r="P779">
        <v>115</v>
      </c>
      <c r="Q779" t="s">
        <v>25</v>
      </c>
      <c r="R779" t="s">
        <v>25</v>
      </c>
      <c r="S779" t="s">
        <v>26</v>
      </c>
      <c r="T779" t="s">
        <v>24</v>
      </c>
      <c r="U779">
        <f t="shared" si="50"/>
        <v>3</v>
      </c>
      <c r="V779">
        <v>170</v>
      </c>
      <c r="W779">
        <v>0.434</v>
      </c>
      <c r="X779" t="s">
        <v>1408</v>
      </c>
      <c r="Y779">
        <v>150</v>
      </c>
      <c r="Z779">
        <v>67</v>
      </c>
      <c r="AA779" t="s">
        <v>40</v>
      </c>
      <c r="AB779">
        <v>66</v>
      </c>
      <c r="AC779" s="23">
        <v>1.1200000000000001</v>
      </c>
      <c r="AD779" t="str">
        <f>IF(AND('CVD Dataset'!AA779="Normal",'CVD Dataset'!AB779&gt;AVERAGE('CVD Dataset'!AB:AB),'CVD Dataset'!AF779="High"),"High Lipid Category","Normal Category")</f>
        <v>Normal Category</v>
      </c>
      <c r="AE779">
        <v>19.82</v>
      </c>
      <c r="AF779" t="s">
        <v>32</v>
      </c>
      <c r="AG779">
        <v>0</v>
      </c>
      <c r="AH779" t="s">
        <v>1379</v>
      </c>
      <c r="AI779">
        <f t="shared" si="51"/>
        <v>1</v>
      </c>
      <c r="AJ779" t="s">
        <v>1392</v>
      </c>
    </row>
    <row r="780" spans="1:36" x14ac:dyDescent="0.3">
      <c r="A780" t="s">
        <v>33</v>
      </c>
      <c r="B780">
        <v>45</v>
      </c>
      <c r="C780">
        <v>62.1</v>
      </c>
      <c r="D780">
        <v>1.8</v>
      </c>
      <c r="E780">
        <v>19.2</v>
      </c>
      <c r="F780">
        <f t="shared" si="49"/>
        <v>19.166666666666664</v>
      </c>
      <c r="G780">
        <f t="shared" si="48"/>
        <v>0</v>
      </c>
      <c r="H780" t="s">
        <v>1398</v>
      </c>
      <c r="I780">
        <v>84.1</v>
      </c>
      <c r="J780" t="s">
        <v>693</v>
      </c>
      <c r="K780" s="24">
        <v>117</v>
      </c>
      <c r="L780" s="24">
        <v>60</v>
      </c>
      <c r="M780">
        <v>141</v>
      </c>
      <c r="N780" t="s">
        <v>1434</v>
      </c>
      <c r="O780">
        <v>45</v>
      </c>
      <c r="P780">
        <v>117</v>
      </c>
      <c r="Q780" t="s">
        <v>25</v>
      </c>
      <c r="R780" t="s">
        <v>25</v>
      </c>
      <c r="S780" t="s">
        <v>30</v>
      </c>
      <c r="T780" t="s">
        <v>24</v>
      </c>
      <c r="U780">
        <f t="shared" si="50"/>
        <v>2</v>
      </c>
      <c r="V780">
        <v>180</v>
      </c>
      <c r="W780">
        <v>0.46700000000000003</v>
      </c>
      <c r="X780" t="s">
        <v>1406</v>
      </c>
      <c r="Y780">
        <v>117</v>
      </c>
      <c r="Z780">
        <v>60</v>
      </c>
      <c r="AA780" t="s">
        <v>35</v>
      </c>
      <c r="AB780">
        <v>66</v>
      </c>
      <c r="AC780" s="23">
        <v>1.47</v>
      </c>
      <c r="AD780" t="str">
        <f>IF(AND('CVD Dataset'!AA780="Normal",'CVD Dataset'!AB780&gt;AVERAGE('CVD Dataset'!AB:AB),'CVD Dataset'!AF780="High"),"High Lipid Category","Normal Category")</f>
        <v>Normal Category</v>
      </c>
      <c r="AE780">
        <v>14.51</v>
      </c>
      <c r="AF780" t="s">
        <v>28</v>
      </c>
      <c r="AG780">
        <v>0</v>
      </c>
      <c r="AH780" t="s">
        <v>1380</v>
      </c>
      <c r="AI780">
        <f t="shared" si="51"/>
        <v>0</v>
      </c>
      <c r="AJ780" t="s">
        <v>1391</v>
      </c>
    </row>
    <row r="781" spans="1:36" x14ac:dyDescent="0.3">
      <c r="A781" t="s">
        <v>33</v>
      </c>
      <c r="B781">
        <v>44</v>
      </c>
      <c r="C781">
        <v>97.8</v>
      </c>
      <c r="D781">
        <v>1.63</v>
      </c>
      <c r="E781">
        <v>36.799999999999997</v>
      </c>
      <c r="F781">
        <f t="shared" si="49"/>
        <v>36.809815950920246</v>
      </c>
      <c r="G781">
        <f t="shared" si="48"/>
        <v>0</v>
      </c>
      <c r="H781" t="s">
        <v>1399</v>
      </c>
      <c r="I781">
        <v>104</v>
      </c>
      <c r="J781" t="s">
        <v>694</v>
      </c>
      <c r="K781" s="24">
        <v>141</v>
      </c>
      <c r="L781" s="24">
        <v>68</v>
      </c>
      <c r="M781">
        <v>155</v>
      </c>
      <c r="N781" t="s">
        <v>1433</v>
      </c>
      <c r="O781">
        <v>55</v>
      </c>
      <c r="P781">
        <v>142</v>
      </c>
      <c r="Q781" t="s">
        <v>25</v>
      </c>
      <c r="R781" t="s">
        <v>25</v>
      </c>
      <c r="S781" t="s">
        <v>39</v>
      </c>
      <c r="T781" t="s">
        <v>24</v>
      </c>
      <c r="U781">
        <f t="shared" si="50"/>
        <v>2</v>
      </c>
      <c r="V781">
        <v>163</v>
      </c>
      <c r="X781" t="s">
        <v>1410</v>
      </c>
      <c r="Y781">
        <v>141</v>
      </c>
      <c r="Z781">
        <v>68</v>
      </c>
      <c r="AA781" t="s">
        <v>40</v>
      </c>
      <c r="AB781">
        <v>70</v>
      </c>
      <c r="AC781" s="23">
        <v>1.27</v>
      </c>
      <c r="AD781" t="str">
        <f>IF(AND('CVD Dataset'!AA781="Normal",'CVD Dataset'!AB781&gt;AVERAGE('CVD Dataset'!AB:AB),'CVD Dataset'!AF781="High"),"High Lipid Category","Normal Category")</f>
        <v>Normal Category</v>
      </c>
      <c r="AE781">
        <v>19.510000000000002</v>
      </c>
      <c r="AF781" t="s">
        <v>28</v>
      </c>
      <c r="AG781">
        <v>0</v>
      </c>
      <c r="AH781" t="s">
        <v>1380</v>
      </c>
      <c r="AI781">
        <f t="shared" si="51"/>
        <v>0</v>
      </c>
      <c r="AJ781" t="s">
        <v>1391</v>
      </c>
    </row>
    <row r="782" spans="1:36" x14ac:dyDescent="0.3">
      <c r="A782" t="s">
        <v>22</v>
      </c>
      <c r="C782">
        <v>54.7</v>
      </c>
      <c r="D782">
        <v>1.82</v>
      </c>
      <c r="E782">
        <v>16.5</v>
      </c>
      <c r="F782">
        <f t="shared" si="49"/>
        <v>16.513706074145635</v>
      </c>
      <c r="G782">
        <f t="shared" si="48"/>
        <v>0</v>
      </c>
      <c r="H782" t="s">
        <v>1401</v>
      </c>
      <c r="I782">
        <v>83.2</v>
      </c>
      <c r="J782" t="s">
        <v>695</v>
      </c>
      <c r="K782" s="24">
        <v>150</v>
      </c>
      <c r="L782" s="24">
        <v>81</v>
      </c>
      <c r="M782">
        <v>193</v>
      </c>
      <c r="N782" t="s">
        <v>1432</v>
      </c>
      <c r="O782">
        <v>61</v>
      </c>
      <c r="P782">
        <v>133</v>
      </c>
      <c r="Q782" t="s">
        <v>25</v>
      </c>
      <c r="R782" t="s">
        <v>25</v>
      </c>
      <c r="S782" t="s">
        <v>30</v>
      </c>
      <c r="T782" t="s">
        <v>24</v>
      </c>
      <c r="U782">
        <f t="shared" si="50"/>
        <v>2</v>
      </c>
      <c r="W782">
        <v>0.45700000000000002</v>
      </c>
      <c r="X782" t="s">
        <v>1408</v>
      </c>
      <c r="Y782">
        <v>150</v>
      </c>
      <c r="Z782">
        <v>81</v>
      </c>
      <c r="AA782" t="s">
        <v>31</v>
      </c>
      <c r="AB782">
        <v>102</v>
      </c>
      <c r="AC782" s="23">
        <v>1.67</v>
      </c>
      <c r="AD782" t="str">
        <f>IF(AND('CVD Dataset'!AA782="Normal",'CVD Dataset'!AB782&gt;AVERAGE('CVD Dataset'!AB:AB),'CVD Dataset'!AF782="High"),"High Lipid Category","Normal Category")</f>
        <v>Normal Category</v>
      </c>
      <c r="AE782">
        <v>16.66</v>
      </c>
      <c r="AF782" t="s">
        <v>28</v>
      </c>
      <c r="AG782">
        <v>0</v>
      </c>
      <c r="AH782" t="s">
        <v>1380</v>
      </c>
      <c r="AI782">
        <f t="shared" si="51"/>
        <v>0</v>
      </c>
      <c r="AJ782" t="s">
        <v>1391</v>
      </c>
    </row>
    <row r="783" spans="1:36" x14ac:dyDescent="0.3">
      <c r="A783" t="s">
        <v>33</v>
      </c>
      <c r="B783">
        <v>53</v>
      </c>
      <c r="C783">
        <v>62.7</v>
      </c>
      <c r="D783">
        <v>1.6</v>
      </c>
      <c r="E783">
        <v>24.5</v>
      </c>
      <c r="F783">
        <f t="shared" si="49"/>
        <v>24.492187499999996</v>
      </c>
      <c r="G783">
        <f t="shared" ref="G783:G846" si="52">IFERROR(IF(ABS(E783 - F783) &lt;= 0.1, 0, 1),"")</f>
        <v>0</v>
      </c>
      <c r="H783" t="s">
        <v>1398</v>
      </c>
      <c r="I783">
        <v>73.7</v>
      </c>
      <c r="J783" t="s">
        <v>696</v>
      </c>
      <c r="K783" s="24">
        <v>131</v>
      </c>
      <c r="L783" s="24">
        <v>73</v>
      </c>
      <c r="M783">
        <v>172</v>
      </c>
      <c r="N783" t="s">
        <v>1433</v>
      </c>
      <c r="O783">
        <v>73</v>
      </c>
      <c r="P783">
        <v>142</v>
      </c>
      <c r="Q783" t="s">
        <v>25</v>
      </c>
      <c r="R783" t="s">
        <v>25</v>
      </c>
      <c r="S783" t="s">
        <v>30</v>
      </c>
      <c r="T783" t="s">
        <v>25</v>
      </c>
      <c r="U783">
        <f t="shared" si="50"/>
        <v>3</v>
      </c>
      <c r="V783">
        <v>160</v>
      </c>
      <c r="W783">
        <v>0.46100000000000002</v>
      </c>
      <c r="X783" t="s">
        <v>1406</v>
      </c>
      <c r="Z783">
        <v>73</v>
      </c>
      <c r="AA783" t="s">
        <v>31</v>
      </c>
      <c r="AB783">
        <v>69</v>
      </c>
      <c r="AC783" s="23">
        <v>0.95</v>
      </c>
      <c r="AD783" t="str">
        <f>IF(AND('CVD Dataset'!AA783="Normal",'CVD Dataset'!AB783&gt;AVERAGE('CVD Dataset'!AB:AB),'CVD Dataset'!AF783="High"),"High Lipid Category","Normal Category")</f>
        <v>Normal Category</v>
      </c>
      <c r="AE783">
        <v>16.89</v>
      </c>
      <c r="AF783" t="s">
        <v>32</v>
      </c>
      <c r="AG783">
        <v>1</v>
      </c>
      <c r="AH783" t="s">
        <v>1379</v>
      </c>
      <c r="AI783">
        <f t="shared" si="51"/>
        <v>1</v>
      </c>
      <c r="AJ783" t="s">
        <v>1392</v>
      </c>
    </row>
    <row r="784" spans="1:36" x14ac:dyDescent="0.3">
      <c r="A784" t="s">
        <v>22</v>
      </c>
      <c r="B784">
        <v>30</v>
      </c>
      <c r="C784">
        <v>68.599999999999994</v>
      </c>
      <c r="D784">
        <v>1.73</v>
      </c>
      <c r="E784">
        <v>22.9</v>
      </c>
      <c r="F784">
        <f t="shared" si="49"/>
        <v>22.920912827023955</v>
      </c>
      <c r="G784">
        <f t="shared" si="52"/>
        <v>0</v>
      </c>
      <c r="H784" t="s">
        <v>1398</v>
      </c>
      <c r="I784">
        <v>86.7</v>
      </c>
      <c r="J784" t="s">
        <v>102</v>
      </c>
      <c r="K784" s="24">
        <v>142</v>
      </c>
      <c r="L784" s="24">
        <v>66</v>
      </c>
      <c r="M784">
        <v>142</v>
      </c>
      <c r="N784" t="s">
        <v>1434</v>
      </c>
      <c r="O784">
        <v>59</v>
      </c>
      <c r="P784">
        <v>94</v>
      </c>
      <c r="Q784" t="s">
        <v>24</v>
      </c>
      <c r="R784" t="s">
        <v>25</v>
      </c>
      <c r="S784" t="s">
        <v>30</v>
      </c>
      <c r="T784" t="s">
        <v>24</v>
      </c>
      <c r="U784">
        <f t="shared" si="50"/>
        <v>1</v>
      </c>
      <c r="V784">
        <v>173</v>
      </c>
      <c r="W784">
        <v>0.501</v>
      </c>
      <c r="X784" t="s">
        <v>1406</v>
      </c>
      <c r="Y784">
        <v>142</v>
      </c>
      <c r="Z784">
        <v>66</v>
      </c>
      <c r="AA784" t="s">
        <v>40</v>
      </c>
      <c r="AB784">
        <v>53</v>
      </c>
      <c r="AC784" s="23">
        <v>0.9</v>
      </c>
      <c r="AD784" t="str">
        <f>IF(AND('CVD Dataset'!AA784="Normal",'CVD Dataset'!AB784&gt;AVERAGE('CVD Dataset'!AB:AB),'CVD Dataset'!AF784="High"),"High Lipid Category","Normal Category")</f>
        <v>Normal Category</v>
      </c>
      <c r="AE784">
        <v>16.52</v>
      </c>
      <c r="AF784" t="s">
        <v>54</v>
      </c>
      <c r="AG784">
        <v>0</v>
      </c>
      <c r="AH784" t="s">
        <v>1380</v>
      </c>
      <c r="AI784">
        <f t="shared" si="51"/>
        <v>0</v>
      </c>
      <c r="AJ784" t="s">
        <v>1391</v>
      </c>
    </row>
    <row r="785" spans="1:36" x14ac:dyDescent="0.3">
      <c r="A785" t="s">
        <v>33</v>
      </c>
      <c r="B785">
        <v>50</v>
      </c>
      <c r="C785">
        <v>95.3</v>
      </c>
      <c r="D785">
        <v>1.9</v>
      </c>
      <c r="E785">
        <v>26.4</v>
      </c>
      <c r="F785">
        <f t="shared" si="49"/>
        <v>26.398891966759003</v>
      </c>
      <c r="G785">
        <f t="shared" si="52"/>
        <v>0</v>
      </c>
      <c r="H785" t="s">
        <v>1400</v>
      </c>
      <c r="I785">
        <v>90</v>
      </c>
      <c r="J785" t="s">
        <v>697</v>
      </c>
      <c r="K785" s="24">
        <v>125</v>
      </c>
      <c r="L785" s="24">
        <v>90</v>
      </c>
      <c r="M785">
        <v>205</v>
      </c>
      <c r="N785" t="s">
        <v>1432</v>
      </c>
      <c r="O785">
        <v>38</v>
      </c>
      <c r="P785">
        <v>82</v>
      </c>
      <c r="Q785" t="s">
        <v>24</v>
      </c>
      <c r="R785" t="s">
        <v>25</v>
      </c>
      <c r="S785" t="s">
        <v>39</v>
      </c>
      <c r="T785" t="s">
        <v>24</v>
      </c>
      <c r="U785">
        <f t="shared" si="50"/>
        <v>1</v>
      </c>
      <c r="V785">
        <v>190</v>
      </c>
      <c r="W785">
        <v>0.47399999999999998</v>
      </c>
      <c r="X785" t="s">
        <v>1406</v>
      </c>
      <c r="Y785">
        <v>125</v>
      </c>
      <c r="Z785">
        <v>90</v>
      </c>
      <c r="AA785" t="s">
        <v>40</v>
      </c>
      <c r="AB785">
        <v>137</v>
      </c>
      <c r="AC785" s="23">
        <v>3.61</v>
      </c>
      <c r="AD785" t="str">
        <f>IF(AND('CVD Dataset'!AA785="Normal",'CVD Dataset'!AB785&gt;AVERAGE('CVD Dataset'!AB:AB),'CVD Dataset'!AF785="High"),"High Lipid Category","Normal Category")</f>
        <v>Normal Category</v>
      </c>
      <c r="AE785">
        <v>17.63</v>
      </c>
      <c r="AF785" t="s">
        <v>32</v>
      </c>
      <c r="AG785">
        <v>0</v>
      </c>
      <c r="AH785" t="s">
        <v>1379</v>
      </c>
      <c r="AI785">
        <f t="shared" si="51"/>
        <v>1</v>
      </c>
      <c r="AJ785" t="s">
        <v>1391</v>
      </c>
    </row>
    <row r="786" spans="1:36" x14ac:dyDescent="0.3">
      <c r="A786" t="s">
        <v>33</v>
      </c>
      <c r="B786">
        <v>31</v>
      </c>
      <c r="C786">
        <v>65.5</v>
      </c>
      <c r="D786">
        <v>1.8</v>
      </c>
      <c r="E786">
        <v>20.2</v>
      </c>
      <c r="F786">
        <f t="shared" si="49"/>
        <v>20.216049382716047</v>
      </c>
      <c r="G786">
        <f t="shared" si="52"/>
        <v>0</v>
      </c>
      <c r="H786" t="s">
        <v>1398</v>
      </c>
      <c r="I786">
        <v>79.2</v>
      </c>
      <c r="J786" t="s">
        <v>698</v>
      </c>
      <c r="K786" s="24">
        <v>124</v>
      </c>
      <c r="L786" s="24">
        <v>61</v>
      </c>
      <c r="M786">
        <v>266</v>
      </c>
      <c r="N786" t="s">
        <v>1432</v>
      </c>
      <c r="O786">
        <v>60</v>
      </c>
      <c r="P786">
        <v>111</v>
      </c>
      <c r="Q786" t="s">
        <v>25</v>
      </c>
      <c r="R786" t="s">
        <v>25</v>
      </c>
      <c r="S786" t="s">
        <v>26</v>
      </c>
      <c r="T786" t="s">
        <v>24</v>
      </c>
      <c r="U786">
        <f t="shared" si="50"/>
        <v>3</v>
      </c>
      <c r="V786">
        <v>180</v>
      </c>
      <c r="W786">
        <v>0.44</v>
      </c>
      <c r="X786" t="s">
        <v>1408</v>
      </c>
      <c r="Y786">
        <v>124</v>
      </c>
      <c r="Z786">
        <v>61</v>
      </c>
      <c r="AA786" t="s">
        <v>27</v>
      </c>
      <c r="AB786">
        <v>176</v>
      </c>
      <c r="AC786" s="23">
        <v>2.93</v>
      </c>
      <c r="AD786" t="str">
        <f>IF(AND('CVD Dataset'!AA786="Normal",'CVD Dataset'!AB786&gt;AVERAGE('CVD Dataset'!AB:AB),'CVD Dataset'!AF786="High"),"High Lipid Category","Normal Category")</f>
        <v>Normal Category</v>
      </c>
      <c r="AE786">
        <v>17.559999999999999</v>
      </c>
      <c r="AF786" t="s">
        <v>32</v>
      </c>
      <c r="AG786">
        <v>1</v>
      </c>
      <c r="AH786" t="s">
        <v>1379</v>
      </c>
      <c r="AI786">
        <f t="shared" si="51"/>
        <v>1</v>
      </c>
      <c r="AJ786" t="s">
        <v>1391</v>
      </c>
    </row>
    <row r="787" spans="1:36" x14ac:dyDescent="0.3">
      <c r="A787" t="s">
        <v>33</v>
      </c>
      <c r="B787">
        <v>43</v>
      </c>
      <c r="C787">
        <v>110.9</v>
      </c>
      <c r="D787">
        <v>1.83</v>
      </c>
      <c r="E787">
        <v>33.1</v>
      </c>
      <c r="F787">
        <f t="shared" si="49"/>
        <v>33.115351309385169</v>
      </c>
      <c r="G787">
        <f t="shared" si="52"/>
        <v>0</v>
      </c>
      <c r="H787" t="s">
        <v>1399</v>
      </c>
      <c r="I787">
        <v>90.5</v>
      </c>
      <c r="J787" t="s">
        <v>448</v>
      </c>
      <c r="K787" s="24">
        <v>129</v>
      </c>
      <c r="L787" s="24">
        <v>61</v>
      </c>
      <c r="M787">
        <v>160</v>
      </c>
      <c r="N787" t="s">
        <v>1433</v>
      </c>
      <c r="P787">
        <v>144</v>
      </c>
      <c r="Q787" t="s">
        <v>24</v>
      </c>
      <c r="R787" t="s">
        <v>25</v>
      </c>
      <c r="S787" t="s">
        <v>39</v>
      </c>
      <c r="T787" t="s">
        <v>24</v>
      </c>
      <c r="U787">
        <f t="shared" si="50"/>
        <v>1</v>
      </c>
      <c r="V787">
        <v>183</v>
      </c>
      <c r="X787" t="s">
        <v>1410</v>
      </c>
      <c r="Y787">
        <v>129</v>
      </c>
      <c r="Z787">
        <v>61</v>
      </c>
      <c r="AA787" t="s">
        <v>27</v>
      </c>
      <c r="AB787">
        <v>62</v>
      </c>
      <c r="AC787" s="23" t="s">
        <v>1410</v>
      </c>
      <c r="AD787" t="str">
        <f>IF(AND('CVD Dataset'!AA787="Normal",'CVD Dataset'!AB787&gt;AVERAGE('CVD Dataset'!AB:AB),'CVD Dataset'!AF787="High"),"High Lipid Category","Normal Category")</f>
        <v>Normal Category</v>
      </c>
      <c r="AE787">
        <v>18.27</v>
      </c>
      <c r="AF787" t="s">
        <v>28</v>
      </c>
      <c r="AG787">
        <v>0</v>
      </c>
      <c r="AH787" t="s">
        <v>1380</v>
      </c>
      <c r="AI787">
        <f t="shared" si="51"/>
        <v>0</v>
      </c>
      <c r="AJ787" t="s">
        <v>1391</v>
      </c>
    </row>
    <row r="788" spans="1:36" x14ac:dyDescent="0.3">
      <c r="A788" t="s">
        <v>33</v>
      </c>
      <c r="B788">
        <v>55</v>
      </c>
      <c r="C788">
        <v>75.3</v>
      </c>
      <c r="D788">
        <v>1.66</v>
      </c>
      <c r="E788">
        <v>27.3</v>
      </c>
      <c r="F788">
        <f t="shared" si="49"/>
        <v>27.326172158513572</v>
      </c>
      <c r="G788">
        <f t="shared" si="52"/>
        <v>0</v>
      </c>
      <c r="H788" t="s">
        <v>1400</v>
      </c>
      <c r="I788">
        <v>76.3</v>
      </c>
      <c r="J788" t="s">
        <v>699</v>
      </c>
      <c r="K788" s="24">
        <v>134</v>
      </c>
      <c r="L788" s="24">
        <v>90</v>
      </c>
      <c r="M788">
        <v>122</v>
      </c>
      <c r="N788" t="s">
        <v>1434</v>
      </c>
      <c r="O788">
        <v>51</v>
      </c>
      <c r="P788">
        <v>81</v>
      </c>
      <c r="Q788" t="s">
        <v>25</v>
      </c>
      <c r="R788" t="s">
        <v>25</v>
      </c>
      <c r="S788" t="s">
        <v>39</v>
      </c>
      <c r="T788" t="s">
        <v>25</v>
      </c>
      <c r="U788">
        <f t="shared" si="50"/>
        <v>3</v>
      </c>
      <c r="V788">
        <v>166</v>
      </c>
      <c r="W788">
        <v>0.46</v>
      </c>
      <c r="X788" t="s">
        <v>1408</v>
      </c>
      <c r="Y788">
        <v>134</v>
      </c>
      <c r="Z788">
        <v>90</v>
      </c>
      <c r="AA788" t="s">
        <v>31</v>
      </c>
      <c r="AB788">
        <v>41</v>
      </c>
      <c r="AC788" s="23">
        <v>0.8</v>
      </c>
      <c r="AD788" t="str">
        <f>IF(AND('CVD Dataset'!AA788="Normal",'CVD Dataset'!AB788&gt;AVERAGE('CVD Dataset'!AB:AB),'CVD Dataset'!AF788="High"),"High Lipid Category","Normal Category")</f>
        <v>Normal Category</v>
      </c>
      <c r="AF788" t="s">
        <v>32</v>
      </c>
      <c r="AG788">
        <v>0</v>
      </c>
      <c r="AH788" t="s">
        <v>1379</v>
      </c>
      <c r="AI788">
        <f t="shared" si="51"/>
        <v>1</v>
      </c>
      <c r="AJ788" t="s">
        <v>1392</v>
      </c>
    </row>
    <row r="789" spans="1:36" x14ac:dyDescent="0.3">
      <c r="A789" t="s">
        <v>22</v>
      </c>
      <c r="B789">
        <v>31</v>
      </c>
      <c r="C789">
        <v>92.3</v>
      </c>
      <c r="D789">
        <v>1.72</v>
      </c>
      <c r="E789">
        <v>31.2</v>
      </c>
      <c r="F789">
        <f t="shared" si="49"/>
        <v>31.199296917252571</v>
      </c>
      <c r="G789">
        <f t="shared" si="52"/>
        <v>0</v>
      </c>
      <c r="H789" t="s">
        <v>1399</v>
      </c>
      <c r="I789">
        <v>94</v>
      </c>
      <c r="J789" t="s">
        <v>700</v>
      </c>
      <c r="K789" s="24">
        <v>108</v>
      </c>
      <c r="L789" s="24">
        <v>71</v>
      </c>
      <c r="M789">
        <v>182</v>
      </c>
      <c r="N789" t="s">
        <v>1432</v>
      </c>
      <c r="O789">
        <v>60</v>
      </c>
      <c r="P789">
        <v>73</v>
      </c>
      <c r="Q789" t="s">
        <v>24</v>
      </c>
      <c r="R789" t="s">
        <v>24</v>
      </c>
      <c r="S789" t="s">
        <v>39</v>
      </c>
      <c r="T789" t="s">
        <v>24</v>
      </c>
      <c r="U789">
        <f t="shared" si="50"/>
        <v>0</v>
      </c>
      <c r="V789">
        <v>172</v>
      </c>
      <c r="W789">
        <v>0.54700000000000004</v>
      </c>
      <c r="X789" t="s">
        <v>1407</v>
      </c>
      <c r="Y789">
        <v>108</v>
      </c>
      <c r="Z789">
        <v>71</v>
      </c>
      <c r="AA789" t="s">
        <v>35</v>
      </c>
      <c r="AB789">
        <v>92</v>
      </c>
      <c r="AC789" s="23">
        <v>1.53</v>
      </c>
      <c r="AD789" t="str">
        <f>IF(AND('CVD Dataset'!AA789="Normal",'CVD Dataset'!AB789&gt;AVERAGE('CVD Dataset'!AB:AB),'CVD Dataset'!AF789="High"),"High Lipid Category","Normal Category")</f>
        <v>Normal Category</v>
      </c>
      <c r="AE789">
        <v>15.28</v>
      </c>
      <c r="AF789" t="s">
        <v>54</v>
      </c>
      <c r="AG789">
        <v>0</v>
      </c>
      <c r="AH789" t="s">
        <v>1380</v>
      </c>
      <c r="AI789">
        <f t="shared" si="51"/>
        <v>0</v>
      </c>
      <c r="AJ789" t="s">
        <v>1391</v>
      </c>
    </row>
    <row r="790" spans="1:36" x14ac:dyDescent="0.3">
      <c r="A790" t="s">
        <v>22</v>
      </c>
      <c r="B790">
        <v>42</v>
      </c>
      <c r="C790">
        <v>69.099999999999994</v>
      </c>
      <c r="E790">
        <v>19.600000000000001</v>
      </c>
      <c r="F790" t="str">
        <f t="shared" si="49"/>
        <v/>
      </c>
      <c r="G790" t="str">
        <f t="shared" si="52"/>
        <v/>
      </c>
      <c r="H790" t="s">
        <v>1398</v>
      </c>
      <c r="J790" t="s">
        <v>701</v>
      </c>
      <c r="K790" s="24">
        <v>92</v>
      </c>
      <c r="L790" s="24">
        <v>95</v>
      </c>
      <c r="M790">
        <v>263</v>
      </c>
      <c r="N790" t="s">
        <v>1432</v>
      </c>
      <c r="O790">
        <v>74</v>
      </c>
      <c r="P790">
        <v>94</v>
      </c>
      <c r="Q790" t="s">
        <v>24</v>
      </c>
      <c r="R790" t="s">
        <v>24</v>
      </c>
      <c r="S790" t="s">
        <v>26</v>
      </c>
      <c r="T790" t="s">
        <v>24</v>
      </c>
      <c r="U790">
        <f t="shared" si="50"/>
        <v>1</v>
      </c>
      <c r="V790">
        <v>188</v>
      </c>
      <c r="W790">
        <v>0.54500000000000004</v>
      </c>
      <c r="X790" t="s">
        <v>1407</v>
      </c>
      <c r="Y790">
        <v>92</v>
      </c>
      <c r="Z790">
        <v>95</v>
      </c>
      <c r="AA790" t="s">
        <v>40</v>
      </c>
      <c r="AC790" s="23">
        <v>0</v>
      </c>
      <c r="AD790" t="str">
        <f>IF(AND('CVD Dataset'!AA790="Normal",'CVD Dataset'!AB790&gt;AVERAGE('CVD Dataset'!AB:AB),'CVD Dataset'!AF790="High"),"High Lipid Category","Normal Category")</f>
        <v>Normal Category</v>
      </c>
      <c r="AE790">
        <v>13.78</v>
      </c>
      <c r="AF790" t="s">
        <v>28</v>
      </c>
      <c r="AG790">
        <v>0</v>
      </c>
      <c r="AH790" t="s">
        <v>1380</v>
      </c>
      <c r="AI790">
        <f t="shared" si="51"/>
        <v>0</v>
      </c>
      <c r="AJ790" t="s">
        <v>1391</v>
      </c>
    </row>
    <row r="791" spans="1:36" x14ac:dyDescent="0.3">
      <c r="A791" t="s">
        <v>33</v>
      </c>
      <c r="B791">
        <v>50</v>
      </c>
      <c r="C791">
        <v>119</v>
      </c>
      <c r="D791">
        <v>1.64</v>
      </c>
      <c r="E791">
        <v>44.2</v>
      </c>
      <c r="F791">
        <f t="shared" si="49"/>
        <v>44.244497323022017</v>
      </c>
      <c r="G791">
        <f t="shared" si="52"/>
        <v>0</v>
      </c>
      <c r="H791" t="s">
        <v>1399</v>
      </c>
      <c r="I791">
        <v>70.900000000000006</v>
      </c>
      <c r="J791" t="s">
        <v>702</v>
      </c>
      <c r="K791" s="24">
        <v>126</v>
      </c>
      <c r="L791" s="24">
        <v>77</v>
      </c>
      <c r="M791">
        <v>188</v>
      </c>
      <c r="N791" t="s">
        <v>1432</v>
      </c>
      <c r="O791">
        <v>68</v>
      </c>
      <c r="P791">
        <v>113</v>
      </c>
      <c r="Q791" t="s">
        <v>25</v>
      </c>
      <c r="R791" t="s">
        <v>25</v>
      </c>
      <c r="S791" t="s">
        <v>39</v>
      </c>
      <c r="T791" t="s">
        <v>25</v>
      </c>
      <c r="U791">
        <f t="shared" si="50"/>
        <v>3</v>
      </c>
      <c r="V791">
        <v>164</v>
      </c>
      <c r="W791">
        <v>0.432</v>
      </c>
      <c r="X791" t="s">
        <v>1408</v>
      </c>
      <c r="Y791">
        <v>126</v>
      </c>
      <c r="Z791">
        <v>77</v>
      </c>
      <c r="AA791" t="s">
        <v>27</v>
      </c>
      <c r="AB791">
        <v>90</v>
      </c>
      <c r="AC791" s="23">
        <v>1.32</v>
      </c>
      <c r="AD791" t="str">
        <f>IF(AND('CVD Dataset'!AA791="Normal",'CVD Dataset'!AB791&gt;AVERAGE('CVD Dataset'!AB:AB),'CVD Dataset'!AF791="High"),"High Lipid Category","Normal Category")</f>
        <v>Normal Category</v>
      </c>
      <c r="AF791" t="s">
        <v>32</v>
      </c>
      <c r="AG791">
        <v>1</v>
      </c>
      <c r="AH791" t="s">
        <v>1379</v>
      </c>
      <c r="AI791">
        <f t="shared" si="51"/>
        <v>1</v>
      </c>
      <c r="AJ791" t="s">
        <v>1391</v>
      </c>
    </row>
    <row r="792" spans="1:36" x14ac:dyDescent="0.3">
      <c r="A792" t="s">
        <v>22</v>
      </c>
      <c r="B792">
        <v>42</v>
      </c>
      <c r="C792">
        <v>114.2</v>
      </c>
      <c r="D792">
        <v>1.89</v>
      </c>
      <c r="E792">
        <v>32</v>
      </c>
      <c r="F792">
        <f t="shared" si="49"/>
        <v>31.969989641947315</v>
      </c>
      <c r="G792">
        <f t="shared" si="52"/>
        <v>0</v>
      </c>
      <c r="H792" t="s">
        <v>1399</v>
      </c>
      <c r="I792">
        <v>84.4</v>
      </c>
      <c r="J792" t="s">
        <v>703</v>
      </c>
      <c r="K792" s="24">
        <v>109</v>
      </c>
      <c r="L792" s="24">
        <v>91</v>
      </c>
      <c r="M792">
        <v>153</v>
      </c>
      <c r="N792" t="s">
        <v>1433</v>
      </c>
      <c r="O792">
        <v>68</v>
      </c>
      <c r="P792">
        <v>137</v>
      </c>
      <c r="Q792" t="s">
        <v>24</v>
      </c>
      <c r="R792" t="s">
        <v>25</v>
      </c>
      <c r="S792" t="s">
        <v>30</v>
      </c>
      <c r="T792" t="s">
        <v>25</v>
      </c>
      <c r="U792">
        <f t="shared" si="50"/>
        <v>2</v>
      </c>
      <c r="V792">
        <v>189</v>
      </c>
      <c r="W792">
        <v>0.44700000000000001</v>
      </c>
      <c r="X792" t="s">
        <v>1408</v>
      </c>
      <c r="Y792">
        <v>109</v>
      </c>
      <c r="Z792">
        <v>91</v>
      </c>
      <c r="AA792" t="s">
        <v>40</v>
      </c>
      <c r="AB792">
        <v>55</v>
      </c>
      <c r="AC792" s="23">
        <v>0.81</v>
      </c>
      <c r="AD792" t="str">
        <f>IF(AND('CVD Dataset'!AA792="Normal",'CVD Dataset'!AB792&gt;AVERAGE('CVD Dataset'!AB:AB),'CVD Dataset'!AF792="High"),"High Lipid Category","Normal Category")</f>
        <v>Normal Category</v>
      </c>
      <c r="AE792">
        <v>16.91</v>
      </c>
      <c r="AF792" t="s">
        <v>28</v>
      </c>
      <c r="AG792">
        <v>0</v>
      </c>
      <c r="AH792" t="s">
        <v>1380</v>
      </c>
      <c r="AI792">
        <f t="shared" si="51"/>
        <v>0</v>
      </c>
      <c r="AJ792" t="s">
        <v>1391</v>
      </c>
    </row>
    <row r="793" spans="1:36" x14ac:dyDescent="0.3">
      <c r="A793" t="s">
        <v>33</v>
      </c>
      <c r="B793">
        <v>56</v>
      </c>
      <c r="D793">
        <v>1.79</v>
      </c>
      <c r="E793">
        <v>22.7</v>
      </c>
      <c r="F793">
        <f t="shared" si="49"/>
        <v>0</v>
      </c>
      <c r="G793">
        <f t="shared" si="52"/>
        <v>1</v>
      </c>
      <c r="H793" t="s">
        <v>1398</v>
      </c>
      <c r="I793">
        <v>104.8</v>
      </c>
      <c r="J793" t="s">
        <v>477</v>
      </c>
      <c r="K793" s="24">
        <v>150</v>
      </c>
      <c r="L793" s="24">
        <v>97</v>
      </c>
      <c r="M793">
        <v>295</v>
      </c>
      <c r="N793" t="s">
        <v>1432</v>
      </c>
      <c r="O793">
        <v>57</v>
      </c>
      <c r="P793">
        <v>93</v>
      </c>
      <c r="Q793" t="s">
        <v>24</v>
      </c>
      <c r="R793" t="s">
        <v>25</v>
      </c>
      <c r="S793" t="s">
        <v>39</v>
      </c>
      <c r="T793" t="s">
        <v>24</v>
      </c>
      <c r="U793">
        <f t="shared" si="50"/>
        <v>1</v>
      </c>
      <c r="V793">
        <v>179</v>
      </c>
      <c r="W793">
        <v>0.58499999999999996</v>
      </c>
      <c r="X793" t="s">
        <v>1409</v>
      </c>
      <c r="Y793">
        <v>150</v>
      </c>
      <c r="Z793">
        <v>97</v>
      </c>
      <c r="AA793" t="s">
        <v>40</v>
      </c>
      <c r="AB793">
        <v>208</v>
      </c>
      <c r="AC793" s="23">
        <v>3.65</v>
      </c>
      <c r="AD793" t="str">
        <f>IF(AND('CVD Dataset'!AA793="Normal",'CVD Dataset'!AB793&gt;AVERAGE('CVD Dataset'!AB:AB),'CVD Dataset'!AF793="High"),"High Lipid Category","Normal Category")</f>
        <v>Normal Category</v>
      </c>
      <c r="AE793">
        <v>19.940000000000001</v>
      </c>
      <c r="AF793" t="s">
        <v>28</v>
      </c>
      <c r="AG793">
        <v>0</v>
      </c>
      <c r="AH793" t="s">
        <v>1380</v>
      </c>
      <c r="AI793">
        <f t="shared" si="51"/>
        <v>0</v>
      </c>
      <c r="AJ793" t="s">
        <v>1392</v>
      </c>
    </row>
    <row r="794" spans="1:36" x14ac:dyDescent="0.3">
      <c r="A794" t="s">
        <v>33</v>
      </c>
      <c r="B794">
        <v>54</v>
      </c>
      <c r="C794">
        <v>53.1</v>
      </c>
      <c r="D794">
        <v>1.73</v>
      </c>
      <c r="E794">
        <v>17.7</v>
      </c>
      <c r="F794">
        <f t="shared" si="49"/>
        <v>17.741989374853819</v>
      </c>
      <c r="G794">
        <f t="shared" si="52"/>
        <v>0</v>
      </c>
      <c r="H794" t="s">
        <v>1401</v>
      </c>
      <c r="I794">
        <v>103.3</v>
      </c>
      <c r="J794" t="s">
        <v>704</v>
      </c>
      <c r="K794" s="24">
        <v>137</v>
      </c>
      <c r="L794" s="24">
        <v>65</v>
      </c>
      <c r="N794" t="s">
        <v>1434</v>
      </c>
      <c r="O794">
        <v>71</v>
      </c>
      <c r="P794">
        <v>106</v>
      </c>
      <c r="Q794" t="s">
        <v>25</v>
      </c>
      <c r="R794" t="s">
        <v>24</v>
      </c>
      <c r="S794" t="s">
        <v>39</v>
      </c>
      <c r="T794" t="s">
        <v>24</v>
      </c>
      <c r="U794">
        <f t="shared" si="50"/>
        <v>1</v>
      </c>
      <c r="V794">
        <v>173</v>
      </c>
      <c r="W794">
        <v>0.59699999999999998</v>
      </c>
      <c r="X794" t="s">
        <v>1409</v>
      </c>
      <c r="Y794">
        <v>137</v>
      </c>
      <c r="Z794">
        <v>65</v>
      </c>
      <c r="AA794" t="s">
        <v>31</v>
      </c>
      <c r="AB794">
        <v>56</v>
      </c>
      <c r="AC794" s="23">
        <v>0.79</v>
      </c>
      <c r="AD794" t="str">
        <f>IF(AND('CVD Dataset'!AA794="Normal",'CVD Dataset'!AB794&gt;AVERAGE('CVD Dataset'!AB:AB),'CVD Dataset'!AF794="High"),"High Lipid Category","Normal Category")</f>
        <v>Normal Category</v>
      </c>
      <c r="AE794">
        <v>13.53</v>
      </c>
      <c r="AF794" t="s">
        <v>28</v>
      </c>
      <c r="AG794">
        <v>0</v>
      </c>
      <c r="AH794" t="s">
        <v>1380</v>
      </c>
      <c r="AI794">
        <f t="shared" si="51"/>
        <v>0</v>
      </c>
      <c r="AJ794" t="s">
        <v>1391</v>
      </c>
    </row>
    <row r="795" spans="1:36" x14ac:dyDescent="0.3">
      <c r="A795" t="s">
        <v>33</v>
      </c>
      <c r="C795">
        <v>94.9</v>
      </c>
      <c r="D795">
        <v>1.67</v>
      </c>
      <c r="E795">
        <v>34</v>
      </c>
      <c r="F795">
        <f t="shared" si="49"/>
        <v>34.027752877478576</v>
      </c>
      <c r="G795">
        <f t="shared" si="52"/>
        <v>0</v>
      </c>
      <c r="H795" t="s">
        <v>1399</v>
      </c>
      <c r="I795">
        <v>98.6</v>
      </c>
      <c r="J795" t="s">
        <v>705</v>
      </c>
      <c r="K795" s="24">
        <v>150</v>
      </c>
      <c r="L795" s="24">
        <v>86</v>
      </c>
      <c r="M795">
        <v>234</v>
      </c>
      <c r="N795" t="s">
        <v>1432</v>
      </c>
      <c r="P795">
        <v>148</v>
      </c>
      <c r="Q795" t="s">
        <v>25</v>
      </c>
      <c r="R795" t="s">
        <v>24</v>
      </c>
      <c r="S795" t="s">
        <v>39</v>
      </c>
      <c r="T795" t="s">
        <v>25</v>
      </c>
      <c r="U795">
        <f t="shared" si="50"/>
        <v>2</v>
      </c>
      <c r="V795">
        <v>167</v>
      </c>
      <c r="W795">
        <v>0.59</v>
      </c>
      <c r="X795" t="s">
        <v>1409</v>
      </c>
      <c r="Y795">
        <v>150</v>
      </c>
      <c r="Z795">
        <v>86</v>
      </c>
      <c r="AA795" t="s">
        <v>31</v>
      </c>
      <c r="AB795">
        <v>136</v>
      </c>
      <c r="AC795" s="23" t="s">
        <v>1410</v>
      </c>
      <c r="AD795" t="str">
        <f>IF(AND('CVD Dataset'!AA795="Normal",'CVD Dataset'!AB795&gt;AVERAGE('CVD Dataset'!AB:AB),'CVD Dataset'!AF795="High"),"High Lipid Category","Normal Category")</f>
        <v>Normal Category</v>
      </c>
      <c r="AE795">
        <v>18.98</v>
      </c>
      <c r="AF795" t="s">
        <v>32</v>
      </c>
      <c r="AG795">
        <v>0</v>
      </c>
      <c r="AH795" t="s">
        <v>1379</v>
      </c>
      <c r="AI795">
        <f t="shared" si="51"/>
        <v>1</v>
      </c>
      <c r="AJ795" t="s">
        <v>1391</v>
      </c>
    </row>
    <row r="796" spans="1:36" x14ac:dyDescent="0.3">
      <c r="A796" t="s">
        <v>22</v>
      </c>
      <c r="B796">
        <v>48</v>
      </c>
      <c r="C796">
        <v>88.9</v>
      </c>
      <c r="D796">
        <v>1.88</v>
      </c>
      <c r="E796">
        <v>25.2</v>
      </c>
      <c r="F796">
        <f t="shared" si="49"/>
        <v>25.15278406518787</v>
      </c>
      <c r="G796">
        <f t="shared" si="52"/>
        <v>0</v>
      </c>
      <c r="H796" t="s">
        <v>1400</v>
      </c>
      <c r="I796">
        <v>97.9</v>
      </c>
      <c r="J796" t="s">
        <v>706</v>
      </c>
      <c r="K796" s="24">
        <v>110</v>
      </c>
      <c r="L796" s="24">
        <v>72</v>
      </c>
      <c r="M796">
        <v>234</v>
      </c>
      <c r="N796" t="s">
        <v>1432</v>
      </c>
      <c r="O796">
        <v>63</v>
      </c>
      <c r="P796">
        <v>96</v>
      </c>
      <c r="Q796" t="s">
        <v>25</v>
      </c>
      <c r="R796" t="s">
        <v>25</v>
      </c>
      <c r="S796" t="s">
        <v>39</v>
      </c>
      <c r="T796" t="s">
        <v>24</v>
      </c>
      <c r="U796">
        <f t="shared" si="50"/>
        <v>2</v>
      </c>
      <c r="V796">
        <v>188</v>
      </c>
      <c r="W796">
        <v>0.52100000000000002</v>
      </c>
      <c r="X796" t="s">
        <v>1406</v>
      </c>
      <c r="Y796">
        <v>110</v>
      </c>
      <c r="Z796">
        <v>72</v>
      </c>
      <c r="AA796" t="s">
        <v>35</v>
      </c>
      <c r="AB796">
        <v>141</v>
      </c>
      <c r="AC796" s="23">
        <v>2.2400000000000002</v>
      </c>
      <c r="AD796" t="str">
        <f>IF(AND('CVD Dataset'!AA796="Normal",'CVD Dataset'!AB796&gt;AVERAGE('CVD Dataset'!AB:AB),'CVD Dataset'!AF796="High"),"High Lipid Category","Normal Category")</f>
        <v>High Lipid Category</v>
      </c>
      <c r="AE796">
        <v>17.22</v>
      </c>
      <c r="AF796" t="s">
        <v>32</v>
      </c>
      <c r="AG796">
        <v>1</v>
      </c>
      <c r="AH796" t="s">
        <v>1379</v>
      </c>
      <c r="AI796">
        <f t="shared" si="51"/>
        <v>1</v>
      </c>
      <c r="AJ796" t="s">
        <v>1391</v>
      </c>
    </row>
    <row r="797" spans="1:36" x14ac:dyDescent="0.3">
      <c r="A797" t="s">
        <v>33</v>
      </c>
      <c r="B797">
        <v>44</v>
      </c>
      <c r="C797">
        <v>86.5</v>
      </c>
      <c r="D797">
        <v>1.67</v>
      </c>
      <c r="E797">
        <v>31</v>
      </c>
      <c r="F797">
        <f t="shared" si="49"/>
        <v>31.015812686005237</v>
      </c>
      <c r="G797">
        <f t="shared" si="52"/>
        <v>0</v>
      </c>
      <c r="H797" t="s">
        <v>1399</v>
      </c>
      <c r="I797">
        <v>81.400000000000006</v>
      </c>
      <c r="J797" t="s">
        <v>707</v>
      </c>
      <c r="K797" s="24">
        <v>101</v>
      </c>
      <c r="L797" s="24">
        <v>73</v>
      </c>
      <c r="M797">
        <v>103</v>
      </c>
      <c r="N797" t="s">
        <v>1434</v>
      </c>
      <c r="O797">
        <v>58</v>
      </c>
      <c r="P797">
        <v>79</v>
      </c>
      <c r="Q797" t="s">
        <v>25</v>
      </c>
      <c r="R797" t="s">
        <v>25</v>
      </c>
      <c r="S797" t="s">
        <v>39</v>
      </c>
      <c r="T797" t="s">
        <v>25</v>
      </c>
      <c r="U797">
        <f t="shared" si="50"/>
        <v>3</v>
      </c>
      <c r="V797">
        <v>167</v>
      </c>
      <c r="W797">
        <v>0.48699999999999999</v>
      </c>
      <c r="X797" t="s">
        <v>1406</v>
      </c>
      <c r="Y797">
        <v>101</v>
      </c>
      <c r="Z797">
        <v>73</v>
      </c>
      <c r="AA797" t="s">
        <v>35</v>
      </c>
      <c r="AB797">
        <v>15</v>
      </c>
      <c r="AC797" s="23">
        <v>0.26</v>
      </c>
      <c r="AD797" t="str">
        <f>IF(AND('CVD Dataset'!AA797="Normal",'CVD Dataset'!AB797&gt;AVERAGE('CVD Dataset'!AB:AB),'CVD Dataset'!AF797="High"),"High Lipid Category","Normal Category")</f>
        <v>Normal Category</v>
      </c>
      <c r="AE797">
        <v>15.31</v>
      </c>
      <c r="AF797" t="s">
        <v>32</v>
      </c>
      <c r="AG797">
        <v>0</v>
      </c>
      <c r="AH797" t="s">
        <v>1379</v>
      </c>
      <c r="AI797">
        <f t="shared" si="51"/>
        <v>1</v>
      </c>
      <c r="AJ797" t="s">
        <v>1391</v>
      </c>
    </row>
    <row r="798" spans="1:36" x14ac:dyDescent="0.3">
      <c r="A798" t="s">
        <v>33</v>
      </c>
      <c r="B798">
        <v>42</v>
      </c>
      <c r="C798">
        <v>104.5</v>
      </c>
      <c r="D798">
        <v>1.66</v>
      </c>
      <c r="E798">
        <v>37.9</v>
      </c>
      <c r="F798">
        <f t="shared" si="49"/>
        <v>37.92277543910582</v>
      </c>
      <c r="G798">
        <f t="shared" si="52"/>
        <v>0</v>
      </c>
      <c r="H798" t="s">
        <v>1399</v>
      </c>
      <c r="I798">
        <v>90.2</v>
      </c>
      <c r="J798" t="s">
        <v>708</v>
      </c>
      <c r="K798" s="24">
        <v>123</v>
      </c>
      <c r="L798" s="24">
        <v>62</v>
      </c>
      <c r="M798">
        <v>125</v>
      </c>
      <c r="N798" t="s">
        <v>1434</v>
      </c>
      <c r="O798">
        <v>32</v>
      </c>
      <c r="P798">
        <v>134</v>
      </c>
      <c r="Q798" t="s">
        <v>25</v>
      </c>
      <c r="R798" t="s">
        <v>25</v>
      </c>
      <c r="S798" t="s">
        <v>30</v>
      </c>
      <c r="T798" t="s">
        <v>25</v>
      </c>
      <c r="U798">
        <f t="shared" si="50"/>
        <v>3</v>
      </c>
      <c r="V798">
        <v>166</v>
      </c>
      <c r="W798">
        <v>0.54300000000000004</v>
      </c>
      <c r="X798" t="s">
        <v>1407</v>
      </c>
      <c r="Y798">
        <v>123</v>
      </c>
      <c r="Z798">
        <v>62</v>
      </c>
      <c r="AA798" t="s">
        <v>27</v>
      </c>
      <c r="AB798">
        <v>63</v>
      </c>
      <c r="AC798" s="23">
        <v>1.97</v>
      </c>
      <c r="AD798" t="str">
        <f>IF(AND('CVD Dataset'!AA798="Normal",'CVD Dataset'!AB798&gt;AVERAGE('CVD Dataset'!AB:AB),'CVD Dataset'!AF798="High"),"High Lipid Category","Normal Category")</f>
        <v>Normal Category</v>
      </c>
      <c r="AE798">
        <v>18.23</v>
      </c>
      <c r="AF798" t="s">
        <v>32</v>
      </c>
      <c r="AG798">
        <v>0</v>
      </c>
      <c r="AH798" t="s">
        <v>1379</v>
      </c>
      <c r="AI798">
        <f t="shared" si="51"/>
        <v>1</v>
      </c>
      <c r="AJ798" t="s">
        <v>1391</v>
      </c>
    </row>
    <row r="799" spans="1:36" x14ac:dyDescent="0.3">
      <c r="A799" t="s">
        <v>22</v>
      </c>
      <c r="B799">
        <v>49</v>
      </c>
      <c r="C799">
        <v>58.5</v>
      </c>
      <c r="D799">
        <v>1.72</v>
      </c>
      <c r="E799">
        <v>19.8</v>
      </c>
      <c r="F799">
        <f t="shared" si="49"/>
        <v>19.774202271498108</v>
      </c>
      <c r="G799">
        <f t="shared" si="52"/>
        <v>0</v>
      </c>
      <c r="H799" t="s">
        <v>1398</v>
      </c>
      <c r="I799">
        <v>90.1</v>
      </c>
      <c r="J799" t="s">
        <v>709</v>
      </c>
      <c r="K799" s="24">
        <v>150</v>
      </c>
      <c r="L799" s="24">
        <v>79</v>
      </c>
      <c r="M799">
        <v>131</v>
      </c>
      <c r="N799" t="s">
        <v>1434</v>
      </c>
      <c r="O799">
        <v>62</v>
      </c>
      <c r="P799">
        <v>150</v>
      </c>
      <c r="Q799" t="s">
        <v>25</v>
      </c>
      <c r="R799" t="s">
        <v>24</v>
      </c>
      <c r="S799" t="s">
        <v>39</v>
      </c>
      <c r="T799" t="s">
        <v>24</v>
      </c>
      <c r="U799">
        <f t="shared" si="50"/>
        <v>1</v>
      </c>
      <c r="V799">
        <v>172</v>
      </c>
      <c r="W799">
        <v>0.52400000000000002</v>
      </c>
      <c r="X799" t="s">
        <v>1407</v>
      </c>
      <c r="Y799">
        <v>150</v>
      </c>
      <c r="Z799">
        <v>79</v>
      </c>
      <c r="AA799" t="s">
        <v>40</v>
      </c>
      <c r="AB799">
        <v>39</v>
      </c>
      <c r="AC799" s="23">
        <v>0.63</v>
      </c>
      <c r="AD799" t="str">
        <f>IF(AND('CVD Dataset'!AA799="Normal",'CVD Dataset'!AB799&gt;AVERAGE('CVD Dataset'!AB:AB),'CVD Dataset'!AF799="High"),"High Lipid Category","Normal Category")</f>
        <v>Normal Category</v>
      </c>
      <c r="AE799">
        <v>14.08</v>
      </c>
      <c r="AF799" t="s">
        <v>28</v>
      </c>
      <c r="AG799">
        <v>0</v>
      </c>
      <c r="AH799" t="s">
        <v>1380</v>
      </c>
      <c r="AI799">
        <f t="shared" si="51"/>
        <v>0</v>
      </c>
      <c r="AJ799" t="s">
        <v>1391</v>
      </c>
    </row>
    <row r="800" spans="1:36" x14ac:dyDescent="0.3">
      <c r="A800" t="s">
        <v>22</v>
      </c>
      <c r="B800">
        <v>54</v>
      </c>
      <c r="C800">
        <v>119.8</v>
      </c>
      <c r="D800">
        <v>1.62</v>
      </c>
      <c r="E800">
        <v>45.6</v>
      </c>
      <c r="F800">
        <f t="shared" si="49"/>
        <v>45.648529187623829</v>
      </c>
      <c r="G800">
        <f t="shared" si="52"/>
        <v>0</v>
      </c>
      <c r="H800" t="s">
        <v>1399</v>
      </c>
      <c r="I800">
        <v>103.9</v>
      </c>
      <c r="J800" t="s">
        <v>710</v>
      </c>
      <c r="K800" s="24">
        <v>129</v>
      </c>
      <c r="L800" s="24">
        <v>98</v>
      </c>
      <c r="M800">
        <v>185</v>
      </c>
      <c r="N800" t="s">
        <v>1432</v>
      </c>
      <c r="O800">
        <v>38</v>
      </c>
      <c r="P800">
        <v>85</v>
      </c>
      <c r="Q800" t="s">
        <v>25</v>
      </c>
      <c r="R800" t="s">
        <v>24</v>
      </c>
      <c r="S800" t="s">
        <v>26</v>
      </c>
      <c r="T800" t="s">
        <v>25</v>
      </c>
      <c r="U800">
        <f t="shared" si="50"/>
        <v>3</v>
      </c>
      <c r="V800">
        <v>162</v>
      </c>
      <c r="W800">
        <v>0.64100000000000001</v>
      </c>
      <c r="X800" t="s">
        <v>1409</v>
      </c>
      <c r="Y800">
        <v>129</v>
      </c>
      <c r="Z800">
        <v>98</v>
      </c>
      <c r="AA800" t="s">
        <v>40</v>
      </c>
      <c r="AB800">
        <v>117</v>
      </c>
      <c r="AC800" s="23">
        <v>3.08</v>
      </c>
      <c r="AD800" t="str">
        <f>IF(AND('CVD Dataset'!AA800="Normal",'CVD Dataset'!AB800&gt;AVERAGE('CVD Dataset'!AB:AB),'CVD Dataset'!AF800="High"),"High Lipid Category","Normal Category")</f>
        <v>Normal Category</v>
      </c>
      <c r="AE800">
        <v>19.27</v>
      </c>
      <c r="AF800" t="s">
        <v>32</v>
      </c>
      <c r="AG800">
        <v>0</v>
      </c>
      <c r="AH800" t="s">
        <v>1379</v>
      </c>
      <c r="AI800">
        <f t="shared" si="51"/>
        <v>1</v>
      </c>
      <c r="AJ800" t="s">
        <v>1391</v>
      </c>
    </row>
    <row r="801" spans="1:36" x14ac:dyDescent="0.3">
      <c r="A801" t="s">
        <v>33</v>
      </c>
      <c r="B801">
        <v>49</v>
      </c>
      <c r="D801">
        <v>1.63</v>
      </c>
      <c r="E801">
        <v>23.1</v>
      </c>
      <c r="F801">
        <f t="shared" si="49"/>
        <v>0</v>
      </c>
      <c r="G801">
        <f t="shared" si="52"/>
        <v>1</v>
      </c>
      <c r="H801" t="s">
        <v>1398</v>
      </c>
      <c r="I801">
        <v>93.8</v>
      </c>
      <c r="J801" t="s">
        <v>711</v>
      </c>
      <c r="K801" s="24">
        <v>144</v>
      </c>
      <c r="L801" s="24">
        <v>91</v>
      </c>
      <c r="M801">
        <v>191</v>
      </c>
      <c r="N801" t="s">
        <v>1432</v>
      </c>
      <c r="O801">
        <v>79</v>
      </c>
      <c r="P801">
        <v>117</v>
      </c>
      <c r="Q801" t="s">
        <v>25</v>
      </c>
      <c r="R801" t="s">
        <v>25</v>
      </c>
      <c r="S801" t="s">
        <v>39</v>
      </c>
      <c r="T801" t="s">
        <v>25</v>
      </c>
      <c r="U801">
        <f t="shared" si="50"/>
        <v>3</v>
      </c>
      <c r="V801">
        <v>163</v>
      </c>
      <c r="W801">
        <v>0.57499999999999996</v>
      </c>
      <c r="X801" t="s">
        <v>1407</v>
      </c>
      <c r="Y801">
        <v>144</v>
      </c>
      <c r="AA801" t="s">
        <v>40</v>
      </c>
      <c r="AB801">
        <v>82</v>
      </c>
      <c r="AC801" s="23">
        <v>1.04</v>
      </c>
      <c r="AD801" t="str">
        <f>IF(AND('CVD Dataset'!AA801="Normal",'CVD Dataset'!AB801&gt;AVERAGE('CVD Dataset'!AB:AB),'CVD Dataset'!AF801="High"),"High Lipid Category","Normal Category")</f>
        <v>Normal Category</v>
      </c>
      <c r="AE801">
        <v>17.64</v>
      </c>
      <c r="AF801" t="s">
        <v>32</v>
      </c>
      <c r="AG801">
        <v>1</v>
      </c>
      <c r="AH801" t="s">
        <v>1379</v>
      </c>
      <c r="AI801">
        <f t="shared" si="51"/>
        <v>1</v>
      </c>
      <c r="AJ801" t="s">
        <v>1391</v>
      </c>
    </row>
    <row r="802" spans="1:36" x14ac:dyDescent="0.3">
      <c r="A802" t="s">
        <v>22</v>
      </c>
      <c r="B802">
        <v>52</v>
      </c>
      <c r="C802">
        <v>50.2</v>
      </c>
      <c r="D802">
        <v>1.65</v>
      </c>
      <c r="E802">
        <v>18.399999999999999</v>
      </c>
      <c r="F802">
        <f t="shared" si="49"/>
        <v>18.438934802571168</v>
      </c>
      <c r="G802">
        <f t="shared" si="52"/>
        <v>0</v>
      </c>
      <c r="H802" t="s">
        <v>1401</v>
      </c>
      <c r="I802">
        <v>80.099999999999994</v>
      </c>
      <c r="J802" t="s">
        <v>712</v>
      </c>
      <c r="K802" s="24">
        <v>108</v>
      </c>
      <c r="L802" s="24">
        <v>73</v>
      </c>
      <c r="M802">
        <v>257</v>
      </c>
      <c r="N802" t="s">
        <v>1432</v>
      </c>
      <c r="O802">
        <v>78</v>
      </c>
      <c r="P802">
        <v>104</v>
      </c>
      <c r="Q802" t="s">
        <v>24</v>
      </c>
      <c r="R802" t="s">
        <v>24</v>
      </c>
      <c r="S802" t="s">
        <v>26</v>
      </c>
      <c r="T802" t="s">
        <v>25</v>
      </c>
      <c r="U802">
        <f t="shared" si="50"/>
        <v>2</v>
      </c>
      <c r="V802">
        <v>165</v>
      </c>
      <c r="W802">
        <v>0.48499999999999999</v>
      </c>
      <c r="X802" t="s">
        <v>1406</v>
      </c>
      <c r="Y802">
        <v>108</v>
      </c>
      <c r="Z802">
        <v>73</v>
      </c>
      <c r="AA802" t="s">
        <v>35</v>
      </c>
      <c r="AB802">
        <v>149</v>
      </c>
      <c r="AC802" s="23">
        <v>1.91</v>
      </c>
      <c r="AD802" t="str">
        <f>IF(AND('CVD Dataset'!AA802="Normal",'CVD Dataset'!AB802&gt;AVERAGE('CVD Dataset'!AB:AB),'CVD Dataset'!AF802="High"),"High Lipid Category","Normal Category")</f>
        <v>High Lipid Category</v>
      </c>
      <c r="AE802">
        <v>14.22</v>
      </c>
      <c r="AF802" t="s">
        <v>32</v>
      </c>
      <c r="AG802">
        <v>1</v>
      </c>
      <c r="AH802" t="s">
        <v>1379</v>
      </c>
      <c r="AI802">
        <f t="shared" si="51"/>
        <v>1</v>
      </c>
      <c r="AJ802" t="s">
        <v>1391</v>
      </c>
    </row>
    <row r="803" spans="1:36" x14ac:dyDescent="0.3">
      <c r="A803" t="s">
        <v>33</v>
      </c>
      <c r="B803">
        <v>54</v>
      </c>
      <c r="C803">
        <v>114.1</v>
      </c>
      <c r="D803">
        <v>1.61</v>
      </c>
      <c r="E803">
        <v>44</v>
      </c>
      <c r="F803">
        <f t="shared" si="49"/>
        <v>44.018363489062914</v>
      </c>
      <c r="G803">
        <f t="shared" si="52"/>
        <v>0</v>
      </c>
      <c r="H803" t="s">
        <v>1399</v>
      </c>
      <c r="I803">
        <v>107.2</v>
      </c>
      <c r="J803" t="s">
        <v>713</v>
      </c>
      <c r="K803" s="24">
        <v>134</v>
      </c>
      <c r="L803" s="24">
        <v>88</v>
      </c>
      <c r="M803">
        <v>279</v>
      </c>
      <c r="N803" t="s">
        <v>1432</v>
      </c>
      <c r="O803">
        <v>49</v>
      </c>
      <c r="P803">
        <v>75</v>
      </c>
      <c r="Q803" t="s">
        <v>25</v>
      </c>
      <c r="R803" t="s">
        <v>24</v>
      </c>
      <c r="S803" t="s">
        <v>26</v>
      </c>
      <c r="T803" t="s">
        <v>24</v>
      </c>
      <c r="U803">
        <f t="shared" si="50"/>
        <v>2</v>
      </c>
      <c r="V803">
        <v>161</v>
      </c>
      <c r="W803">
        <v>0.66600000000000004</v>
      </c>
      <c r="X803" t="s">
        <v>1409</v>
      </c>
      <c r="Y803">
        <v>134</v>
      </c>
      <c r="Z803">
        <v>88</v>
      </c>
      <c r="AA803" t="s">
        <v>31</v>
      </c>
      <c r="AB803">
        <v>200</v>
      </c>
      <c r="AC803" s="23">
        <v>4.08</v>
      </c>
      <c r="AD803" t="str">
        <f>IF(AND('CVD Dataset'!AA803="Normal",'CVD Dataset'!AB803&gt;AVERAGE('CVD Dataset'!AB:AB),'CVD Dataset'!AF803="High"),"High Lipid Category","Normal Category")</f>
        <v>Normal Category</v>
      </c>
      <c r="AE803">
        <v>21.08</v>
      </c>
      <c r="AF803" t="s">
        <v>32</v>
      </c>
      <c r="AG803">
        <v>0</v>
      </c>
      <c r="AH803" t="s">
        <v>1379</v>
      </c>
      <c r="AI803">
        <f t="shared" si="51"/>
        <v>1</v>
      </c>
      <c r="AJ803" t="s">
        <v>1391</v>
      </c>
    </row>
    <row r="804" spans="1:36" x14ac:dyDescent="0.3">
      <c r="A804" t="s">
        <v>22</v>
      </c>
      <c r="B804">
        <v>51</v>
      </c>
      <c r="D804">
        <v>1.64</v>
      </c>
      <c r="E804">
        <v>27.4</v>
      </c>
      <c r="F804">
        <f t="shared" si="49"/>
        <v>0</v>
      </c>
      <c r="G804">
        <f t="shared" si="52"/>
        <v>1</v>
      </c>
      <c r="H804" t="s">
        <v>1400</v>
      </c>
      <c r="I804">
        <v>75</v>
      </c>
      <c r="J804" t="s">
        <v>714</v>
      </c>
      <c r="K804" s="24">
        <v>149</v>
      </c>
      <c r="L804" s="24">
        <v>92</v>
      </c>
      <c r="M804">
        <v>235</v>
      </c>
      <c r="N804" t="s">
        <v>1432</v>
      </c>
      <c r="P804">
        <v>146</v>
      </c>
      <c r="Q804" t="s">
        <v>25</v>
      </c>
      <c r="R804" t="s">
        <v>24</v>
      </c>
      <c r="S804" t="s">
        <v>26</v>
      </c>
      <c r="T804" t="s">
        <v>25</v>
      </c>
      <c r="U804">
        <f t="shared" si="50"/>
        <v>3</v>
      </c>
      <c r="V804">
        <v>164</v>
      </c>
      <c r="W804">
        <v>0.45700000000000002</v>
      </c>
      <c r="X804" t="s">
        <v>1408</v>
      </c>
      <c r="Y804">
        <v>149</v>
      </c>
      <c r="Z804">
        <v>92</v>
      </c>
      <c r="AA804" t="s">
        <v>40</v>
      </c>
      <c r="AB804">
        <v>128</v>
      </c>
      <c r="AC804" s="23" t="s">
        <v>1410</v>
      </c>
      <c r="AD804" t="str">
        <f>IF(AND('CVD Dataset'!AA804="Normal",'CVD Dataset'!AB804&gt;AVERAGE('CVD Dataset'!AB:AB),'CVD Dataset'!AF804="High"),"High Lipid Category","Normal Category")</f>
        <v>Normal Category</v>
      </c>
      <c r="AE804">
        <v>17.63</v>
      </c>
      <c r="AF804" t="s">
        <v>32</v>
      </c>
      <c r="AG804">
        <v>0</v>
      </c>
      <c r="AH804" t="s">
        <v>1379</v>
      </c>
      <c r="AI804">
        <f t="shared" si="51"/>
        <v>1</v>
      </c>
      <c r="AJ804" t="s">
        <v>1391</v>
      </c>
    </row>
    <row r="805" spans="1:36" x14ac:dyDescent="0.3">
      <c r="A805" t="s">
        <v>22</v>
      </c>
      <c r="B805">
        <v>45</v>
      </c>
      <c r="C805">
        <v>107.4</v>
      </c>
      <c r="D805">
        <v>1.63</v>
      </c>
      <c r="E805">
        <v>40.4</v>
      </c>
      <c r="F805">
        <f t="shared" si="49"/>
        <v>40.423049418495246</v>
      </c>
      <c r="G805">
        <f t="shared" si="52"/>
        <v>0</v>
      </c>
      <c r="H805" t="s">
        <v>1399</v>
      </c>
      <c r="I805">
        <v>102.3</v>
      </c>
      <c r="J805" t="s">
        <v>715</v>
      </c>
      <c r="K805" s="24">
        <v>140</v>
      </c>
      <c r="L805" s="24">
        <v>77</v>
      </c>
      <c r="M805">
        <v>247</v>
      </c>
      <c r="N805" t="s">
        <v>1432</v>
      </c>
      <c r="O805">
        <v>52</v>
      </c>
      <c r="P805">
        <v>82</v>
      </c>
      <c r="Q805" t="s">
        <v>25</v>
      </c>
      <c r="R805" t="s">
        <v>24</v>
      </c>
      <c r="S805" t="s">
        <v>30</v>
      </c>
      <c r="T805" t="s">
        <v>25</v>
      </c>
      <c r="U805">
        <f t="shared" si="50"/>
        <v>2</v>
      </c>
      <c r="V805">
        <v>163</v>
      </c>
      <c r="W805">
        <v>0.628</v>
      </c>
      <c r="X805" t="s">
        <v>1409</v>
      </c>
      <c r="Y805">
        <v>140</v>
      </c>
      <c r="Z805">
        <v>77</v>
      </c>
      <c r="AA805" t="s">
        <v>40</v>
      </c>
      <c r="AB805">
        <v>165</v>
      </c>
      <c r="AC805" s="23">
        <v>3.17</v>
      </c>
      <c r="AD805" t="str">
        <f>IF(AND('CVD Dataset'!AA805="Normal",'CVD Dataset'!AB805&gt;AVERAGE('CVD Dataset'!AB:AB),'CVD Dataset'!AF805="High"),"High Lipid Category","Normal Category")</f>
        <v>Normal Category</v>
      </c>
      <c r="AE805">
        <v>20.02</v>
      </c>
      <c r="AF805" t="s">
        <v>32</v>
      </c>
      <c r="AG805">
        <v>0</v>
      </c>
      <c r="AH805" t="s">
        <v>1379</v>
      </c>
      <c r="AI805">
        <f t="shared" si="51"/>
        <v>1</v>
      </c>
      <c r="AJ805" t="s">
        <v>1391</v>
      </c>
    </row>
    <row r="806" spans="1:36" x14ac:dyDescent="0.3">
      <c r="A806" t="s">
        <v>33</v>
      </c>
      <c r="B806">
        <v>43</v>
      </c>
      <c r="C806">
        <v>111.9</v>
      </c>
      <c r="D806">
        <v>1.81</v>
      </c>
      <c r="E806">
        <v>34.200000000000003</v>
      </c>
      <c r="F806">
        <f t="shared" si="49"/>
        <v>34.156466530325694</v>
      </c>
      <c r="G806">
        <f t="shared" si="52"/>
        <v>0</v>
      </c>
      <c r="H806" t="s">
        <v>1399</v>
      </c>
      <c r="I806">
        <v>75.900000000000006</v>
      </c>
      <c r="J806" t="s">
        <v>716</v>
      </c>
      <c r="K806" s="24">
        <v>142</v>
      </c>
      <c r="L806" s="24">
        <v>88</v>
      </c>
      <c r="M806">
        <v>136</v>
      </c>
      <c r="N806" t="s">
        <v>1434</v>
      </c>
      <c r="O806">
        <v>66</v>
      </c>
      <c r="Q806" t="s">
        <v>25</v>
      </c>
      <c r="R806" t="s">
        <v>24</v>
      </c>
      <c r="S806" t="s">
        <v>39</v>
      </c>
      <c r="T806" t="s">
        <v>24</v>
      </c>
      <c r="U806">
        <f t="shared" si="50"/>
        <v>1</v>
      </c>
      <c r="V806">
        <v>181</v>
      </c>
      <c r="W806">
        <v>0.41899999999999998</v>
      </c>
      <c r="X806" t="s">
        <v>1408</v>
      </c>
      <c r="Y806">
        <v>142</v>
      </c>
      <c r="Z806">
        <v>88</v>
      </c>
      <c r="AA806" t="s">
        <v>31</v>
      </c>
      <c r="AB806">
        <v>40</v>
      </c>
      <c r="AC806" s="23">
        <v>0.61</v>
      </c>
      <c r="AD806" t="str">
        <f>IF(AND('CVD Dataset'!AA806="Normal",'CVD Dataset'!AB806&gt;AVERAGE('CVD Dataset'!AB:AB),'CVD Dataset'!AF806="High"),"High Lipid Category","Normal Category")</f>
        <v>Normal Category</v>
      </c>
      <c r="AE806">
        <v>16.66</v>
      </c>
      <c r="AF806" t="s">
        <v>28</v>
      </c>
      <c r="AG806">
        <v>0</v>
      </c>
      <c r="AH806" t="s">
        <v>1380</v>
      </c>
      <c r="AI806">
        <f t="shared" si="51"/>
        <v>0</v>
      </c>
      <c r="AJ806" t="s">
        <v>1391</v>
      </c>
    </row>
    <row r="807" spans="1:36" x14ac:dyDescent="0.3">
      <c r="A807" t="s">
        <v>22</v>
      </c>
      <c r="B807">
        <v>37</v>
      </c>
      <c r="C807">
        <v>75.2</v>
      </c>
      <c r="D807">
        <v>1.8</v>
      </c>
      <c r="E807">
        <v>23.2</v>
      </c>
      <c r="F807">
        <f t="shared" si="49"/>
        <v>23.209876543209877</v>
      </c>
      <c r="G807">
        <f t="shared" si="52"/>
        <v>0</v>
      </c>
      <c r="H807" t="s">
        <v>1398</v>
      </c>
      <c r="J807" t="s">
        <v>314</v>
      </c>
      <c r="K807" s="24">
        <v>108</v>
      </c>
      <c r="L807" s="24">
        <v>67</v>
      </c>
      <c r="M807">
        <v>187</v>
      </c>
      <c r="N807" t="s">
        <v>1432</v>
      </c>
      <c r="O807">
        <v>49</v>
      </c>
      <c r="P807">
        <v>113</v>
      </c>
      <c r="Q807" t="s">
        <v>25</v>
      </c>
      <c r="R807" t="s">
        <v>24</v>
      </c>
      <c r="S807" t="s">
        <v>39</v>
      </c>
      <c r="T807" t="s">
        <v>25</v>
      </c>
      <c r="U807">
        <f t="shared" si="50"/>
        <v>2</v>
      </c>
      <c r="V807">
        <v>180</v>
      </c>
      <c r="W807">
        <v>0.59799999999999998</v>
      </c>
      <c r="X807" t="s">
        <v>1409</v>
      </c>
      <c r="Y807">
        <v>108</v>
      </c>
      <c r="Z807">
        <v>67</v>
      </c>
      <c r="AA807" t="s">
        <v>35</v>
      </c>
      <c r="AB807">
        <v>108</v>
      </c>
      <c r="AC807" s="23">
        <v>2.2000000000000002</v>
      </c>
      <c r="AD807" t="str">
        <f>IF(AND('CVD Dataset'!AA807="Normal",'CVD Dataset'!AB807&gt;AVERAGE('CVD Dataset'!AB:AB),'CVD Dataset'!AF807="High"),"High Lipid Category","Normal Category")</f>
        <v>Normal Category</v>
      </c>
      <c r="AF807" t="s">
        <v>28</v>
      </c>
      <c r="AG807">
        <v>0</v>
      </c>
      <c r="AH807" t="s">
        <v>1380</v>
      </c>
      <c r="AI807">
        <f t="shared" si="51"/>
        <v>0</v>
      </c>
      <c r="AJ807" t="s">
        <v>1391</v>
      </c>
    </row>
    <row r="808" spans="1:36" x14ac:dyDescent="0.3">
      <c r="A808" t="s">
        <v>33</v>
      </c>
      <c r="B808">
        <v>50</v>
      </c>
      <c r="C808">
        <v>65.5</v>
      </c>
      <c r="D808">
        <v>1.63</v>
      </c>
      <c r="E808">
        <v>24.7</v>
      </c>
      <c r="F808">
        <f t="shared" si="49"/>
        <v>24.652790846475217</v>
      </c>
      <c r="G808">
        <f t="shared" si="52"/>
        <v>0</v>
      </c>
      <c r="H808" t="s">
        <v>1398</v>
      </c>
      <c r="I808">
        <v>74.599999999999994</v>
      </c>
      <c r="J808" t="s">
        <v>717</v>
      </c>
      <c r="K808" s="24">
        <v>123</v>
      </c>
      <c r="L808" s="24">
        <v>99</v>
      </c>
      <c r="M808">
        <v>166</v>
      </c>
      <c r="N808" t="s">
        <v>1433</v>
      </c>
      <c r="O808">
        <v>41</v>
      </c>
      <c r="P808">
        <v>107</v>
      </c>
      <c r="Q808" t="s">
        <v>25</v>
      </c>
      <c r="R808" t="s">
        <v>25</v>
      </c>
      <c r="S808" t="s">
        <v>39</v>
      </c>
      <c r="T808" t="s">
        <v>24</v>
      </c>
      <c r="U808">
        <f t="shared" si="50"/>
        <v>2</v>
      </c>
      <c r="V808">
        <v>163</v>
      </c>
      <c r="W808">
        <v>0.45800000000000002</v>
      </c>
      <c r="X808" t="s">
        <v>1408</v>
      </c>
      <c r="Y808">
        <v>123</v>
      </c>
      <c r="Z808">
        <v>99</v>
      </c>
      <c r="AA808" t="s">
        <v>40</v>
      </c>
      <c r="AB808">
        <v>95</v>
      </c>
      <c r="AC808" s="23">
        <v>2.3199999999999998</v>
      </c>
      <c r="AD808" t="str">
        <f>IF(AND('CVD Dataset'!AA808="Normal",'CVD Dataset'!AB808&gt;AVERAGE('CVD Dataset'!AB:AB),'CVD Dataset'!AF808="High"),"High Lipid Category","Normal Category")</f>
        <v>Normal Category</v>
      </c>
      <c r="AE808">
        <v>16.41</v>
      </c>
      <c r="AF808" t="s">
        <v>28</v>
      </c>
      <c r="AG808">
        <v>0</v>
      </c>
      <c r="AH808" t="s">
        <v>1380</v>
      </c>
      <c r="AI808">
        <f t="shared" si="51"/>
        <v>0</v>
      </c>
      <c r="AJ808" t="s">
        <v>1391</v>
      </c>
    </row>
    <row r="809" spans="1:36" x14ac:dyDescent="0.3">
      <c r="A809" t="s">
        <v>22</v>
      </c>
      <c r="B809">
        <v>55</v>
      </c>
      <c r="C809">
        <v>115.3</v>
      </c>
      <c r="E809">
        <v>32.299999999999997</v>
      </c>
      <c r="F809" t="str">
        <f t="shared" si="49"/>
        <v/>
      </c>
      <c r="G809" t="str">
        <f t="shared" si="52"/>
        <v/>
      </c>
      <c r="H809" t="s">
        <v>1399</v>
      </c>
      <c r="I809">
        <v>85.6</v>
      </c>
      <c r="J809" t="s">
        <v>628</v>
      </c>
      <c r="K809" s="24">
        <v>113</v>
      </c>
      <c r="L809" s="24">
        <v>98</v>
      </c>
      <c r="M809">
        <v>192</v>
      </c>
      <c r="N809" t="s">
        <v>1432</v>
      </c>
      <c r="O809">
        <v>55</v>
      </c>
      <c r="P809">
        <v>83</v>
      </c>
      <c r="Q809" t="s">
        <v>24</v>
      </c>
      <c r="R809" t="s">
        <v>25</v>
      </c>
      <c r="S809" t="s">
        <v>26</v>
      </c>
      <c r="T809" t="s">
        <v>25</v>
      </c>
      <c r="U809">
        <f t="shared" si="50"/>
        <v>3</v>
      </c>
      <c r="W809">
        <v>0.45300000000000001</v>
      </c>
      <c r="X809" t="s">
        <v>1408</v>
      </c>
      <c r="Y809">
        <v>113</v>
      </c>
      <c r="Z809">
        <v>98</v>
      </c>
      <c r="AA809" t="s">
        <v>40</v>
      </c>
      <c r="AB809">
        <v>107</v>
      </c>
      <c r="AC809" s="23">
        <v>1.95</v>
      </c>
      <c r="AD809" t="str">
        <f>IF(AND('CVD Dataset'!AA809="Normal",'CVD Dataset'!AB809&gt;AVERAGE('CVD Dataset'!AB:AB),'CVD Dataset'!AF809="High"),"High Lipid Category","Normal Category")</f>
        <v>Normal Category</v>
      </c>
      <c r="AE809">
        <v>17.95</v>
      </c>
      <c r="AF809" t="s">
        <v>32</v>
      </c>
      <c r="AG809">
        <v>0</v>
      </c>
      <c r="AH809" t="s">
        <v>1379</v>
      </c>
      <c r="AI809">
        <f t="shared" si="51"/>
        <v>1</v>
      </c>
      <c r="AJ809" t="s">
        <v>1392</v>
      </c>
    </row>
    <row r="810" spans="1:36" x14ac:dyDescent="0.3">
      <c r="A810" t="s">
        <v>22</v>
      </c>
      <c r="B810">
        <v>48</v>
      </c>
      <c r="C810">
        <v>106.8</v>
      </c>
      <c r="D810">
        <v>1.79</v>
      </c>
      <c r="E810">
        <v>33.299999999999997</v>
      </c>
      <c r="F810">
        <f t="shared" si="49"/>
        <v>33.332292999594273</v>
      </c>
      <c r="G810">
        <f t="shared" si="52"/>
        <v>0</v>
      </c>
      <c r="H810" t="s">
        <v>1399</v>
      </c>
      <c r="I810">
        <v>93.2</v>
      </c>
      <c r="J810" t="s">
        <v>718</v>
      </c>
      <c r="K810" s="24">
        <v>110</v>
      </c>
      <c r="L810" s="24">
        <v>64</v>
      </c>
      <c r="M810">
        <v>150</v>
      </c>
      <c r="N810" t="s">
        <v>1433</v>
      </c>
      <c r="O810">
        <v>61</v>
      </c>
      <c r="P810">
        <v>91</v>
      </c>
      <c r="Q810" t="s">
        <v>24</v>
      </c>
      <c r="R810" t="s">
        <v>25</v>
      </c>
      <c r="S810" t="s">
        <v>39</v>
      </c>
      <c r="T810" t="s">
        <v>24</v>
      </c>
      <c r="U810">
        <f t="shared" si="50"/>
        <v>1</v>
      </c>
      <c r="V810">
        <v>179</v>
      </c>
      <c r="W810">
        <v>0.52100000000000002</v>
      </c>
      <c r="X810" t="s">
        <v>1406</v>
      </c>
      <c r="Y810">
        <v>110</v>
      </c>
      <c r="Z810">
        <v>64</v>
      </c>
      <c r="AA810" t="s">
        <v>35</v>
      </c>
      <c r="AB810">
        <v>59</v>
      </c>
      <c r="AC810" s="23">
        <v>0.97</v>
      </c>
      <c r="AD810" t="str">
        <f>IF(AND('CVD Dataset'!AA810="Normal",'CVD Dataset'!AB810&gt;AVERAGE('CVD Dataset'!AB:AB),'CVD Dataset'!AF810="High"),"High Lipid Category","Normal Category")</f>
        <v>Normal Category</v>
      </c>
      <c r="AE810">
        <v>17.16</v>
      </c>
      <c r="AF810" t="s">
        <v>28</v>
      </c>
      <c r="AG810">
        <v>0</v>
      </c>
      <c r="AH810" t="s">
        <v>1380</v>
      </c>
      <c r="AI810">
        <f t="shared" si="51"/>
        <v>0</v>
      </c>
      <c r="AJ810" t="s">
        <v>1391</v>
      </c>
    </row>
    <row r="811" spans="1:36" x14ac:dyDescent="0.3">
      <c r="A811" t="s">
        <v>33</v>
      </c>
      <c r="B811">
        <v>48</v>
      </c>
      <c r="C811">
        <v>71.099999999999994</v>
      </c>
      <c r="D811">
        <v>1.74</v>
      </c>
      <c r="E811">
        <v>23.5</v>
      </c>
      <c r="F811">
        <f t="shared" si="49"/>
        <v>23.483947681331745</v>
      </c>
      <c r="G811">
        <f t="shared" si="52"/>
        <v>0</v>
      </c>
      <c r="H811" t="s">
        <v>1398</v>
      </c>
      <c r="I811">
        <v>71.7</v>
      </c>
      <c r="J811" t="s">
        <v>719</v>
      </c>
      <c r="K811" s="24">
        <v>99</v>
      </c>
      <c r="L811" s="24">
        <v>62</v>
      </c>
      <c r="M811">
        <v>226</v>
      </c>
      <c r="N811" t="s">
        <v>1432</v>
      </c>
      <c r="O811">
        <v>66</v>
      </c>
      <c r="P811">
        <v>114</v>
      </c>
      <c r="Q811" t="s">
        <v>24</v>
      </c>
      <c r="R811" t="s">
        <v>24</v>
      </c>
      <c r="S811" t="s">
        <v>26</v>
      </c>
      <c r="T811" t="s">
        <v>25</v>
      </c>
      <c r="U811">
        <f t="shared" si="50"/>
        <v>2</v>
      </c>
      <c r="V811">
        <v>174</v>
      </c>
      <c r="W811">
        <v>0.41199999999999998</v>
      </c>
      <c r="X811" t="s">
        <v>1408</v>
      </c>
      <c r="Y811">
        <v>99</v>
      </c>
      <c r="Z811">
        <v>62</v>
      </c>
      <c r="AA811" t="s">
        <v>35</v>
      </c>
      <c r="AB811">
        <v>130</v>
      </c>
      <c r="AC811" s="23">
        <v>1.97</v>
      </c>
      <c r="AD811" t="str">
        <f>IF(AND('CVD Dataset'!AA811="Normal",'CVD Dataset'!AB811&gt;AVERAGE('CVD Dataset'!AB:AB),'CVD Dataset'!AF811="High"),"High Lipid Category","Normal Category")</f>
        <v>High Lipid Category</v>
      </c>
      <c r="AE811">
        <v>14.17</v>
      </c>
      <c r="AF811" t="s">
        <v>32</v>
      </c>
      <c r="AG811">
        <v>1</v>
      </c>
      <c r="AH811" t="s">
        <v>1379</v>
      </c>
      <c r="AI811">
        <f t="shared" si="51"/>
        <v>1</v>
      </c>
      <c r="AJ811" t="s">
        <v>1391</v>
      </c>
    </row>
    <row r="812" spans="1:36" x14ac:dyDescent="0.3">
      <c r="A812" t="s">
        <v>33</v>
      </c>
      <c r="B812">
        <v>43</v>
      </c>
      <c r="C812">
        <v>73.5</v>
      </c>
      <c r="D812">
        <v>1.62</v>
      </c>
      <c r="E812">
        <v>28</v>
      </c>
      <c r="F812">
        <f t="shared" si="49"/>
        <v>28.00640146319158</v>
      </c>
      <c r="G812">
        <f t="shared" si="52"/>
        <v>0</v>
      </c>
      <c r="H812" t="s">
        <v>1400</v>
      </c>
      <c r="I812">
        <v>86.7</v>
      </c>
      <c r="J812" t="s">
        <v>668</v>
      </c>
      <c r="K812" s="24">
        <v>111</v>
      </c>
      <c r="L812" s="24">
        <v>87</v>
      </c>
      <c r="M812">
        <v>200</v>
      </c>
      <c r="N812" t="s">
        <v>1432</v>
      </c>
      <c r="O812">
        <v>62</v>
      </c>
      <c r="P812">
        <v>100</v>
      </c>
      <c r="Q812" t="s">
        <v>24</v>
      </c>
      <c r="R812" t="s">
        <v>24</v>
      </c>
      <c r="S812" t="s">
        <v>30</v>
      </c>
      <c r="T812" t="s">
        <v>24</v>
      </c>
      <c r="U812">
        <f t="shared" si="50"/>
        <v>0</v>
      </c>
      <c r="V812">
        <v>162</v>
      </c>
      <c r="W812">
        <v>0.53500000000000003</v>
      </c>
      <c r="X812" t="s">
        <v>1407</v>
      </c>
      <c r="Y812">
        <v>111</v>
      </c>
      <c r="Z812">
        <v>87</v>
      </c>
      <c r="AA812" t="s">
        <v>31</v>
      </c>
      <c r="AB812">
        <v>108</v>
      </c>
      <c r="AC812" s="23">
        <v>1.74</v>
      </c>
      <c r="AD812" t="str">
        <f>IF(AND('CVD Dataset'!AA812="Normal",'CVD Dataset'!AB812&gt;AVERAGE('CVD Dataset'!AB:AB),'CVD Dataset'!AF812="High"),"High Lipid Category","Normal Category")</f>
        <v>Normal Category</v>
      </c>
      <c r="AE812">
        <v>15.15</v>
      </c>
      <c r="AF812" t="s">
        <v>54</v>
      </c>
      <c r="AG812">
        <v>0</v>
      </c>
      <c r="AH812" t="s">
        <v>1380</v>
      </c>
      <c r="AI812">
        <f t="shared" si="51"/>
        <v>0</v>
      </c>
      <c r="AJ812" t="s">
        <v>1391</v>
      </c>
    </row>
    <row r="813" spans="1:36" x14ac:dyDescent="0.3">
      <c r="A813" t="s">
        <v>33</v>
      </c>
      <c r="B813">
        <v>49</v>
      </c>
      <c r="C813">
        <v>51.6</v>
      </c>
      <c r="D813">
        <v>1.77</v>
      </c>
      <c r="E813">
        <v>16.5</v>
      </c>
      <c r="F813">
        <f t="shared" si="49"/>
        <v>16.470362922531837</v>
      </c>
      <c r="G813">
        <f t="shared" si="52"/>
        <v>0</v>
      </c>
      <c r="H813" t="s">
        <v>1401</v>
      </c>
      <c r="I813">
        <v>91.7</v>
      </c>
      <c r="J813" t="s">
        <v>720</v>
      </c>
      <c r="K813" s="24">
        <v>98</v>
      </c>
      <c r="L813" s="24">
        <v>65</v>
      </c>
      <c r="M813">
        <v>289</v>
      </c>
      <c r="N813" t="s">
        <v>1432</v>
      </c>
      <c r="O813">
        <v>62</v>
      </c>
      <c r="P813">
        <v>83</v>
      </c>
      <c r="Q813" t="s">
        <v>24</v>
      </c>
      <c r="R813" t="s">
        <v>25</v>
      </c>
      <c r="S813" t="s">
        <v>39</v>
      </c>
      <c r="T813" t="s">
        <v>25</v>
      </c>
      <c r="U813">
        <f t="shared" si="50"/>
        <v>2</v>
      </c>
      <c r="V813">
        <v>177</v>
      </c>
      <c r="W813">
        <v>0.51800000000000002</v>
      </c>
      <c r="X813" t="s">
        <v>1406</v>
      </c>
      <c r="Y813">
        <v>98</v>
      </c>
      <c r="Z813">
        <v>65</v>
      </c>
      <c r="AA813" t="s">
        <v>35</v>
      </c>
      <c r="AB813">
        <v>197</v>
      </c>
      <c r="AC813" s="23">
        <v>3.18</v>
      </c>
      <c r="AD813" t="str">
        <f>IF(AND('CVD Dataset'!AA813="Normal",'CVD Dataset'!AB813&gt;AVERAGE('CVD Dataset'!AB:AB),'CVD Dataset'!AF813="High"),"High Lipid Category","Normal Category")</f>
        <v>High Lipid Category</v>
      </c>
      <c r="AE813">
        <v>15.98</v>
      </c>
      <c r="AF813" t="s">
        <v>32</v>
      </c>
      <c r="AG813">
        <v>1</v>
      </c>
      <c r="AH813" t="s">
        <v>1379</v>
      </c>
      <c r="AI813">
        <f t="shared" si="51"/>
        <v>1</v>
      </c>
      <c r="AJ813" t="s">
        <v>1391</v>
      </c>
    </row>
    <row r="814" spans="1:36" x14ac:dyDescent="0.3">
      <c r="A814" t="s">
        <v>22</v>
      </c>
      <c r="C814">
        <v>73.400000000000006</v>
      </c>
      <c r="D814">
        <v>1.65</v>
      </c>
      <c r="E814">
        <v>27</v>
      </c>
      <c r="F814">
        <f t="shared" si="49"/>
        <v>26.960514233241511</v>
      </c>
      <c r="G814">
        <f t="shared" si="52"/>
        <v>0</v>
      </c>
      <c r="H814" t="s">
        <v>1400</v>
      </c>
      <c r="I814">
        <v>78.099999999999994</v>
      </c>
      <c r="J814" t="s">
        <v>657</v>
      </c>
      <c r="K814" s="24">
        <v>90</v>
      </c>
      <c r="L814" s="24">
        <v>74</v>
      </c>
      <c r="M814">
        <v>135</v>
      </c>
      <c r="N814" t="s">
        <v>1434</v>
      </c>
      <c r="O814">
        <v>60</v>
      </c>
      <c r="P814">
        <v>150</v>
      </c>
      <c r="Q814" t="s">
        <v>24</v>
      </c>
      <c r="R814" t="s">
        <v>24</v>
      </c>
      <c r="S814" t="s">
        <v>30</v>
      </c>
      <c r="T814" t="s">
        <v>24</v>
      </c>
      <c r="U814">
        <f t="shared" si="50"/>
        <v>0</v>
      </c>
      <c r="V814">
        <v>165</v>
      </c>
      <c r="W814">
        <v>0.47299999999999998</v>
      </c>
      <c r="X814" t="s">
        <v>1406</v>
      </c>
      <c r="Y814">
        <v>90</v>
      </c>
      <c r="Z814">
        <v>74</v>
      </c>
      <c r="AA814" t="s">
        <v>35</v>
      </c>
      <c r="AB814">
        <v>45</v>
      </c>
      <c r="AC814" s="23">
        <v>0.75</v>
      </c>
      <c r="AD814" t="str">
        <f>IF(AND('CVD Dataset'!AA814="Normal",'CVD Dataset'!AB814&gt;AVERAGE('CVD Dataset'!AB:AB),'CVD Dataset'!AF814="High"),"High Lipid Category","Normal Category")</f>
        <v>Normal Category</v>
      </c>
      <c r="AE814">
        <v>12.6</v>
      </c>
      <c r="AF814" t="s">
        <v>54</v>
      </c>
      <c r="AG814">
        <v>0</v>
      </c>
      <c r="AH814" t="s">
        <v>1380</v>
      </c>
      <c r="AI814">
        <f t="shared" si="51"/>
        <v>0</v>
      </c>
      <c r="AJ814" t="s">
        <v>1391</v>
      </c>
    </row>
    <row r="815" spans="1:36" x14ac:dyDescent="0.3">
      <c r="A815" t="s">
        <v>22</v>
      </c>
      <c r="B815">
        <v>40</v>
      </c>
      <c r="C815">
        <v>107.5</v>
      </c>
      <c r="D815">
        <v>1.63</v>
      </c>
      <c r="E815">
        <v>40.5</v>
      </c>
      <c r="F815">
        <f t="shared" si="49"/>
        <v>40.460687267115816</v>
      </c>
      <c r="G815">
        <f t="shared" si="52"/>
        <v>0</v>
      </c>
      <c r="H815" t="s">
        <v>1399</v>
      </c>
      <c r="I815">
        <v>87.3</v>
      </c>
      <c r="J815" t="s">
        <v>721</v>
      </c>
      <c r="K815" s="24">
        <v>104</v>
      </c>
      <c r="L815" s="24">
        <v>70</v>
      </c>
      <c r="M815">
        <v>289</v>
      </c>
      <c r="N815" t="s">
        <v>1432</v>
      </c>
      <c r="O815">
        <v>41</v>
      </c>
      <c r="P815">
        <v>80</v>
      </c>
      <c r="Q815" t="s">
        <v>24</v>
      </c>
      <c r="R815" t="s">
        <v>25</v>
      </c>
      <c r="S815" t="s">
        <v>30</v>
      </c>
      <c r="T815" t="s">
        <v>24</v>
      </c>
      <c r="U815">
        <f t="shared" si="50"/>
        <v>1</v>
      </c>
      <c r="V815">
        <v>163</v>
      </c>
      <c r="W815">
        <v>0.53600000000000003</v>
      </c>
      <c r="X815" t="s">
        <v>1407</v>
      </c>
      <c r="Y815">
        <v>104</v>
      </c>
      <c r="Z815">
        <v>70</v>
      </c>
      <c r="AA815" t="s">
        <v>35</v>
      </c>
      <c r="AC815" s="23">
        <v>0</v>
      </c>
      <c r="AD815" t="str">
        <f>IF(AND('CVD Dataset'!AA815="Normal",'CVD Dataset'!AB815&gt;AVERAGE('CVD Dataset'!AB:AB),'CVD Dataset'!AF815="High"),"High Lipid Category","Normal Category")</f>
        <v>Normal Category</v>
      </c>
      <c r="AE815">
        <v>21.08</v>
      </c>
      <c r="AF815" t="s">
        <v>28</v>
      </c>
      <c r="AG815">
        <v>0</v>
      </c>
      <c r="AH815" t="s">
        <v>1380</v>
      </c>
      <c r="AI815">
        <f t="shared" si="51"/>
        <v>0</v>
      </c>
      <c r="AJ815" t="s">
        <v>1391</v>
      </c>
    </row>
    <row r="816" spans="1:36" x14ac:dyDescent="0.3">
      <c r="A816" t="s">
        <v>33</v>
      </c>
      <c r="B816">
        <v>37</v>
      </c>
      <c r="C816">
        <v>67.900000000000006</v>
      </c>
      <c r="D816">
        <v>1.61</v>
      </c>
      <c r="E816">
        <v>26.2</v>
      </c>
      <c r="F816">
        <f t="shared" si="49"/>
        <v>26.194977045638669</v>
      </c>
      <c r="G816">
        <f t="shared" si="52"/>
        <v>0</v>
      </c>
      <c r="H816" t="s">
        <v>1400</v>
      </c>
      <c r="I816">
        <v>79.3</v>
      </c>
      <c r="J816" t="s">
        <v>722</v>
      </c>
      <c r="K816" s="24">
        <v>147</v>
      </c>
      <c r="L816" s="24">
        <v>71</v>
      </c>
      <c r="M816">
        <v>122</v>
      </c>
      <c r="N816" t="s">
        <v>1434</v>
      </c>
      <c r="O816">
        <v>74</v>
      </c>
      <c r="P816">
        <v>95</v>
      </c>
      <c r="Q816" t="s">
        <v>25</v>
      </c>
      <c r="R816" t="s">
        <v>25</v>
      </c>
      <c r="S816" t="s">
        <v>26</v>
      </c>
      <c r="T816" t="s">
        <v>25</v>
      </c>
      <c r="U816">
        <f t="shared" si="50"/>
        <v>4</v>
      </c>
      <c r="V816">
        <v>161</v>
      </c>
      <c r="W816">
        <v>0.49299999999999999</v>
      </c>
      <c r="X816" t="s">
        <v>1406</v>
      </c>
      <c r="Y816">
        <v>147</v>
      </c>
      <c r="Z816">
        <v>71</v>
      </c>
      <c r="AA816" t="s">
        <v>40</v>
      </c>
      <c r="AC816" s="23">
        <v>0</v>
      </c>
      <c r="AD816" t="str">
        <f>IF(AND('CVD Dataset'!AA816="Normal",'CVD Dataset'!AB816&gt;AVERAGE('CVD Dataset'!AB:AB),'CVD Dataset'!AF816="High"),"High Lipid Category","Normal Category")</f>
        <v>Normal Category</v>
      </c>
      <c r="AE816">
        <v>17.03</v>
      </c>
      <c r="AF816" t="s">
        <v>32</v>
      </c>
      <c r="AG816">
        <v>1</v>
      </c>
      <c r="AH816" t="s">
        <v>1379</v>
      </c>
      <c r="AI816">
        <f t="shared" si="51"/>
        <v>1</v>
      </c>
      <c r="AJ816" t="s">
        <v>1391</v>
      </c>
    </row>
    <row r="817" spans="1:36" x14ac:dyDescent="0.3">
      <c r="A817" t="s">
        <v>22</v>
      </c>
      <c r="B817">
        <v>40</v>
      </c>
      <c r="C817">
        <v>63.2</v>
      </c>
      <c r="D817">
        <v>1.89</v>
      </c>
      <c r="E817">
        <v>17.7</v>
      </c>
      <c r="F817">
        <f t="shared" si="49"/>
        <v>17.692673777329862</v>
      </c>
      <c r="G817">
        <f t="shared" si="52"/>
        <v>0</v>
      </c>
      <c r="H817" t="s">
        <v>1401</v>
      </c>
      <c r="I817">
        <v>73.099999999999994</v>
      </c>
      <c r="J817" t="s">
        <v>723</v>
      </c>
      <c r="K817" s="24">
        <v>95</v>
      </c>
      <c r="L817" s="24">
        <v>90</v>
      </c>
      <c r="M817">
        <v>252</v>
      </c>
      <c r="N817" t="s">
        <v>1432</v>
      </c>
      <c r="O817">
        <v>63</v>
      </c>
      <c r="P817">
        <v>130</v>
      </c>
      <c r="Q817" t="s">
        <v>24</v>
      </c>
      <c r="R817" t="s">
        <v>25</v>
      </c>
      <c r="S817" t="s">
        <v>39</v>
      </c>
      <c r="T817" t="s">
        <v>24</v>
      </c>
      <c r="U817">
        <f t="shared" si="50"/>
        <v>1</v>
      </c>
      <c r="V817">
        <v>189</v>
      </c>
      <c r="W817">
        <v>0.38700000000000001</v>
      </c>
      <c r="X817" t="s">
        <v>1408</v>
      </c>
      <c r="Y817">
        <v>95</v>
      </c>
      <c r="Z817">
        <v>90</v>
      </c>
      <c r="AA817" t="s">
        <v>40</v>
      </c>
      <c r="AB817">
        <v>159</v>
      </c>
      <c r="AC817" s="23">
        <v>2.52</v>
      </c>
      <c r="AD817" t="str">
        <f>IF(AND('CVD Dataset'!AA817="Normal",'CVD Dataset'!AB817&gt;AVERAGE('CVD Dataset'!AB:AB),'CVD Dataset'!AF817="High"),"High Lipid Category","Normal Category")</f>
        <v>Normal Category</v>
      </c>
      <c r="AE817">
        <v>15.33</v>
      </c>
      <c r="AF817" t="s">
        <v>28</v>
      </c>
      <c r="AG817">
        <v>0</v>
      </c>
      <c r="AH817" t="s">
        <v>1380</v>
      </c>
      <c r="AI817">
        <f t="shared" si="51"/>
        <v>0</v>
      </c>
      <c r="AJ817" t="s">
        <v>1391</v>
      </c>
    </row>
    <row r="818" spans="1:36" x14ac:dyDescent="0.3">
      <c r="A818" t="s">
        <v>33</v>
      </c>
      <c r="B818">
        <v>53</v>
      </c>
      <c r="C818">
        <v>108</v>
      </c>
      <c r="D818">
        <v>1.89</v>
      </c>
      <c r="E818">
        <v>30.2</v>
      </c>
      <c r="F818">
        <f t="shared" si="49"/>
        <v>30.234315948601665</v>
      </c>
      <c r="G818">
        <f t="shared" si="52"/>
        <v>0</v>
      </c>
      <c r="H818" t="s">
        <v>1399</v>
      </c>
      <c r="I818">
        <v>86</v>
      </c>
      <c r="J818" t="s">
        <v>724</v>
      </c>
      <c r="K818" s="24">
        <v>141</v>
      </c>
      <c r="L818" s="24">
        <v>62</v>
      </c>
      <c r="M818">
        <v>261</v>
      </c>
      <c r="N818" t="s">
        <v>1432</v>
      </c>
      <c r="O818">
        <v>68</v>
      </c>
      <c r="P818">
        <v>109</v>
      </c>
      <c r="Q818" t="s">
        <v>24</v>
      </c>
      <c r="R818" t="s">
        <v>24</v>
      </c>
      <c r="S818" t="s">
        <v>26</v>
      </c>
      <c r="T818" t="s">
        <v>25</v>
      </c>
      <c r="U818">
        <f t="shared" si="50"/>
        <v>2</v>
      </c>
      <c r="V818">
        <v>189</v>
      </c>
      <c r="W818">
        <v>0.45500000000000002</v>
      </c>
      <c r="X818" t="s">
        <v>1408</v>
      </c>
      <c r="Y818">
        <v>141</v>
      </c>
      <c r="Z818">
        <v>62</v>
      </c>
      <c r="AA818" t="s">
        <v>40</v>
      </c>
      <c r="AB818">
        <v>163</v>
      </c>
      <c r="AC818" s="23">
        <v>2.4</v>
      </c>
      <c r="AD818" t="str">
        <f>IF(AND('CVD Dataset'!AA818="Normal",'CVD Dataset'!AB818&gt;AVERAGE('CVD Dataset'!AB:AB),'CVD Dataset'!AF818="High"),"High Lipid Category","Normal Category")</f>
        <v>Normal Category</v>
      </c>
      <c r="AE818">
        <v>18.309999999999999</v>
      </c>
      <c r="AF818" t="s">
        <v>32</v>
      </c>
      <c r="AG818">
        <v>1</v>
      </c>
      <c r="AH818" t="s">
        <v>1379</v>
      </c>
      <c r="AI818">
        <f t="shared" si="51"/>
        <v>1</v>
      </c>
      <c r="AJ818" t="s">
        <v>1391</v>
      </c>
    </row>
    <row r="819" spans="1:36" x14ac:dyDescent="0.3">
      <c r="A819" t="s">
        <v>22</v>
      </c>
      <c r="B819">
        <v>32</v>
      </c>
      <c r="C819">
        <v>54</v>
      </c>
      <c r="D819">
        <v>1.63</v>
      </c>
      <c r="E819">
        <v>20.3</v>
      </c>
      <c r="F819">
        <f t="shared" si="49"/>
        <v>20.324438255109339</v>
      </c>
      <c r="G819">
        <f t="shared" si="52"/>
        <v>0</v>
      </c>
      <c r="H819" t="s">
        <v>1398</v>
      </c>
      <c r="I819">
        <v>108.3</v>
      </c>
      <c r="J819" t="s">
        <v>725</v>
      </c>
      <c r="K819" s="24">
        <v>103</v>
      </c>
      <c r="L819" s="24">
        <v>63</v>
      </c>
      <c r="M819">
        <v>288</v>
      </c>
      <c r="N819" t="s">
        <v>1432</v>
      </c>
      <c r="O819">
        <v>62</v>
      </c>
      <c r="P819">
        <v>76</v>
      </c>
      <c r="Q819" t="s">
        <v>24</v>
      </c>
      <c r="R819" t="s">
        <v>24</v>
      </c>
      <c r="S819" t="s">
        <v>26</v>
      </c>
      <c r="T819" t="s">
        <v>24</v>
      </c>
      <c r="U819">
        <f t="shared" si="50"/>
        <v>1</v>
      </c>
      <c r="V819">
        <v>163</v>
      </c>
      <c r="W819">
        <v>0.66400000000000003</v>
      </c>
      <c r="X819" t="s">
        <v>1409</v>
      </c>
      <c r="Y819">
        <v>103</v>
      </c>
      <c r="Z819">
        <v>63</v>
      </c>
      <c r="AA819" t="s">
        <v>35</v>
      </c>
      <c r="AB819">
        <v>196</v>
      </c>
      <c r="AC819" s="23">
        <v>3.16</v>
      </c>
      <c r="AD819" t="str">
        <f>IF(AND('CVD Dataset'!AA819="Normal",'CVD Dataset'!AB819&gt;AVERAGE('CVD Dataset'!AB:AB),'CVD Dataset'!AF819="High"),"High Lipid Category","Normal Category")</f>
        <v>Normal Category</v>
      </c>
      <c r="AE819">
        <v>14.97</v>
      </c>
      <c r="AF819" t="s">
        <v>28</v>
      </c>
      <c r="AG819">
        <v>0</v>
      </c>
      <c r="AH819" t="s">
        <v>1380</v>
      </c>
      <c r="AI819">
        <f t="shared" si="51"/>
        <v>0</v>
      </c>
      <c r="AJ819" t="s">
        <v>1391</v>
      </c>
    </row>
    <row r="820" spans="1:36" x14ac:dyDescent="0.3">
      <c r="A820" t="s">
        <v>33</v>
      </c>
      <c r="B820">
        <v>47</v>
      </c>
      <c r="C820">
        <v>61.2</v>
      </c>
      <c r="D820">
        <v>1.7</v>
      </c>
      <c r="E820">
        <v>21.2</v>
      </c>
      <c r="F820">
        <f t="shared" si="49"/>
        <v>21.176470588235297</v>
      </c>
      <c r="G820">
        <f t="shared" si="52"/>
        <v>0</v>
      </c>
      <c r="H820" t="s">
        <v>1398</v>
      </c>
      <c r="I820">
        <v>92.6</v>
      </c>
      <c r="J820" t="s">
        <v>726</v>
      </c>
      <c r="K820" s="24">
        <v>98</v>
      </c>
      <c r="L820" s="24">
        <v>89</v>
      </c>
      <c r="M820">
        <v>209</v>
      </c>
      <c r="N820" t="s">
        <v>1432</v>
      </c>
      <c r="O820">
        <v>65</v>
      </c>
      <c r="P820">
        <v>121</v>
      </c>
      <c r="Q820" t="s">
        <v>25</v>
      </c>
      <c r="R820" t="s">
        <v>25</v>
      </c>
      <c r="S820" t="s">
        <v>39</v>
      </c>
      <c r="T820" t="s">
        <v>24</v>
      </c>
      <c r="U820">
        <f t="shared" si="50"/>
        <v>2</v>
      </c>
      <c r="V820">
        <v>170</v>
      </c>
      <c r="W820">
        <v>0.54500000000000004</v>
      </c>
      <c r="X820" t="s">
        <v>1407</v>
      </c>
      <c r="Y820">
        <v>98</v>
      </c>
      <c r="Z820">
        <v>89</v>
      </c>
      <c r="AA820" t="s">
        <v>31</v>
      </c>
      <c r="AB820">
        <v>114</v>
      </c>
      <c r="AC820" s="23">
        <v>1.75</v>
      </c>
      <c r="AD820" t="str">
        <f>IF(AND('CVD Dataset'!AA820="Normal",'CVD Dataset'!AB820&gt;AVERAGE('CVD Dataset'!AB:AB),'CVD Dataset'!AF820="High"),"High Lipid Category","Normal Category")</f>
        <v>Normal Category</v>
      </c>
      <c r="AF820" t="s">
        <v>32</v>
      </c>
      <c r="AG820">
        <v>1</v>
      </c>
      <c r="AH820" t="s">
        <v>1379</v>
      </c>
      <c r="AI820">
        <f t="shared" si="51"/>
        <v>1</v>
      </c>
      <c r="AJ820" t="s">
        <v>1391</v>
      </c>
    </row>
    <row r="821" spans="1:36" x14ac:dyDescent="0.3">
      <c r="A821" t="s">
        <v>22</v>
      </c>
      <c r="B821">
        <v>46</v>
      </c>
      <c r="C821">
        <v>67.3</v>
      </c>
      <c r="D821">
        <v>1.86</v>
      </c>
      <c r="E821">
        <v>19.5</v>
      </c>
      <c r="F821">
        <f t="shared" si="49"/>
        <v>19.453115967163832</v>
      </c>
      <c r="G821">
        <f t="shared" si="52"/>
        <v>0</v>
      </c>
      <c r="H821" t="s">
        <v>1398</v>
      </c>
      <c r="I821">
        <v>82.6</v>
      </c>
      <c r="J821" t="s">
        <v>727</v>
      </c>
      <c r="K821" s="24">
        <v>130</v>
      </c>
      <c r="L821" s="24">
        <v>93</v>
      </c>
      <c r="M821">
        <v>279</v>
      </c>
      <c r="N821" t="s">
        <v>1432</v>
      </c>
      <c r="O821">
        <v>73</v>
      </c>
      <c r="P821">
        <v>82</v>
      </c>
      <c r="Q821" t="s">
        <v>25</v>
      </c>
      <c r="R821" t="s">
        <v>25</v>
      </c>
      <c r="S821" t="s">
        <v>39</v>
      </c>
      <c r="T821" t="s">
        <v>24</v>
      </c>
      <c r="U821">
        <f t="shared" si="50"/>
        <v>2</v>
      </c>
      <c r="V821">
        <v>186</v>
      </c>
      <c r="W821">
        <v>0.44400000000000001</v>
      </c>
      <c r="X821" t="s">
        <v>1408</v>
      </c>
      <c r="Y821">
        <v>130</v>
      </c>
      <c r="Z821">
        <v>93</v>
      </c>
      <c r="AA821" t="s">
        <v>31</v>
      </c>
      <c r="AB821">
        <v>176</v>
      </c>
      <c r="AC821" s="23">
        <v>2.41</v>
      </c>
      <c r="AD821" t="str">
        <f>IF(AND('CVD Dataset'!AA821="Normal",'CVD Dataset'!AB821&gt;AVERAGE('CVD Dataset'!AB:AB),'CVD Dataset'!AF821="High"),"High Lipid Category","Normal Category")</f>
        <v>Normal Category</v>
      </c>
      <c r="AE821">
        <v>17.98</v>
      </c>
      <c r="AF821" t="s">
        <v>32</v>
      </c>
      <c r="AG821">
        <v>1</v>
      </c>
      <c r="AH821" t="s">
        <v>1379</v>
      </c>
      <c r="AI821">
        <f t="shared" si="51"/>
        <v>1</v>
      </c>
      <c r="AJ821" t="s">
        <v>1391</v>
      </c>
    </row>
    <row r="822" spans="1:36" x14ac:dyDescent="0.3">
      <c r="A822" t="s">
        <v>33</v>
      </c>
      <c r="B822">
        <v>42</v>
      </c>
      <c r="C822">
        <v>116.5</v>
      </c>
      <c r="D822">
        <v>1.62</v>
      </c>
      <c r="E822">
        <v>44.4</v>
      </c>
      <c r="F822">
        <f t="shared" si="49"/>
        <v>44.391098917847877</v>
      </c>
      <c r="G822">
        <f t="shared" si="52"/>
        <v>0</v>
      </c>
      <c r="H822" t="s">
        <v>1399</v>
      </c>
      <c r="I822">
        <v>103.3</v>
      </c>
      <c r="J822" t="s">
        <v>728</v>
      </c>
      <c r="K822" s="24">
        <v>139</v>
      </c>
      <c r="L822" s="24">
        <v>62</v>
      </c>
      <c r="M822">
        <v>113</v>
      </c>
      <c r="N822" t="s">
        <v>1434</v>
      </c>
      <c r="O822">
        <v>62</v>
      </c>
      <c r="P822">
        <v>110</v>
      </c>
      <c r="Q822" t="s">
        <v>24</v>
      </c>
      <c r="R822" t="s">
        <v>25</v>
      </c>
      <c r="S822" t="s">
        <v>26</v>
      </c>
      <c r="T822" t="s">
        <v>24</v>
      </c>
      <c r="U822">
        <f t="shared" si="50"/>
        <v>2</v>
      </c>
      <c r="V822">
        <v>162</v>
      </c>
      <c r="W822">
        <v>0.63800000000000001</v>
      </c>
      <c r="X822" t="s">
        <v>1409</v>
      </c>
      <c r="Y822">
        <v>139</v>
      </c>
      <c r="Z822">
        <v>62</v>
      </c>
      <c r="AA822" t="s">
        <v>31</v>
      </c>
      <c r="AB822">
        <v>21</v>
      </c>
      <c r="AC822" s="23">
        <v>0.34</v>
      </c>
      <c r="AD822" t="str">
        <f>IF(AND('CVD Dataset'!AA822="Normal",'CVD Dataset'!AB822&gt;AVERAGE('CVD Dataset'!AB:AB),'CVD Dataset'!AF822="High"),"High Lipid Category","Normal Category")</f>
        <v>Normal Category</v>
      </c>
      <c r="AE822">
        <v>20.09</v>
      </c>
      <c r="AF822" t="s">
        <v>28</v>
      </c>
      <c r="AG822">
        <v>0</v>
      </c>
      <c r="AH822" t="s">
        <v>1380</v>
      </c>
      <c r="AI822">
        <f t="shared" si="51"/>
        <v>0</v>
      </c>
      <c r="AJ822" t="s">
        <v>1391</v>
      </c>
    </row>
    <row r="823" spans="1:36" x14ac:dyDescent="0.3">
      <c r="A823" t="s">
        <v>22</v>
      </c>
      <c r="C823">
        <v>118.5</v>
      </c>
      <c r="D823">
        <v>1.77</v>
      </c>
      <c r="E823">
        <v>37.799999999999997</v>
      </c>
      <c r="F823">
        <f t="shared" si="49"/>
        <v>37.824379967442304</v>
      </c>
      <c r="G823">
        <f t="shared" si="52"/>
        <v>0</v>
      </c>
      <c r="H823" t="s">
        <v>1399</v>
      </c>
      <c r="I823">
        <v>91.7</v>
      </c>
      <c r="J823" t="s">
        <v>729</v>
      </c>
      <c r="K823" s="24">
        <v>121</v>
      </c>
      <c r="L823" s="24">
        <v>84</v>
      </c>
      <c r="M823">
        <v>185</v>
      </c>
      <c r="N823" t="s">
        <v>1432</v>
      </c>
      <c r="O823">
        <v>30</v>
      </c>
      <c r="P823">
        <v>123</v>
      </c>
      <c r="Q823" t="s">
        <v>24</v>
      </c>
      <c r="R823" t="s">
        <v>25</v>
      </c>
      <c r="S823" t="s">
        <v>26</v>
      </c>
      <c r="T823" t="s">
        <v>24</v>
      </c>
      <c r="U823">
        <f t="shared" si="50"/>
        <v>2</v>
      </c>
      <c r="V823">
        <v>177</v>
      </c>
      <c r="W823">
        <v>0.51800000000000002</v>
      </c>
      <c r="X823" t="s">
        <v>1406</v>
      </c>
      <c r="Y823">
        <v>121</v>
      </c>
      <c r="Z823">
        <v>84</v>
      </c>
      <c r="AA823" t="s">
        <v>31</v>
      </c>
      <c r="AB823">
        <v>125</v>
      </c>
      <c r="AC823" s="23">
        <v>4.17</v>
      </c>
      <c r="AD823" t="str">
        <f>IF(AND('CVD Dataset'!AA823="Normal",'CVD Dataset'!AB823&gt;AVERAGE('CVD Dataset'!AB:AB),'CVD Dataset'!AF823="High"),"High Lipid Category","Normal Category")</f>
        <v>Normal Category</v>
      </c>
      <c r="AE823">
        <v>19.309999999999999</v>
      </c>
      <c r="AF823" t="s">
        <v>32</v>
      </c>
      <c r="AG823">
        <v>0</v>
      </c>
      <c r="AH823" t="s">
        <v>1379</v>
      </c>
      <c r="AI823">
        <f t="shared" si="51"/>
        <v>1</v>
      </c>
      <c r="AJ823" t="s">
        <v>1391</v>
      </c>
    </row>
    <row r="824" spans="1:36" x14ac:dyDescent="0.3">
      <c r="A824" t="s">
        <v>33</v>
      </c>
      <c r="B824">
        <v>41</v>
      </c>
      <c r="C824">
        <v>66.8</v>
      </c>
      <c r="D824">
        <v>1.68</v>
      </c>
      <c r="E824">
        <v>23.7</v>
      </c>
      <c r="F824">
        <f t="shared" si="49"/>
        <v>23.66780045351474</v>
      </c>
      <c r="G824">
        <f t="shared" si="52"/>
        <v>0</v>
      </c>
      <c r="H824" t="s">
        <v>1398</v>
      </c>
      <c r="I824">
        <v>76.2</v>
      </c>
      <c r="J824" t="s">
        <v>730</v>
      </c>
      <c r="K824" s="24">
        <v>136</v>
      </c>
      <c r="L824" s="24">
        <v>78</v>
      </c>
      <c r="M824">
        <v>204</v>
      </c>
      <c r="N824" t="s">
        <v>1432</v>
      </c>
      <c r="O824">
        <v>55</v>
      </c>
      <c r="P824">
        <v>75</v>
      </c>
      <c r="Q824" t="s">
        <v>24</v>
      </c>
      <c r="R824" t="s">
        <v>25</v>
      </c>
      <c r="S824" t="s">
        <v>26</v>
      </c>
      <c r="T824" t="s">
        <v>24</v>
      </c>
      <c r="U824">
        <f t="shared" si="50"/>
        <v>2</v>
      </c>
      <c r="V824">
        <v>168</v>
      </c>
      <c r="W824">
        <v>0.45400000000000001</v>
      </c>
      <c r="X824" t="s">
        <v>1408</v>
      </c>
      <c r="Z824">
        <v>78</v>
      </c>
      <c r="AA824" t="s">
        <v>31</v>
      </c>
      <c r="AB824">
        <v>119</v>
      </c>
      <c r="AC824" s="23">
        <v>2.16</v>
      </c>
      <c r="AD824" t="str">
        <f>IF(AND('CVD Dataset'!AA824="Normal",'CVD Dataset'!AB824&gt;AVERAGE('CVD Dataset'!AB:AB),'CVD Dataset'!AF824="High"),"High Lipid Category","Normal Category")</f>
        <v>Normal Category</v>
      </c>
      <c r="AE824">
        <v>17.62</v>
      </c>
      <c r="AF824" t="s">
        <v>28</v>
      </c>
      <c r="AG824">
        <v>0</v>
      </c>
      <c r="AH824" t="s">
        <v>1380</v>
      </c>
      <c r="AI824">
        <f t="shared" si="51"/>
        <v>0</v>
      </c>
      <c r="AJ824" t="s">
        <v>1391</v>
      </c>
    </row>
    <row r="825" spans="1:36" x14ac:dyDescent="0.3">
      <c r="A825" t="s">
        <v>33</v>
      </c>
      <c r="B825">
        <v>39</v>
      </c>
      <c r="C825">
        <v>102.5</v>
      </c>
      <c r="D825">
        <v>1.84</v>
      </c>
      <c r="E825">
        <v>30.3</v>
      </c>
      <c r="F825">
        <f t="shared" si="49"/>
        <v>30.275283553875234</v>
      </c>
      <c r="G825">
        <f t="shared" si="52"/>
        <v>0</v>
      </c>
      <c r="H825" t="s">
        <v>1399</v>
      </c>
      <c r="I825">
        <v>84</v>
      </c>
      <c r="J825" t="s">
        <v>616</v>
      </c>
      <c r="K825" s="24">
        <v>134</v>
      </c>
      <c r="L825" s="24">
        <v>60</v>
      </c>
      <c r="M825">
        <v>292</v>
      </c>
      <c r="N825" t="s">
        <v>1432</v>
      </c>
      <c r="O825">
        <v>38</v>
      </c>
      <c r="Q825" t="s">
        <v>24</v>
      </c>
      <c r="R825" t="s">
        <v>24</v>
      </c>
      <c r="S825" t="s">
        <v>39</v>
      </c>
      <c r="T825" t="s">
        <v>24</v>
      </c>
      <c r="U825">
        <f t="shared" si="50"/>
        <v>0</v>
      </c>
      <c r="V825">
        <v>184</v>
      </c>
      <c r="W825">
        <v>0.45700000000000002</v>
      </c>
      <c r="X825" t="s">
        <v>1408</v>
      </c>
      <c r="Y825">
        <v>134</v>
      </c>
      <c r="Z825">
        <v>60</v>
      </c>
      <c r="AA825" t="s">
        <v>31</v>
      </c>
      <c r="AB825">
        <v>224</v>
      </c>
      <c r="AC825" s="23">
        <v>5.89</v>
      </c>
      <c r="AD825" t="str">
        <f>IF(AND('CVD Dataset'!AA825="Normal",'CVD Dataset'!AB825&gt;AVERAGE('CVD Dataset'!AB:AB),'CVD Dataset'!AF825="High"),"High Lipid Category","Normal Category")</f>
        <v>Normal Category</v>
      </c>
      <c r="AE825">
        <v>18.600000000000001</v>
      </c>
      <c r="AF825" t="s">
        <v>28</v>
      </c>
      <c r="AG825">
        <v>0</v>
      </c>
      <c r="AH825" t="s">
        <v>1380</v>
      </c>
      <c r="AI825">
        <f t="shared" si="51"/>
        <v>0</v>
      </c>
      <c r="AJ825" t="s">
        <v>1391</v>
      </c>
    </row>
    <row r="826" spans="1:36" x14ac:dyDescent="0.3">
      <c r="A826" t="s">
        <v>33</v>
      </c>
      <c r="B826">
        <v>56</v>
      </c>
      <c r="C826">
        <v>111.6</v>
      </c>
      <c r="D826">
        <v>1.81</v>
      </c>
      <c r="E826">
        <v>34.1</v>
      </c>
      <c r="F826">
        <f t="shared" si="49"/>
        <v>34.064894233997741</v>
      </c>
      <c r="G826">
        <f t="shared" si="52"/>
        <v>0</v>
      </c>
      <c r="H826" t="s">
        <v>1399</v>
      </c>
      <c r="I826">
        <v>86</v>
      </c>
      <c r="J826" t="s">
        <v>731</v>
      </c>
      <c r="K826" s="24">
        <v>102</v>
      </c>
      <c r="L826" s="24">
        <v>100</v>
      </c>
      <c r="M826">
        <v>161</v>
      </c>
      <c r="N826" t="s">
        <v>1433</v>
      </c>
      <c r="O826">
        <v>69</v>
      </c>
      <c r="P826">
        <v>145</v>
      </c>
      <c r="Q826" t="s">
        <v>25</v>
      </c>
      <c r="R826" t="s">
        <v>25</v>
      </c>
      <c r="S826" t="s">
        <v>39</v>
      </c>
      <c r="T826" t="s">
        <v>24</v>
      </c>
      <c r="U826">
        <f t="shared" si="50"/>
        <v>2</v>
      </c>
      <c r="V826">
        <v>181</v>
      </c>
      <c r="W826">
        <v>0.47499999999999998</v>
      </c>
      <c r="X826" t="s">
        <v>1406</v>
      </c>
      <c r="Y826">
        <v>102</v>
      </c>
      <c r="Z826">
        <v>100</v>
      </c>
      <c r="AA826" t="s">
        <v>40</v>
      </c>
      <c r="AB826">
        <v>62</v>
      </c>
      <c r="AC826" s="23">
        <v>0.9</v>
      </c>
      <c r="AD826" t="str">
        <f>IF(AND('CVD Dataset'!AA826="Normal",'CVD Dataset'!AB826&gt;AVERAGE('CVD Dataset'!AB:AB),'CVD Dataset'!AF826="High"),"High Lipid Category","Normal Category")</f>
        <v>Normal Category</v>
      </c>
      <c r="AE826">
        <v>17.14</v>
      </c>
      <c r="AF826" t="s">
        <v>32</v>
      </c>
      <c r="AG826">
        <v>1</v>
      </c>
      <c r="AH826" t="s">
        <v>1379</v>
      </c>
      <c r="AI826">
        <f t="shared" si="51"/>
        <v>1</v>
      </c>
      <c r="AJ826" t="s">
        <v>1392</v>
      </c>
    </row>
    <row r="827" spans="1:36" x14ac:dyDescent="0.3">
      <c r="A827" t="s">
        <v>22</v>
      </c>
      <c r="B827">
        <v>38</v>
      </c>
      <c r="C827">
        <v>95.6</v>
      </c>
      <c r="D827">
        <v>1.9</v>
      </c>
      <c r="E827">
        <v>26.5</v>
      </c>
      <c r="F827">
        <f t="shared" si="49"/>
        <v>26.481994459833793</v>
      </c>
      <c r="G827">
        <f t="shared" si="52"/>
        <v>0</v>
      </c>
      <c r="H827" t="s">
        <v>1400</v>
      </c>
      <c r="I827">
        <v>102.6</v>
      </c>
      <c r="J827" t="s">
        <v>732</v>
      </c>
      <c r="K827" s="24">
        <v>124</v>
      </c>
      <c r="L827" s="24">
        <v>98</v>
      </c>
      <c r="M827">
        <v>192</v>
      </c>
      <c r="N827" t="s">
        <v>1432</v>
      </c>
      <c r="O827">
        <v>37</v>
      </c>
      <c r="P827">
        <v>70</v>
      </c>
      <c r="Q827" t="s">
        <v>25</v>
      </c>
      <c r="R827" t="s">
        <v>25</v>
      </c>
      <c r="S827" t="s">
        <v>39</v>
      </c>
      <c r="T827" t="s">
        <v>25</v>
      </c>
      <c r="U827">
        <f t="shared" si="50"/>
        <v>3</v>
      </c>
      <c r="V827">
        <v>190</v>
      </c>
      <c r="X827" t="s">
        <v>1410</v>
      </c>
      <c r="Y827">
        <v>124</v>
      </c>
      <c r="Z827">
        <v>98</v>
      </c>
      <c r="AA827" t="s">
        <v>40</v>
      </c>
      <c r="AB827">
        <v>125</v>
      </c>
      <c r="AC827" s="23">
        <v>3.38</v>
      </c>
      <c r="AD827" t="str">
        <f>IF(AND('CVD Dataset'!AA827="Normal",'CVD Dataset'!AB827&gt;AVERAGE('CVD Dataset'!AB:AB),'CVD Dataset'!AF827="High"),"High Lipid Category","Normal Category")</f>
        <v>Normal Category</v>
      </c>
      <c r="AE827">
        <v>17.34</v>
      </c>
      <c r="AF827" t="s">
        <v>32</v>
      </c>
      <c r="AG827">
        <v>0</v>
      </c>
      <c r="AH827" t="s">
        <v>1379</v>
      </c>
      <c r="AI827">
        <f t="shared" si="51"/>
        <v>1</v>
      </c>
      <c r="AJ827" t="s">
        <v>1391</v>
      </c>
    </row>
    <row r="828" spans="1:36" x14ac:dyDescent="0.3">
      <c r="A828" t="s">
        <v>33</v>
      </c>
      <c r="B828">
        <v>32</v>
      </c>
      <c r="C828">
        <v>58.9</v>
      </c>
      <c r="D828">
        <v>1.74</v>
      </c>
      <c r="E828">
        <v>19.5</v>
      </c>
      <c r="F828">
        <f t="shared" si="49"/>
        <v>19.454353283128551</v>
      </c>
      <c r="G828">
        <f t="shared" si="52"/>
        <v>0</v>
      </c>
      <c r="H828" t="s">
        <v>1398</v>
      </c>
      <c r="I828">
        <v>107.1</v>
      </c>
      <c r="J828" t="s">
        <v>451</v>
      </c>
      <c r="K828" s="24">
        <v>123</v>
      </c>
      <c r="L828" s="24">
        <v>83</v>
      </c>
      <c r="N828" t="s">
        <v>1434</v>
      </c>
      <c r="O828">
        <v>37</v>
      </c>
      <c r="P828">
        <v>123</v>
      </c>
      <c r="Q828" t="s">
        <v>25</v>
      </c>
      <c r="R828" t="s">
        <v>24</v>
      </c>
      <c r="S828" t="s">
        <v>26</v>
      </c>
      <c r="T828" t="s">
        <v>24</v>
      </c>
      <c r="U828">
        <f t="shared" si="50"/>
        <v>2</v>
      </c>
      <c r="V828">
        <v>174</v>
      </c>
      <c r="W828">
        <v>0.61599999999999999</v>
      </c>
      <c r="X828" t="s">
        <v>1409</v>
      </c>
      <c r="Y828">
        <v>123</v>
      </c>
      <c r="Z828">
        <v>83</v>
      </c>
      <c r="AA828" t="s">
        <v>31</v>
      </c>
      <c r="AB828">
        <v>202</v>
      </c>
      <c r="AC828" s="23">
        <v>5.46</v>
      </c>
      <c r="AD828" t="str">
        <f>IF(AND('CVD Dataset'!AA828="Normal",'CVD Dataset'!AB828&gt;AVERAGE('CVD Dataset'!AB:AB),'CVD Dataset'!AF828="High"),"High Lipid Category","Normal Category")</f>
        <v>Normal Category</v>
      </c>
      <c r="AE828">
        <v>15.43</v>
      </c>
      <c r="AF828" t="s">
        <v>32</v>
      </c>
      <c r="AG828">
        <v>0</v>
      </c>
      <c r="AH828" t="s">
        <v>1379</v>
      </c>
      <c r="AI828">
        <f t="shared" si="51"/>
        <v>1</v>
      </c>
      <c r="AJ828" t="s">
        <v>1391</v>
      </c>
    </row>
    <row r="829" spans="1:36" x14ac:dyDescent="0.3">
      <c r="A829" t="s">
        <v>33</v>
      </c>
      <c r="B829">
        <v>32</v>
      </c>
      <c r="C829">
        <v>68.900000000000006</v>
      </c>
      <c r="D829">
        <v>1.85</v>
      </c>
      <c r="E829">
        <v>20.100000000000001</v>
      </c>
      <c r="F829">
        <f t="shared" si="49"/>
        <v>20.131482834185537</v>
      </c>
      <c r="G829">
        <f t="shared" si="52"/>
        <v>0</v>
      </c>
      <c r="H829" t="s">
        <v>1398</v>
      </c>
      <c r="I829">
        <v>85.8</v>
      </c>
      <c r="J829" t="s">
        <v>733</v>
      </c>
      <c r="K829" s="24">
        <v>111</v>
      </c>
      <c r="L829" s="24">
        <v>73</v>
      </c>
      <c r="M829">
        <v>151</v>
      </c>
      <c r="N829" t="s">
        <v>1433</v>
      </c>
      <c r="O829">
        <v>35</v>
      </c>
      <c r="P829">
        <v>136</v>
      </c>
      <c r="Q829" t="s">
        <v>25</v>
      </c>
      <c r="R829" t="s">
        <v>25</v>
      </c>
      <c r="S829" t="s">
        <v>39</v>
      </c>
      <c r="T829" t="s">
        <v>24</v>
      </c>
      <c r="U829">
        <f t="shared" si="50"/>
        <v>2</v>
      </c>
      <c r="V829">
        <v>185</v>
      </c>
      <c r="X829" t="s">
        <v>1410</v>
      </c>
      <c r="Y829">
        <v>111</v>
      </c>
      <c r="Z829">
        <v>73</v>
      </c>
      <c r="AA829" t="s">
        <v>35</v>
      </c>
      <c r="AC829" s="23">
        <v>0</v>
      </c>
      <c r="AD829" t="str">
        <f>IF(AND('CVD Dataset'!AA829="Normal",'CVD Dataset'!AB829&gt;AVERAGE('CVD Dataset'!AB:AB),'CVD Dataset'!AF829="High"),"High Lipid Category","Normal Category")</f>
        <v>Normal Category</v>
      </c>
      <c r="AE829">
        <v>14.59</v>
      </c>
      <c r="AF829" t="s">
        <v>28</v>
      </c>
      <c r="AG829">
        <v>0</v>
      </c>
      <c r="AH829" t="s">
        <v>1380</v>
      </c>
      <c r="AI829">
        <f t="shared" si="51"/>
        <v>0</v>
      </c>
      <c r="AJ829" t="s">
        <v>1391</v>
      </c>
    </row>
    <row r="830" spans="1:36" x14ac:dyDescent="0.3">
      <c r="A830" t="s">
        <v>22</v>
      </c>
      <c r="B830">
        <v>41</v>
      </c>
      <c r="C830">
        <v>94.3</v>
      </c>
      <c r="D830">
        <v>1.72</v>
      </c>
      <c r="E830">
        <v>31.9</v>
      </c>
      <c r="F830">
        <f t="shared" si="49"/>
        <v>31.875338020551652</v>
      </c>
      <c r="G830">
        <f t="shared" si="52"/>
        <v>0</v>
      </c>
      <c r="H830" t="s">
        <v>1399</v>
      </c>
      <c r="I830">
        <v>76.599999999999994</v>
      </c>
      <c r="J830" t="s">
        <v>734</v>
      </c>
      <c r="K830" s="24">
        <v>144</v>
      </c>
      <c r="L830" s="24">
        <v>92</v>
      </c>
      <c r="M830">
        <v>166</v>
      </c>
      <c r="N830" t="s">
        <v>1433</v>
      </c>
      <c r="O830">
        <v>44</v>
      </c>
      <c r="P830">
        <v>139</v>
      </c>
      <c r="Q830" t="s">
        <v>24</v>
      </c>
      <c r="R830" t="s">
        <v>24</v>
      </c>
      <c r="S830" t="s">
        <v>30</v>
      </c>
      <c r="T830" t="s">
        <v>24</v>
      </c>
      <c r="U830">
        <f t="shared" si="50"/>
        <v>0</v>
      </c>
      <c r="V830">
        <v>172</v>
      </c>
      <c r="W830">
        <v>0.44500000000000001</v>
      </c>
      <c r="X830" t="s">
        <v>1408</v>
      </c>
      <c r="Z830">
        <v>92</v>
      </c>
      <c r="AA830" t="s">
        <v>40</v>
      </c>
      <c r="AB830">
        <v>92</v>
      </c>
      <c r="AC830" s="23">
        <v>2.09</v>
      </c>
      <c r="AD830" t="str">
        <f>IF(AND('CVD Dataset'!AA830="Normal",'CVD Dataset'!AB830&gt;AVERAGE('CVD Dataset'!AB:AB),'CVD Dataset'!AF830="High"),"High Lipid Category","Normal Category")</f>
        <v>Normal Category</v>
      </c>
      <c r="AE830">
        <v>16.899999999999999</v>
      </c>
      <c r="AF830" t="s">
        <v>54</v>
      </c>
      <c r="AG830">
        <v>0</v>
      </c>
      <c r="AH830" t="s">
        <v>1380</v>
      </c>
      <c r="AI830">
        <f t="shared" si="51"/>
        <v>0</v>
      </c>
      <c r="AJ830" t="s">
        <v>1391</v>
      </c>
    </row>
    <row r="831" spans="1:36" x14ac:dyDescent="0.3">
      <c r="A831" t="s">
        <v>33</v>
      </c>
      <c r="B831">
        <v>54</v>
      </c>
      <c r="C831">
        <v>119.2</v>
      </c>
      <c r="D831">
        <v>1.68</v>
      </c>
      <c r="E831">
        <v>42.2</v>
      </c>
      <c r="F831">
        <f t="shared" si="49"/>
        <v>42.233560090702959</v>
      </c>
      <c r="G831">
        <f t="shared" si="52"/>
        <v>0</v>
      </c>
      <c r="H831" t="s">
        <v>1399</v>
      </c>
      <c r="I831">
        <v>79.2</v>
      </c>
      <c r="J831" t="s">
        <v>735</v>
      </c>
      <c r="K831" s="24">
        <v>114</v>
      </c>
      <c r="L831" s="24">
        <v>88</v>
      </c>
      <c r="M831">
        <v>265</v>
      </c>
      <c r="N831" t="s">
        <v>1432</v>
      </c>
      <c r="O831">
        <v>70</v>
      </c>
      <c r="P831">
        <v>109</v>
      </c>
      <c r="Q831" t="s">
        <v>24</v>
      </c>
      <c r="R831" t="s">
        <v>25</v>
      </c>
      <c r="S831" t="s">
        <v>39</v>
      </c>
      <c r="T831" t="s">
        <v>25</v>
      </c>
      <c r="U831">
        <f t="shared" si="50"/>
        <v>2</v>
      </c>
      <c r="V831">
        <v>168</v>
      </c>
      <c r="X831" t="s">
        <v>1410</v>
      </c>
      <c r="Y831">
        <v>114</v>
      </c>
      <c r="Z831">
        <v>88</v>
      </c>
      <c r="AA831" t="s">
        <v>31</v>
      </c>
      <c r="AB831">
        <v>165</v>
      </c>
      <c r="AC831" s="23">
        <v>2.36</v>
      </c>
      <c r="AD831" t="str">
        <f>IF(AND('CVD Dataset'!AA831="Normal",'CVD Dataset'!AB831&gt;AVERAGE('CVD Dataset'!AB:AB),'CVD Dataset'!AF831="High"),"High Lipid Category","Normal Category")</f>
        <v>Normal Category</v>
      </c>
      <c r="AE831">
        <v>21.44</v>
      </c>
      <c r="AF831" t="s">
        <v>32</v>
      </c>
      <c r="AG831">
        <v>1</v>
      </c>
      <c r="AH831" t="s">
        <v>1379</v>
      </c>
      <c r="AI831">
        <f t="shared" si="51"/>
        <v>1</v>
      </c>
      <c r="AJ831" t="s">
        <v>1392</v>
      </c>
    </row>
    <row r="832" spans="1:36" x14ac:dyDescent="0.3">
      <c r="A832" t="s">
        <v>33</v>
      </c>
      <c r="B832">
        <v>52</v>
      </c>
      <c r="C832">
        <v>57.9</v>
      </c>
      <c r="D832">
        <v>1.67</v>
      </c>
      <c r="E832">
        <v>20.8</v>
      </c>
      <c r="F832">
        <f t="shared" si="49"/>
        <v>20.760873462655528</v>
      </c>
      <c r="G832">
        <f t="shared" si="52"/>
        <v>0</v>
      </c>
      <c r="H832" t="s">
        <v>1398</v>
      </c>
      <c r="I832">
        <v>101.4</v>
      </c>
      <c r="J832" t="s">
        <v>462</v>
      </c>
      <c r="K832" s="24">
        <v>140</v>
      </c>
      <c r="L832" s="24">
        <v>98</v>
      </c>
      <c r="M832">
        <v>265</v>
      </c>
      <c r="N832" t="s">
        <v>1432</v>
      </c>
      <c r="O832">
        <v>46</v>
      </c>
      <c r="P832">
        <v>86</v>
      </c>
      <c r="Q832" t="s">
        <v>24</v>
      </c>
      <c r="R832" t="s">
        <v>24</v>
      </c>
      <c r="S832" t="s">
        <v>30</v>
      </c>
      <c r="T832" t="s">
        <v>25</v>
      </c>
      <c r="U832">
        <f t="shared" si="50"/>
        <v>1</v>
      </c>
      <c r="V832">
        <v>167</v>
      </c>
      <c r="W832">
        <v>0.60699999999999998</v>
      </c>
      <c r="X832" t="s">
        <v>1409</v>
      </c>
      <c r="Y832">
        <v>140</v>
      </c>
      <c r="Z832">
        <v>98</v>
      </c>
      <c r="AA832" t="s">
        <v>40</v>
      </c>
      <c r="AB832">
        <v>189</v>
      </c>
      <c r="AC832" s="23">
        <v>4.1100000000000003</v>
      </c>
      <c r="AD832" t="str">
        <f>IF(AND('CVD Dataset'!AA832="Normal",'CVD Dataset'!AB832&gt;AVERAGE('CVD Dataset'!AB:AB),'CVD Dataset'!AF832="High"),"High Lipid Category","Normal Category")</f>
        <v>Normal Category</v>
      </c>
      <c r="AE832">
        <v>16.46</v>
      </c>
      <c r="AF832" t="s">
        <v>28</v>
      </c>
      <c r="AG832">
        <v>0</v>
      </c>
      <c r="AH832" t="s">
        <v>1380</v>
      </c>
      <c r="AI832">
        <f t="shared" si="51"/>
        <v>0</v>
      </c>
      <c r="AJ832" t="s">
        <v>1391</v>
      </c>
    </row>
    <row r="833" spans="1:36" x14ac:dyDescent="0.3">
      <c r="A833" t="s">
        <v>22</v>
      </c>
      <c r="B833">
        <v>37</v>
      </c>
      <c r="C833">
        <v>119</v>
      </c>
      <c r="D833">
        <v>1.73</v>
      </c>
      <c r="E833">
        <v>39.799999999999997</v>
      </c>
      <c r="F833">
        <f t="shared" si="49"/>
        <v>39.760767148919108</v>
      </c>
      <c r="G833">
        <f t="shared" si="52"/>
        <v>0</v>
      </c>
      <c r="H833" t="s">
        <v>1399</v>
      </c>
      <c r="I833">
        <v>86.2</v>
      </c>
      <c r="J833" t="s">
        <v>736</v>
      </c>
      <c r="K833" s="24">
        <v>127</v>
      </c>
      <c r="L833" s="24">
        <v>87</v>
      </c>
      <c r="M833">
        <v>215</v>
      </c>
      <c r="N833" t="s">
        <v>1432</v>
      </c>
      <c r="O833">
        <v>30</v>
      </c>
      <c r="P833">
        <v>94</v>
      </c>
      <c r="Q833" t="s">
        <v>24</v>
      </c>
      <c r="R833" t="s">
        <v>25</v>
      </c>
      <c r="S833" t="s">
        <v>30</v>
      </c>
      <c r="T833" t="s">
        <v>24</v>
      </c>
      <c r="U833">
        <f t="shared" si="50"/>
        <v>1</v>
      </c>
      <c r="V833">
        <v>173</v>
      </c>
      <c r="W833">
        <v>0.498</v>
      </c>
      <c r="X833" t="s">
        <v>1406</v>
      </c>
      <c r="Z833">
        <v>87</v>
      </c>
      <c r="AA833" t="s">
        <v>31</v>
      </c>
      <c r="AB833">
        <v>155</v>
      </c>
      <c r="AC833" s="23">
        <v>5.17</v>
      </c>
      <c r="AD833" t="str">
        <f>IF(AND('CVD Dataset'!AA833="Normal",'CVD Dataset'!AB833&gt;AVERAGE('CVD Dataset'!AB:AB),'CVD Dataset'!AF833="High"),"High Lipid Category","Normal Category")</f>
        <v>Normal Category</v>
      </c>
      <c r="AE833">
        <v>20.61</v>
      </c>
      <c r="AF833" t="s">
        <v>32</v>
      </c>
      <c r="AG833">
        <v>0</v>
      </c>
      <c r="AH833" t="s">
        <v>1379</v>
      </c>
      <c r="AI833">
        <f t="shared" si="51"/>
        <v>1</v>
      </c>
      <c r="AJ833" t="s">
        <v>1391</v>
      </c>
    </row>
    <row r="834" spans="1:36" x14ac:dyDescent="0.3">
      <c r="A834" t="s">
        <v>22</v>
      </c>
      <c r="B834">
        <v>57</v>
      </c>
      <c r="C834">
        <v>54.2</v>
      </c>
      <c r="D834">
        <v>1.85</v>
      </c>
      <c r="E834">
        <v>15.8</v>
      </c>
      <c r="F834">
        <f t="shared" si="49"/>
        <v>15.836376917457997</v>
      </c>
      <c r="G834">
        <f t="shared" si="52"/>
        <v>0</v>
      </c>
      <c r="H834" t="s">
        <v>1401</v>
      </c>
      <c r="I834">
        <v>88.6</v>
      </c>
      <c r="J834" t="s">
        <v>737</v>
      </c>
      <c r="K834" s="24">
        <v>137</v>
      </c>
      <c r="L834" s="24">
        <v>88</v>
      </c>
      <c r="M834">
        <v>251</v>
      </c>
      <c r="N834" t="s">
        <v>1432</v>
      </c>
      <c r="O834">
        <v>69</v>
      </c>
      <c r="P834">
        <v>76</v>
      </c>
      <c r="Q834" t="s">
        <v>24</v>
      </c>
      <c r="R834" t="s">
        <v>24</v>
      </c>
      <c r="S834" t="s">
        <v>30</v>
      </c>
      <c r="T834" t="s">
        <v>24</v>
      </c>
      <c r="U834">
        <f t="shared" si="50"/>
        <v>0</v>
      </c>
      <c r="V834">
        <v>185</v>
      </c>
      <c r="W834">
        <v>0.47899999999999998</v>
      </c>
      <c r="X834" t="s">
        <v>1406</v>
      </c>
      <c r="Y834">
        <v>137</v>
      </c>
      <c r="Z834">
        <v>88</v>
      </c>
      <c r="AA834" t="s">
        <v>31</v>
      </c>
      <c r="AB834">
        <v>152</v>
      </c>
      <c r="AC834" s="23">
        <v>2.2000000000000002</v>
      </c>
      <c r="AD834" t="str">
        <f>IF(AND('CVD Dataset'!AA834="Normal",'CVD Dataset'!AB834&gt;AVERAGE('CVD Dataset'!AB:AB),'CVD Dataset'!AF834="High"),"High Lipid Category","Normal Category")</f>
        <v>Normal Category</v>
      </c>
      <c r="AE834">
        <v>15.03</v>
      </c>
      <c r="AF834" t="s">
        <v>28</v>
      </c>
      <c r="AG834">
        <v>0</v>
      </c>
      <c r="AH834" t="s">
        <v>1380</v>
      </c>
      <c r="AI834">
        <f t="shared" si="51"/>
        <v>0</v>
      </c>
      <c r="AJ834" t="s">
        <v>1391</v>
      </c>
    </row>
    <row r="835" spans="1:36" x14ac:dyDescent="0.3">
      <c r="A835" t="s">
        <v>22</v>
      </c>
      <c r="B835">
        <v>55</v>
      </c>
      <c r="C835">
        <v>69.2</v>
      </c>
      <c r="E835">
        <v>19.600000000000001</v>
      </c>
      <c r="F835" t="str">
        <f t="shared" ref="F835:F898" si="53">IFERROR(C835/POWER(D835,2),"")</f>
        <v/>
      </c>
      <c r="G835" t="str">
        <f t="shared" si="52"/>
        <v/>
      </c>
      <c r="H835" t="s">
        <v>1398</v>
      </c>
      <c r="I835">
        <v>77.5</v>
      </c>
      <c r="J835" t="s">
        <v>738</v>
      </c>
      <c r="K835" s="24">
        <v>90</v>
      </c>
      <c r="L835" s="24">
        <v>63</v>
      </c>
      <c r="M835">
        <v>279</v>
      </c>
      <c r="N835" t="s">
        <v>1432</v>
      </c>
      <c r="O835">
        <v>68</v>
      </c>
      <c r="P835">
        <v>90</v>
      </c>
      <c r="Q835" t="s">
        <v>25</v>
      </c>
      <c r="R835" t="s">
        <v>24</v>
      </c>
      <c r="S835" t="s">
        <v>39</v>
      </c>
      <c r="T835" t="s">
        <v>25</v>
      </c>
      <c r="U835">
        <f t="shared" ref="U835:U898" si="54">SUM(IF(Q835="Y",1,0),IF(R835="Y",1,0),IF(S835="Low",1,0),IF(T835="Y",1,0))</f>
        <v>2</v>
      </c>
      <c r="V835">
        <v>188</v>
      </c>
      <c r="W835">
        <v>0.41199999999999998</v>
      </c>
      <c r="X835" t="s">
        <v>1408</v>
      </c>
      <c r="Z835">
        <v>63</v>
      </c>
      <c r="AA835" t="s">
        <v>35</v>
      </c>
      <c r="AB835">
        <v>181</v>
      </c>
      <c r="AC835" s="23">
        <v>2.66</v>
      </c>
      <c r="AD835" t="str">
        <f>IF(AND('CVD Dataset'!AA835="Normal",'CVD Dataset'!AB835&gt;AVERAGE('CVD Dataset'!AB:AB),'CVD Dataset'!AF835="High"),"High Lipid Category","Normal Category")</f>
        <v>High Lipid Category</v>
      </c>
      <c r="AE835">
        <v>14</v>
      </c>
      <c r="AF835" t="s">
        <v>32</v>
      </c>
      <c r="AG835">
        <v>1</v>
      </c>
      <c r="AH835" t="s">
        <v>1379</v>
      </c>
      <c r="AI835">
        <f t="shared" ref="AI835:AI898" si="55">IF(AF835="HIGH",1,0)</f>
        <v>1</v>
      </c>
      <c r="AJ835" t="s">
        <v>1391</v>
      </c>
    </row>
    <row r="836" spans="1:36" x14ac:dyDescent="0.3">
      <c r="A836" t="s">
        <v>22</v>
      </c>
      <c r="B836">
        <v>42</v>
      </c>
      <c r="C836">
        <v>116.2</v>
      </c>
      <c r="D836">
        <v>1.65</v>
      </c>
      <c r="E836">
        <v>42.7</v>
      </c>
      <c r="F836">
        <f t="shared" si="53"/>
        <v>42.681359044995418</v>
      </c>
      <c r="G836">
        <f t="shared" si="52"/>
        <v>0</v>
      </c>
      <c r="H836" t="s">
        <v>1399</v>
      </c>
      <c r="I836">
        <v>89.4</v>
      </c>
      <c r="J836" t="s">
        <v>739</v>
      </c>
      <c r="K836" s="24">
        <v>139</v>
      </c>
      <c r="L836" s="24">
        <v>96</v>
      </c>
      <c r="M836">
        <v>205</v>
      </c>
      <c r="N836" t="s">
        <v>1432</v>
      </c>
      <c r="O836">
        <v>68</v>
      </c>
      <c r="P836">
        <v>80</v>
      </c>
      <c r="Q836" t="s">
        <v>25</v>
      </c>
      <c r="R836" t="s">
        <v>25</v>
      </c>
      <c r="S836" t="s">
        <v>30</v>
      </c>
      <c r="T836" t="s">
        <v>25</v>
      </c>
      <c r="U836">
        <f t="shared" si="54"/>
        <v>3</v>
      </c>
      <c r="V836">
        <v>165</v>
      </c>
      <c r="W836">
        <v>0.54200000000000004</v>
      </c>
      <c r="X836" t="s">
        <v>1407</v>
      </c>
      <c r="Y836">
        <v>139</v>
      </c>
      <c r="Z836">
        <v>96</v>
      </c>
      <c r="AA836" t="s">
        <v>31</v>
      </c>
      <c r="AB836">
        <v>107</v>
      </c>
      <c r="AC836" s="23">
        <v>1.57</v>
      </c>
      <c r="AD836" t="str">
        <f>IF(AND('CVD Dataset'!AA836="Normal",'CVD Dataset'!AB836&gt;AVERAGE('CVD Dataset'!AB:AB),'CVD Dataset'!AF836="High"),"High Lipid Category","Normal Category")</f>
        <v>Normal Category</v>
      </c>
      <c r="AE836">
        <v>21.59</v>
      </c>
      <c r="AF836" t="s">
        <v>32</v>
      </c>
      <c r="AG836">
        <v>1</v>
      </c>
      <c r="AH836" t="s">
        <v>1379</v>
      </c>
      <c r="AI836">
        <f t="shared" si="55"/>
        <v>1</v>
      </c>
      <c r="AJ836" t="s">
        <v>1391</v>
      </c>
    </row>
    <row r="837" spans="1:36" x14ac:dyDescent="0.3">
      <c r="A837" t="s">
        <v>22</v>
      </c>
      <c r="B837">
        <v>47</v>
      </c>
      <c r="C837">
        <v>90.7</v>
      </c>
      <c r="D837">
        <v>1.7</v>
      </c>
      <c r="E837">
        <v>31.4</v>
      </c>
      <c r="F837">
        <f t="shared" si="53"/>
        <v>31.384083044982702</v>
      </c>
      <c r="G837">
        <f t="shared" si="52"/>
        <v>0</v>
      </c>
      <c r="H837" t="s">
        <v>1399</v>
      </c>
      <c r="I837">
        <v>77.599999999999994</v>
      </c>
      <c r="J837" t="s">
        <v>725</v>
      </c>
      <c r="K837" s="24">
        <v>103</v>
      </c>
      <c r="L837" s="24">
        <v>63</v>
      </c>
      <c r="M837">
        <v>141</v>
      </c>
      <c r="N837" t="s">
        <v>1434</v>
      </c>
      <c r="O837">
        <v>68</v>
      </c>
      <c r="P837">
        <v>79</v>
      </c>
      <c r="Q837" t="s">
        <v>24</v>
      </c>
      <c r="R837" t="s">
        <v>25</v>
      </c>
      <c r="S837" t="s">
        <v>26</v>
      </c>
      <c r="T837" t="s">
        <v>24</v>
      </c>
      <c r="U837">
        <f t="shared" si="54"/>
        <v>2</v>
      </c>
      <c r="V837">
        <v>170</v>
      </c>
      <c r="W837">
        <v>0.45600000000000002</v>
      </c>
      <c r="X837" t="s">
        <v>1408</v>
      </c>
      <c r="Y837">
        <v>103</v>
      </c>
      <c r="AA837" t="s">
        <v>35</v>
      </c>
      <c r="AB837">
        <v>43</v>
      </c>
      <c r="AC837" s="23">
        <v>0.63</v>
      </c>
      <c r="AD837" t="str">
        <f>IF(AND('CVD Dataset'!AA837="Normal",'CVD Dataset'!AB837&gt;AVERAGE('CVD Dataset'!AB:AB),'CVD Dataset'!AF837="High"),"High Lipid Category","Normal Category")</f>
        <v>Normal Category</v>
      </c>
      <c r="AE837">
        <v>16.25</v>
      </c>
      <c r="AF837" t="s">
        <v>32</v>
      </c>
      <c r="AG837">
        <v>1</v>
      </c>
      <c r="AH837" t="s">
        <v>1379</v>
      </c>
      <c r="AI837">
        <f t="shared" si="55"/>
        <v>1</v>
      </c>
      <c r="AJ837" t="s">
        <v>1391</v>
      </c>
    </row>
    <row r="838" spans="1:36" x14ac:dyDescent="0.3">
      <c r="A838" t="s">
        <v>22</v>
      </c>
      <c r="B838">
        <v>37</v>
      </c>
      <c r="C838">
        <v>86.7</v>
      </c>
      <c r="D838">
        <v>1.62</v>
      </c>
      <c r="E838">
        <v>33</v>
      </c>
      <c r="F838">
        <f t="shared" si="53"/>
        <v>33.036122542295374</v>
      </c>
      <c r="G838">
        <f t="shared" si="52"/>
        <v>0</v>
      </c>
      <c r="H838" t="s">
        <v>1399</v>
      </c>
      <c r="I838">
        <v>88.5</v>
      </c>
      <c r="J838" t="s">
        <v>609</v>
      </c>
      <c r="K838" s="24">
        <v>113</v>
      </c>
      <c r="L838" s="24">
        <v>77</v>
      </c>
      <c r="M838">
        <v>250</v>
      </c>
      <c r="N838" t="s">
        <v>1432</v>
      </c>
      <c r="O838">
        <v>36</v>
      </c>
      <c r="P838">
        <v>104</v>
      </c>
      <c r="Q838" t="s">
        <v>24</v>
      </c>
      <c r="R838" t="s">
        <v>25</v>
      </c>
      <c r="S838" t="s">
        <v>30</v>
      </c>
      <c r="T838" t="s">
        <v>25</v>
      </c>
      <c r="U838">
        <f t="shared" si="54"/>
        <v>2</v>
      </c>
      <c r="V838">
        <v>162</v>
      </c>
      <c r="W838">
        <v>0.54600000000000004</v>
      </c>
      <c r="X838" t="s">
        <v>1407</v>
      </c>
      <c r="Y838">
        <v>113</v>
      </c>
      <c r="Z838">
        <v>77</v>
      </c>
      <c r="AA838" t="s">
        <v>35</v>
      </c>
      <c r="AB838">
        <v>184</v>
      </c>
      <c r="AC838" s="23">
        <v>5.1100000000000003</v>
      </c>
      <c r="AD838" t="str">
        <f>IF(AND('CVD Dataset'!AA838="Normal",'CVD Dataset'!AB838&gt;AVERAGE('CVD Dataset'!AB:AB),'CVD Dataset'!AF838="High"),"High Lipid Category","Normal Category")</f>
        <v>High Lipid Category</v>
      </c>
      <c r="AE838">
        <v>19.25</v>
      </c>
      <c r="AF838" t="s">
        <v>32</v>
      </c>
      <c r="AG838">
        <v>0</v>
      </c>
      <c r="AH838" t="s">
        <v>1379</v>
      </c>
      <c r="AI838">
        <f t="shared" si="55"/>
        <v>1</v>
      </c>
      <c r="AJ838" t="s">
        <v>1391</v>
      </c>
    </row>
    <row r="839" spans="1:36" x14ac:dyDescent="0.3">
      <c r="A839" t="s">
        <v>33</v>
      </c>
      <c r="B839">
        <v>42</v>
      </c>
      <c r="C839">
        <v>75.099999999999994</v>
      </c>
      <c r="D839">
        <v>1.89</v>
      </c>
      <c r="E839">
        <v>21</v>
      </c>
      <c r="F839">
        <f t="shared" si="53"/>
        <v>21.024047479073932</v>
      </c>
      <c r="G839">
        <f t="shared" si="52"/>
        <v>0</v>
      </c>
      <c r="H839" t="s">
        <v>1398</v>
      </c>
      <c r="I839">
        <v>104.3</v>
      </c>
      <c r="J839" t="s">
        <v>740</v>
      </c>
      <c r="K839" s="24">
        <v>112</v>
      </c>
      <c r="L839" s="24">
        <v>93</v>
      </c>
      <c r="M839">
        <v>111</v>
      </c>
      <c r="N839" t="s">
        <v>1434</v>
      </c>
      <c r="O839">
        <v>42</v>
      </c>
      <c r="P839">
        <v>95</v>
      </c>
      <c r="Q839" t="s">
        <v>24</v>
      </c>
      <c r="R839" t="s">
        <v>25</v>
      </c>
      <c r="S839" t="s">
        <v>26</v>
      </c>
      <c r="T839" t="s">
        <v>24</v>
      </c>
      <c r="U839">
        <f t="shared" si="54"/>
        <v>2</v>
      </c>
      <c r="V839">
        <v>189</v>
      </c>
      <c r="W839">
        <v>0.55200000000000005</v>
      </c>
      <c r="X839" t="s">
        <v>1407</v>
      </c>
      <c r="Y839">
        <v>112</v>
      </c>
      <c r="Z839">
        <v>93</v>
      </c>
      <c r="AA839" t="s">
        <v>40</v>
      </c>
      <c r="AB839">
        <v>39</v>
      </c>
      <c r="AC839" s="23">
        <v>0.93</v>
      </c>
      <c r="AD839" t="str">
        <f>IF(AND('CVD Dataset'!AA839="Normal",'CVD Dataset'!AB839&gt;AVERAGE('CVD Dataset'!AB:AB),'CVD Dataset'!AF839="High"),"High Lipid Category","Normal Category")</f>
        <v>Normal Category</v>
      </c>
      <c r="AE839">
        <v>14.02</v>
      </c>
      <c r="AF839" t="s">
        <v>28</v>
      </c>
      <c r="AG839">
        <v>0</v>
      </c>
      <c r="AH839" t="s">
        <v>1380</v>
      </c>
      <c r="AI839">
        <f t="shared" si="55"/>
        <v>0</v>
      </c>
      <c r="AJ839" t="s">
        <v>1391</v>
      </c>
    </row>
    <row r="840" spans="1:36" x14ac:dyDescent="0.3">
      <c r="A840" t="s">
        <v>33</v>
      </c>
      <c r="C840">
        <v>64.900000000000006</v>
      </c>
      <c r="D840">
        <v>1.83</v>
      </c>
      <c r="E840">
        <v>19.399999999999999</v>
      </c>
      <c r="F840">
        <f t="shared" si="53"/>
        <v>19.379497745528383</v>
      </c>
      <c r="G840">
        <f t="shared" si="52"/>
        <v>0</v>
      </c>
      <c r="H840" t="s">
        <v>1398</v>
      </c>
      <c r="I840">
        <v>99.8</v>
      </c>
      <c r="J840" t="s">
        <v>360</v>
      </c>
      <c r="K840" s="24">
        <v>96</v>
      </c>
      <c r="L840" s="24">
        <v>93</v>
      </c>
      <c r="M840">
        <v>173</v>
      </c>
      <c r="N840" t="s">
        <v>1433</v>
      </c>
      <c r="O840">
        <v>65</v>
      </c>
      <c r="P840">
        <v>101</v>
      </c>
      <c r="Q840" t="s">
        <v>24</v>
      </c>
      <c r="R840" t="s">
        <v>24</v>
      </c>
      <c r="S840" t="s">
        <v>30</v>
      </c>
      <c r="T840" t="s">
        <v>24</v>
      </c>
      <c r="U840">
        <f t="shared" si="54"/>
        <v>0</v>
      </c>
      <c r="V840">
        <v>183</v>
      </c>
      <c r="W840">
        <v>0.54500000000000004</v>
      </c>
      <c r="X840" t="s">
        <v>1407</v>
      </c>
      <c r="Y840">
        <v>96</v>
      </c>
      <c r="Z840">
        <v>93</v>
      </c>
      <c r="AA840" t="s">
        <v>40</v>
      </c>
      <c r="AB840">
        <v>78</v>
      </c>
      <c r="AC840" s="23">
        <v>1.2</v>
      </c>
      <c r="AD840" t="str">
        <f>IF(AND('CVD Dataset'!AA840="Normal",'CVD Dataset'!AB840&gt;AVERAGE('CVD Dataset'!AB:AB),'CVD Dataset'!AF840="High"),"High Lipid Category","Normal Category")</f>
        <v>Normal Category</v>
      </c>
      <c r="AE840">
        <v>12.14</v>
      </c>
      <c r="AF840" t="s">
        <v>54</v>
      </c>
      <c r="AG840">
        <v>0</v>
      </c>
      <c r="AH840" t="s">
        <v>1380</v>
      </c>
      <c r="AI840">
        <f t="shared" si="55"/>
        <v>0</v>
      </c>
      <c r="AJ840" t="s">
        <v>1391</v>
      </c>
    </row>
    <row r="841" spans="1:36" x14ac:dyDescent="0.3">
      <c r="A841" t="s">
        <v>22</v>
      </c>
      <c r="B841">
        <v>47</v>
      </c>
      <c r="C841">
        <v>79.099999999999994</v>
      </c>
      <c r="D841">
        <v>1.81</v>
      </c>
      <c r="E841">
        <v>24.1</v>
      </c>
      <c r="F841">
        <f t="shared" si="53"/>
        <v>24.144562131803056</v>
      </c>
      <c r="G841">
        <f t="shared" si="52"/>
        <v>0</v>
      </c>
      <c r="H841" t="s">
        <v>1398</v>
      </c>
      <c r="I841">
        <v>76.400000000000006</v>
      </c>
      <c r="J841" t="s">
        <v>575</v>
      </c>
      <c r="K841" s="24">
        <v>118</v>
      </c>
      <c r="L841" s="24">
        <v>97</v>
      </c>
      <c r="M841">
        <v>147</v>
      </c>
      <c r="N841" t="s">
        <v>1434</v>
      </c>
      <c r="O841">
        <v>70</v>
      </c>
      <c r="P841">
        <v>83</v>
      </c>
      <c r="Q841" t="s">
        <v>25</v>
      </c>
      <c r="R841" t="s">
        <v>25</v>
      </c>
      <c r="S841" t="s">
        <v>26</v>
      </c>
      <c r="T841" t="s">
        <v>25</v>
      </c>
      <c r="U841">
        <f t="shared" si="54"/>
        <v>4</v>
      </c>
      <c r="V841">
        <v>181</v>
      </c>
      <c r="W841">
        <v>0.42199999999999999</v>
      </c>
      <c r="X841" t="s">
        <v>1408</v>
      </c>
      <c r="Y841">
        <v>118</v>
      </c>
      <c r="Z841">
        <v>97</v>
      </c>
      <c r="AA841" t="s">
        <v>40</v>
      </c>
      <c r="AB841">
        <v>47</v>
      </c>
      <c r="AC841" s="23">
        <v>0.67</v>
      </c>
      <c r="AD841" t="str">
        <f>IF(AND('CVD Dataset'!AA841="Normal",'CVD Dataset'!AB841&gt;AVERAGE('CVD Dataset'!AB:AB),'CVD Dataset'!AF841="High"),"High Lipid Category","Normal Category")</f>
        <v>Normal Category</v>
      </c>
      <c r="AE841">
        <v>15.66</v>
      </c>
      <c r="AF841" t="s">
        <v>32</v>
      </c>
      <c r="AG841">
        <v>1</v>
      </c>
      <c r="AH841" t="s">
        <v>1379</v>
      </c>
      <c r="AI841">
        <f t="shared" si="55"/>
        <v>1</v>
      </c>
      <c r="AJ841" t="s">
        <v>1391</v>
      </c>
    </row>
    <row r="842" spans="1:36" x14ac:dyDescent="0.3">
      <c r="A842" t="s">
        <v>33</v>
      </c>
      <c r="B842">
        <v>38</v>
      </c>
      <c r="C842">
        <v>103.6</v>
      </c>
      <c r="D842">
        <v>1.83</v>
      </c>
      <c r="E842">
        <v>30.9</v>
      </c>
      <c r="F842">
        <f t="shared" si="53"/>
        <v>30.935531069903544</v>
      </c>
      <c r="G842">
        <f t="shared" si="52"/>
        <v>0</v>
      </c>
      <c r="H842" t="s">
        <v>1399</v>
      </c>
      <c r="I842">
        <v>78.599999999999994</v>
      </c>
      <c r="J842" t="s">
        <v>114</v>
      </c>
      <c r="K842" s="24">
        <v>94</v>
      </c>
      <c r="L842" s="24">
        <v>78</v>
      </c>
      <c r="N842" t="s">
        <v>1434</v>
      </c>
      <c r="O842">
        <v>79</v>
      </c>
      <c r="P842">
        <v>75</v>
      </c>
      <c r="Q842" t="s">
        <v>24</v>
      </c>
      <c r="R842" t="s">
        <v>24</v>
      </c>
      <c r="S842" t="s">
        <v>39</v>
      </c>
      <c r="T842" t="s">
        <v>24</v>
      </c>
      <c r="U842">
        <f t="shared" si="54"/>
        <v>0</v>
      </c>
      <c r="V842">
        <v>183</v>
      </c>
      <c r="W842">
        <v>0.43</v>
      </c>
      <c r="X842" t="s">
        <v>1408</v>
      </c>
      <c r="Y842">
        <v>94</v>
      </c>
      <c r="Z842">
        <v>78</v>
      </c>
      <c r="AA842" t="s">
        <v>35</v>
      </c>
      <c r="AB842">
        <v>55</v>
      </c>
      <c r="AC842" s="23">
        <v>0.7</v>
      </c>
      <c r="AD842" t="str">
        <f>IF(AND('CVD Dataset'!AA842="Normal",'CVD Dataset'!AB842&gt;AVERAGE('CVD Dataset'!AB:AB),'CVD Dataset'!AF842="High"),"High Lipid Category","Normal Category")</f>
        <v>Normal Category</v>
      </c>
      <c r="AE842">
        <v>14.16</v>
      </c>
      <c r="AF842" t="s">
        <v>54</v>
      </c>
      <c r="AG842">
        <v>0</v>
      </c>
      <c r="AH842" t="s">
        <v>1380</v>
      </c>
      <c r="AI842">
        <f t="shared" si="55"/>
        <v>0</v>
      </c>
      <c r="AJ842" t="s">
        <v>1391</v>
      </c>
    </row>
    <row r="843" spans="1:36" x14ac:dyDescent="0.3">
      <c r="A843" t="s">
        <v>22</v>
      </c>
      <c r="B843">
        <v>46</v>
      </c>
      <c r="C843">
        <v>88.1</v>
      </c>
      <c r="D843">
        <v>1.63</v>
      </c>
      <c r="E843">
        <v>33.200000000000003</v>
      </c>
      <c r="F843">
        <f t="shared" si="53"/>
        <v>33.158944634724676</v>
      </c>
      <c r="G843">
        <f t="shared" si="52"/>
        <v>0</v>
      </c>
      <c r="H843" t="s">
        <v>1399</v>
      </c>
      <c r="I843">
        <v>98.7</v>
      </c>
      <c r="J843" t="s">
        <v>741</v>
      </c>
      <c r="K843" s="24">
        <v>95</v>
      </c>
      <c r="L843" s="24">
        <v>81</v>
      </c>
      <c r="M843">
        <v>166</v>
      </c>
      <c r="N843" t="s">
        <v>1433</v>
      </c>
      <c r="O843">
        <v>78</v>
      </c>
      <c r="P843">
        <v>103</v>
      </c>
      <c r="Q843" t="s">
        <v>25</v>
      </c>
      <c r="R843" t="s">
        <v>25</v>
      </c>
      <c r="S843" t="s">
        <v>26</v>
      </c>
      <c r="T843" t="s">
        <v>25</v>
      </c>
      <c r="U843">
        <f t="shared" si="54"/>
        <v>4</v>
      </c>
      <c r="W843">
        <v>0.60599999999999998</v>
      </c>
      <c r="X843" t="s">
        <v>1409</v>
      </c>
      <c r="Y843">
        <v>95</v>
      </c>
      <c r="Z843">
        <v>81</v>
      </c>
      <c r="AA843" t="s">
        <v>31</v>
      </c>
      <c r="AB843">
        <v>58</v>
      </c>
      <c r="AC843" s="23">
        <v>0.74</v>
      </c>
      <c r="AD843" t="str">
        <f>IF(AND('CVD Dataset'!AA843="Normal",'CVD Dataset'!AB843&gt;AVERAGE('CVD Dataset'!AB:AB),'CVD Dataset'!AF843="High"),"High Lipid Category","Normal Category")</f>
        <v>Normal Category</v>
      </c>
      <c r="AE843">
        <v>16.71</v>
      </c>
      <c r="AF843" t="s">
        <v>32</v>
      </c>
      <c r="AG843">
        <v>1</v>
      </c>
      <c r="AH843" t="s">
        <v>1379</v>
      </c>
      <c r="AI843">
        <f t="shared" si="55"/>
        <v>1</v>
      </c>
      <c r="AJ843" t="s">
        <v>1391</v>
      </c>
    </row>
    <row r="844" spans="1:36" x14ac:dyDescent="0.3">
      <c r="A844" t="s">
        <v>22</v>
      </c>
      <c r="B844">
        <v>30</v>
      </c>
      <c r="C844">
        <v>80</v>
      </c>
      <c r="D844">
        <v>1.86</v>
      </c>
      <c r="E844">
        <v>23.1</v>
      </c>
      <c r="F844">
        <f t="shared" si="53"/>
        <v>23.12406058503873</v>
      </c>
      <c r="G844">
        <f t="shared" si="52"/>
        <v>0</v>
      </c>
      <c r="H844" t="s">
        <v>1398</v>
      </c>
      <c r="I844">
        <v>93.5</v>
      </c>
      <c r="J844" t="s">
        <v>742</v>
      </c>
      <c r="K844" s="24">
        <v>110</v>
      </c>
      <c r="L844" s="24">
        <v>98</v>
      </c>
      <c r="M844">
        <v>143</v>
      </c>
      <c r="N844" t="s">
        <v>1434</v>
      </c>
      <c r="O844">
        <v>60</v>
      </c>
      <c r="P844">
        <v>139</v>
      </c>
      <c r="Q844" t="s">
        <v>25</v>
      </c>
      <c r="R844" t="s">
        <v>24</v>
      </c>
      <c r="S844" t="s">
        <v>30</v>
      </c>
      <c r="T844" t="s">
        <v>25</v>
      </c>
      <c r="U844">
        <f t="shared" si="54"/>
        <v>2</v>
      </c>
      <c r="V844">
        <v>186</v>
      </c>
      <c r="W844">
        <v>0.503</v>
      </c>
      <c r="X844" t="s">
        <v>1406</v>
      </c>
      <c r="Y844">
        <v>110</v>
      </c>
      <c r="Z844">
        <v>98</v>
      </c>
      <c r="AA844" t="s">
        <v>40</v>
      </c>
      <c r="AB844">
        <v>53</v>
      </c>
      <c r="AC844" s="23">
        <v>0.88</v>
      </c>
      <c r="AD844" t="str">
        <f>IF(AND('CVD Dataset'!AA844="Normal",'CVD Dataset'!AB844&gt;AVERAGE('CVD Dataset'!AB:AB),'CVD Dataset'!AF844="High"),"High Lipid Category","Normal Category")</f>
        <v>Normal Category</v>
      </c>
      <c r="AE844">
        <v>12.98</v>
      </c>
      <c r="AF844" t="s">
        <v>28</v>
      </c>
      <c r="AG844">
        <v>0</v>
      </c>
      <c r="AH844" t="s">
        <v>1380</v>
      </c>
      <c r="AI844">
        <f t="shared" si="55"/>
        <v>0</v>
      </c>
      <c r="AJ844" t="s">
        <v>1391</v>
      </c>
    </row>
    <row r="845" spans="1:36" x14ac:dyDescent="0.3">
      <c r="A845" t="s">
        <v>33</v>
      </c>
      <c r="B845">
        <v>52</v>
      </c>
      <c r="C845">
        <v>55</v>
      </c>
      <c r="E845">
        <v>18.8</v>
      </c>
      <c r="F845" t="str">
        <f t="shared" si="53"/>
        <v/>
      </c>
      <c r="G845" t="str">
        <f t="shared" si="52"/>
        <v/>
      </c>
      <c r="H845" t="s">
        <v>1398</v>
      </c>
      <c r="I845">
        <v>108.6</v>
      </c>
      <c r="J845" t="s">
        <v>743</v>
      </c>
      <c r="K845" s="24">
        <v>132</v>
      </c>
      <c r="L845" s="24">
        <v>76</v>
      </c>
      <c r="M845">
        <v>183</v>
      </c>
      <c r="N845" t="s">
        <v>1432</v>
      </c>
      <c r="O845">
        <v>53</v>
      </c>
      <c r="P845">
        <v>115</v>
      </c>
      <c r="Q845" t="s">
        <v>24</v>
      </c>
      <c r="R845" t="s">
        <v>25</v>
      </c>
      <c r="S845" t="s">
        <v>39</v>
      </c>
      <c r="T845" t="s">
        <v>25</v>
      </c>
      <c r="U845">
        <f t="shared" si="54"/>
        <v>2</v>
      </c>
      <c r="V845">
        <v>171</v>
      </c>
      <c r="W845">
        <v>0.63500000000000001</v>
      </c>
      <c r="X845" t="s">
        <v>1409</v>
      </c>
      <c r="Y845">
        <v>132</v>
      </c>
      <c r="Z845">
        <v>76</v>
      </c>
      <c r="AA845" t="s">
        <v>31</v>
      </c>
      <c r="AB845">
        <v>100</v>
      </c>
      <c r="AC845" s="23">
        <v>1.89</v>
      </c>
      <c r="AD845" t="str">
        <f>IF(AND('CVD Dataset'!AA845="Normal",'CVD Dataset'!AB845&gt;AVERAGE('CVD Dataset'!AB:AB),'CVD Dataset'!AF845="High"),"High Lipid Category","Normal Category")</f>
        <v>Normal Category</v>
      </c>
      <c r="AE845">
        <v>16.02</v>
      </c>
      <c r="AF845" t="s">
        <v>28</v>
      </c>
      <c r="AG845">
        <v>0</v>
      </c>
      <c r="AH845" t="s">
        <v>1380</v>
      </c>
      <c r="AI845">
        <f t="shared" si="55"/>
        <v>0</v>
      </c>
      <c r="AJ845" t="s">
        <v>1392</v>
      </c>
    </row>
    <row r="846" spans="1:36" x14ac:dyDescent="0.3">
      <c r="A846" t="s">
        <v>22</v>
      </c>
      <c r="B846">
        <v>30</v>
      </c>
      <c r="C846">
        <v>110.4</v>
      </c>
      <c r="D846">
        <v>1.71</v>
      </c>
      <c r="E846">
        <v>37.799999999999997</v>
      </c>
      <c r="F846">
        <f t="shared" si="53"/>
        <v>37.755206730275987</v>
      </c>
      <c r="G846">
        <f t="shared" si="52"/>
        <v>0</v>
      </c>
      <c r="H846" t="s">
        <v>1399</v>
      </c>
      <c r="I846">
        <v>99</v>
      </c>
      <c r="J846" t="s">
        <v>744</v>
      </c>
      <c r="K846" s="24">
        <v>116</v>
      </c>
      <c r="L846" s="24">
        <v>95</v>
      </c>
      <c r="M846">
        <v>265</v>
      </c>
      <c r="N846" t="s">
        <v>1432</v>
      </c>
      <c r="O846">
        <v>65</v>
      </c>
      <c r="P846">
        <v>124</v>
      </c>
      <c r="Q846" t="s">
        <v>25</v>
      </c>
      <c r="R846" t="s">
        <v>25</v>
      </c>
      <c r="S846" t="s">
        <v>39</v>
      </c>
      <c r="T846" t="s">
        <v>25</v>
      </c>
      <c r="U846">
        <f t="shared" si="54"/>
        <v>3</v>
      </c>
      <c r="V846">
        <v>171</v>
      </c>
      <c r="W846">
        <v>0.57899999999999996</v>
      </c>
      <c r="X846" t="s">
        <v>1407</v>
      </c>
      <c r="Y846">
        <v>116</v>
      </c>
      <c r="AA846" t="s">
        <v>40</v>
      </c>
      <c r="AB846">
        <v>170</v>
      </c>
      <c r="AC846" s="23">
        <v>2.62</v>
      </c>
      <c r="AD846" t="str">
        <f>IF(AND('CVD Dataset'!AA846="Normal",'CVD Dataset'!AB846&gt;AVERAGE('CVD Dataset'!AB:AB),'CVD Dataset'!AF846="High"),"High Lipid Category","Normal Category")</f>
        <v>Normal Category</v>
      </c>
      <c r="AE846">
        <v>20.66</v>
      </c>
      <c r="AF846" t="s">
        <v>32</v>
      </c>
      <c r="AG846">
        <v>1</v>
      </c>
      <c r="AH846" t="s">
        <v>1379</v>
      </c>
      <c r="AI846">
        <f t="shared" si="55"/>
        <v>1</v>
      </c>
      <c r="AJ846" t="s">
        <v>1391</v>
      </c>
    </row>
    <row r="847" spans="1:36" x14ac:dyDescent="0.3">
      <c r="A847" t="s">
        <v>33</v>
      </c>
      <c r="B847">
        <v>52</v>
      </c>
      <c r="C847">
        <v>59.5</v>
      </c>
      <c r="D847">
        <v>1.74</v>
      </c>
      <c r="E847">
        <v>19.7</v>
      </c>
      <c r="F847">
        <f t="shared" si="53"/>
        <v>19.652530056810676</v>
      </c>
      <c r="G847">
        <f t="shared" ref="G847:G910" si="56">IFERROR(IF(ABS(E847 - F847) &lt;= 0.1, 0, 1),"")</f>
        <v>0</v>
      </c>
      <c r="H847" t="s">
        <v>1398</v>
      </c>
      <c r="J847" t="s">
        <v>745</v>
      </c>
      <c r="K847" s="24">
        <v>107</v>
      </c>
      <c r="L847" s="24">
        <v>80</v>
      </c>
      <c r="M847">
        <v>183</v>
      </c>
      <c r="N847" t="s">
        <v>1432</v>
      </c>
      <c r="O847">
        <v>63</v>
      </c>
      <c r="P847">
        <v>85</v>
      </c>
      <c r="Q847" t="s">
        <v>24</v>
      </c>
      <c r="R847" t="s">
        <v>24</v>
      </c>
      <c r="S847" t="s">
        <v>39</v>
      </c>
      <c r="T847" t="s">
        <v>25</v>
      </c>
      <c r="U847">
        <f t="shared" si="54"/>
        <v>1</v>
      </c>
      <c r="V847">
        <v>174</v>
      </c>
      <c r="W847">
        <v>0.499</v>
      </c>
      <c r="X847" t="s">
        <v>1406</v>
      </c>
      <c r="Y847">
        <v>107</v>
      </c>
      <c r="Z847">
        <v>80</v>
      </c>
      <c r="AA847" t="s">
        <v>31</v>
      </c>
      <c r="AB847">
        <v>90</v>
      </c>
      <c r="AC847" s="23">
        <v>1.43</v>
      </c>
      <c r="AD847" t="str">
        <f>IF(AND('CVD Dataset'!AA847="Normal",'CVD Dataset'!AB847&gt;AVERAGE('CVD Dataset'!AB:AB),'CVD Dataset'!AF847="High"),"High Lipid Category","Normal Category")</f>
        <v>Normal Category</v>
      </c>
      <c r="AE847">
        <v>12.95</v>
      </c>
      <c r="AF847" t="s">
        <v>28</v>
      </c>
      <c r="AG847">
        <v>0</v>
      </c>
      <c r="AH847" t="s">
        <v>1380</v>
      </c>
      <c r="AI847">
        <f t="shared" si="55"/>
        <v>0</v>
      </c>
      <c r="AJ847" t="s">
        <v>1391</v>
      </c>
    </row>
    <row r="848" spans="1:36" x14ac:dyDescent="0.3">
      <c r="A848" t="s">
        <v>33</v>
      </c>
      <c r="B848">
        <v>31</v>
      </c>
      <c r="C848">
        <v>82.5</v>
      </c>
      <c r="D848">
        <v>1.74</v>
      </c>
      <c r="E848">
        <v>27.2</v>
      </c>
      <c r="F848">
        <f t="shared" si="53"/>
        <v>27.249306381292111</v>
      </c>
      <c r="G848">
        <f t="shared" si="56"/>
        <v>0</v>
      </c>
      <c r="H848" t="s">
        <v>1400</v>
      </c>
      <c r="I848">
        <v>81.7</v>
      </c>
      <c r="J848" t="s">
        <v>746</v>
      </c>
      <c r="K848" s="24">
        <v>136</v>
      </c>
      <c r="L848" s="24">
        <v>92</v>
      </c>
      <c r="M848">
        <v>200</v>
      </c>
      <c r="N848" t="s">
        <v>1432</v>
      </c>
      <c r="O848">
        <v>52</v>
      </c>
      <c r="P848">
        <v>108</v>
      </c>
      <c r="Q848" t="s">
        <v>25</v>
      </c>
      <c r="R848" t="s">
        <v>25</v>
      </c>
      <c r="S848" t="s">
        <v>26</v>
      </c>
      <c r="T848" t="s">
        <v>24</v>
      </c>
      <c r="U848">
        <f t="shared" si="54"/>
        <v>3</v>
      </c>
      <c r="V848">
        <v>174</v>
      </c>
      <c r="W848">
        <v>0.47</v>
      </c>
      <c r="X848" t="s">
        <v>1406</v>
      </c>
      <c r="Y848">
        <v>136</v>
      </c>
      <c r="Z848">
        <v>92</v>
      </c>
      <c r="AA848" t="s">
        <v>31</v>
      </c>
      <c r="AB848">
        <v>118</v>
      </c>
      <c r="AC848" s="23">
        <v>2.27</v>
      </c>
      <c r="AD848" t="str">
        <f>IF(AND('CVD Dataset'!AA848="Normal",'CVD Dataset'!AB848&gt;AVERAGE('CVD Dataset'!AB:AB),'CVD Dataset'!AF848="High"),"High Lipid Category","Normal Category")</f>
        <v>Normal Category</v>
      </c>
      <c r="AE848">
        <v>18.239999999999998</v>
      </c>
      <c r="AF848" t="s">
        <v>32</v>
      </c>
      <c r="AG848">
        <v>0</v>
      </c>
      <c r="AH848" t="s">
        <v>1379</v>
      </c>
      <c r="AI848">
        <f t="shared" si="55"/>
        <v>1</v>
      </c>
      <c r="AJ848" t="s">
        <v>1391</v>
      </c>
    </row>
    <row r="849" spans="1:36" x14ac:dyDescent="0.3">
      <c r="A849" t="s">
        <v>33</v>
      </c>
      <c r="B849">
        <v>45</v>
      </c>
      <c r="C849">
        <v>91.3</v>
      </c>
      <c r="D849">
        <v>1.87</v>
      </c>
      <c r="E849">
        <v>26.1</v>
      </c>
      <c r="F849">
        <f t="shared" si="53"/>
        <v>26.10883925762818</v>
      </c>
      <c r="G849">
        <f t="shared" si="56"/>
        <v>0</v>
      </c>
      <c r="H849" t="s">
        <v>1400</v>
      </c>
      <c r="I849">
        <v>80</v>
      </c>
      <c r="J849" t="s">
        <v>747</v>
      </c>
      <c r="K849" s="24">
        <v>102</v>
      </c>
      <c r="L849" s="24">
        <v>61</v>
      </c>
      <c r="M849">
        <v>271</v>
      </c>
      <c r="N849" t="s">
        <v>1432</v>
      </c>
      <c r="O849">
        <v>31</v>
      </c>
      <c r="P849">
        <v>126</v>
      </c>
      <c r="Q849" t="s">
        <v>25</v>
      </c>
      <c r="R849" t="s">
        <v>25</v>
      </c>
      <c r="S849" t="s">
        <v>30</v>
      </c>
      <c r="T849" t="s">
        <v>24</v>
      </c>
      <c r="U849">
        <f t="shared" si="54"/>
        <v>2</v>
      </c>
      <c r="V849">
        <v>187</v>
      </c>
      <c r="W849">
        <v>0.42799999999999999</v>
      </c>
      <c r="X849" t="s">
        <v>1408</v>
      </c>
      <c r="Y849">
        <v>102</v>
      </c>
      <c r="Z849">
        <v>61</v>
      </c>
      <c r="AA849" t="s">
        <v>35</v>
      </c>
      <c r="AB849">
        <v>210</v>
      </c>
      <c r="AC849" s="23">
        <v>6.77</v>
      </c>
      <c r="AD849" t="str">
        <f>IF(AND('CVD Dataset'!AA849="Normal",'CVD Dataset'!AB849&gt;AVERAGE('CVD Dataset'!AB:AB),'CVD Dataset'!AF849="High"),"High Lipid Category","Normal Category")</f>
        <v>High Lipid Category</v>
      </c>
      <c r="AE849">
        <v>17.739999999999998</v>
      </c>
      <c r="AF849" t="s">
        <v>32</v>
      </c>
      <c r="AG849">
        <v>0</v>
      </c>
      <c r="AH849" t="s">
        <v>1379</v>
      </c>
      <c r="AI849">
        <f t="shared" si="55"/>
        <v>1</v>
      </c>
      <c r="AJ849" t="s">
        <v>1391</v>
      </c>
    </row>
    <row r="850" spans="1:36" x14ac:dyDescent="0.3">
      <c r="A850" t="s">
        <v>22</v>
      </c>
      <c r="B850">
        <v>46</v>
      </c>
      <c r="C850">
        <v>93.4</v>
      </c>
      <c r="D850">
        <v>1.63</v>
      </c>
      <c r="E850">
        <v>35.200000000000003</v>
      </c>
      <c r="F850">
        <f t="shared" si="53"/>
        <v>35.153750611615045</v>
      </c>
      <c r="G850">
        <f t="shared" si="56"/>
        <v>0</v>
      </c>
      <c r="H850" t="s">
        <v>1399</v>
      </c>
      <c r="I850">
        <v>77.599999999999994</v>
      </c>
      <c r="J850" t="s">
        <v>748</v>
      </c>
      <c r="K850" s="24">
        <v>116</v>
      </c>
      <c r="L850" s="24">
        <v>65</v>
      </c>
      <c r="M850">
        <v>297</v>
      </c>
      <c r="N850" t="s">
        <v>1432</v>
      </c>
      <c r="O850">
        <v>48</v>
      </c>
      <c r="P850">
        <v>147</v>
      </c>
      <c r="Q850" t="s">
        <v>25</v>
      </c>
      <c r="R850" t="s">
        <v>24</v>
      </c>
      <c r="S850" t="s">
        <v>30</v>
      </c>
      <c r="T850" t="s">
        <v>25</v>
      </c>
      <c r="U850">
        <f t="shared" si="54"/>
        <v>2</v>
      </c>
      <c r="V850">
        <v>163</v>
      </c>
      <c r="W850">
        <v>0.47599999999999998</v>
      </c>
      <c r="X850" t="s">
        <v>1406</v>
      </c>
      <c r="Y850">
        <v>116</v>
      </c>
      <c r="Z850">
        <v>65</v>
      </c>
      <c r="AA850" t="s">
        <v>35</v>
      </c>
      <c r="AB850">
        <v>219</v>
      </c>
      <c r="AC850" s="23">
        <v>4.5599999999999996</v>
      </c>
      <c r="AD850" t="str">
        <f>IF(AND('CVD Dataset'!AA850="Normal",'CVD Dataset'!AB850&gt;AVERAGE('CVD Dataset'!AB:AB),'CVD Dataset'!AF850="High"),"High Lipid Category","Normal Category")</f>
        <v>High Lipid Category</v>
      </c>
      <c r="AE850">
        <v>18.78</v>
      </c>
      <c r="AF850" t="s">
        <v>32</v>
      </c>
      <c r="AG850">
        <v>0</v>
      </c>
      <c r="AH850" t="s">
        <v>1379</v>
      </c>
      <c r="AI850">
        <f t="shared" si="55"/>
        <v>1</v>
      </c>
      <c r="AJ850" t="s">
        <v>1391</v>
      </c>
    </row>
    <row r="851" spans="1:36" x14ac:dyDescent="0.3">
      <c r="A851" t="s">
        <v>22</v>
      </c>
      <c r="B851">
        <v>46</v>
      </c>
      <c r="C851">
        <v>63.7</v>
      </c>
      <c r="D851">
        <v>1.84</v>
      </c>
      <c r="F851">
        <f t="shared" si="53"/>
        <v>18.814981096408317</v>
      </c>
      <c r="G851">
        <f t="shared" si="56"/>
        <v>1</v>
      </c>
      <c r="H851" t="s">
        <v>1401</v>
      </c>
      <c r="I851">
        <v>89.7</v>
      </c>
      <c r="J851" t="s">
        <v>749</v>
      </c>
      <c r="K851" s="24">
        <v>92</v>
      </c>
      <c r="L851" s="24">
        <v>62</v>
      </c>
      <c r="M851">
        <v>155</v>
      </c>
      <c r="N851" t="s">
        <v>1433</v>
      </c>
      <c r="O851">
        <v>41</v>
      </c>
      <c r="P851">
        <v>105</v>
      </c>
      <c r="Q851" t="s">
        <v>24</v>
      </c>
      <c r="R851" t="s">
        <v>25</v>
      </c>
      <c r="S851" t="s">
        <v>26</v>
      </c>
      <c r="T851" t="s">
        <v>25</v>
      </c>
      <c r="U851">
        <f t="shared" si="54"/>
        <v>3</v>
      </c>
      <c r="V851">
        <v>184</v>
      </c>
      <c r="W851">
        <v>0.48699999999999999</v>
      </c>
      <c r="X851" t="s">
        <v>1406</v>
      </c>
      <c r="Y851">
        <v>92</v>
      </c>
      <c r="Z851">
        <v>62</v>
      </c>
      <c r="AA851" t="s">
        <v>35</v>
      </c>
      <c r="AB851">
        <v>84</v>
      </c>
      <c r="AC851" s="23">
        <v>2.0499999999999998</v>
      </c>
      <c r="AD851" t="str">
        <f>IF(AND('CVD Dataset'!AA851="Normal",'CVD Dataset'!AB851&gt;AVERAGE('CVD Dataset'!AB:AB),'CVD Dataset'!AF851="High"),"High Lipid Category","Normal Category")</f>
        <v>Normal Category</v>
      </c>
      <c r="AF851" t="s">
        <v>32</v>
      </c>
      <c r="AG851">
        <v>0</v>
      </c>
      <c r="AH851" t="s">
        <v>1379</v>
      </c>
      <c r="AI851">
        <f t="shared" si="55"/>
        <v>1</v>
      </c>
      <c r="AJ851" t="s">
        <v>1391</v>
      </c>
    </row>
    <row r="852" spans="1:36" x14ac:dyDescent="0.3">
      <c r="A852" t="s">
        <v>22</v>
      </c>
      <c r="B852">
        <v>56</v>
      </c>
      <c r="D852">
        <v>1.73</v>
      </c>
      <c r="E852">
        <v>33.4</v>
      </c>
      <c r="F852">
        <f t="shared" si="53"/>
        <v>0</v>
      </c>
      <c r="G852">
        <f t="shared" si="56"/>
        <v>1</v>
      </c>
      <c r="H852" t="s">
        <v>1399</v>
      </c>
      <c r="I852">
        <v>93.8</v>
      </c>
      <c r="J852" t="s">
        <v>750</v>
      </c>
      <c r="K852" s="24">
        <v>145</v>
      </c>
      <c r="L852" s="24">
        <v>79</v>
      </c>
      <c r="M852">
        <v>208</v>
      </c>
      <c r="N852" t="s">
        <v>1432</v>
      </c>
      <c r="O852">
        <v>61</v>
      </c>
      <c r="P852">
        <v>79</v>
      </c>
      <c r="Q852" t="s">
        <v>24</v>
      </c>
      <c r="R852" t="s">
        <v>24</v>
      </c>
      <c r="S852" t="s">
        <v>39</v>
      </c>
      <c r="T852" t="s">
        <v>24</v>
      </c>
      <c r="U852">
        <f t="shared" si="54"/>
        <v>0</v>
      </c>
      <c r="V852">
        <v>173</v>
      </c>
      <c r="W852">
        <v>0.54200000000000004</v>
      </c>
      <c r="X852" t="s">
        <v>1407</v>
      </c>
      <c r="Y852">
        <v>145</v>
      </c>
      <c r="Z852">
        <v>79</v>
      </c>
      <c r="AA852" t="s">
        <v>40</v>
      </c>
      <c r="AB852">
        <v>117</v>
      </c>
      <c r="AC852" s="23">
        <v>1.92</v>
      </c>
      <c r="AD852" t="str">
        <f>IF(AND('CVD Dataset'!AA852="Normal",'CVD Dataset'!AB852&gt;AVERAGE('CVD Dataset'!AB:AB),'CVD Dataset'!AF852="High"),"High Lipid Category","Normal Category")</f>
        <v>Normal Category</v>
      </c>
      <c r="AE852">
        <v>18.09</v>
      </c>
      <c r="AF852" t="s">
        <v>28</v>
      </c>
      <c r="AG852">
        <v>0</v>
      </c>
      <c r="AH852" t="s">
        <v>1380</v>
      </c>
      <c r="AI852">
        <f t="shared" si="55"/>
        <v>0</v>
      </c>
      <c r="AJ852" t="s">
        <v>1391</v>
      </c>
    </row>
    <row r="853" spans="1:36" x14ac:dyDescent="0.3">
      <c r="A853" t="s">
        <v>33</v>
      </c>
      <c r="C853">
        <v>99.4</v>
      </c>
      <c r="D853">
        <v>1.61</v>
      </c>
      <c r="E853">
        <v>38.299999999999997</v>
      </c>
      <c r="F853">
        <f t="shared" si="53"/>
        <v>38.34728598433702</v>
      </c>
      <c r="G853">
        <f t="shared" si="56"/>
        <v>0</v>
      </c>
      <c r="H853" t="s">
        <v>1399</v>
      </c>
      <c r="I853">
        <v>99.4</v>
      </c>
      <c r="J853" t="s">
        <v>751</v>
      </c>
      <c r="K853" s="24">
        <v>95</v>
      </c>
      <c r="L853" s="24">
        <v>93</v>
      </c>
      <c r="M853">
        <v>191</v>
      </c>
      <c r="N853" t="s">
        <v>1432</v>
      </c>
      <c r="O853">
        <v>71</v>
      </c>
      <c r="P853">
        <v>125</v>
      </c>
      <c r="Q853" t="s">
        <v>24</v>
      </c>
      <c r="R853" t="s">
        <v>25</v>
      </c>
      <c r="S853" t="s">
        <v>26</v>
      </c>
      <c r="T853" t="s">
        <v>24</v>
      </c>
      <c r="U853">
        <f t="shared" si="54"/>
        <v>2</v>
      </c>
      <c r="V853">
        <v>161</v>
      </c>
      <c r="W853">
        <v>0.61699999999999999</v>
      </c>
      <c r="X853" t="s">
        <v>1409</v>
      </c>
      <c r="Z853">
        <v>93</v>
      </c>
      <c r="AA853" t="s">
        <v>40</v>
      </c>
      <c r="AB853">
        <v>90</v>
      </c>
      <c r="AC853" s="23">
        <v>1.27</v>
      </c>
      <c r="AD853" t="str">
        <f>IF(AND('CVD Dataset'!AA853="Normal",'CVD Dataset'!AB853&gt;AVERAGE('CVD Dataset'!AB:AB),'CVD Dataset'!AF853="High"),"High Lipid Category","Normal Category")</f>
        <v>Normal Category</v>
      </c>
      <c r="AE853">
        <v>18.23</v>
      </c>
      <c r="AF853" t="s">
        <v>28</v>
      </c>
      <c r="AG853">
        <v>0</v>
      </c>
      <c r="AH853" t="s">
        <v>1380</v>
      </c>
      <c r="AI853">
        <f t="shared" si="55"/>
        <v>0</v>
      </c>
      <c r="AJ853" t="s">
        <v>1391</v>
      </c>
    </row>
    <row r="854" spans="1:36" x14ac:dyDescent="0.3">
      <c r="A854" t="s">
        <v>22</v>
      </c>
      <c r="B854">
        <v>35</v>
      </c>
      <c r="C854">
        <v>67.5</v>
      </c>
      <c r="D854">
        <v>1.73</v>
      </c>
      <c r="E854">
        <v>22.6</v>
      </c>
      <c r="F854">
        <f t="shared" si="53"/>
        <v>22.55337632396672</v>
      </c>
      <c r="G854">
        <f t="shared" si="56"/>
        <v>0</v>
      </c>
      <c r="H854" t="s">
        <v>1398</v>
      </c>
      <c r="I854">
        <v>91.9</v>
      </c>
      <c r="J854" t="s">
        <v>752</v>
      </c>
      <c r="K854" s="24">
        <v>144</v>
      </c>
      <c r="L854" s="24">
        <v>63</v>
      </c>
      <c r="M854">
        <v>286</v>
      </c>
      <c r="N854" t="s">
        <v>1432</v>
      </c>
      <c r="O854">
        <v>54</v>
      </c>
      <c r="P854">
        <v>112</v>
      </c>
      <c r="Q854" t="s">
        <v>25</v>
      </c>
      <c r="R854" t="s">
        <v>24</v>
      </c>
      <c r="S854" t="s">
        <v>26</v>
      </c>
      <c r="T854" t="s">
        <v>24</v>
      </c>
      <c r="U854">
        <f t="shared" si="54"/>
        <v>2</v>
      </c>
      <c r="V854">
        <v>173</v>
      </c>
      <c r="W854">
        <v>0.53100000000000003</v>
      </c>
      <c r="X854" t="s">
        <v>1407</v>
      </c>
      <c r="Y854">
        <v>144</v>
      </c>
      <c r="Z854">
        <v>63</v>
      </c>
      <c r="AA854" t="s">
        <v>40</v>
      </c>
      <c r="AB854">
        <v>202</v>
      </c>
      <c r="AC854" s="23">
        <v>3.74</v>
      </c>
      <c r="AD854" t="str">
        <f>IF(AND('CVD Dataset'!AA854="Normal",'CVD Dataset'!AB854&gt;AVERAGE('CVD Dataset'!AB:AB),'CVD Dataset'!AF854="High"),"High Lipid Category","Normal Category")</f>
        <v>Normal Category</v>
      </c>
      <c r="AE854">
        <v>17.440000000000001</v>
      </c>
      <c r="AF854" t="s">
        <v>28</v>
      </c>
      <c r="AG854">
        <v>0</v>
      </c>
      <c r="AH854" t="s">
        <v>1380</v>
      </c>
      <c r="AI854">
        <f t="shared" si="55"/>
        <v>0</v>
      </c>
      <c r="AJ854" t="s">
        <v>1391</v>
      </c>
    </row>
    <row r="855" spans="1:36" x14ac:dyDescent="0.3">
      <c r="A855" t="s">
        <v>33</v>
      </c>
      <c r="B855">
        <v>46</v>
      </c>
      <c r="C855">
        <v>99.5</v>
      </c>
      <c r="D855">
        <v>1.89</v>
      </c>
      <c r="E855">
        <v>27.9</v>
      </c>
      <c r="F855">
        <f t="shared" si="53"/>
        <v>27.854763304498757</v>
      </c>
      <c r="G855">
        <f t="shared" si="56"/>
        <v>0</v>
      </c>
      <c r="H855" t="s">
        <v>1400</v>
      </c>
      <c r="I855">
        <v>83.7</v>
      </c>
      <c r="J855" t="s">
        <v>518</v>
      </c>
      <c r="K855" s="24">
        <v>116</v>
      </c>
      <c r="L855" s="24">
        <v>91</v>
      </c>
      <c r="M855">
        <v>105</v>
      </c>
      <c r="N855" t="s">
        <v>1434</v>
      </c>
      <c r="O855">
        <v>33</v>
      </c>
      <c r="P855">
        <v>134</v>
      </c>
      <c r="Q855" t="s">
        <v>24</v>
      </c>
      <c r="R855" t="s">
        <v>24</v>
      </c>
      <c r="S855" t="s">
        <v>26</v>
      </c>
      <c r="T855" t="s">
        <v>24</v>
      </c>
      <c r="U855">
        <f t="shared" si="54"/>
        <v>1</v>
      </c>
      <c r="V855">
        <v>189</v>
      </c>
      <c r="W855">
        <v>0.443</v>
      </c>
      <c r="X855" t="s">
        <v>1408</v>
      </c>
      <c r="Y855">
        <v>116</v>
      </c>
      <c r="Z855">
        <v>91</v>
      </c>
      <c r="AA855" t="s">
        <v>40</v>
      </c>
      <c r="AB855">
        <v>42</v>
      </c>
      <c r="AC855" s="23">
        <v>1.27</v>
      </c>
      <c r="AD855" t="str">
        <f>IF(AND('CVD Dataset'!AA855="Normal",'CVD Dataset'!AB855&gt;AVERAGE('CVD Dataset'!AB:AB),'CVD Dataset'!AF855="High"),"High Lipid Category","Normal Category")</f>
        <v>Normal Category</v>
      </c>
      <c r="AE855">
        <v>13.48</v>
      </c>
      <c r="AF855" t="s">
        <v>32</v>
      </c>
      <c r="AG855">
        <v>0</v>
      </c>
      <c r="AH855" t="s">
        <v>1379</v>
      </c>
      <c r="AI855">
        <f t="shared" si="55"/>
        <v>1</v>
      </c>
      <c r="AJ855" t="s">
        <v>1391</v>
      </c>
    </row>
    <row r="856" spans="1:36" x14ac:dyDescent="0.3">
      <c r="A856" t="s">
        <v>22</v>
      </c>
      <c r="B856">
        <v>34</v>
      </c>
      <c r="C856">
        <v>70.599999999999994</v>
      </c>
      <c r="D856">
        <v>1.66</v>
      </c>
      <c r="E856">
        <v>25.6</v>
      </c>
      <c r="F856">
        <f t="shared" si="53"/>
        <v>25.620554507185368</v>
      </c>
      <c r="G856">
        <f t="shared" si="56"/>
        <v>0</v>
      </c>
      <c r="H856" t="s">
        <v>1400</v>
      </c>
      <c r="I856">
        <v>86.1</v>
      </c>
      <c r="J856" t="s">
        <v>753</v>
      </c>
      <c r="K856" s="24">
        <v>116</v>
      </c>
      <c r="L856" s="24">
        <v>85</v>
      </c>
      <c r="M856">
        <v>187</v>
      </c>
      <c r="N856" t="s">
        <v>1432</v>
      </c>
      <c r="O856">
        <v>65</v>
      </c>
      <c r="P856">
        <v>75</v>
      </c>
      <c r="Q856" t="s">
        <v>25</v>
      </c>
      <c r="R856" t="s">
        <v>25</v>
      </c>
      <c r="S856" t="s">
        <v>26</v>
      </c>
      <c r="T856" t="s">
        <v>25</v>
      </c>
      <c r="U856">
        <f t="shared" si="54"/>
        <v>4</v>
      </c>
      <c r="V856">
        <v>166</v>
      </c>
      <c r="W856">
        <v>0.51900000000000002</v>
      </c>
      <c r="X856" t="s">
        <v>1406</v>
      </c>
      <c r="Y856">
        <v>116</v>
      </c>
      <c r="Z856">
        <v>85</v>
      </c>
      <c r="AA856" t="s">
        <v>31</v>
      </c>
      <c r="AB856">
        <v>92</v>
      </c>
      <c r="AC856" s="23">
        <v>1.42</v>
      </c>
      <c r="AD856" t="str">
        <f>IF(AND('CVD Dataset'!AA856="Normal",'CVD Dataset'!AB856&gt;AVERAGE('CVD Dataset'!AB:AB),'CVD Dataset'!AF856="High"),"High Lipid Category","Normal Category")</f>
        <v>Normal Category</v>
      </c>
      <c r="AE856">
        <v>16.66</v>
      </c>
      <c r="AF856" t="s">
        <v>32</v>
      </c>
      <c r="AG856">
        <v>1</v>
      </c>
      <c r="AH856" t="s">
        <v>1379</v>
      </c>
      <c r="AI856">
        <f t="shared" si="55"/>
        <v>1</v>
      </c>
      <c r="AJ856" t="s">
        <v>1391</v>
      </c>
    </row>
    <row r="857" spans="1:36" x14ac:dyDescent="0.3">
      <c r="A857" t="s">
        <v>33</v>
      </c>
      <c r="B857">
        <v>32</v>
      </c>
      <c r="C857">
        <v>119.2</v>
      </c>
      <c r="D857">
        <v>1.65</v>
      </c>
      <c r="E857">
        <v>43.8</v>
      </c>
      <c r="F857">
        <f t="shared" si="53"/>
        <v>43.78328741965106</v>
      </c>
      <c r="G857">
        <f t="shared" si="56"/>
        <v>0</v>
      </c>
      <c r="H857" t="s">
        <v>1399</v>
      </c>
      <c r="I857">
        <v>85</v>
      </c>
      <c r="J857" t="s">
        <v>754</v>
      </c>
      <c r="K857" s="24">
        <v>144</v>
      </c>
      <c r="L857" s="24">
        <v>96</v>
      </c>
      <c r="M857">
        <v>205</v>
      </c>
      <c r="N857" t="s">
        <v>1432</v>
      </c>
      <c r="O857">
        <v>80</v>
      </c>
      <c r="P857">
        <v>121</v>
      </c>
      <c r="Q857" t="s">
        <v>25</v>
      </c>
      <c r="R857" t="s">
        <v>24</v>
      </c>
      <c r="S857" t="s">
        <v>39</v>
      </c>
      <c r="T857" t="s">
        <v>24</v>
      </c>
      <c r="U857">
        <f t="shared" si="54"/>
        <v>1</v>
      </c>
      <c r="V857">
        <v>165</v>
      </c>
      <c r="W857">
        <v>0.51500000000000001</v>
      </c>
      <c r="X857" t="s">
        <v>1406</v>
      </c>
      <c r="Y857">
        <v>144</v>
      </c>
      <c r="Z857">
        <v>96</v>
      </c>
      <c r="AA857" t="s">
        <v>40</v>
      </c>
      <c r="AB857">
        <v>95</v>
      </c>
      <c r="AC857" s="23">
        <v>1.19</v>
      </c>
      <c r="AD857" t="str">
        <f>IF(AND('CVD Dataset'!AA857="Normal",'CVD Dataset'!AB857&gt;AVERAGE('CVD Dataset'!AB:AB),'CVD Dataset'!AF857="High"),"High Lipid Category","Normal Category")</f>
        <v>Normal Category</v>
      </c>
      <c r="AE857">
        <v>20.059999999999999</v>
      </c>
      <c r="AF857" t="s">
        <v>28</v>
      </c>
      <c r="AG857">
        <v>0</v>
      </c>
      <c r="AH857" t="s">
        <v>1380</v>
      </c>
      <c r="AI857">
        <f t="shared" si="55"/>
        <v>0</v>
      </c>
      <c r="AJ857" t="s">
        <v>1391</v>
      </c>
    </row>
    <row r="858" spans="1:36" x14ac:dyDescent="0.3">
      <c r="A858" t="s">
        <v>33</v>
      </c>
      <c r="B858">
        <v>40</v>
      </c>
      <c r="C858">
        <v>82.7</v>
      </c>
      <c r="D858">
        <v>1.9</v>
      </c>
      <c r="E858">
        <v>22.9</v>
      </c>
      <c r="F858">
        <f t="shared" si="53"/>
        <v>22.908587257617729</v>
      </c>
      <c r="G858">
        <f t="shared" si="56"/>
        <v>0</v>
      </c>
      <c r="H858" t="s">
        <v>1398</v>
      </c>
      <c r="I858">
        <v>95.7</v>
      </c>
      <c r="J858" t="s">
        <v>238</v>
      </c>
      <c r="K858" s="24">
        <v>107</v>
      </c>
      <c r="L858" s="24">
        <v>88</v>
      </c>
      <c r="M858">
        <v>119</v>
      </c>
      <c r="N858" t="s">
        <v>1434</v>
      </c>
      <c r="O858">
        <v>37</v>
      </c>
      <c r="P858">
        <v>146</v>
      </c>
      <c r="Q858" t="s">
        <v>25</v>
      </c>
      <c r="R858" t="s">
        <v>24</v>
      </c>
      <c r="S858" t="s">
        <v>39</v>
      </c>
      <c r="T858" t="s">
        <v>24</v>
      </c>
      <c r="U858">
        <f t="shared" si="54"/>
        <v>1</v>
      </c>
      <c r="V858">
        <v>190</v>
      </c>
      <c r="W858">
        <v>0.504</v>
      </c>
      <c r="X858" t="s">
        <v>1406</v>
      </c>
      <c r="Y858">
        <v>107</v>
      </c>
      <c r="Z858">
        <v>88</v>
      </c>
      <c r="AA858" t="s">
        <v>31</v>
      </c>
      <c r="AB858">
        <v>52</v>
      </c>
      <c r="AC858" s="23">
        <v>1.41</v>
      </c>
      <c r="AD858" t="str">
        <f>IF(AND('CVD Dataset'!AA858="Normal",'CVD Dataset'!AB858&gt;AVERAGE('CVD Dataset'!AB:AB),'CVD Dataset'!AF858="High"),"High Lipid Category","Normal Category")</f>
        <v>Normal Category</v>
      </c>
      <c r="AE858">
        <v>12.31</v>
      </c>
      <c r="AF858" t="s">
        <v>28</v>
      </c>
      <c r="AG858">
        <v>0</v>
      </c>
      <c r="AH858" t="s">
        <v>1380</v>
      </c>
      <c r="AI858">
        <f t="shared" si="55"/>
        <v>0</v>
      </c>
      <c r="AJ858" t="s">
        <v>1391</v>
      </c>
    </row>
    <row r="859" spans="1:36" x14ac:dyDescent="0.3">
      <c r="A859" t="s">
        <v>22</v>
      </c>
      <c r="B859">
        <v>34</v>
      </c>
      <c r="C859">
        <v>87.5</v>
      </c>
      <c r="D859">
        <v>1.73</v>
      </c>
      <c r="E859">
        <v>29.2</v>
      </c>
      <c r="F859">
        <f t="shared" si="53"/>
        <v>29.235858197734636</v>
      </c>
      <c r="G859">
        <f t="shared" si="56"/>
        <v>0</v>
      </c>
      <c r="H859" t="s">
        <v>1400</v>
      </c>
      <c r="I859">
        <v>99.9</v>
      </c>
      <c r="J859" t="s">
        <v>755</v>
      </c>
      <c r="K859" s="24">
        <v>118</v>
      </c>
      <c r="L859" s="24">
        <v>96</v>
      </c>
      <c r="M859">
        <v>135</v>
      </c>
      <c r="N859" t="s">
        <v>1434</v>
      </c>
      <c r="O859">
        <v>72</v>
      </c>
      <c r="P859">
        <v>110</v>
      </c>
      <c r="Q859" t="s">
        <v>24</v>
      </c>
      <c r="R859" t="s">
        <v>24</v>
      </c>
      <c r="S859" t="s">
        <v>26</v>
      </c>
      <c r="T859" t="s">
        <v>25</v>
      </c>
      <c r="U859">
        <f t="shared" si="54"/>
        <v>2</v>
      </c>
      <c r="V859">
        <v>173</v>
      </c>
      <c r="W859">
        <v>0.57699999999999996</v>
      </c>
      <c r="X859" t="s">
        <v>1407</v>
      </c>
      <c r="Y859">
        <v>118</v>
      </c>
      <c r="Z859">
        <v>96</v>
      </c>
      <c r="AA859" t="s">
        <v>40</v>
      </c>
      <c r="AB859">
        <v>33</v>
      </c>
      <c r="AC859" s="23">
        <v>0.46</v>
      </c>
      <c r="AD859" t="str">
        <f>IF(AND('CVD Dataset'!AA859="Normal",'CVD Dataset'!AB859&gt;AVERAGE('CVD Dataset'!AB:AB),'CVD Dataset'!AF859="High"),"High Lipid Category","Normal Category")</f>
        <v>Normal Category</v>
      </c>
      <c r="AE859">
        <v>14.44</v>
      </c>
      <c r="AF859" t="s">
        <v>28</v>
      </c>
      <c r="AG859">
        <v>0</v>
      </c>
      <c r="AH859" t="s">
        <v>1380</v>
      </c>
      <c r="AI859">
        <f t="shared" si="55"/>
        <v>0</v>
      </c>
      <c r="AJ859" t="s">
        <v>1391</v>
      </c>
    </row>
    <row r="860" spans="1:36" x14ac:dyDescent="0.3">
      <c r="A860" t="s">
        <v>22</v>
      </c>
      <c r="B860">
        <v>56</v>
      </c>
      <c r="C860">
        <v>56.3</v>
      </c>
      <c r="D860">
        <v>1.62</v>
      </c>
      <c r="E860">
        <v>21.5</v>
      </c>
      <c r="F860">
        <f t="shared" si="53"/>
        <v>21.452522481329062</v>
      </c>
      <c r="G860">
        <f t="shared" si="56"/>
        <v>0</v>
      </c>
      <c r="H860" t="s">
        <v>1398</v>
      </c>
      <c r="I860">
        <v>84.5</v>
      </c>
      <c r="J860" t="s">
        <v>756</v>
      </c>
      <c r="K860" s="24">
        <v>136</v>
      </c>
      <c r="L860" s="24">
        <v>75</v>
      </c>
      <c r="M860">
        <v>131</v>
      </c>
      <c r="N860" t="s">
        <v>1434</v>
      </c>
      <c r="O860">
        <v>61</v>
      </c>
      <c r="P860">
        <v>73</v>
      </c>
      <c r="Q860" t="s">
        <v>24</v>
      </c>
      <c r="R860" t="s">
        <v>24</v>
      </c>
      <c r="S860" t="s">
        <v>26</v>
      </c>
      <c r="T860" t="s">
        <v>25</v>
      </c>
      <c r="U860">
        <f t="shared" si="54"/>
        <v>2</v>
      </c>
      <c r="V860">
        <v>162</v>
      </c>
      <c r="W860">
        <v>0.52200000000000002</v>
      </c>
      <c r="X860" t="s">
        <v>1406</v>
      </c>
      <c r="Y860">
        <v>136</v>
      </c>
      <c r="Z860">
        <v>75</v>
      </c>
      <c r="AA860" t="s">
        <v>31</v>
      </c>
      <c r="AB860">
        <v>40</v>
      </c>
      <c r="AC860" s="23">
        <v>0.66</v>
      </c>
      <c r="AD860" t="str">
        <f>IF(AND('CVD Dataset'!AA860="Normal",'CVD Dataset'!AB860&gt;AVERAGE('CVD Dataset'!AB:AB),'CVD Dataset'!AF860="High"),"High Lipid Category","Normal Category")</f>
        <v>Normal Category</v>
      </c>
      <c r="AE860">
        <v>13.72</v>
      </c>
      <c r="AF860" t="s">
        <v>28</v>
      </c>
      <c r="AG860">
        <v>0</v>
      </c>
      <c r="AH860" t="s">
        <v>1380</v>
      </c>
      <c r="AI860">
        <f t="shared" si="55"/>
        <v>0</v>
      </c>
      <c r="AJ860" t="s">
        <v>1391</v>
      </c>
    </row>
    <row r="861" spans="1:36" x14ac:dyDescent="0.3">
      <c r="A861" t="s">
        <v>22</v>
      </c>
      <c r="B861">
        <v>46</v>
      </c>
      <c r="C861">
        <v>81.599999999999994</v>
      </c>
      <c r="D861">
        <v>1.88</v>
      </c>
      <c r="E861">
        <v>23.1</v>
      </c>
      <c r="F861">
        <f t="shared" si="53"/>
        <v>23.087369850611136</v>
      </c>
      <c r="G861">
        <f t="shared" si="56"/>
        <v>0</v>
      </c>
      <c r="H861" t="s">
        <v>1398</v>
      </c>
      <c r="I861">
        <v>80.2</v>
      </c>
      <c r="J861" t="s">
        <v>757</v>
      </c>
      <c r="K861" s="24">
        <v>117</v>
      </c>
      <c r="L861" s="24">
        <v>83</v>
      </c>
      <c r="M861">
        <v>130</v>
      </c>
      <c r="N861" t="s">
        <v>1434</v>
      </c>
      <c r="O861">
        <v>69</v>
      </c>
      <c r="P861">
        <v>83</v>
      </c>
      <c r="Q861" t="s">
        <v>25</v>
      </c>
      <c r="R861" t="s">
        <v>25</v>
      </c>
      <c r="S861" t="s">
        <v>30</v>
      </c>
      <c r="T861" t="s">
        <v>24</v>
      </c>
      <c r="U861">
        <f t="shared" si="54"/>
        <v>2</v>
      </c>
      <c r="V861">
        <v>188</v>
      </c>
      <c r="X861" t="s">
        <v>1410</v>
      </c>
      <c r="Y861">
        <v>117</v>
      </c>
      <c r="Z861">
        <v>83</v>
      </c>
      <c r="AA861" t="s">
        <v>31</v>
      </c>
      <c r="AB861">
        <v>31</v>
      </c>
      <c r="AC861" s="23">
        <v>0.45</v>
      </c>
      <c r="AD861" t="str">
        <f>IF(AND('CVD Dataset'!AA861="Normal",'CVD Dataset'!AB861&gt;AVERAGE('CVD Dataset'!AB:AB),'CVD Dataset'!AF861="High"),"High Lipid Category","Normal Category")</f>
        <v>Normal Category</v>
      </c>
      <c r="AF861" t="s">
        <v>28</v>
      </c>
      <c r="AG861">
        <v>0</v>
      </c>
      <c r="AH861" t="s">
        <v>1380</v>
      </c>
      <c r="AI861">
        <f t="shared" si="55"/>
        <v>0</v>
      </c>
      <c r="AJ861" t="s">
        <v>1391</v>
      </c>
    </row>
    <row r="862" spans="1:36" x14ac:dyDescent="0.3">
      <c r="A862" t="s">
        <v>33</v>
      </c>
      <c r="B862">
        <v>43</v>
      </c>
      <c r="C862">
        <v>117.9</v>
      </c>
      <c r="D862">
        <v>1.9</v>
      </c>
      <c r="E862">
        <v>32.700000000000003</v>
      </c>
      <c r="F862">
        <f t="shared" si="53"/>
        <v>32.659279778393355</v>
      </c>
      <c r="G862">
        <f t="shared" si="56"/>
        <v>0</v>
      </c>
      <c r="H862" t="s">
        <v>1399</v>
      </c>
      <c r="I862">
        <v>93.1</v>
      </c>
      <c r="J862" t="s">
        <v>758</v>
      </c>
      <c r="K862" s="24">
        <v>127</v>
      </c>
      <c r="L862" s="24">
        <v>99</v>
      </c>
      <c r="M862">
        <v>293</v>
      </c>
      <c r="N862" t="s">
        <v>1432</v>
      </c>
      <c r="O862">
        <v>69</v>
      </c>
      <c r="P862">
        <v>125</v>
      </c>
      <c r="Q862" t="s">
        <v>24</v>
      </c>
      <c r="R862" t="s">
        <v>24</v>
      </c>
      <c r="S862" t="s">
        <v>39</v>
      </c>
      <c r="T862" t="s">
        <v>25</v>
      </c>
      <c r="U862">
        <f t="shared" si="54"/>
        <v>1</v>
      </c>
      <c r="W862">
        <v>0.49</v>
      </c>
      <c r="X862" t="s">
        <v>1406</v>
      </c>
      <c r="Y862">
        <v>127</v>
      </c>
      <c r="Z862">
        <v>99</v>
      </c>
      <c r="AA862" t="s">
        <v>40</v>
      </c>
      <c r="AB862">
        <v>194</v>
      </c>
      <c r="AC862" s="23">
        <v>2.81</v>
      </c>
      <c r="AD862" t="str">
        <f>IF(AND('CVD Dataset'!AA862="Normal",'CVD Dataset'!AB862&gt;AVERAGE('CVD Dataset'!AB:AB),'CVD Dataset'!AF862="High"),"High Lipid Category","Normal Category")</f>
        <v>Normal Category</v>
      </c>
      <c r="AE862">
        <v>18.75</v>
      </c>
      <c r="AF862" t="s">
        <v>28</v>
      </c>
      <c r="AG862">
        <v>0</v>
      </c>
      <c r="AH862" t="s">
        <v>1380</v>
      </c>
      <c r="AI862">
        <f t="shared" si="55"/>
        <v>0</v>
      </c>
      <c r="AJ862" t="s">
        <v>1391</v>
      </c>
    </row>
    <row r="863" spans="1:36" x14ac:dyDescent="0.3">
      <c r="A863" t="s">
        <v>22</v>
      </c>
      <c r="B863">
        <v>43</v>
      </c>
      <c r="C863">
        <v>114.2</v>
      </c>
      <c r="E863">
        <v>40.9</v>
      </c>
      <c r="F863" t="str">
        <f t="shared" si="53"/>
        <v/>
      </c>
      <c r="G863" t="str">
        <f t="shared" si="56"/>
        <v/>
      </c>
      <c r="H863" t="s">
        <v>1399</v>
      </c>
      <c r="I863">
        <v>91.1</v>
      </c>
      <c r="J863" t="s">
        <v>759</v>
      </c>
      <c r="K863" s="24">
        <v>146</v>
      </c>
      <c r="L863" s="24">
        <v>60</v>
      </c>
      <c r="M863">
        <v>263</v>
      </c>
      <c r="N863" t="s">
        <v>1432</v>
      </c>
      <c r="O863">
        <v>70</v>
      </c>
      <c r="P863">
        <v>78</v>
      </c>
      <c r="Q863" t="s">
        <v>25</v>
      </c>
      <c r="R863" t="s">
        <v>25</v>
      </c>
      <c r="S863" t="s">
        <v>26</v>
      </c>
      <c r="T863" t="s">
        <v>24</v>
      </c>
      <c r="U863">
        <f t="shared" si="54"/>
        <v>3</v>
      </c>
      <c r="V863">
        <v>167</v>
      </c>
      <c r="W863">
        <v>0.54600000000000004</v>
      </c>
      <c r="X863" t="s">
        <v>1407</v>
      </c>
      <c r="Y863">
        <v>146</v>
      </c>
      <c r="Z863">
        <v>60</v>
      </c>
      <c r="AA863" t="s">
        <v>40</v>
      </c>
      <c r="AB863">
        <v>163</v>
      </c>
      <c r="AC863" s="23">
        <v>2.33</v>
      </c>
      <c r="AD863" t="str">
        <f>IF(AND('CVD Dataset'!AA863="Normal",'CVD Dataset'!AB863&gt;AVERAGE('CVD Dataset'!AB:AB),'CVD Dataset'!AF863="High"),"High Lipid Category","Normal Category")</f>
        <v>Normal Category</v>
      </c>
      <c r="AE863">
        <v>22.74</v>
      </c>
      <c r="AF863" t="s">
        <v>32</v>
      </c>
      <c r="AG863">
        <v>1</v>
      </c>
      <c r="AH863" t="s">
        <v>1379</v>
      </c>
      <c r="AI863">
        <f t="shared" si="55"/>
        <v>1</v>
      </c>
      <c r="AJ863" t="s">
        <v>1391</v>
      </c>
    </row>
    <row r="864" spans="1:36" x14ac:dyDescent="0.3">
      <c r="A864" t="s">
        <v>33</v>
      </c>
      <c r="B864">
        <v>32</v>
      </c>
      <c r="C864">
        <v>111.1</v>
      </c>
      <c r="D864">
        <v>1.72</v>
      </c>
      <c r="E864">
        <v>37.6</v>
      </c>
      <c r="F864">
        <f t="shared" si="53"/>
        <v>37.554083288263925</v>
      </c>
      <c r="G864">
        <f t="shared" si="56"/>
        <v>0</v>
      </c>
      <c r="H864" t="s">
        <v>1399</v>
      </c>
      <c r="I864">
        <v>86.9</v>
      </c>
      <c r="J864" t="s">
        <v>760</v>
      </c>
      <c r="K864" s="24">
        <v>138</v>
      </c>
      <c r="L864" s="24">
        <v>68</v>
      </c>
      <c r="M864">
        <v>246</v>
      </c>
      <c r="N864" t="s">
        <v>1432</v>
      </c>
      <c r="O864">
        <v>61</v>
      </c>
      <c r="P864">
        <v>98</v>
      </c>
      <c r="Q864" t="s">
        <v>25</v>
      </c>
      <c r="R864" t="s">
        <v>24</v>
      </c>
      <c r="S864" t="s">
        <v>26</v>
      </c>
      <c r="T864" t="s">
        <v>24</v>
      </c>
      <c r="U864">
        <f t="shared" si="54"/>
        <v>2</v>
      </c>
      <c r="V864">
        <v>172</v>
      </c>
      <c r="W864">
        <v>0.505</v>
      </c>
      <c r="X864" t="s">
        <v>1406</v>
      </c>
      <c r="Y864">
        <v>138</v>
      </c>
      <c r="Z864">
        <v>68</v>
      </c>
      <c r="AA864" t="s">
        <v>31</v>
      </c>
      <c r="AB864">
        <v>155</v>
      </c>
      <c r="AC864" s="23">
        <v>2.54</v>
      </c>
      <c r="AD864" t="str">
        <f>IF(AND('CVD Dataset'!AA864="Normal",'CVD Dataset'!AB864&gt;AVERAGE('CVD Dataset'!AB:AB),'CVD Dataset'!AF864="High"),"High Lipid Category","Normal Category")</f>
        <v>Normal Category</v>
      </c>
      <c r="AE864">
        <v>19.34</v>
      </c>
      <c r="AF864" t="s">
        <v>32</v>
      </c>
      <c r="AG864">
        <v>1</v>
      </c>
      <c r="AH864" t="s">
        <v>1379</v>
      </c>
      <c r="AI864">
        <f t="shared" si="55"/>
        <v>1</v>
      </c>
      <c r="AJ864" t="s">
        <v>1391</v>
      </c>
    </row>
    <row r="865" spans="1:36" x14ac:dyDescent="0.3">
      <c r="A865" t="s">
        <v>22</v>
      </c>
      <c r="B865">
        <v>48</v>
      </c>
      <c r="C865">
        <v>102.2</v>
      </c>
      <c r="D865">
        <v>1.83</v>
      </c>
      <c r="E865">
        <v>30.5</v>
      </c>
      <c r="F865">
        <f t="shared" si="53"/>
        <v>30.517483352742687</v>
      </c>
      <c r="G865">
        <f t="shared" si="56"/>
        <v>0</v>
      </c>
      <c r="H865" t="s">
        <v>1399</v>
      </c>
      <c r="I865">
        <v>109.1</v>
      </c>
      <c r="J865" t="s">
        <v>761</v>
      </c>
      <c r="K865" s="24">
        <v>118</v>
      </c>
      <c r="L865" s="24">
        <v>67</v>
      </c>
      <c r="M865">
        <v>191</v>
      </c>
      <c r="N865" t="s">
        <v>1432</v>
      </c>
      <c r="O865">
        <v>37</v>
      </c>
      <c r="P865">
        <v>99</v>
      </c>
      <c r="Q865" t="s">
        <v>25</v>
      </c>
      <c r="R865" t="s">
        <v>25</v>
      </c>
      <c r="S865" t="s">
        <v>26</v>
      </c>
      <c r="T865" t="s">
        <v>25</v>
      </c>
      <c r="U865">
        <f t="shared" si="54"/>
        <v>4</v>
      </c>
      <c r="V865">
        <v>183</v>
      </c>
      <c r="W865">
        <v>0.59599999999999997</v>
      </c>
      <c r="X865" t="s">
        <v>1409</v>
      </c>
      <c r="Y865">
        <v>118</v>
      </c>
      <c r="Z865">
        <v>67</v>
      </c>
      <c r="AA865" t="s">
        <v>35</v>
      </c>
      <c r="AB865">
        <v>124</v>
      </c>
      <c r="AC865" s="23">
        <v>3.35</v>
      </c>
      <c r="AD865" t="str">
        <f>IF(AND('CVD Dataset'!AA865="Normal",'CVD Dataset'!AB865&gt;AVERAGE('CVD Dataset'!AB:AB),'CVD Dataset'!AF865="High"),"High Lipid Category","Normal Category")</f>
        <v>High Lipid Category</v>
      </c>
      <c r="AE865">
        <v>17.82</v>
      </c>
      <c r="AF865" t="s">
        <v>32</v>
      </c>
      <c r="AG865">
        <v>0</v>
      </c>
      <c r="AH865" t="s">
        <v>1379</v>
      </c>
      <c r="AI865">
        <f t="shared" si="55"/>
        <v>1</v>
      </c>
      <c r="AJ865" t="s">
        <v>1391</v>
      </c>
    </row>
    <row r="866" spans="1:36" x14ac:dyDescent="0.3">
      <c r="A866" t="s">
        <v>33</v>
      </c>
      <c r="B866">
        <v>42</v>
      </c>
      <c r="C866">
        <v>60.3</v>
      </c>
      <c r="D866">
        <v>1.78</v>
      </c>
      <c r="E866">
        <v>19</v>
      </c>
      <c r="F866">
        <f t="shared" si="53"/>
        <v>19.031687918192144</v>
      </c>
      <c r="G866">
        <f t="shared" si="56"/>
        <v>0</v>
      </c>
      <c r="H866" t="s">
        <v>1398</v>
      </c>
      <c r="I866">
        <v>108.4</v>
      </c>
      <c r="J866" t="s">
        <v>762</v>
      </c>
      <c r="K866" s="24">
        <v>128</v>
      </c>
      <c r="L866" s="24">
        <v>60</v>
      </c>
      <c r="M866">
        <v>123</v>
      </c>
      <c r="N866" t="s">
        <v>1434</v>
      </c>
      <c r="O866">
        <v>35</v>
      </c>
      <c r="P866">
        <v>101</v>
      </c>
      <c r="Q866" t="s">
        <v>25</v>
      </c>
      <c r="R866" t="s">
        <v>24</v>
      </c>
      <c r="S866" t="s">
        <v>30</v>
      </c>
      <c r="T866" t="s">
        <v>24</v>
      </c>
      <c r="U866">
        <f t="shared" si="54"/>
        <v>1</v>
      </c>
      <c r="V866">
        <v>178</v>
      </c>
      <c r="W866">
        <v>0.60899999999999999</v>
      </c>
      <c r="X866" t="s">
        <v>1409</v>
      </c>
      <c r="Y866">
        <v>128</v>
      </c>
      <c r="Z866">
        <v>60</v>
      </c>
      <c r="AA866" t="s">
        <v>27</v>
      </c>
      <c r="AB866">
        <v>58</v>
      </c>
      <c r="AC866" s="23">
        <v>1.66</v>
      </c>
      <c r="AD866" t="str">
        <f>IF(AND('CVD Dataset'!AA866="Normal",'CVD Dataset'!AB866&gt;AVERAGE('CVD Dataset'!AB:AB),'CVD Dataset'!AF866="High"),"High Lipid Category","Normal Category")</f>
        <v>Normal Category</v>
      </c>
      <c r="AE866">
        <v>12.66</v>
      </c>
      <c r="AF866" t="s">
        <v>28</v>
      </c>
      <c r="AG866">
        <v>0</v>
      </c>
      <c r="AH866" t="s">
        <v>1380</v>
      </c>
      <c r="AI866">
        <f t="shared" si="55"/>
        <v>0</v>
      </c>
      <c r="AJ866" t="s">
        <v>1391</v>
      </c>
    </row>
    <row r="867" spans="1:36" x14ac:dyDescent="0.3">
      <c r="A867" t="s">
        <v>33</v>
      </c>
      <c r="B867">
        <v>36</v>
      </c>
      <c r="C867">
        <v>68.099999999999994</v>
      </c>
      <c r="D867">
        <v>1.76</v>
      </c>
      <c r="E867">
        <v>22</v>
      </c>
      <c r="F867">
        <f t="shared" si="53"/>
        <v>21.984762396694215</v>
      </c>
      <c r="G867">
        <f t="shared" si="56"/>
        <v>0</v>
      </c>
      <c r="H867" t="s">
        <v>1398</v>
      </c>
      <c r="I867">
        <v>80.099999999999994</v>
      </c>
      <c r="J867" t="s">
        <v>763</v>
      </c>
      <c r="K867" s="24">
        <v>111</v>
      </c>
      <c r="L867" s="24">
        <v>77</v>
      </c>
      <c r="M867">
        <v>202</v>
      </c>
      <c r="N867" t="s">
        <v>1432</v>
      </c>
      <c r="O867">
        <v>59</v>
      </c>
      <c r="P867">
        <v>91</v>
      </c>
      <c r="Q867" t="s">
        <v>25</v>
      </c>
      <c r="R867" t="s">
        <v>24</v>
      </c>
      <c r="S867" t="s">
        <v>26</v>
      </c>
      <c r="T867" t="s">
        <v>24</v>
      </c>
      <c r="U867">
        <f t="shared" si="54"/>
        <v>2</v>
      </c>
      <c r="V867">
        <v>176</v>
      </c>
      <c r="W867">
        <v>0.45500000000000002</v>
      </c>
      <c r="X867" t="s">
        <v>1408</v>
      </c>
      <c r="Y867">
        <v>111</v>
      </c>
      <c r="Z867">
        <v>77</v>
      </c>
      <c r="AA867" t="s">
        <v>35</v>
      </c>
      <c r="AB867">
        <v>113</v>
      </c>
      <c r="AC867" s="23">
        <v>1.92</v>
      </c>
      <c r="AD867" t="str">
        <f>IF(AND('CVD Dataset'!AA867="Normal",'CVD Dataset'!AB867&gt;AVERAGE('CVD Dataset'!AB:AB),'CVD Dataset'!AF867="High"),"High Lipid Category","Normal Category")</f>
        <v>Normal Category</v>
      </c>
      <c r="AE867">
        <v>13.99</v>
      </c>
      <c r="AF867" t="s">
        <v>28</v>
      </c>
      <c r="AG867">
        <v>0</v>
      </c>
      <c r="AH867" t="s">
        <v>1380</v>
      </c>
      <c r="AI867">
        <f t="shared" si="55"/>
        <v>0</v>
      </c>
      <c r="AJ867" t="s">
        <v>1391</v>
      </c>
    </row>
    <row r="868" spans="1:36" x14ac:dyDescent="0.3">
      <c r="A868" t="s">
        <v>22</v>
      </c>
      <c r="B868">
        <v>43</v>
      </c>
      <c r="C868">
        <v>58</v>
      </c>
      <c r="D868">
        <v>1.85</v>
      </c>
      <c r="E868">
        <v>16.899999999999999</v>
      </c>
      <c r="F868">
        <f t="shared" si="53"/>
        <v>16.946676406135865</v>
      </c>
      <c r="G868">
        <f t="shared" si="56"/>
        <v>0</v>
      </c>
      <c r="H868" t="s">
        <v>1401</v>
      </c>
      <c r="I868">
        <v>74.599999999999994</v>
      </c>
      <c r="J868" t="s">
        <v>764</v>
      </c>
      <c r="K868" s="24">
        <v>102</v>
      </c>
      <c r="L868" s="24">
        <v>92</v>
      </c>
      <c r="M868">
        <v>218</v>
      </c>
      <c r="N868" t="s">
        <v>1432</v>
      </c>
      <c r="O868">
        <v>78</v>
      </c>
      <c r="P868">
        <v>88</v>
      </c>
      <c r="Q868" t="s">
        <v>24</v>
      </c>
      <c r="R868" t="s">
        <v>24</v>
      </c>
      <c r="S868" t="s">
        <v>39</v>
      </c>
      <c r="T868" t="s">
        <v>24</v>
      </c>
      <c r="U868">
        <f t="shared" si="54"/>
        <v>0</v>
      </c>
      <c r="V868">
        <v>185</v>
      </c>
      <c r="W868">
        <v>0.40300000000000002</v>
      </c>
      <c r="X868" t="s">
        <v>1408</v>
      </c>
      <c r="Y868">
        <v>102</v>
      </c>
      <c r="Z868">
        <v>92</v>
      </c>
      <c r="AA868" t="s">
        <v>40</v>
      </c>
      <c r="AB868">
        <v>110</v>
      </c>
      <c r="AC868" s="23">
        <v>1.41</v>
      </c>
      <c r="AD868" t="str">
        <f>IF(AND('CVD Dataset'!AA868="Normal",'CVD Dataset'!AB868&gt;AVERAGE('CVD Dataset'!AB:AB),'CVD Dataset'!AF868="High"),"High Lipid Category","Normal Category")</f>
        <v>Normal Category</v>
      </c>
      <c r="AF868" t="s">
        <v>54</v>
      </c>
      <c r="AG868">
        <v>0</v>
      </c>
      <c r="AH868" t="s">
        <v>1380</v>
      </c>
      <c r="AI868">
        <f t="shared" si="55"/>
        <v>0</v>
      </c>
      <c r="AJ868" t="s">
        <v>1391</v>
      </c>
    </row>
    <row r="869" spans="1:36" x14ac:dyDescent="0.3">
      <c r="A869" t="s">
        <v>22</v>
      </c>
      <c r="B869">
        <v>50</v>
      </c>
      <c r="C869">
        <v>90.8</v>
      </c>
      <c r="D869">
        <v>1.86</v>
      </c>
      <c r="E869">
        <v>26.2</v>
      </c>
      <c r="F869">
        <f t="shared" si="53"/>
        <v>26.245808764018957</v>
      </c>
      <c r="G869">
        <f t="shared" si="56"/>
        <v>0</v>
      </c>
      <c r="H869" t="s">
        <v>1400</v>
      </c>
      <c r="I869">
        <v>71.099999999999994</v>
      </c>
      <c r="J869" t="s">
        <v>425</v>
      </c>
      <c r="K869" s="24">
        <v>141</v>
      </c>
      <c r="L869" s="24">
        <v>70</v>
      </c>
      <c r="M869">
        <v>100</v>
      </c>
      <c r="N869" t="s">
        <v>1434</v>
      </c>
      <c r="P869">
        <v>121</v>
      </c>
      <c r="Q869" t="s">
        <v>24</v>
      </c>
      <c r="R869" t="s">
        <v>24</v>
      </c>
      <c r="S869" t="s">
        <v>26</v>
      </c>
      <c r="T869" t="s">
        <v>24</v>
      </c>
      <c r="U869">
        <f t="shared" si="54"/>
        <v>1</v>
      </c>
      <c r="V869">
        <v>186</v>
      </c>
      <c r="W869">
        <v>0.38200000000000001</v>
      </c>
      <c r="X869" t="s">
        <v>1408</v>
      </c>
      <c r="Y869">
        <v>141</v>
      </c>
      <c r="Z869">
        <v>70</v>
      </c>
      <c r="AA869" t="s">
        <v>40</v>
      </c>
      <c r="AB869">
        <v>28</v>
      </c>
      <c r="AC869" s="23" t="s">
        <v>1410</v>
      </c>
      <c r="AD869" t="str">
        <f>IF(AND('CVD Dataset'!AA869="Normal",'CVD Dataset'!AB869&gt;AVERAGE('CVD Dataset'!AB:AB),'CVD Dataset'!AF869="High"),"High Lipid Category","Normal Category")</f>
        <v>Normal Category</v>
      </c>
      <c r="AE869">
        <v>14.29</v>
      </c>
      <c r="AF869" t="s">
        <v>28</v>
      </c>
      <c r="AG869">
        <v>0</v>
      </c>
      <c r="AH869" t="s">
        <v>1380</v>
      </c>
      <c r="AI869">
        <f t="shared" si="55"/>
        <v>0</v>
      </c>
      <c r="AJ869" t="s">
        <v>1391</v>
      </c>
    </row>
    <row r="870" spans="1:36" x14ac:dyDescent="0.3">
      <c r="A870" t="s">
        <v>33</v>
      </c>
      <c r="B870">
        <v>59</v>
      </c>
      <c r="C870">
        <v>70.5</v>
      </c>
      <c r="D870">
        <v>1.61</v>
      </c>
      <c r="E870">
        <v>27.2</v>
      </c>
      <c r="F870">
        <f t="shared" si="53"/>
        <v>27.198024767562977</v>
      </c>
      <c r="G870">
        <f t="shared" si="56"/>
        <v>0</v>
      </c>
      <c r="H870" t="s">
        <v>1400</v>
      </c>
      <c r="I870">
        <v>107.3</v>
      </c>
      <c r="J870" t="s">
        <v>765</v>
      </c>
      <c r="K870" s="24">
        <v>122</v>
      </c>
      <c r="L870" s="24">
        <v>94</v>
      </c>
      <c r="M870">
        <v>219</v>
      </c>
      <c r="N870" t="s">
        <v>1432</v>
      </c>
      <c r="O870">
        <v>71</v>
      </c>
      <c r="P870">
        <v>140</v>
      </c>
      <c r="Q870" t="s">
        <v>25</v>
      </c>
      <c r="R870" t="s">
        <v>24</v>
      </c>
      <c r="S870" t="s">
        <v>26</v>
      </c>
      <c r="T870" t="s">
        <v>25</v>
      </c>
      <c r="U870">
        <f t="shared" si="54"/>
        <v>3</v>
      </c>
      <c r="V870">
        <v>161</v>
      </c>
      <c r="W870">
        <v>0.66600000000000004</v>
      </c>
      <c r="X870" t="s">
        <v>1409</v>
      </c>
      <c r="Y870">
        <v>122</v>
      </c>
      <c r="Z870">
        <v>94</v>
      </c>
      <c r="AA870" t="s">
        <v>40</v>
      </c>
      <c r="AB870">
        <v>118</v>
      </c>
      <c r="AC870" s="23">
        <v>1.66</v>
      </c>
      <c r="AD870" t="str">
        <f>IF(AND('CVD Dataset'!AA870="Normal",'CVD Dataset'!AB870&gt;AVERAGE('CVD Dataset'!AB:AB),'CVD Dataset'!AF870="High"),"High Lipid Category","Normal Category")</f>
        <v>Normal Category</v>
      </c>
      <c r="AE870">
        <v>15.92</v>
      </c>
      <c r="AF870" t="s">
        <v>32</v>
      </c>
      <c r="AG870">
        <v>1</v>
      </c>
      <c r="AH870" t="s">
        <v>1379</v>
      </c>
      <c r="AI870">
        <f t="shared" si="55"/>
        <v>1</v>
      </c>
      <c r="AJ870" t="s">
        <v>1391</v>
      </c>
    </row>
    <row r="871" spans="1:36" x14ac:dyDescent="0.3">
      <c r="A871" t="s">
        <v>33</v>
      </c>
      <c r="B871">
        <v>34</v>
      </c>
      <c r="C871">
        <v>110.9</v>
      </c>
      <c r="D871">
        <v>1.71</v>
      </c>
      <c r="E871">
        <v>37.9</v>
      </c>
      <c r="F871">
        <f t="shared" si="53"/>
        <v>37.9261995143805</v>
      </c>
      <c r="G871">
        <f t="shared" si="56"/>
        <v>0</v>
      </c>
      <c r="H871" t="s">
        <v>1399</v>
      </c>
      <c r="I871">
        <v>70.5</v>
      </c>
      <c r="J871" t="s">
        <v>179</v>
      </c>
      <c r="K871" s="24">
        <v>127</v>
      </c>
      <c r="L871" s="24">
        <v>77</v>
      </c>
      <c r="M871">
        <v>298</v>
      </c>
      <c r="N871" t="s">
        <v>1432</v>
      </c>
      <c r="O871">
        <v>63</v>
      </c>
      <c r="P871">
        <v>120</v>
      </c>
      <c r="Q871" t="s">
        <v>24</v>
      </c>
      <c r="R871" t="s">
        <v>25</v>
      </c>
      <c r="S871" t="s">
        <v>26</v>
      </c>
      <c r="T871" t="s">
        <v>24</v>
      </c>
      <c r="U871">
        <f t="shared" si="54"/>
        <v>2</v>
      </c>
      <c r="V871">
        <v>171</v>
      </c>
      <c r="W871">
        <v>0.41199999999999998</v>
      </c>
      <c r="X871" t="s">
        <v>1408</v>
      </c>
      <c r="Y871">
        <v>127</v>
      </c>
      <c r="Z871">
        <v>77</v>
      </c>
      <c r="AA871" t="s">
        <v>27</v>
      </c>
      <c r="AB871">
        <v>205</v>
      </c>
      <c r="AC871" s="23">
        <v>3.25</v>
      </c>
      <c r="AD871" t="str">
        <f>IF(AND('CVD Dataset'!AA871="Normal",'CVD Dataset'!AB871&gt;AVERAGE('CVD Dataset'!AB:AB),'CVD Dataset'!AF871="High"),"High Lipid Category","Normal Category")</f>
        <v>Normal Category</v>
      </c>
      <c r="AE871">
        <v>21.89</v>
      </c>
      <c r="AF871" t="s">
        <v>32</v>
      </c>
      <c r="AG871">
        <v>1</v>
      </c>
      <c r="AH871" t="s">
        <v>1379</v>
      </c>
      <c r="AI871">
        <f t="shared" si="55"/>
        <v>1</v>
      </c>
      <c r="AJ871" t="s">
        <v>1391</v>
      </c>
    </row>
    <row r="872" spans="1:36" x14ac:dyDescent="0.3">
      <c r="A872" t="s">
        <v>33</v>
      </c>
      <c r="B872">
        <v>52</v>
      </c>
      <c r="D872">
        <v>1.83</v>
      </c>
      <c r="E872">
        <v>17.100000000000001</v>
      </c>
      <c r="F872">
        <f t="shared" si="53"/>
        <v>0</v>
      </c>
      <c r="G872">
        <f t="shared" si="56"/>
        <v>1</v>
      </c>
      <c r="H872" t="s">
        <v>1401</v>
      </c>
      <c r="I872">
        <v>79.400000000000006</v>
      </c>
      <c r="J872" t="s">
        <v>766</v>
      </c>
      <c r="K872" s="24">
        <v>132</v>
      </c>
      <c r="L872" s="24">
        <v>77</v>
      </c>
      <c r="M872">
        <v>245</v>
      </c>
      <c r="N872" t="s">
        <v>1432</v>
      </c>
      <c r="O872">
        <v>55</v>
      </c>
      <c r="P872">
        <v>148</v>
      </c>
      <c r="Q872" t="s">
        <v>24</v>
      </c>
      <c r="R872" t="s">
        <v>24</v>
      </c>
      <c r="S872" t="s">
        <v>26</v>
      </c>
      <c r="T872" t="s">
        <v>25</v>
      </c>
      <c r="U872">
        <f t="shared" si="54"/>
        <v>2</v>
      </c>
      <c r="V872">
        <v>183</v>
      </c>
      <c r="W872">
        <v>0.434</v>
      </c>
      <c r="X872" t="s">
        <v>1408</v>
      </c>
      <c r="Y872">
        <v>132</v>
      </c>
      <c r="Z872">
        <v>77</v>
      </c>
      <c r="AA872" t="s">
        <v>31</v>
      </c>
      <c r="AB872">
        <v>160</v>
      </c>
      <c r="AC872" s="23">
        <v>2.91</v>
      </c>
      <c r="AD872" t="str">
        <f>IF(AND('CVD Dataset'!AA872="Normal",'CVD Dataset'!AB872&gt;AVERAGE('CVD Dataset'!AB:AB),'CVD Dataset'!AF872="High"),"High Lipid Category","Normal Category")</f>
        <v>Normal Category</v>
      </c>
      <c r="AE872">
        <v>14.92</v>
      </c>
      <c r="AF872" t="s">
        <v>32</v>
      </c>
      <c r="AG872">
        <v>0</v>
      </c>
      <c r="AH872" t="s">
        <v>1379</v>
      </c>
      <c r="AI872">
        <f t="shared" si="55"/>
        <v>1</v>
      </c>
      <c r="AJ872" t="s">
        <v>1391</v>
      </c>
    </row>
    <row r="873" spans="1:36" x14ac:dyDescent="0.3">
      <c r="A873" t="s">
        <v>33</v>
      </c>
      <c r="B873">
        <v>36</v>
      </c>
      <c r="C873">
        <v>62.1</v>
      </c>
      <c r="D873">
        <v>1.73</v>
      </c>
      <c r="E873">
        <v>20.7</v>
      </c>
      <c r="F873">
        <f t="shared" si="53"/>
        <v>20.749106218049384</v>
      </c>
      <c r="G873">
        <f t="shared" si="56"/>
        <v>0</v>
      </c>
      <c r="H873" t="s">
        <v>1398</v>
      </c>
      <c r="I873">
        <v>82</v>
      </c>
      <c r="J873" t="s">
        <v>767</v>
      </c>
      <c r="K873" s="24">
        <v>91</v>
      </c>
      <c r="L873" s="24">
        <v>91</v>
      </c>
      <c r="M873">
        <v>150</v>
      </c>
      <c r="N873" t="s">
        <v>1433</v>
      </c>
      <c r="O873">
        <v>34</v>
      </c>
      <c r="Q873" t="s">
        <v>24</v>
      </c>
      <c r="R873" t="s">
        <v>24</v>
      </c>
      <c r="S873" t="s">
        <v>39</v>
      </c>
      <c r="T873" t="s">
        <v>24</v>
      </c>
      <c r="U873">
        <f t="shared" si="54"/>
        <v>0</v>
      </c>
      <c r="V873">
        <v>173</v>
      </c>
      <c r="W873">
        <v>0.47399999999999998</v>
      </c>
      <c r="X873" t="s">
        <v>1406</v>
      </c>
      <c r="Y873">
        <v>91</v>
      </c>
      <c r="Z873">
        <v>91</v>
      </c>
      <c r="AA873" t="s">
        <v>40</v>
      </c>
      <c r="AB873">
        <v>86</v>
      </c>
      <c r="AC873" s="23">
        <v>2.5299999999999998</v>
      </c>
      <c r="AD873" t="str">
        <f>IF(AND('CVD Dataset'!AA873="Normal",'CVD Dataset'!AB873&gt;AVERAGE('CVD Dataset'!AB:AB),'CVD Dataset'!AF873="High"),"High Lipid Category","Normal Category")</f>
        <v>Normal Category</v>
      </c>
      <c r="AE873">
        <v>11.69</v>
      </c>
      <c r="AF873" t="s">
        <v>54</v>
      </c>
      <c r="AG873">
        <v>0</v>
      </c>
      <c r="AH873" t="s">
        <v>1380</v>
      </c>
      <c r="AI873">
        <f t="shared" si="55"/>
        <v>0</v>
      </c>
      <c r="AJ873" t="s">
        <v>1391</v>
      </c>
    </row>
    <row r="874" spans="1:36" x14ac:dyDescent="0.3">
      <c r="A874" t="s">
        <v>33</v>
      </c>
      <c r="B874">
        <v>33</v>
      </c>
      <c r="C874">
        <v>108.7</v>
      </c>
      <c r="D874">
        <v>1.86</v>
      </c>
      <c r="F874">
        <f t="shared" si="53"/>
        <v>31.419817319921375</v>
      </c>
      <c r="G874">
        <f t="shared" si="56"/>
        <v>1</v>
      </c>
      <c r="H874" t="s">
        <v>1401</v>
      </c>
      <c r="I874">
        <v>96.9</v>
      </c>
      <c r="J874" t="s">
        <v>167</v>
      </c>
      <c r="K874" s="24">
        <v>130</v>
      </c>
      <c r="L874" s="24">
        <v>95</v>
      </c>
      <c r="M874">
        <v>250</v>
      </c>
      <c r="N874" t="s">
        <v>1432</v>
      </c>
      <c r="O874">
        <v>47</v>
      </c>
      <c r="P874">
        <v>106</v>
      </c>
      <c r="Q874" t="s">
        <v>24</v>
      </c>
      <c r="R874" t="s">
        <v>24</v>
      </c>
      <c r="S874" t="s">
        <v>26</v>
      </c>
      <c r="T874" t="s">
        <v>25</v>
      </c>
      <c r="U874">
        <f t="shared" si="54"/>
        <v>2</v>
      </c>
      <c r="W874">
        <v>0.52100000000000002</v>
      </c>
      <c r="X874" t="s">
        <v>1406</v>
      </c>
      <c r="Y874">
        <v>130</v>
      </c>
      <c r="AA874" t="s">
        <v>31</v>
      </c>
      <c r="AB874">
        <v>173</v>
      </c>
      <c r="AC874" s="23">
        <v>3.68</v>
      </c>
      <c r="AD874" t="str">
        <f>IF(AND('CVD Dataset'!AA874="Normal",'CVD Dataset'!AB874&gt;AVERAGE('CVD Dataset'!AB:AB),'CVD Dataset'!AF874="High"),"High Lipid Category","Normal Category")</f>
        <v>Normal Category</v>
      </c>
      <c r="AE874">
        <v>17.78</v>
      </c>
      <c r="AF874" t="s">
        <v>32</v>
      </c>
      <c r="AG874">
        <v>0</v>
      </c>
      <c r="AH874" t="s">
        <v>1379</v>
      </c>
      <c r="AI874">
        <f t="shared" si="55"/>
        <v>1</v>
      </c>
      <c r="AJ874" t="s">
        <v>1391</v>
      </c>
    </row>
    <row r="875" spans="1:36" x14ac:dyDescent="0.3">
      <c r="A875" t="s">
        <v>22</v>
      </c>
      <c r="B875">
        <v>59</v>
      </c>
      <c r="C875">
        <v>91.2</v>
      </c>
      <c r="D875">
        <v>1.89</v>
      </c>
      <c r="E875">
        <v>25.5</v>
      </c>
      <c r="F875">
        <f t="shared" si="53"/>
        <v>25.531200134374739</v>
      </c>
      <c r="G875">
        <f t="shared" si="56"/>
        <v>0</v>
      </c>
      <c r="H875" t="s">
        <v>1400</v>
      </c>
      <c r="I875">
        <v>106.5</v>
      </c>
      <c r="J875" t="s">
        <v>768</v>
      </c>
      <c r="K875" s="24">
        <v>95</v>
      </c>
      <c r="L875" s="24">
        <v>89</v>
      </c>
      <c r="M875">
        <v>286</v>
      </c>
      <c r="N875" t="s">
        <v>1432</v>
      </c>
      <c r="O875">
        <v>30</v>
      </c>
      <c r="Q875" t="s">
        <v>25</v>
      </c>
      <c r="R875" t="s">
        <v>24</v>
      </c>
      <c r="S875" t="s">
        <v>30</v>
      </c>
      <c r="T875" t="s">
        <v>25</v>
      </c>
      <c r="U875">
        <f t="shared" si="54"/>
        <v>2</v>
      </c>
      <c r="V875">
        <v>189</v>
      </c>
      <c r="W875">
        <v>0.56299999999999994</v>
      </c>
      <c r="X875" t="s">
        <v>1407</v>
      </c>
      <c r="Y875">
        <v>95</v>
      </c>
      <c r="Z875">
        <v>89</v>
      </c>
      <c r="AA875" t="s">
        <v>31</v>
      </c>
      <c r="AB875">
        <v>226</v>
      </c>
      <c r="AC875" s="23">
        <v>7.53</v>
      </c>
      <c r="AD875" t="str">
        <f>IF(AND('CVD Dataset'!AA875="Normal",'CVD Dataset'!AB875&gt;AVERAGE('CVD Dataset'!AB:AB),'CVD Dataset'!AF875="High"),"High Lipid Category","Normal Category")</f>
        <v>Normal Category</v>
      </c>
      <c r="AF875" t="s">
        <v>32</v>
      </c>
      <c r="AG875">
        <v>0</v>
      </c>
      <c r="AH875" t="s">
        <v>1379</v>
      </c>
      <c r="AI875">
        <f t="shared" si="55"/>
        <v>1</v>
      </c>
      <c r="AJ875" t="s">
        <v>1391</v>
      </c>
    </row>
    <row r="876" spans="1:36" x14ac:dyDescent="0.3">
      <c r="A876" t="s">
        <v>33</v>
      </c>
      <c r="B876">
        <v>52</v>
      </c>
      <c r="C876">
        <v>83.2</v>
      </c>
      <c r="D876">
        <v>1.86</v>
      </c>
      <c r="E876">
        <v>24</v>
      </c>
      <c r="F876">
        <f t="shared" si="53"/>
        <v>24.04902300844028</v>
      </c>
      <c r="G876">
        <f t="shared" si="56"/>
        <v>0</v>
      </c>
      <c r="H876" t="s">
        <v>1398</v>
      </c>
      <c r="I876">
        <v>108.2</v>
      </c>
      <c r="J876" t="s">
        <v>769</v>
      </c>
      <c r="K876" s="24">
        <v>143</v>
      </c>
      <c r="L876" s="24">
        <v>81</v>
      </c>
      <c r="M876">
        <v>129</v>
      </c>
      <c r="N876" t="s">
        <v>1434</v>
      </c>
      <c r="O876">
        <v>42</v>
      </c>
      <c r="P876">
        <v>83</v>
      </c>
      <c r="Q876" t="s">
        <v>24</v>
      </c>
      <c r="R876" t="s">
        <v>24</v>
      </c>
      <c r="S876" t="s">
        <v>39</v>
      </c>
      <c r="T876" t="s">
        <v>24</v>
      </c>
      <c r="U876">
        <f t="shared" si="54"/>
        <v>0</v>
      </c>
      <c r="V876">
        <v>186</v>
      </c>
      <c r="W876">
        <v>0.58199999999999996</v>
      </c>
      <c r="X876" t="s">
        <v>1407</v>
      </c>
      <c r="Y876">
        <v>143</v>
      </c>
      <c r="Z876">
        <v>81</v>
      </c>
      <c r="AA876" t="s">
        <v>31</v>
      </c>
      <c r="AB876">
        <v>57</v>
      </c>
      <c r="AC876" s="23">
        <v>1.36</v>
      </c>
      <c r="AD876" t="str">
        <f>IF(AND('CVD Dataset'!AA876="Normal",'CVD Dataset'!AB876&gt;AVERAGE('CVD Dataset'!AB:AB),'CVD Dataset'!AF876="High"),"High Lipid Category","Normal Category")</f>
        <v>Normal Category</v>
      </c>
      <c r="AE876">
        <v>14.53</v>
      </c>
      <c r="AF876" t="s">
        <v>54</v>
      </c>
      <c r="AG876">
        <v>0</v>
      </c>
      <c r="AH876" t="s">
        <v>1380</v>
      </c>
      <c r="AI876">
        <f t="shared" si="55"/>
        <v>0</v>
      </c>
      <c r="AJ876" t="s">
        <v>1391</v>
      </c>
    </row>
    <row r="877" spans="1:36" x14ac:dyDescent="0.3">
      <c r="A877" t="s">
        <v>33</v>
      </c>
      <c r="B877">
        <v>50</v>
      </c>
      <c r="C877">
        <v>87.4</v>
      </c>
      <c r="D877">
        <v>1.77</v>
      </c>
      <c r="E877">
        <v>27.9</v>
      </c>
      <c r="F877">
        <f t="shared" si="53"/>
        <v>27.897475182738038</v>
      </c>
      <c r="G877">
        <f t="shared" si="56"/>
        <v>0</v>
      </c>
      <c r="H877" t="s">
        <v>1400</v>
      </c>
      <c r="I877">
        <v>79.2</v>
      </c>
      <c r="J877" t="s">
        <v>770</v>
      </c>
      <c r="K877" s="24">
        <v>94</v>
      </c>
      <c r="L877" s="24">
        <v>69</v>
      </c>
      <c r="M877">
        <v>287</v>
      </c>
      <c r="N877" t="s">
        <v>1432</v>
      </c>
      <c r="O877">
        <v>35</v>
      </c>
      <c r="P877">
        <v>117</v>
      </c>
      <c r="Q877" t="s">
        <v>24</v>
      </c>
      <c r="R877" t="s">
        <v>25</v>
      </c>
      <c r="S877" t="s">
        <v>39</v>
      </c>
      <c r="T877" t="s">
        <v>24</v>
      </c>
      <c r="U877">
        <f t="shared" si="54"/>
        <v>1</v>
      </c>
      <c r="V877">
        <v>177</v>
      </c>
      <c r="W877">
        <v>0.44700000000000001</v>
      </c>
      <c r="X877" t="s">
        <v>1408</v>
      </c>
      <c r="Y877">
        <v>94</v>
      </c>
      <c r="Z877">
        <v>69</v>
      </c>
      <c r="AA877" t="s">
        <v>35</v>
      </c>
      <c r="AB877">
        <v>222</v>
      </c>
      <c r="AC877" s="23">
        <v>6.34</v>
      </c>
      <c r="AD877" t="str">
        <f>IF(AND('CVD Dataset'!AA877="Normal",'CVD Dataset'!AB877&gt;AVERAGE('CVD Dataset'!AB:AB),'CVD Dataset'!AF877="High"),"High Lipid Category","Normal Category")</f>
        <v>High Lipid Category</v>
      </c>
      <c r="AF877" t="s">
        <v>32</v>
      </c>
      <c r="AG877">
        <v>0</v>
      </c>
      <c r="AH877" t="s">
        <v>1379</v>
      </c>
      <c r="AI877">
        <f t="shared" si="55"/>
        <v>1</v>
      </c>
      <c r="AJ877" t="s">
        <v>1391</v>
      </c>
    </row>
    <row r="878" spans="1:36" x14ac:dyDescent="0.3">
      <c r="A878" t="s">
        <v>33</v>
      </c>
      <c r="B878">
        <v>41</v>
      </c>
      <c r="C878">
        <v>52.1</v>
      </c>
      <c r="D878">
        <v>1.65</v>
      </c>
      <c r="E878">
        <v>19.100000000000001</v>
      </c>
      <c r="F878">
        <f t="shared" si="53"/>
        <v>19.136822773186413</v>
      </c>
      <c r="G878">
        <f t="shared" si="56"/>
        <v>0</v>
      </c>
      <c r="H878" t="s">
        <v>1398</v>
      </c>
      <c r="I878">
        <v>81.2</v>
      </c>
      <c r="J878" t="s">
        <v>496</v>
      </c>
      <c r="K878" s="24">
        <v>102</v>
      </c>
      <c r="L878" s="24">
        <v>62</v>
      </c>
      <c r="M878">
        <v>119</v>
      </c>
      <c r="N878" t="s">
        <v>1434</v>
      </c>
      <c r="O878">
        <v>54</v>
      </c>
      <c r="P878">
        <v>97</v>
      </c>
      <c r="Q878" t="s">
        <v>25</v>
      </c>
      <c r="R878" t="s">
        <v>24</v>
      </c>
      <c r="S878" t="s">
        <v>30</v>
      </c>
      <c r="T878" t="s">
        <v>25</v>
      </c>
      <c r="U878">
        <f t="shared" si="54"/>
        <v>2</v>
      </c>
      <c r="V878">
        <v>165</v>
      </c>
      <c r="W878">
        <v>0.49199999999999999</v>
      </c>
      <c r="X878" t="s">
        <v>1406</v>
      </c>
      <c r="Y878">
        <v>102</v>
      </c>
      <c r="Z878">
        <v>62</v>
      </c>
      <c r="AA878" t="s">
        <v>35</v>
      </c>
      <c r="AB878">
        <v>35</v>
      </c>
      <c r="AC878" s="23">
        <v>0.65</v>
      </c>
      <c r="AD878" t="str">
        <f>IF(AND('CVD Dataset'!AA878="Normal",'CVD Dataset'!AB878&gt;AVERAGE('CVD Dataset'!AB:AB),'CVD Dataset'!AF878="High"),"High Lipid Category","Normal Category")</f>
        <v>Normal Category</v>
      </c>
      <c r="AE878">
        <v>11.3</v>
      </c>
      <c r="AF878" t="s">
        <v>28</v>
      </c>
      <c r="AG878">
        <v>0</v>
      </c>
      <c r="AH878" t="s">
        <v>1380</v>
      </c>
      <c r="AI878">
        <f t="shared" si="55"/>
        <v>0</v>
      </c>
      <c r="AJ878" t="s">
        <v>1391</v>
      </c>
    </row>
    <row r="879" spans="1:36" x14ac:dyDescent="0.3">
      <c r="A879" t="s">
        <v>33</v>
      </c>
      <c r="B879">
        <v>47</v>
      </c>
      <c r="C879">
        <v>109.3</v>
      </c>
      <c r="D879">
        <v>1.67</v>
      </c>
      <c r="E879">
        <v>39.200000000000003</v>
      </c>
      <c r="F879">
        <f t="shared" si="53"/>
        <v>39.191078920004301</v>
      </c>
      <c r="G879">
        <f t="shared" si="56"/>
        <v>0</v>
      </c>
      <c r="H879" t="s">
        <v>1399</v>
      </c>
      <c r="I879">
        <v>96.2</v>
      </c>
      <c r="J879" t="s">
        <v>771</v>
      </c>
      <c r="K879" s="24">
        <v>141</v>
      </c>
      <c r="L879" s="24">
        <v>63</v>
      </c>
      <c r="M879">
        <v>109</v>
      </c>
      <c r="N879" t="s">
        <v>1434</v>
      </c>
      <c r="O879">
        <v>30</v>
      </c>
      <c r="P879">
        <v>130</v>
      </c>
      <c r="Q879" t="s">
        <v>24</v>
      </c>
      <c r="R879" t="s">
        <v>24</v>
      </c>
      <c r="S879" t="s">
        <v>26</v>
      </c>
      <c r="T879" t="s">
        <v>24</v>
      </c>
      <c r="U879">
        <f t="shared" si="54"/>
        <v>1</v>
      </c>
      <c r="V879">
        <v>167</v>
      </c>
      <c r="W879">
        <v>0.57599999999999996</v>
      </c>
      <c r="X879" t="s">
        <v>1407</v>
      </c>
      <c r="Y879">
        <v>141</v>
      </c>
      <c r="Z879">
        <v>63</v>
      </c>
      <c r="AA879" t="s">
        <v>40</v>
      </c>
      <c r="AB879">
        <v>49</v>
      </c>
      <c r="AC879" s="23">
        <v>1.63</v>
      </c>
      <c r="AD879" t="str">
        <f>IF(AND('CVD Dataset'!AA879="Normal",'CVD Dataset'!AB879&gt;AVERAGE('CVD Dataset'!AB:AB),'CVD Dataset'!AF879="High"),"High Lipid Category","Normal Category")</f>
        <v>Normal Category</v>
      </c>
      <c r="AE879">
        <v>17.07</v>
      </c>
      <c r="AF879" t="s">
        <v>32</v>
      </c>
      <c r="AG879">
        <v>0</v>
      </c>
      <c r="AH879" t="s">
        <v>1379</v>
      </c>
      <c r="AI879">
        <f t="shared" si="55"/>
        <v>1</v>
      </c>
      <c r="AJ879" t="s">
        <v>1391</v>
      </c>
    </row>
    <row r="880" spans="1:36" x14ac:dyDescent="0.3">
      <c r="A880" t="s">
        <v>22</v>
      </c>
      <c r="B880">
        <v>56</v>
      </c>
      <c r="C880">
        <v>67.099999999999994</v>
      </c>
      <c r="D880">
        <v>1.85</v>
      </c>
      <c r="E880">
        <v>19.600000000000001</v>
      </c>
      <c r="F880">
        <f t="shared" si="53"/>
        <v>19.605551497443386</v>
      </c>
      <c r="G880">
        <f t="shared" si="56"/>
        <v>0</v>
      </c>
      <c r="H880" t="s">
        <v>1398</v>
      </c>
      <c r="I880">
        <v>96.8</v>
      </c>
      <c r="J880" t="s">
        <v>772</v>
      </c>
      <c r="K880" s="24">
        <v>111</v>
      </c>
      <c r="L880" s="24">
        <v>72</v>
      </c>
      <c r="M880">
        <v>184</v>
      </c>
      <c r="N880" t="s">
        <v>1432</v>
      </c>
      <c r="O880">
        <v>40</v>
      </c>
      <c r="P880">
        <v>82</v>
      </c>
      <c r="Q880" t="s">
        <v>24</v>
      </c>
      <c r="R880" t="s">
        <v>24</v>
      </c>
      <c r="S880" t="s">
        <v>30</v>
      </c>
      <c r="T880" t="s">
        <v>25</v>
      </c>
      <c r="U880">
        <f t="shared" si="54"/>
        <v>1</v>
      </c>
      <c r="V880">
        <v>185</v>
      </c>
      <c r="W880">
        <v>0.52300000000000002</v>
      </c>
      <c r="X880" t="s">
        <v>1407</v>
      </c>
      <c r="Y880">
        <v>111</v>
      </c>
      <c r="Z880">
        <v>72</v>
      </c>
      <c r="AA880" t="s">
        <v>35</v>
      </c>
      <c r="AB880">
        <v>114</v>
      </c>
      <c r="AC880" s="23">
        <v>2.85</v>
      </c>
      <c r="AD880" t="str">
        <f>IF(AND('CVD Dataset'!AA880="Normal",'CVD Dataset'!AB880&gt;AVERAGE('CVD Dataset'!AB:AB),'CVD Dataset'!AF880="High"),"High Lipid Category","Normal Category")</f>
        <v>Normal Category</v>
      </c>
      <c r="AE880">
        <v>13.15</v>
      </c>
      <c r="AF880" t="s">
        <v>28</v>
      </c>
      <c r="AG880">
        <v>0</v>
      </c>
      <c r="AH880" t="s">
        <v>1380</v>
      </c>
      <c r="AI880">
        <f t="shared" si="55"/>
        <v>0</v>
      </c>
      <c r="AJ880" t="s">
        <v>1391</v>
      </c>
    </row>
    <row r="881" spans="1:36" x14ac:dyDescent="0.3">
      <c r="A881" t="s">
        <v>22</v>
      </c>
      <c r="B881">
        <v>45</v>
      </c>
      <c r="C881">
        <v>64.3</v>
      </c>
      <c r="D881">
        <v>1.89</v>
      </c>
      <c r="E881">
        <v>18</v>
      </c>
      <c r="F881">
        <f t="shared" si="53"/>
        <v>18.000615884213769</v>
      </c>
      <c r="G881">
        <f t="shared" si="56"/>
        <v>0</v>
      </c>
      <c r="H881" t="s">
        <v>1401</v>
      </c>
      <c r="I881">
        <v>108.6</v>
      </c>
      <c r="J881" t="s">
        <v>128</v>
      </c>
      <c r="K881" s="24">
        <v>100</v>
      </c>
      <c r="L881" s="24">
        <v>91</v>
      </c>
      <c r="M881">
        <v>261</v>
      </c>
      <c r="N881" t="s">
        <v>1432</v>
      </c>
      <c r="O881">
        <v>55</v>
      </c>
      <c r="P881">
        <v>82</v>
      </c>
      <c r="Q881" t="s">
        <v>24</v>
      </c>
      <c r="R881" t="s">
        <v>24</v>
      </c>
      <c r="S881" t="s">
        <v>30</v>
      </c>
      <c r="T881" t="s">
        <v>25</v>
      </c>
      <c r="U881">
        <f t="shared" si="54"/>
        <v>1</v>
      </c>
      <c r="V881">
        <v>189</v>
      </c>
      <c r="W881">
        <v>0.57499999999999996</v>
      </c>
      <c r="X881" t="s">
        <v>1407</v>
      </c>
      <c r="Z881">
        <v>91</v>
      </c>
      <c r="AA881" t="s">
        <v>40</v>
      </c>
      <c r="AB881">
        <v>176</v>
      </c>
      <c r="AC881" s="23">
        <v>3.2</v>
      </c>
      <c r="AD881" t="str">
        <f>IF(AND('CVD Dataset'!AA881="Normal",'CVD Dataset'!AB881&gt;AVERAGE('CVD Dataset'!AB:AB),'CVD Dataset'!AF881="High"),"High Lipid Category","Normal Category")</f>
        <v>Normal Category</v>
      </c>
      <c r="AE881">
        <v>13.82</v>
      </c>
      <c r="AF881" t="s">
        <v>28</v>
      </c>
      <c r="AG881">
        <v>0</v>
      </c>
      <c r="AH881" t="s">
        <v>1380</v>
      </c>
      <c r="AI881">
        <f t="shared" si="55"/>
        <v>0</v>
      </c>
      <c r="AJ881" t="s">
        <v>1391</v>
      </c>
    </row>
    <row r="882" spans="1:36" x14ac:dyDescent="0.3">
      <c r="A882" t="s">
        <v>33</v>
      </c>
      <c r="B882">
        <v>52</v>
      </c>
      <c r="C882">
        <v>72.599999999999994</v>
      </c>
      <c r="D882">
        <v>1.83</v>
      </c>
      <c r="E882">
        <v>21.7</v>
      </c>
      <c r="F882">
        <f t="shared" si="53"/>
        <v>21.678760189913103</v>
      </c>
      <c r="G882">
        <f t="shared" si="56"/>
        <v>0</v>
      </c>
      <c r="H882" t="s">
        <v>1398</v>
      </c>
      <c r="I882">
        <v>96.7</v>
      </c>
      <c r="J882" t="s">
        <v>773</v>
      </c>
      <c r="K882" s="24">
        <v>121</v>
      </c>
      <c r="L882" s="24">
        <v>65</v>
      </c>
      <c r="M882">
        <v>126</v>
      </c>
      <c r="N882" t="s">
        <v>1434</v>
      </c>
      <c r="O882">
        <v>57</v>
      </c>
      <c r="P882">
        <v>97</v>
      </c>
      <c r="Q882" t="s">
        <v>24</v>
      </c>
      <c r="R882" t="s">
        <v>25</v>
      </c>
      <c r="S882" t="s">
        <v>39</v>
      </c>
      <c r="T882" t="s">
        <v>24</v>
      </c>
      <c r="U882">
        <f t="shared" si="54"/>
        <v>1</v>
      </c>
      <c r="V882">
        <v>183</v>
      </c>
      <c r="W882">
        <v>0.52800000000000002</v>
      </c>
      <c r="X882" t="s">
        <v>1407</v>
      </c>
      <c r="Y882">
        <v>121</v>
      </c>
      <c r="Z882">
        <v>65</v>
      </c>
      <c r="AA882" t="s">
        <v>27</v>
      </c>
      <c r="AB882">
        <v>39</v>
      </c>
      <c r="AC882" s="23">
        <v>0.68</v>
      </c>
      <c r="AD882" t="str">
        <f>IF(AND('CVD Dataset'!AA882="Normal",'CVD Dataset'!AB882&gt;AVERAGE('CVD Dataset'!AB:AB),'CVD Dataset'!AF882="High"),"High Lipid Category","Normal Category")</f>
        <v>Normal Category</v>
      </c>
      <c r="AE882">
        <v>14.91</v>
      </c>
      <c r="AF882" t="s">
        <v>28</v>
      </c>
      <c r="AG882">
        <v>0</v>
      </c>
      <c r="AH882" t="s">
        <v>1380</v>
      </c>
      <c r="AI882">
        <f t="shared" si="55"/>
        <v>0</v>
      </c>
      <c r="AJ882" t="s">
        <v>1391</v>
      </c>
    </row>
    <row r="883" spans="1:36" x14ac:dyDescent="0.3">
      <c r="A883" t="s">
        <v>33</v>
      </c>
      <c r="B883">
        <v>44</v>
      </c>
      <c r="C883">
        <v>54.6</v>
      </c>
      <c r="D883">
        <v>1.84</v>
      </c>
      <c r="E883">
        <v>16.100000000000001</v>
      </c>
      <c r="F883">
        <f t="shared" si="53"/>
        <v>16.127126654064273</v>
      </c>
      <c r="G883">
        <f t="shared" si="56"/>
        <v>0</v>
      </c>
      <c r="H883" t="s">
        <v>1401</v>
      </c>
      <c r="I883">
        <v>110</v>
      </c>
      <c r="J883" t="s">
        <v>532</v>
      </c>
      <c r="K883" s="24">
        <v>147</v>
      </c>
      <c r="L883" s="24">
        <v>79</v>
      </c>
      <c r="M883">
        <v>277</v>
      </c>
      <c r="N883" t="s">
        <v>1432</v>
      </c>
      <c r="O883">
        <v>67</v>
      </c>
      <c r="P883">
        <v>87</v>
      </c>
      <c r="Q883" t="s">
        <v>25</v>
      </c>
      <c r="R883" t="s">
        <v>24</v>
      </c>
      <c r="S883" t="s">
        <v>26</v>
      </c>
      <c r="T883" t="s">
        <v>25</v>
      </c>
      <c r="U883">
        <f t="shared" si="54"/>
        <v>3</v>
      </c>
      <c r="V883">
        <v>184</v>
      </c>
      <c r="W883">
        <v>0.59799999999999998</v>
      </c>
      <c r="X883" t="s">
        <v>1409</v>
      </c>
      <c r="Y883">
        <v>147</v>
      </c>
      <c r="Z883">
        <v>79</v>
      </c>
      <c r="AA883" t="s">
        <v>40</v>
      </c>
      <c r="AB883">
        <v>180</v>
      </c>
      <c r="AC883" s="23">
        <v>2.69</v>
      </c>
      <c r="AD883" t="str">
        <f>IF(AND('CVD Dataset'!AA883="Normal",'CVD Dataset'!AB883&gt;AVERAGE('CVD Dataset'!AB:AB),'CVD Dataset'!AF883="High"),"High Lipid Category","Normal Category")</f>
        <v>Normal Category</v>
      </c>
      <c r="AE883">
        <v>16.11</v>
      </c>
      <c r="AF883" t="s">
        <v>32</v>
      </c>
      <c r="AG883">
        <v>1</v>
      </c>
      <c r="AH883" t="s">
        <v>1379</v>
      </c>
      <c r="AI883">
        <f t="shared" si="55"/>
        <v>1</v>
      </c>
      <c r="AJ883" t="s">
        <v>1391</v>
      </c>
    </row>
    <row r="884" spans="1:36" x14ac:dyDescent="0.3">
      <c r="A884" t="s">
        <v>22</v>
      </c>
      <c r="B884">
        <v>31</v>
      </c>
      <c r="C884">
        <v>87</v>
      </c>
      <c r="D884">
        <v>1.66</v>
      </c>
      <c r="E884">
        <v>31.6</v>
      </c>
      <c r="F884">
        <f t="shared" si="53"/>
        <v>31.572071418202935</v>
      </c>
      <c r="G884">
        <f t="shared" si="56"/>
        <v>0</v>
      </c>
      <c r="H884" t="s">
        <v>1399</v>
      </c>
      <c r="I884">
        <v>91.5</v>
      </c>
      <c r="J884" t="s">
        <v>298</v>
      </c>
      <c r="K884" s="24">
        <v>139</v>
      </c>
      <c r="L884" s="24">
        <v>81</v>
      </c>
      <c r="M884">
        <v>207</v>
      </c>
      <c r="N884" t="s">
        <v>1432</v>
      </c>
      <c r="O884">
        <v>56</v>
      </c>
      <c r="P884">
        <v>82</v>
      </c>
      <c r="Q884" t="s">
        <v>24</v>
      </c>
      <c r="R884" t="s">
        <v>24</v>
      </c>
      <c r="S884" t="s">
        <v>26</v>
      </c>
      <c r="T884" t="s">
        <v>25</v>
      </c>
      <c r="U884">
        <f t="shared" si="54"/>
        <v>2</v>
      </c>
      <c r="V884">
        <v>166</v>
      </c>
      <c r="W884">
        <v>0.55100000000000005</v>
      </c>
      <c r="X884" t="s">
        <v>1407</v>
      </c>
      <c r="Y884">
        <v>139</v>
      </c>
      <c r="Z884">
        <v>81</v>
      </c>
      <c r="AA884" t="s">
        <v>31</v>
      </c>
      <c r="AB884">
        <v>121</v>
      </c>
      <c r="AC884" s="23">
        <v>2.16</v>
      </c>
      <c r="AD884" t="str">
        <f>IF(AND('CVD Dataset'!AA884="Normal",'CVD Dataset'!AB884&gt;AVERAGE('CVD Dataset'!AB:AB),'CVD Dataset'!AF884="High"),"High Lipid Category","Normal Category")</f>
        <v>Normal Category</v>
      </c>
      <c r="AE884">
        <v>17.41</v>
      </c>
      <c r="AF884" t="s">
        <v>32</v>
      </c>
      <c r="AG884">
        <v>0</v>
      </c>
      <c r="AH884" t="s">
        <v>1379</v>
      </c>
      <c r="AI884">
        <f t="shared" si="55"/>
        <v>1</v>
      </c>
      <c r="AJ884" t="s">
        <v>1391</v>
      </c>
    </row>
    <row r="885" spans="1:36" x14ac:dyDescent="0.3">
      <c r="A885" t="s">
        <v>33</v>
      </c>
      <c r="B885">
        <v>33</v>
      </c>
      <c r="C885">
        <v>94.7</v>
      </c>
      <c r="D885">
        <v>1.79</v>
      </c>
      <c r="F885">
        <f t="shared" si="53"/>
        <v>29.555881526793797</v>
      </c>
      <c r="G885">
        <f t="shared" si="56"/>
        <v>1</v>
      </c>
      <c r="H885" t="s">
        <v>1401</v>
      </c>
      <c r="I885">
        <v>89.8</v>
      </c>
      <c r="J885" t="s">
        <v>774</v>
      </c>
      <c r="K885" s="24">
        <v>119</v>
      </c>
      <c r="L885" s="24">
        <v>60</v>
      </c>
      <c r="M885">
        <v>248</v>
      </c>
      <c r="N885" t="s">
        <v>1432</v>
      </c>
      <c r="O885">
        <v>50</v>
      </c>
      <c r="P885">
        <v>130</v>
      </c>
      <c r="Q885" t="s">
        <v>25</v>
      </c>
      <c r="R885" t="s">
        <v>25</v>
      </c>
      <c r="S885" t="s">
        <v>39</v>
      </c>
      <c r="T885" t="s">
        <v>24</v>
      </c>
      <c r="U885">
        <f t="shared" si="54"/>
        <v>2</v>
      </c>
      <c r="V885">
        <v>179</v>
      </c>
      <c r="W885">
        <v>0.502</v>
      </c>
      <c r="X885" t="s">
        <v>1406</v>
      </c>
      <c r="Y885">
        <v>119</v>
      </c>
      <c r="Z885">
        <v>60</v>
      </c>
      <c r="AA885" t="s">
        <v>35</v>
      </c>
      <c r="AB885">
        <v>168</v>
      </c>
      <c r="AC885" s="23">
        <v>3.36</v>
      </c>
      <c r="AD885" t="str">
        <f>IF(AND('CVD Dataset'!AA885="Normal",'CVD Dataset'!AB885&gt;AVERAGE('CVD Dataset'!AB:AB),'CVD Dataset'!AF885="High"),"High Lipid Category","Normal Category")</f>
        <v>High Lipid Category</v>
      </c>
      <c r="AF885" t="s">
        <v>32</v>
      </c>
      <c r="AG885">
        <v>0</v>
      </c>
      <c r="AH885" t="s">
        <v>1379</v>
      </c>
      <c r="AI885">
        <f t="shared" si="55"/>
        <v>1</v>
      </c>
      <c r="AJ885" t="s">
        <v>1391</v>
      </c>
    </row>
    <row r="886" spans="1:36" x14ac:dyDescent="0.3">
      <c r="A886" t="s">
        <v>33</v>
      </c>
      <c r="B886">
        <v>53</v>
      </c>
      <c r="C886">
        <v>101.3</v>
      </c>
      <c r="D886">
        <v>1.73</v>
      </c>
      <c r="E886">
        <v>33.799999999999997</v>
      </c>
      <c r="F886">
        <f t="shared" si="53"/>
        <v>33.8467706906345</v>
      </c>
      <c r="G886">
        <f t="shared" si="56"/>
        <v>0</v>
      </c>
      <c r="H886" t="s">
        <v>1399</v>
      </c>
      <c r="I886">
        <v>86.5</v>
      </c>
      <c r="J886" t="s">
        <v>775</v>
      </c>
      <c r="K886" s="24">
        <v>114</v>
      </c>
      <c r="L886" s="24">
        <v>86</v>
      </c>
      <c r="M886">
        <v>132</v>
      </c>
      <c r="N886" t="s">
        <v>1434</v>
      </c>
      <c r="O886">
        <v>80</v>
      </c>
      <c r="P886">
        <v>128</v>
      </c>
      <c r="Q886" t="s">
        <v>24</v>
      </c>
      <c r="R886" t="s">
        <v>24</v>
      </c>
      <c r="S886" t="s">
        <v>30</v>
      </c>
      <c r="T886" t="s">
        <v>25</v>
      </c>
      <c r="U886">
        <f t="shared" si="54"/>
        <v>1</v>
      </c>
      <c r="V886">
        <v>173</v>
      </c>
      <c r="W886">
        <v>0.5</v>
      </c>
      <c r="X886" t="s">
        <v>1406</v>
      </c>
      <c r="Y886">
        <v>114</v>
      </c>
      <c r="Z886">
        <v>86</v>
      </c>
      <c r="AA886" t="s">
        <v>31</v>
      </c>
      <c r="AB886">
        <v>22</v>
      </c>
      <c r="AC886" s="23">
        <v>0.28000000000000003</v>
      </c>
      <c r="AD886" t="str">
        <f>IF(AND('CVD Dataset'!AA886="Normal",'CVD Dataset'!AB886&gt;AVERAGE('CVD Dataset'!AB:AB),'CVD Dataset'!AF886="High"),"High Lipid Category","Normal Category")</f>
        <v>Normal Category</v>
      </c>
      <c r="AE886">
        <v>15.1</v>
      </c>
      <c r="AF886" t="s">
        <v>28</v>
      </c>
      <c r="AG886">
        <v>0</v>
      </c>
      <c r="AH886" t="s">
        <v>1380</v>
      </c>
      <c r="AI886">
        <f t="shared" si="55"/>
        <v>0</v>
      </c>
      <c r="AJ886" t="s">
        <v>1391</v>
      </c>
    </row>
    <row r="887" spans="1:36" x14ac:dyDescent="0.3">
      <c r="A887" t="s">
        <v>22</v>
      </c>
      <c r="B887">
        <v>57</v>
      </c>
      <c r="C887">
        <v>60</v>
      </c>
      <c r="D887">
        <v>1.7</v>
      </c>
      <c r="E887">
        <v>20.8</v>
      </c>
      <c r="F887">
        <f t="shared" si="53"/>
        <v>20.761245674740486</v>
      </c>
      <c r="G887">
        <f t="shared" si="56"/>
        <v>0</v>
      </c>
      <c r="H887" t="s">
        <v>1398</v>
      </c>
      <c r="I887">
        <v>88.8</v>
      </c>
      <c r="J887" t="s">
        <v>776</v>
      </c>
      <c r="K887" s="24">
        <v>114</v>
      </c>
      <c r="L887" s="24">
        <v>73</v>
      </c>
      <c r="M887">
        <v>237</v>
      </c>
      <c r="N887" t="s">
        <v>1432</v>
      </c>
      <c r="O887">
        <v>78</v>
      </c>
      <c r="P887">
        <v>90</v>
      </c>
      <c r="Q887" t="s">
        <v>24</v>
      </c>
      <c r="R887" t="s">
        <v>24</v>
      </c>
      <c r="S887" t="s">
        <v>26</v>
      </c>
      <c r="T887" t="s">
        <v>24</v>
      </c>
      <c r="U887">
        <f t="shared" si="54"/>
        <v>1</v>
      </c>
      <c r="V887">
        <v>170</v>
      </c>
      <c r="W887">
        <v>0.52200000000000002</v>
      </c>
      <c r="X887" t="s">
        <v>1406</v>
      </c>
      <c r="Y887">
        <v>114</v>
      </c>
      <c r="Z887">
        <v>73</v>
      </c>
      <c r="AA887" t="s">
        <v>35</v>
      </c>
      <c r="AB887">
        <v>129</v>
      </c>
      <c r="AC887" s="23">
        <v>1.65</v>
      </c>
      <c r="AD887" t="str">
        <f>IF(AND('CVD Dataset'!AA887="Normal",'CVD Dataset'!AB887&gt;AVERAGE('CVD Dataset'!AB:AB),'CVD Dataset'!AF887="High"),"High Lipid Category","Normal Category")</f>
        <v>Normal Category</v>
      </c>
      <c r="AE887">
        <v>14.6</v>
      </c>
      <c r="AF887" t="s">
        <v>28</v>
      </c>
      <c r="AG887">
        <v>0</v>
      </c>
      <c r="AH887" t="s">
        <v>1380</v>
      </c>
      <c r="AI887">
        <f t="shared" si="55"/>
        <v>0</v>
      </c>
      <c r="AJ887" t="s">
        <v>1391</v>
      </c>
    </row>
    <row r="888" spans="1:36" x14ac:dyDescent="0.3">
      <c r="A888" t="s">
        <v>33</v>
      </c>
      <c r="B888">
        <v>43</v>
      </c>
      <c r="C888">
        <v>70</v>
      </c>
      <c r="D888">
        <v>1.74</v>
      </c>
      <c r="E888">
        <v>23.1</v>
      </c>
      <c r="F888">
        <f t="shared" si="53"/>
        <v>23.120623596247853</v>
      </c>
      <c r="G888">
        <f t="shared" si="56"/>
        <v>0</v>
      </c>
      <c r="H888" t="s">
        <v>1398</v>
      </c>
      <c r="I888">
        <v>95.9</v>
      </c>
      <c r="J888" t="s">
        <v>338</v>
      </c>
      <c r="K888" s="24">
        <v>99</v>
      </c>
      <c r="L888" s="24">
        <v>70</v>
      </c>
      <c r="M888">
        <v>184</v>
      </c>
      <c r="N888" t="s">
        <v>1432</v>
      </c>
      <c r="O888">
        <v>44</v>
      </c>
      <c r="P888">
        <v>80</v>
      </c>
      <c r="Q888" t="s">
        <v>25</v>
      </c>
      <c r="R888" t="s">
        <v>25</v>
      </c>
      <c r="S888" t="s">
        <v>26</v>
      </c>
      <c r="T888" t="s">
        <v>25</v>
      </c>
      <c r="U888">
        <f t="shared" si="54"/>
        <v>4</v>
      </c>
      <c r="V888">
        <v>174</v>
      </c>
      <c r="W888">
        <v>0.55100000000000005</v>
      </c>
      <c r="X888" t="s">
        <v>1407</v>
      </c>
      <c r="Y888">
        <v>99</v>
      </c>
      <c r="Z888">
        <v>70</v>
      </c>
      <c r="AA888" t="s">
        <v>35</v>
      </c>
      <c r="AC888" s="23">
        <v>0</v>
      </c>
      <c r="AD888" t="str">
        <f>IF(AND('CVD Dataset'!AA888="Normal",'CVD Dataset'!AB888&gt;AVERAGE('CVD Dataset'!AB:AB),'CVD Dataset'!AF888="High"),"High Lipid Category","Normal Category")</f>
        <v>Normal Category</v>
      </c>
      <c r="AE888">
        <v>15.25</v>
      </c>
      <c r="AF888" t="s">
        <v>32</v>
      </c>
      <c r="AG888">
        <v>0</v>
      </c>
      <c r="AH888" t="s">
        <v>1379</v>
      </c>
      <c r="AI888">
        <f t="shared" si="55"/>
        <v>1</v>
      </c>
      <c r="AJ888" t="s">
        <v>1391</v>
      </c>
    </row>
    <row r="889" spans="1:36" x14ac:dyDescent="0.3">
      <c r="A889" t="s">
        <v>22</v>
      </c>
      <c r="B889">
        <v>58</v>
      </c>
      <c r="C889">
        <v>103.5</v>
      </c>
      <c r="D889">
        <v>1.79</v>
      </c>
      <c r="E889">
        <v>32.299999999999997</v>
      </c>
      <c r="F889">
        <f t="shared" si="53"/>
        <v>32.302362597921416</v>
      </c>
      <c r="G889">
        <f t="shared" si="56"/>
        <v>0</v>
      </c>
      <c r="H889" t="s">
        <v>1399</v>
      </c>
      <c r="I889">
        <v>101</v>
      </c>
      <c r="J889" t="s">
        <v>777</v>
      </c>
      <c r="K889" s="24">
        <v>123</v>
      </c>
      <c r="L889" s="24">
        <v>76</v>
      </c>
      <c r="M889">
        <v>270</v>
      </c>
      <c r="N889" t="s">
        <v>1432</v>
      </c>
      <c r="O889">
        <v>39</v>
      </c>
      <c r="P889">
        <v>84</v>
      </c>
      <c r="Q889" t="s">
        <v>25</v>
      </c>
      <c r="R889" t="s">
        <v>25</v>
      </c>
      <c r="S889" t="s">
        <v>30</v>
      </c>
      <c r="T889" t="s">
        <v>25</v>
      </c>
      <c r="U889">
        <f t="shared" si="54"/>
        <v>3</v>
      </c>
      <c r="V889">
        <v>179</v>
      </c>
      <c r="W889">
        <v>0.56399999999999995</v>
      </c>
      <c r="X889" t="s">
        <v>1407</v>
      </c>
      <c r="Y889">
        <v>123</v>
      </c>
      <c r="Z889">
        <v>76</v>
      </c>
      <c r="AA889" t="s">
        <v>27</v>
      </c>
      <c r="AB889">
        <v>201</v>
      </c>
      <c r="AC889" s="23">
        <v>5.15</v>
      </c>
      <c r="AD889" t="str">
        <f>IF(AND('CVD Dataset'!AA889="Normal",'CVD Dataset'!AB889&gt;AVERAGE('CVD Dataset'!AB:AB),'CVD Dataset'!AF889="High"),"High Lipid Category","Normal Category")</f>
        <v>Normal Category</v>
      </c>
      <c r="AE889">
        <v>20.010000000000002</v>
      </c>
      <c r="AF889" t="s">
        <v>32</v>
      </c>
      <c r="AG889">
        <v>0</v>
      </c>
      <c r="AH889" t="s">
        <v>1379</v>
      </c>
      <c r="AI889">
        <f t="shared" si="55"/>
        <v>1</v>
      </c>
      <c r="AJ889" t="s">
        <v>1391</v>
      </c>
    </row>
    <row r="890" spans="1:36" x14ac:dyDescent="0.3">
      <c r="A890" t="s">
        <v>33</v>
      </c>
      <c r="B890">
        <v>56</v>
      </c>
      <c r="C890">
        <v>55.4</v>
      </c>
      <c r="D890">
        <v>1.87</v>
      </c>
      <c r="E890">
        <v>15.8</v>
      </c>
      <c r="F890">
        <f t="shared" si="53"/>
        <v>15.842603448768907</v>
      </c>
      <c r="G890">
        <f t="shared" si="56"/>
        <v>0</v>
      </c>
      <c r="H890" t="s">
        <v>1401</v>
      </c>
      <c r="I890">
        <v>99.1</v>
      </c>
      <c r="J890" t="s">
        <v>778</v>
      </c>
      <c r="K890" s="24">
        <v>124</v>
      </c>
      <c r="L890" s="24">
        <v>78</v>
      </c>
      <c r="M890">
        <v>209</v>
      </c>
      <c r="N890" t="s">
        <v>1432</v>
      </c>
      <c r="O890">
        <v>38</v>
      </c>
      <c r="P890">
        <v>81</v>
      </c>
      <c r="Q890" t="s">
        <v>24</v>
      </c>
      <c r="R890" t="s">
        <v>24</v>
      </c>
      <c r="S890" t="s">
        <v>30</v>
      </c>
      <c r="T890" t="s">
        <v>24</v>
      </c>
      <c r="U890">
        <f t="shared" si="54"/>
        <v>0</v>
      </c>
      <c r="V890">
        <v>187</v>
      </c>
      <c r="W890">
        <v>0.53</v>
      </c>
      <c r="X890" t="s">
        <v>1407</v>
      </c>
      <c r="Y890">
        <v>124</v>
      </c>
      <c r="Z890">
        <v>78</v>
      </c>
      <c r="AA890" t="s">
        <v>27</v>
      </c>
      <c r="AB890">
        <v>141</v>
      </c>
      <c r="AC890" s="23">
        <v>3.71</v>
      </c>
      <c r="AD890" t="str">
        <f>IF(AND('CVD Dataset'!AA890="Normal",'CVD Dataset'!AB890&gt;AVERAGE('CVD Dataset'!AB:AB),'CVD Dataset'!AF890="High"),"High Lipid Category","Normal Category")</f>
        <v>Normal Category</v>
      </c>
      <c r="AE890">
        <v>13.54</v>
      </c>
      <c r="AF890" t="s">
        <v>28</v>
      </c>
      <c r="AG890">
        <v>0</v>
      </c>
      <c r="AH890" t="s">
        <v>1380</v>
      </c>
      <c r="AI890">
        <f t="shared" si="55"/>
        <v>0</v>
      </c>
      <c r="AJ890" t="s">
        <v>1391</v>
      </c>
    </row>
    <row r="891" spans="1:36" x14ac:dyDescent="0.3">
      <c r="A891" t="s">
        <v>22</v>
      </c>
      <c r="B891">
        <v>34</v>
      </c>
      <c r="C891">
        <v>89.8</v>
      </c>
      <c r="D891">
        <v>1.69</v>
      </c>
      <c r="F891">
        <f t="shared" si="53"/>
        <v>31.441476138790662</v>
      </c>
      <c r="G891">
        <f t="shared" si="56"/>
        <v>1</v>
      </c>
      <c r="H891" t="s">
        <v>1401</v>
      </c>
      <c r="I891">
        <v>88.3</v>
      </c>
      <c r="J891" t="s">
        <v>779</v>
      </c>
      <c r="K891" s="24">
        <v>109</v>
      </c>
      <c r="L891" s="24">
        <v>61</v>
      </c>
      <c r="M891">
        <v>174</v>
      </c>
      <c r="N891" t="s">
        <v>1433</v>
      </c>
      <c r="P891">
        <v>140</v>
      </c>
      <c r="Q891" t="s">
        <v>24</v>
      </c>
      <c r="R891" t="s">
        <v>24</v>
      </c>
      <c r="S891" t="s">
        <v>39</v>
      </c>
      <c r="T891" t="s">
        <v>24</v>
      </c>
      <c r="U891">
        <f t="shared" si="54"/>
        <v>0</v>
      </c>
      <c r="V891">
        <v>169</v>
      </c>
      <c r="W891">
        <v>0.52200000000000002</v>
      </c>
      <c r="X891" t="s">
        <v>1406</v>
      </c>
      <c r="Y891">
        <v>109</v>
      </c>
      <c r="Z891">
        <v>61</v>
      </c>
      <c r="AA891" t="s">
        <v>35</v>
      </c>
      <c r="AB891">
        <v>108</v>
      </c>
      <c r="AC891" s="23" t="s">
        <v>1410</v>
      </c>
      <c r="AD891" t="str">
        <f>IF(AND('CVD Dataset'!AA891="Normal",'CVD Dataset'!AB891&gt;AVERAGE('CVD Dataset'!AB:AB),'CVD Dataset'!AF891="High"),"High Lipid Category","Normal Category")</f>
        <v>Normal Category</v>
      </c>
      <c r="AE891">
        <v>15.21</v>
      </c>
      <c r="AF891" t="s">
        <v>28</v>
      </c>
      <c r="AG891">
        <v>0</v>
      </c>
      <c r="AH891" t="s">
        <v>1380</v>
      </c>
      <c r="AI891">
        <f t="shared" si="55"/>
        <v>0</v>
      </c>
      <c r="AJ891" t="s">
        <v>1391</v>
      </c>
    </row>
    <row r="892" spans="1:36" x14ac:dyDescent="0.3">
      <c r="A892" t="s">
        <v>33</v>
      </c>
      <c r="B892">
        <v>34</v>
      </c>
      <c r="C892">
        <v>66.400000000000006</v>
      </c>
      <c r="D892">
        <v>1.88</v>
      </c>
      <c r="E892">
        <v>18.8</v>
      </c>
      <c r="F892">
        <f t="shared" si="53"/>
        <v>18.786781349026711</v>
      </c>
      <c r="G892">
        <f t="shared" si="56"/>
        <v>0</v>
      </c>
      <c r="H892" t="s">
        <v>1398</v>
      </c>
      <c r="I892">
        <v>106.3</v>
      </c>
      <c r="J892" t="s">
        <v>780</v>
      </c>
      <c r="K892" s="24">
        <v>104</v>
      </c>
      <c r="L892" s="24">
        <v>64</v>
      </c>
      <c r="M892">
        <v>283</v>
      </c>
      <c r="N892" t="s">
        <v>1432</v>
      </c>
      <c r="O892">
        <v>65</v>
      </c>
      <c r="P892">
        <v>97</v>
      </c>
      <c r="Q892" t="s">
        <v>24</v>
      </c>
      <c r="R892" t="s">
        <v>25</v>
      </c>
      <c r="S892" t="s">
        <v>30</v>
      </c>
      <c r="T892" t="s">
        <v>24</v>
      </c>
      <c r="U892">
        <f t="shared" si="54"/>
        <v>1</v>
      </c>
      <c r="V892">
        <v>188</v>
      </c>
      <c r="W892">
        <v>0.56499999999999995</v>
      </c>
      <c r="X892" t="s">
        <v>1407</v>
      </c>
      <c r="Y892">
        <v>104</v>
      </c>
      <c r="Z892">
        <v>64</v>
      </c>
      <c r="AA892" t="s">
        <v>35</v>
      </c>
      <c r="AB892">
        <v>188</v>
      </c>
      <c r="AC892" s="23">
        <v>2.89</v>
      </c>
      <c r="AD892" t="str">
        <f>IF(AND('CVD Dataset'!AA892="Normal",'CVD Dataset'!AB892&gt;AVERAGE('CVD Dataset'!AB:AB),'CVD Dataset'!AF892="High"),"High Lipid Category","Normal Category")</f>
        <v>Normal Category</v>
      </c>
      <c r="AE892">
        <v>16.62</v>
      </c>
      <c r="AF892" t="s">
        <v>28</v>
      </c>
      <c r="AG892">
        <v>0</v>
      </c>
      <c r="AH892" t="s">
        <v>1380</v>
      </c>
      <c r="AI892">
        <f t="shared" si="55"/>
        <v>0</v>
      </c>
      <c r="AJ892" t="s">
        <v>1391</v>
      </c>
    </row>
    <row r="893" spans="1:36" x14ac:dyDescent="0.3">
      <c r="A893" t="s">
        <v>22</v>
      </c>
      <c r="B893">
        <v>53</v>
      </c>
      <c r="C893">
        <v>50.7</v>
      </c>
      <c r="D893">
        <v>1.73</v>
      </c>
      <c r="E893">
        <v>16.899999999999999</v>
      </c>
      <c r="F893">
        <f t="shared" si="53"/>
        <v>16.940091550001672</v>
      </c>
      <c r="G893">
        <f t="shared" si="56"/>
        <v>0</v>
      </c>
      <c r="H893" t="s">
        <v>1401</v>
      </c>
      <c r="I893">
        <v>94</v>
      </c>
      <c r="J893" t="s">
        <v>258</v>
      </c>
      <c r="K893" s="24">
        <v>127</v>
      </c>
      <c r="L893" s="24">
        <v>84</v>
      </c>
      <c r="M893">
        <v>160</v>
      </c>
      <c r="N893" t="s">
        <v>1433</v>
      </c>
      <c r="O893">
        <v>57</v>
      </c>
      <c r="P893">
        <v>77</v>
      </c>
      <c r="Q893" t="s">
        <v>25</v>
      </c>
      <c r="R893" t="s">
        <v>25</v>
      </c>
      <c r="S893" t="s">
        <v>30</v>
      </c>
      <c r="T893" t="s">
        <v>24</v>
      </c>
      <c r="U893">
        <f t="shared" si="54"/>
        <v>2</v>
      </c>
      <c r="V893">
        <v>173</v>
      </c>
      <c r="W893">
        <v>0.54300000000000004</v>
      </c>
      <c r="X893" t="s">
        <v>1407</v>
      </c>
      <c r="Y893">
        <v>127</v>
      </c>
      <c r="Z893">
        <v>84</v>
      </c>
      <c r="AA893" t="s">
        <v>31</v>
      </c>
      <c r="AB893">
        <v>73</v>
      </c>
      <c r="AC893" s="23">
        <v>1.28</v>
      </c>
      <c r="AD893" t="str">
        <f>IF(AND('CVD Dataset'!AA893="Normal",'CVD Dataset'!AB893&gt;AVERAGE('CVD Dataset'!AB:AB),'CVD Dataset'!AF893="High"),"High Lipid Category","Normal Category")</f>
        <v>Normal Category</v>
      </c>
      <c r="AE893">
        <v>14.93</v>
      </c>
      <c r="AF893" t="s">
        <v>28</v>
      </c>
      <c r="AG893">
        <v>0</v>
      </c>
      <c r="AH893" t="s">
        <v>1380</v>
      </c>
      <c r="AI893">
        <f t="shared" si="55"/>
        <v>0</v>
      </c>
      <c r="AJ893" t="s">
        <v>1392</v>
      </c>
    </row>
    <row r="894" spans="1:36" x14ac:dyDescent="0.3">
      <c r="A894" t="s">
        <v>33</v>
      </c>
      <c r="B894">
        <v>59</v>
      </c>
      <c r="C894">
        <v>98.9</v>
      </c>
      <c r="D894">
        <v>1.67</v>
      </c>
      <c r="E894">
        <v>35.5</v>
      </c>
      <c r="F894">
        <f t="shared" si="53"/>
        <v>35.4620101115135</v>
      </c>
      <c r="G894">
        <f t="shared" si="56"/>
        <v>0</v>
      </c>
      <c r="H894" t="s">
        <v>1399</v>
      </c>
      <c r="I894">
        <v>108.7</v>
      </c>
      <c r="J894" t="s">
        <v>781</v>
      </c>
      <c r="K894" s="24">
        <v>104</v>
      </c>
      <c r="L894" s="24">
        <v>95</v>
      </c>
      <c r="M894">
        <v>216</v>
      </c>
      <c r="N894" t="s">
        <v>1432</v>
      </c>
      <c r="O894">
        <v>45</v>
      </c>
      <c r="P894">
        <v>87</v>
      </c>
      <c r="Q894" t="s">
        <v>24</v>
      </c>
      <c r="R894" t="s">
        <v>25</v>
      </c>
      <c r="S894" t="s">
        <v>26</v>
      </c>
      <c r="T894" t="s">
        <v>24</v>
      </c>
      <c r="U894">
        <f t="shared" si="54"/>
        <v>2</v>
      </c>
      <c r="V894">
        <v>167</v>
      </c>
      <c r="W894">
        <v>0.65100000000000002</v>
      </c>
      <c r="X894" t="s">
        <v>1409</v>
      </c>
      <c r="Y894">
        <v>104</v>
      </c>
      <c r="Z894">
        <v>95</v>
      </c>
      <c r="AA894" t="s">
        <v>40</v>
      </c>
      <c r="AB894">
        <v>141</v>
      </c>
      <c r="AC894" s="23">
        <v>3.13</v>
      </c>
      <c r="AD894" t="str">
        <f>IF(AND('CVD Dataset'!AA894="Normal",'CVD Dataset'!AB894&gt;AVERAGE('CVD Dataset'!AB:AB),'CVD Dataset'!AF894="High"),"High Lipid Category","Normal Category")</f>
        <v>Normal Category</v>
      </c>
      <c r="AE894">
        <v>18.62</v>
      </c>
      <c r="AF894" t="s">
        <v>32</v>
      </c>
      <c r="AG894">
        <v>0</v>
      </c>
      <c r="AH894" t="s">
        <v>1379</v>
      </c>
      <c r="AI894">
        <f t="shared" si="55"/>
        <v>1</v>
      </c>
      <c r="AJ894" t="s">
        <v>1392</v>
      </c>
    </row>
    <row r="895" spans="1:36" x14ac:dyDescent="0.3">
      <c r="A895" t="s">
        <v>22</v>
      </c>
      <c r="B895">
        <v>38</v>
      </c>
      <c r="C895">
        <v>76.400000000000006</v>
      </c>
      <c r="D895">
        <v>1.63</v>
      </c>
      <c r="E895">
        <v>28.8</v>
      </c>
      <c r="F895">
        <f t="shared" si="53"/>
        <v>28.75531634611766</v>
      </c>
      <c r="G895">
        <f t="shared" si="56"/>
        <v>0</v>
      </c>
      <c r="H895" t="s">
        <v>1400</v>
      </c>
      <c r="I895">
        <v>91.6</v>
      </c>
      <c r="J895" t="s">
        <v>782</v>
      </c>
      <c r="K895" s="24">
        <v>98</v>
      </c>
      <c r="L895" s="24">
        <v>86</v>
      </c>
      <c r="M895">
        <v>119</v>
      </c>
      <c r="N895" t="s">
        <v>1434</v>
      </c>
      <c r="O895">
        <v>48</v>
      </c>
      <c r="P895">
        <v>71</v>
      </c>
      <c r="Q895" t="s">
        <v>25</v>
      </c>
      <c r="R895" t="s">
        <v>25</v>
      </c>
      <c r="S895" t="s">
        <v>30</v>
      </c>
      <c r="T895" t="s">
        <v>24</v>
      </c>
      <c r="U895">
        <f t="shared" si="54"/>
        <v>2</v>
      </c>
      <c r="V895">
        <v>163</v>
      </c>
      <c r="X895" t="s">
        <v>1410</v>
      </c>
      <c r="Y895">
        <v>98</v>
      </c>
      <c r="Z895">
        <v>86</v>
      </c>
      <c r="AA895" t="s">
        <v>31</v>
      </c>
      <c r="AB895">
        <v>41</v>
      </c>
      <c r="AC895" s="23">
        <v>0.85</v>
      </c>
      <c r="AD895" t="str">
        <f>IF(AND('CVD Dataset'!AA895="Normal",'CVD Dataset'!AB895&gt;AVERAGE('CVD Dataset'!AB:AB),'CVD Dataset'!AF895="High"),"High Lipid Category","Normal Category")</f>
        <v>Normal Category</v>
      </c>
      <c r="AE895">
        <v>15.04</v>
      </c>
      <c r="AF895" t="s">
        <v>28</v>
      </c>
      <c r="AG895">
        <v>0</v>
      </c>
      <c r="AH895" t="s">
        <v>1380</v>
      </c>
      <c r="AI895">
        <f t="shared" si="55"/>
        <v>0</v>
      </c>
      <c r="AJ895" t="s">
        <v>1391</v>
      </c>
    </row>
    <row r="896" spans="1:36" x14ac:dyDescent="0.3">
      <c r="A896" t="s">
        <v>33</v>
      </c>
      <c r="B896">
        <v>42</v>
      </c>
      <c r="C896">
        <v>55.9</v>
      </c>
      <c r="D896">
        <v>1.71</v>
      </c>
      <c r="E896">
        <v>19.100000000000001</v>
      </c>
      <c r="F896">
        <f t="shared" si="53"/>
        <v>19.116993262884307</v>
      </c>
      <c r="G896">
        <f t="shared" si="56"/>
        <v>0</v>
      </c>
      <c r="H896" t="s">
        <v>1398</v>
      </c>
      <c r="I896">
        <v>105.8</v>
      </c>
      <c r="J896" t="s">
        <v>783</v>
      </c>
      <c r="K896" s="24">
        <v>131</v>
      </c>
      <c r="L896" s="24">
        <v>66</v>
      </c>
      <c r="M896">
        <v>296</v>
      </c>
      <c r="N896" t="s">
        <v>1432</v>
      </c>
      <c r="O896">
        <v>43</v>
      </c>
      <c r="P896">
        <v>111</v>
      </c>
      <c r="Q896" t="s">
        <v>25</v>
      </c>
      <c r="R896" t="s">
        <v>25</v>
      </c>
      <c r="S896" t="s">
        <v>30</v>
      </c>
      <c r="T896" t="s">
        <v>25</v>
      </c>
      <c r="U896">
        <f t="shared" si="54"/>
        <v>3</v>
      </c>
      <c r="V896">
        <v>171</v>
      </c>
      <c r="W896">
        <v>0.61899999999999999</v>
      </c>
      <c r="X896" t="s">
        <v>1409</v>
      </c>
      <c r="Y896">
        <v>131</v>
      </c>
      <c r="Z896">
        <v>66</v>
      </c>
      <c r="AA896" t="s">
        <v>31</v>
      </c>
      <c r="AB896">
        <v>223</v>
      </c>
      <c r="AC896" s="23">
        <v>5.19</v>
      </c>
      <c r="AD896" t="str">
        <f>IF(AND('CVD Dataset'!AA896="Normal",'CVD Dataset'!AB896&gt;AVERAGE('CVD Dataset'!AB:AB),'CVD Dataset'!AF896="High"),"High Lipid Category","Normal Category")</f>
        <v>Normal Category</v>
      </c>
      <c r="AE896">
        <v>18.29</v>
      </c>
      <c r="AF896" t="s">
        <v>32</v>
      </c>
      <c r="AG896">
        <v>0</v>
      </c>
      <c r="AH896" t="s">
        <v>1379</v>
      </c>
      <c r="AI896">
        <f t="shared" si="55"/>
        <v>1</v>
      </c>
      <c r="AJ896" t="s">
        <v>1391</v>
      </c>
    </row>
    <row r="897" spans="1:36" x14ac:dyDescent="0.3">
      <c r="A897" t="s">
        <v>33</v>
      </c>
      <c r="B897">
        <v>55</v>
      </c>
      <c r="C897">
        <v>55.8</v>
      </c>
      <c r="D897">
        <v>1.79</v>
      </c>
      <c r="E897">
        <v>17.399999999999999</v>
      </c>
      <c r="F897">
        <f t="shared" si="53"/>
        <v>17.415186791922849</v>
      </c>
      <c r="G897">
        <f t="shared" si="56"/>
        <v>0</v>
      </c>
      <c r="H897" t="s">
        <v>1401</v>
      </c>
      <c r="I897">
        <v>73</v>
      </c>
      <c r="J897" t="s">
        <v>784</v>
      </c>
      <c r="K897" s="24">
        <v>146</v>
      </c>
      <c r="L897" s="24">
        <v>65</v>
      </c>
      <c r="M897">
        <v>258</v>
      </c>
      <c r="N897" t="s">
        <v>1432</v>
      </c>
      <c r="O897">
        <v>54</v>
      </c>
      <c r="P897">
        <v>85</v>
      </c>
      <c r="Q897" t="s">
        <v>25</v>
      </c>
      <c r="R897" t="s">
        <v>24</v>
      </c>
      <c r="S897" t="s">
        <v>26</v>
      </c>
      <c r="T897" t="s">
        <v>24</v>
      </c>
      <c r="U897">
        <f t="shared" si="54"/>
        <v>2</v>
      </c>
      <c r="V897">
        <v>179</v>
      </c>
      <c r="W897">
        <v>0.40799999999999997</v>
      </c>
      <c r="X897" t="s">
        <v>1408</v>
      </c>
      <c r="Y897">
        <v>146</v>
      </c>
      <c r="Z897">
        <v>65</v>
      </c>
      <c r="AA897" t="s">
        <v>40</v>
      </c>
      <c r="AB897">
        <v>174</v>
      </c>
      <c r="AC897" s="23">
        <v>3.22</v>
      </c>
      <c r="AD897" t="str">
        <f>IF(AND('CVD Dataset'!AA897="Normal",'CVD Dataset'!AB897&gt;AVERAGE('CVD Dataset'!AB:AB),'CVD Dataset'!AF897="High"),"High Lipid Category","Normal Category")</f>
        <v>Normal Category</v>
      </c>
      <c r="AE897">
        <v>15.94</v>
      </c>
      <c r="AF897" t="s">
        <v>32</v>
      </c>
      <c r="AG897">
        <v>0</v>
      </c>
      <c r="AH897" t="s">
        <v>1379</v>
      </c>
      <c r="AI897">
        <f t="shared" si="55"/>
        <v>1</v>
      </c>
      <c r="AJ897" t="s">
        <v>1391</v>
      </c>
    </row>
    <row r="898" spans="1:36" x14ac:dyDescent="0.3">
      <c r="A898" t="s">
        <v>33</v>
      </c>
      <c r="B898">
        <v>57</v>
      </c>
      <c r="C898">
        <v>105.1</v>
      </c>
      <c r="D898">
        <v>1.81</v>
      </c>
      <c r="E898">
        <v>32.1</v>
      </c>
      <c r="F898">
        <f t="shared" si="53"/>
        <v>32.080827813558805</v>
      </c>
      <c r="G898">
        <f t="shared" si="56"/>
        <v>0</v>
      </c>
      <c r="H898" t="s">
        <v>1399</v>
      </c>
      <c r="I898">
        <v>81</v>
      </c>
      <c r="J898" t="s">
        <v>402</v>
      </c>
      <c r="K898" s="24">
        <v>113</v>
      </c>
      <c r="L898" s="24">
        <v>95</v>
      </c>
      <c r="M898">
        <v>234</v>
      </c>
      <c r="N898" t="s">
        <v>1432</v>
      </c>
      <c r="O898">
        <v>58</v>
      </c>
      <c r="P898">
        <v>74</v>
      </c>
      <c r="Q898" t="s">
        <v>24</v>
      </c>
      <c r="R898" t="s">
        <v>25</v>
      </c>
      <c r="S898" t="s">
        <v>26</v>
      </c>
      <c r="T898" t="s">
        <v>24</v>
      </c>
      <c r="U898">
        <f t="shared" si="54"/>
        <v>2</v>
      </c>
      <c r="V898">
        <v>181</v>
      </c>
      <c r="W898">
        <v>0.44800000000000001</v>
      </c>
      <c r="X898" t="s">
        <v>1408</v>
      </c>
      <c r="Y898">
        <v>113</v>
      </c>
      <c r="Z898">
        <v>95</v>
      </c>
      <c r="AA898" t="s">
        <v>40</v>
      </c>
      <c r="AB898">
        <v>146</v>
      </c>
      <c r="AC898" s="23">
        <v>2.52</v>
      </c>
      <c r="AD898" t="str">
        <f>IF(AND('CVD Dataset'!AA898="Normal",'CVD Dataset'!AB898&gt;AVERAGE('CVD Dataset'!AB:AB),'CVD Dataset'!AF898="High"),"High Lipid Category","Normal Category")</f>
        <v>Normal Category</v>
      </c>
      <c r="AE898">
        <v>18.75</v>
      </c>
      <c r="AF898" t="s">
        <v>32</v>
      </c>
      <c r="AG898">
        <v>0</v>
      </c>
      <c r="AH898" t="s">
        <v>1379</v>
      </c>
      <c r="AI898">
        <f t="shared" si="55"/>
        <v>1</v>
      </c>
      <c r="AJ898" t="s">
        <v>1392</v>
      </c>
    </row>
    <row r="899" spans="1:36" x14ac:dyDescent="0.3">
      <c r="A899" t="s">
        <v>33</v>
      </c>
      <c r="B899">
        <v>51</v>
      </c>
      <c r="C899">
        <v>56.9</v>
      </c>
      <c r="D899">
        <v>1.7</v>
      </c>
      <c r="E899">
        <v>19.7</v>
      </c>
      <c r="F899">
        <f t="shared" ref="F899:F962" si="57">IFERROR(C899/POWER(D899,2),"")</f>
        <v>19.688581314878896</v>
      </c>
      <c r="G899">
        <f t="shared" si="56"/>
        <v>0</v>
      </c>
      <c r="H899" t="s">
        <v>1398</v>
      </c>
      <c r="I899">
        <v>75.3</v>
      </c>
      <c r="J899" t="s">
        <v>785</v>
      </c>
      <c r="K899" s="24">
        <v>141</v>
      </c>
      <c r="L899" s="24">
        <v>71</v>
      </c>
      <c r="M899">
        <v>109</v>
      </c>
      <c r="N899" t="s">
        <v>1434</v>
      </c>
      <c r="O899">
        <v>32</v>
      </c>
      <c r="P899">
        <v>122</v>
      </c>
      <c r="Q899" t="s">
        <v>24</v>
      </c>
      <c r="R899" t="s">
        <v>25</v>
      </c>
      <c r="S899" t="s">
        <v>30</v>
      </c>
      <c r="T899" t="s">
        <v>24</v>
      </c>
      <c r="U899">
        <f t="shared" ref="U899:U962" si="58">SUM(IF(Q899="Y",1,0),IF(R899="Y",1,0),IF(S899="Low",1,0),IF(T899="Y",1,0))</f>
        <v>1</v>
      </c>
      <c r="V899">
        <v>170</v>
      </c>
      <c r="W899">
        <v>0.443</v>
      </c>
      <c r="X899" t="s">
        <v>1408</v>
      </c>
      <c r="Z899">
        <v>71</v>
      </c>
      <c r="AA899" t="s">
        <v>40</v>
      </c>
      <c r="AB899">
        <v>47</v>
      </c>
      <c r="AC899" s="23">
        <v>1.47</v>
      </c>
      <c r="AD899" t="str">
        <f>IF(AND('CVD Dataset'!AA899="Normal",'CVD Dataset'!AB899&gt;AVERAGE('CVD Dataset'!AB:AB),'CVD Dataset'!AF899="High"),"High Lipid Category","Normal Category")</f>
        <v>Normal Category</v>
      </c>
      <c r="AE899">
        <v>15.17</v>
      </c>
      <c r="AF899" t="s">
        <v>28</v>
      </c>
      <c r="AG899">
        <v>0</v>
      </c>
      <c r="AH899" t="s">
        <v>1380</v>
      </c>
      <c r="AI899">
        <f t="shared" ref="AI899:AI962" si="59">IF(AF899="HIGH",1,0)</f>
        <v>0</v>
      </c>
      <c r="AJ899" t="s">
        <v>1392</v>
      </c>
    </row>
    <row r="900" spans="1:36" x14ac:dyDescent="0.3">
      <c r="A900" t="s">
        <v>22</v>
      </c>
      <c r="B900">
        <v>57</v>
      </c>
      <c r="C900">
        <v>77.2</v>
      </c>
      <c r="D900">
        <v>1.82</v>
      </c>
      <c r="E900">
        <v>23.3</v>
      </c>
      <c r="F900">
        <f t="shared" si="57"/>
        <v>23.306363965704623</v>
      </c>
      <c r="G900">
        <f t="shared" si="56"/>
        <v>0</v>
      </c>
      <c r="H900" t="s">
        <v>1398</v>
      </c>
      <c r="I900">
        <v>99.2</v>
      </c>
      <c r="J900" t="s">
        <v>786</v>
      </c>
      <c r="K900" s="24">
        <v>130</v>
      </c>
      <c r="L900" s="24">
        <v>61</v>
      </c>
      <c r="M900">
        <v>118</v>
      </c>
      <c r="N900" t="s">
        <v>1434</v>
      </c>
      <c r="O900">
        <v>43</v>
      </c>
      <c r="P900">
        <v>120</v>
      </c>
      <c r="Q900" t="s">
        <v>25</v>
      </c>
      <c r="R900" t="s">
        <v>24</v>
      </c>
      <c r="S900" t="s">
        <v>39</v>
      </c>
      <c r="T900" t="s">
        <v>24</v>
      </c>
      <c r="U900">
        <f t="shared" si="58"/>
        <v>1</v>
      </c>
      <c r="V900">
        <v>182</v>
      </c>
      <c r="W900">
        <v>0.54500000000000004</v>
      </c>
      <c r="X900" t="s">
        <v>1407</v>
      </c>
      <c r="Y900">
        <v>130</v>
      </c>
      <c r="Z900">
        <v>61</v>
      </c>
      <c r="AA900" t="s">
        <v>31</v>
      </c>
      <c r="AB900">
        <v>45</v>
      </c>
      <c r="AC900" s="23">
        <v>1.05</v>
      </c>
      <c r="AD900" t="str">
        <f>IF(AND('CVD Dataset'!AA900="Normal",'CVD Dataset'!AB900&gt;AVERAGE('CVD Dataset'!AB:AB),'CVD Dataset'!AF900="High"),"High Lipid Category","Normal Category")</f>
        <v>Normal Category</v>
      </c>
      <c r="AE900">
        <v>13.52</v>
      </c>
      <c r="AF900" t="s">
        <v>28</v>
      </c>
      <c r="AG900">
        <v>0</v>
      </c>
      <c r="AH900" t="s">
        <v>1380</v>
      </c>
      <c r="AI900">
        <f t="shared" si="59"/>
        <v>0</v>
      </c>
      <c r="AJ900" t="s">
        <v>1391</v>
      </c>
    </row>
    <row r="901" spans="1:36" x14ac:dyDescent="0.3">
      <c r="A901" t="s">
        <v>22</v>
      </c>
      <c r="B901">
        <v>34</v>
      </c>
      <c r="C901">
        <v>118.8</v>
      </c>
      <c r="D901">
        <v>1.61</v>
      </c>
      <c r="E901">
        <v>45.8</v>
      </c>
      <c r="F901">
        <f t="shared" si="57"/>
        <v>45.831565140233778</v>
      </c>
      <c r="G901">
        <f t="shared" si="56"/>
        <v>0</v>
      </c>
      <c r="H901" t="s">
        <v>1399</v>
      </c>
      <c r="I901">
        <v>102</v>
      </c>
      <c r="J901" t="s">
        <v>761</v>
      </c>
      <c r="K901" s="24">
        <v>118</v>
      </c>
      <c r="L901" s="24">
        <v>67</v>
      </c>
      <c r="M901">
        <v>236</v>
      </c>
      <c r="N901" t="s">
        <v>1432</v>
      </c>
      <c r="O901">
        <v>59</v>
      </c>
      <c r="Q901" t="s">
        <v>25</v>
      </c>
      <c r="R901" t="s">
        <v>25</v>
      </c>
      <c r="S901" t="s">
        <v>26</v>
      </c>
      <c r="T901" t="s">
        <v>25</v>
      </c>
      <c r="U901">
        <f t="shared" si="58"/>
        <v>4</v>
      </c>
      <c r="V901">
        <v>161</v>
      </c>
      <c r="X901" t="s">
        <v>1410</v>
      </c>
      <c r="Y901">
        <v>118</v>
      </c>
      <c r="Z901">
        <v>67</v>
      </c>
      <c r="AA901" t="s">
        <v>35</v>
      </c>
      <c r="AB901">
        <v>147</v>
      </c>
      <c r="AC901" s="23">
        <v>2.4900000000000002</v>
      </c>
      <c r="AD901" t="str">
        <f>IF(AND('CVD Dataset'!AA901="Normal",'CVD Dataset'!AB901&gt;AVERAGE('CVD Dataset'!AB:AB),'CVD Dataset'!AF901="High"),"High Lipid Category","Normal Category")</f>
        <v>High Lipid Category</v>
      </c>
      <c r="AE901">
        <v>21.78</v>
      </c>
      <c r="AF901" t="s">
        <v>32</v>
      </c>
      <c r="AG901">
        <v>0</v>
      </c>
      <c r="AH901" t="s">
        <v>1379</v>
      </c>
      <c r="AI901">
        <f t="shared" si="59"/>
        <v>1</v>
      </c>
      <c r="AJ901" t="s">
        <v>1391</v>
      </c>
    </row>
    <row r="902" spans="1:36" x14ac:dyDescent="0.3">
      <c r="A902" t="s">
        <v>33</v>
      </c>
      <c r="B902">
        <v>36</v>
      </c>
      <c r="C902">
        <v>61.2</v>
      </c>
      <c r="D902">
        <v>1.62</v>
      </c>
      <c r="E902">
        <v>23.3</v>
      </c>
      <c r="F902">
        <f t="shared" si="57"/>
        <v>23.319615912208501</v>
      </c>
      <c r="G902">
        <f t="shared" si="56"/>
        <v>0</v>
      </c>
      <c r="H902" t="s">
        <v>1398</v>
      </c>
      <c r="I902">
        <v>97.2</v>
      </c>
      <c r="J902" t="s">
        <v>787</v>
      </c>
      <c r="K902" s="24">
        <v>140</v>
      </c>
      <c r="L902" s="24">
        <v>67</v>
      </c>
      <c r="M902">
        <v>219</v>
      </c>
      <c r="N902" t="s">
        <v>1432</v>
      </c>
      <c r="O902">
        <v>78</v>
      </c>
      <c r="Q902" t="s">
        <v>24</v>
      </c>
      <c r="R902" t="s">
        <v>24</v>
      </c>
      <c r="S902" t="s">
        <v>39</v>
      </c>
      <c r="T902" t="s">
        <v>25</v>
      </c>
      <c r="U902">
        <f t="shared" si="58"/>
        <v>1</v>
      </c>
      <c r="V902">
        <v>162</v>
      </c>
      <c r="W902">
        <v>0.6</v>
      </c>
      <c r="X902" t="s">
        <v>1409</v>
      </c>
      <c r="Y902">
        <v>140</v>
      </c>
      <c r="Z902">
        <v>67</v>
      </c>
      <c r="AA902" t="s">
        <v>40</v>
      </c>
      <c r="AC902" s="23">
        <v>0</v>
      </c>
      <c r="AD902" t="str">
        <f>IF(AND('CVD Dataset'!AA902="Normal",'CVD Dataset'!AB902&gt;AVERAGE('CVD Dataset'!AB:AB),'CVD Dataset'!AF902="High"),"High Lipid Category","Normal Category")</f>
        <v>Normal Category</v>
      </c>
      <c r="AE902">
        <v>16.04</v>
      </c>
      <c r="AF902" t="s">
        <v>28</v>
      </c>
      <c r="AG902">
        <v>0</v>
      </c>
      <c r="AH902" t="s">
        <v>1380</v>
      </c>
      <c r="AI902">
        <f t="shared" si="59"/>
        <v>0</v>
      </c>
      <c r="AJ902" t="s">
        <v>1391</v>
      </c>
    </row>
    <row r="903" spans="1:36" x14ac:dyDescent="0.3">
      <c r="A903" t="s">
        <v>22</v>
      </c>
      <c r="B903">
        <v>42</v>
      </c>
      <c r="C903">
        <v>84.6</v>
      </c>
      <c r="E903">
        <v>30.3</v>
      </c>
      <c r="F903" t="str">
        <f t="shared" si="57"/>
        <v/>
      </c>
      <c r="G903" t="str">
        <f t="shared" si="56"/>
        <v/>
      </c>
      <c r="H903" t="s">
        <v>1399</v>
      </c>
      <c r="I903">
        <v>77.900000000000006</v>
      </c>
      <c r="J903" t="s">
        <v>788</v>
      </c>
      <c r="K903" s="24">
        <v>104</v>
      </c>
      <c r="L903" s="24">
        <v>62</v>
      </c>
      <c r="M903">
        <v>236</v>
      </c>
      <c r="N903" t="s">
        <v>1432</v>
      </c>
      <c r="O903">
        <v>70</v>
      </c>
      <c r="P903">
        <v>126</v>
      </c>
      <c r="Q903" t="s">
        <v>24</v>
      </c>
      <c r="R903" t="s">
        <v>25</v>
      </c>
      <c r="S903" t="s">
        <v>30</v>
      </c>
      <c r="T903" t="s">
        <v>25</v>
      </c>
      <c r="U903">
        <f t="shared" si="58"/>
        <v>2</v>
      </c>
      <c r="V903">
        <v>167</v>
      </c>
      <c r="W903">
        <v>0.46600000000000003</v>
      </c>
      <c r="X903" t="s">
        <v>1406</v>
      </c>
      <c r="Y903">
        <v>104</v>
      </c>
      <c r="Z903">
        <v>62</v>
      </c>
      <c r="AA903" t="s">
        <v>35</v>
      </c>
      <c r="AB903">
        <v>136</v>
      </c>
      <c r="AC903" s="23">
        <v>1.94</v>
      </c>
      <c r="AD903" t="str">
        <f>IF(AND('CVD Dataset'!AA903="Normal",'CVD Dataset'!AB903&gt;AVERAGE('CVD Dataset'!AB:AB),'CVD Dataset'!AF903="High"),"High Lipid Category","Normal Category")</f>
        <v>High Lipid Category</v>
      </c>
      <c r="AE903">
        <v>17.98</v>
      </c>
      <c r="AF903" t="s">
        <v>32</v>
      </c>
      <c r="AG903">
        <v>1</v>
      </c>
      <c r="AH903" t="s">
        <v>1379</v>
      </c>
      <c r="AI903">
        <f t="shared" si="59"/>
        <v>1</v>
      </c>
      <c r="AJ903" t="s">
        <v>1391</v>
      </c>
    </row>
    <row r="904" spans="1:36" x14ac:dyDescent="0.3">
      <c r="A904" t="s">
        <v>22</v>
      </c>
      <c r="B904">
        <v>35</v>
      </c>
      <c r="C904">
        <v>109.1</v>
      </c>
      <c r="D904">
        <v>1.81</v>
      </c>
      <c r="E904">
        <v>33.299999999999997</v>
      </c>
      <c r="F904">
        <f t="shared" si="57"/>
        <v>33.30179176459815</v>
      </c>
      <c r="G904">
        <f t="shared" si="56"/>
        <v>0</v>
      </c>
      <c r="H904" t="s">
        <v>1399</v>
      </c>
      <c r="I904">
        <v>91.9</v>
      </c>
      <c r="J904" t="s">
        <v>243</v>
      </c>
      <c r="K904" s="24">
        <v>127</v>
      </c>
      <c r="L904" s="24">
        <v>71</v>
      </c>
      <c r="M904">
        <v>120</v>
      </c>
      <c r="N904" t="s">
        <v>1434</v>
      </c>
      <c r="O904">
        <v>56</v>
      </c>
      <c r="P904">
        <v>149</v>
      </c>
      <c r="Q904" t="s">
        <v>24</v>
      </c>
      <c r="R904" t="s">
        <v>24</v>
      </c>
      <c r="S904" t="s">
        <v>30</v>
      </c>
      <c r="T904" t="s">
        <v>24</v>
      </c>
      <c r="U904">
        <f t="shared" si="58"/>
        <v>0</v>
      </c>
      <c r="V904">
        <v>181</v>
      </c>
      <c r="W904">
        <v>0.50800000000000001</v>
      </c>
      <c r="X904" t="s">
        <v>1406</v>
      </c>
      <c r="Y904">
        <v>127</v>
      </c>
      <c r="Z904">
        <v>71</v>
      </c>
      <c r="AA904" t="s">
        <v>27</v>
      </c>
      <c r="AB904">
        <v>34</v>
      </c>
      <c r="AC904" s="23">
        <v>0.61</v>
      </c>
      <c r="AD904" t="str">
        <f>IF(AND('CVD Dataset'!AA904="Normal",'CVD Dataset'!AB904&gt;AVERAGE('CVD Dataset'!AB:AB),'CVD Dataset'!AF904="High"),"High Lipid Category","Normal Category")</f>
        <v>Normal Category</v>
      </c>
      <c r="AE904">
        <v>15.41</v>
      </c>
      <c r="AF904" t="s">
        <v>54</v>
      </c>
      <c r="AG904">
        <v>0</v>
      </c>
      <c r="AH904" t="s">
        <v>1380</v>
      </c>
      <c r="AI904">
        <f t="shared" si="59"/>
        <v>0</v>
      </c>
      <c r="AJ904" t="s">
        <v>1391</v>
      </c>
    </row>
    <row r="905" spans="1:36" x14ac:dyDescent="0.3">
      <c r="A905" t="s">
        <v>22</v>
      </c>
      <c r="C905">
        <v>110.2</v>
      </c>
      <c r="D905">
        <v>1.77</v>
      </c>
      <c r="E905">
        <v>35.200000000000003</v>
      </c>
      <c r="F905">
        <f t="shared" si="57"/>
        <v>35.175077404321875</v>
      </c>
      <c r="G905">
        <f t="shared" si="56"/>
        <v>0</v>
      </c>
      <c r="H905" t="s">
        <v>1399</v>
      </c>
      <c r="I905">
        <v>102</v>
      </c>
      <c r="J905" t="s">
        <v>789</v>
      </c>
      <c r="K905" s="24">
        <v>92</v>
      </c>
      <c r="L905" s="24">
        <v>100</v>
      </c>
      <c r="M905">
        <v>247</v>
      </c>
      <c r="N905" t="s">
        <v>1432</v>
      </c>
      <c r="O905">
        <v>67</v>
      </c>
      <c r="P905">
        <v>106</v>
      </c>
      <c r="Q905" t="s">
        <v>25</v>
      </c>
      <c r="R905" t="s">
        <v>24</v>
      </c>
      <c r="S905" t="s">
        <v>30</v>
      </c>
      <c r="T905" t="s">
        <v>25</v>
      </c>
      <c r="U905">
        <f t="shared" si="58"/>
        <v>2</v>
      </c>
      <c r="V905">
        <v>177</v>
      </c>
      <c r="W905">
        <v>0.57599999999999996</v>
      </c>
      <c r="X905" t="s">
        <v>1407</v>
      </c>
      <c r="Y905">
        <v>92</v>
      </c>
      <c r="Z905">
        <v>100</v>
      </c>
      <c r="AA905" t="s">
        <v>40</v>
      </c>
      <c r="AB905">
        <v>150</v>
      </c>
      <c r="AC905" s="23">
        <v>2.2400000000000002</v>
      </c>
      <c r="AD905" t="str">
        <f>IF(AND('CVD Dataset'!AA905="Normal",'CVD Dataset'!AB905&gt;AVERAGE('CVD Dataset'!AB:AB),'CVD Dataset'!AF905="High"),"High Lipid Category","Normal Category")</f>
        <v>Normal Category</v>
      </c>
      <c r="AE905">
        <v>16.579999999999998</v>
      </c>
      <c r="AF905" t="s">
        <v>32</v>
      </c>
      <c r="AG905">
        <v>1</v>
      </c>
      <c r="AH905" t="s">
        <v>1379</v>
      </c>
      <c r="AI905">
        <f t="shared" si="59"/>
        <v>1</v>
      </c>
      <c r="AJ905" t="s">
        <v>1391</v>
      </c>
    </row>
    <row r="906" spans="1:36" x14ac:dyDescent="0.3">
      <c r="A906" t="s">
        <v>33</v>
      </c>
      <c r="B906">
        <v>48</v>
      </c>
      <c r="C906">
        <v>67.099999999999994</v>
      </c>
      <c r="D906">
        <v>1.77</v>
      </c>
      <c r="E906">
        <v>21.4</v>
      </c>
      <c r="F906">
        <f t="shared" si="57"/>
        <v>21.41785566088927</v>
      </c>
      <c r="G906">
        <f t="shared" si="56"/>
        <v>0</v>
      </c>
      <c r="H906" t="s">
        <v>1398</v>
      </c>
      <c r="I906">
        <v>98</v>
      </c>
      <c r="J906" t="s">
        <v>790</v>
      </c>
      <c r="K906" s="24">
        <v>126</v>
      </c>
      <c r="L906" s="24">
        <v>100</v>
      </c>
      <c r="M906">
        <v>268</v>
      </c>
      <c r="N906" t="s">
        <v>1432</v>
      </c>
      <c r="O906">
        <v>47</v>
      </c>
      <c r="P906">
        <v>79</v>
      </c>
      <c r="Q906" t="s">
        <v>24</v>
      </c>
      <c r="R906" t="s">
        <v>24</v>
      </c>
      <c r="S906" t="s">
        <v>26</v>
      </c>
      <c r="T906" t="s">
        <v>25</v>
      </c>
      <c r="U906">
        <f t="shared" si="58"/>
        <v>2</v>
      </c>
      <c r="W906">
        <v>0.55400000000000005</v>
      </c>
      <c r="X906" t="s">
        <v>1407</v>
      </c>
      <c r="Z906">
        <v>100</v>
      </c>
      <c r="AA906" t="s">
        <v>40</v>
      </c>
      <c r="AB906">
        <v>191</v>
      </c>
      <c r="AC906" s="23">
        <v>4.0599999999999996</v>
      </c>
      <c r="AD906" t="str">
        <f>IF(AND('CVD Dataset'!AA906="Normal",'CVD Dataset'!AB906&gt;AVERAGE('CVD Dataset'!AB:AB),'CVD Dataset'!AF906="High"),"High Lipid Category","Normal Category")</f>
        <v>Normal Category</v>
      </c>
      <c r="AE906">
        <v>15.94</v>
      </c>
      <c r="AF906" t="s">
        <v>32</v>
      </c>
      <c r="AG906">
        <v>0</v>
      </c>
      <c r="AH906" t="s">
        <v>1379</v>
      </c>
      <c r="AI906">
        <f t="shared" si="59"/>
        <v>1</v>
      </c>
      <c r="AJ906" t="s">
        <v>1391</v>
      </c>
    </row>
    <row r="907" spans="1:36" x14ac:dyDescent="0.3">
      <c r="A907" t="s">
        <v>22</v>
      </c>
      <c r="C907">
        <v>111.6</v>
      </c>
      <c r="D907">
        <v>1.75</v>
      </c>
      <c r="E907">
        <v>36.4</v>
      </c>
      <c r="F907">
        <f t="shared" si="57"/>
        <v>36.440816326530609</v>
      </c>
      <c r="G907">
        <f t="shared" si="56"/>
        <v>0</v>
      </c>
      <c r="H907" t="s">
        <v>1399</v>
      </c>
      <c r="I907">
        <v>85.1</v>
      </c>
      <c r="J907" t="s">
        <v>791</v>
      </c>
      <c r="K907" s="24">
        <v>131</v>
      </c>
      <c r="L907" s="24">
        <v>62</v>
      </c>
      <c r="M907">
        <v>265</v>
      </c>
      <c r="N907" t="s">
        <v>1432</v>
      </c>
      <c r="O907">
        <v>66</v>
      </c>
      <c r="P907">
        <v>127</v>
      </c>
      <c r="Q907" t="s">
        <v>24</v>
      </c>
      <c r="R907" t="s">
        <v>24</v>
      </c>
      <c r="S907" t="s">
        <v>30</v>
      </c>
      <c r="T907" t="s">
        <v>24</v>
      </c>
      <c r="U907">
        <f t="shared" si="58"/>
        <v>0</v>
      </c>
      <c r="V907">
        <v>175</v>
      </c>
      <c r="W907">
        <v>0.48599999999999999</v>
      </c>
      <c r="X907" t="s">
        <v>1406</v>
      </c>
      <c r="Y907">
        <v>131</v>
      </c>
      <c r="Z907">
        <v>62</v>
      </c>
      <c r="AA907" t="s">
        <v>31</v>
      </c>
      <c r="AB907">
        <v>169</v>
      </c>
      <c r="AC907" s="23">
        <v>2.56</v>
      </c>
      <c r="AD907" t="str">
        <f>IF(AND('CVD Dataset'!AA907="Normal",'CVD Dataset'!AB907&gt;AVERAGE('CVD Dataset'!AB:AB),'CVD Dataset'!AF907="High"),"High Lipid Category","Normal Category")</f>
        <v>Normal Category</v>
      </c>
      <c r="AE907">
        <v>19.13</v>
      </c>
      <c r="AF907" t="s">
        <v>28</v>
      </c>
      <c r="AG907">
        <v>0</v>
      </c>
      <c r="AH907" t="s">
        <v>1380</v>
      </c>
      <c r="AI907">
        <f t="shared" si="59"/>
        <v>0</v>
      </c>
      <c r="AJ907" t="s">
        <v>1391</v>
      </c>
    </row>
    <row r="908" spans="1:36" x14ac:dyDescent="0.3">
      <c r="A908" t="s">
        <v>33</v>
      </c>
      <c r="B908">
        <v>53</v>
      </c>
      <c r="C908">
        <v>90.2</v>
      </c>
      <c r="D908">
        <v>1.61</v>
      </c>
      <c r="E908">
        <v>34.799999999999997</v>
      </c>
      <c r="F908">
        <f t="shared" si="57"/>
        <v>34.798040199066392</v>
      </c>
      <c r="G908">
        <f t="shared" si="56"/>
        <v>0</v>
      </c>
      <c r="H908" t="s">
        <v>1399</v>
      </c>
      <c r="I908">
        <v>85.3</v>
      </c>
      <c r="J908" t="s">
        <v>281</v>
      </c>
      <c r="K908" s="24">
        <v>136</v>
      </c>
      <c r="L908" s="24">
        <v>76</v>
      </c>
      <c r="M908">
        <v>300</v>
      </c>
      <c r="N908" t="s">
        <v>1432</v>
      </c>
      <c r="O908">
        <v>33</v>
      </c>
      <c r="P908">
        <v>84</v>
      </c>
      <c r="Q908" t="s">
        <v>24</v>
      </c>
      <c r="R908" t="s">
        <v>25</v>
      </c>
      <c r="S908" t="s">
        <v>39</v>
      </c>
      <c r="T908" t="s">
        <v>25</v>
      </c>
      <c r="U908">
        <f t="shared" si="58"/>
        <v>2</v>
      </c>
      <c r="W908">
        <v>0.53</v>
      </c>
      <c r="X908" t="s">
        <v>1407</v>
      </c>
      <c r="Y908">
        <v>136</v>
      </c>
      <c r="AA908" t="s">
        <v>31</v>
      </c>
      <c r="AB908">
        <v>237</v>
      </c>
      <c r="AC908" s="23">
        <v>7.18</v>
      </c>
      <c r="AD908" t="str">
        <f>IF(AND('CVD Dataset'!AA908="Normal",'CVD Dataset'!AB908&gt;AVERAGE('CVD Dataset'!AB:AB),'CVD Dataset'!AF908="High"),"High Lipid Category","Normal Category")</f>
        <v>Normal Category</v>
      </c>
      <c r="AE908">
        <v>21.76</v>
      </c>
      <c r="AF908" t="s">
        <v>32</v>
      </c>
      <c r="AG908">
        <v>0</v>
      </c>
      <c r="AH908" t="s">
        <v>1379</v>
      </c>
      <c r="AI908">
        <f t="shared" si="59"/>
        <v>1</v>
      </c>
      <c r="AJ908" t="s">
        <v>1392</v>
      </c>
    </row>
    <row r="909" spans="1:36" x14ac:dyDescent="0.3">
      <c r="A909" t="s">
        <v>22</v>
      </c>
      <c r="B909">
        <v>52</v>
      </c>
      <c r="C909">
        <v>67</v>
      </c>
      <c r="D909">
        <v>1.88</v>
      </c>
      <c r="E909">
        <v>19</v>
      </c>
      <c r="F909">
        <f t="shared" si="57"/>
        <v>18.956541421457676</v>
      </c>
      <c r="G909">
        <f t="shared" si="56"/>
        <v>0</v>
      </c>
      <c r="H909" t="s">
        <v>1398</v>
      </c>
      <c r="I909">
        <v>108.1</v>
      </c>
      <c r="J909" t="s">
        <v>792</v>
      </c>
      <c r="K909" s="24">
        <v>122</v>
      </c>
      <c r="L909" s="24">
        <v>97</v>
      </c>
      <c r="M909">
        <v>300</v>
      </c>
      <c r="N909" t="s">
        <v>1432</v>
      </c>
      <c r="O909">
        <v>49</v>
      </c>
      <c r="P909">
        <v>148</v>
      </c>
      <c r="Q909" t="s">
        <v>24</v>
      </c>
      <c r="R909" t="s">
        <v>24</v>
      </c>
      <c r="S909" t="s">
        <v>26</v>
      </c>
      <c r="T909" t="s">
        <v>24</v>
      </c>
      <c r="U909">
        <f t="shared" si="58"/>
        <v>1</v>
      </c>
      <c r="V909">
        <v>188</v>
      </c>
      <c r="W909">
        <v>0.57499999999999996</v>
      </c>
      <c r="X909" t="s">
        <v>1407</v>
      </c>
      <c r="Y909">
        <v>122</v>
      </c>
      <c r="Z909">
        <v>97</v>
      </c>
      <c r="AA909" t="s">
        <v>40</v>
      </c>
      <c r="AB909">
        <v>221</v>
      </c>
      <c r="AC909" s="23">
        <v>4.51</v>
      </c>
      <c r="AD909" t="str">
        <f>IF(AND('CVD Dataset'!AA909="Normal",'CVD Dataset'!AB909&gt;AVERAGE('CVD Dataset'!AB:AB),'CVD Dataset'!AF909="High"),"High Lipid Category","Normal Category")</f>
        <v>Normal Category</v>
      </c>
      <c r="AE909">
        <v>15.9</v>
      </c>
      <c r="AF909" t="s">
        <v>28</v>
      </c>
      <c r="AG909">
        <v>0</v>
      </c>
      <c r="AH909" t="s">
        <v>1380</v>
      </c>
      <c r="AI909">
        <f t="shared" si="59"/>
        <v>0</v>
      </c>
      <c r="AJ909" t="s">
        <v>1391</v>
      </c>
    </row>
    <row r="910" spans="1:36" x14ac:dyDescent="0.3">
      <c r="A910" t="s">
        <v>33</v>
      </c>
      <c r="B910">
        <v>45</v>
      </c>
      <c r="C910">
        <v>96.8</v>
      </c>
      <c r="D910">
        <v>1.86</v>
      </c>
      <c r="E910">
        <v>28</v>
      </c>
      <c r="F910">
        <f t="shared" si="57"/>
        <v>27.980113307896861</v>
      </c>
      <c r="G910">
        <f t="shared" si="56"/>
        <v>0</v>
      </c>
      <c r="H910" t="s">
        <v>1400</v>
      </c>
      <c r="I910">
        <v>71.400000000000006</v>
      </c>
      <c r="J910" t="s">
        <v>793</v>
      </c>
      <c r="K910" s="24">
        <v>112</v>
      </c>
      <c r="L910" s="24">
        <v>75</v>
      </c>
      <c r="M910">
        <v>230</v>
      </c>
      <c r="N910" t="s">
        <v>1432</v>
      </c>
      <c r="O910">
        <v>57</v>
      </c>
      <c r="P910">
        <v>91</v>
      </c>
      <c r="Q910" t="s">
        <v>25</v>
      </c>
      <c r="R910" t="s">
        <v>25</v>
      </c>
      <c r="S910" t="s">
        <v>30</v>
      </c>
      <c r="T910" t="s">
        <v>24</v>
      </c>
      <c r="U910">
        <f t="shared" si="58"/>
        <v>2</v>
      </c>
      <c r="W910">
        <v>0.38400000000000001</v>
      </c>
      <c r="X910" t="s">
        <v>1408</v>
      </c>
      <c r="Y910">
        <v>112</v>
      </c>
      <c r="Z910">
        <v>75</v>
      </c>
      <c r="AA910" t="s">
        <v>35</v>
      </c>
      <c r="AB910">
        <v>143</v>
      </c>
      <c r="AC910" s="23">
        <v>2.5099999999999998</v>
      </c>
      <c r="AD910" t="str">
        <f>IF(AND('CVD Dataset'!AA910="Normal",'CVD Dataset'!AB910&gt;AVERAGE('CVD Dataset'!AB:AB),'CVD Dataset'!AF910="High"),"High Lipid Category","Normal Category")</f>
        <v>High Lipid Category</v>
      </c>
      <c r="AE910">
        <v>17.8</v>
      </c>
      <c r="AF910" t="s">
        <v>32</v>
      </c>
      <c r="AG910">
        <v>0</v>
      </c>
      <c r="AH910" t="s">
        <v>1379</v>
      </c>
      <c r="AI910">
        <f t="shared" si="59"/>
        <v>1</v>
      </c>
      <c r="AJ910" t="s">
        <v>1391</v>
      </c>
    </row>
    <row r="911" spans="1:36" x14ac:dyDescent="0.3">
      <c r="A911" t="s">
        <v>33</v>
      </c>
      <c r="B911">
        <v>42</v>
      </c>
      <c r="C911">
        <v>59.4</v>
      </c>
      <c r="D911">
        <v>1.89</v>
      </c>
      <c r="E911">
        <v>16.600000000000001</v>
      </c>
      <c r="F911">
        <f t="shared" si="57"/>
        <v>16.628873771730916</v>
      </c>
      <c r="G911">
        <f t="shared" ref="G911:G974" si="60">IFERROR(IF(ABS(E911 - F911) &lt;= 0.1, 0, 1),"")</f>
        <v>0</v>
      </c>
      <c r="H911" t="s">
        <v>1401</v>
      </c>
      <c r="I911">
        <v>94.4</v>
      </c>
      <c r="J911" t="s">
        <v>350</v>
      </c>
      <c r="K911" s="24">
        <v>125</v>
      </c>
      <c r="L911" s="24">
        <v>61</v>
      </c>
      <c r="M911">
        <v>228</v>
      </c>
      <c r="N911" t="s">
        <v>1432</v>
      </c>
      <c r="O911">
        <v>71</v>
      </c>
      <c r="P911">
        <v>147</v>
      </c>
      <c r="Q911" t="s">
        <v>24</v>
      </c>
      <c r="R911" t="s">
        <v>25</v>
      </c>
      <c r="S911" t="s">
        <v>30</v>
      </c>
      <c r="T911" t="s">
        <v>24</v>
      </c>
      <c r="U911">
        <f t="shared" si="58"/>
        <v>1</v>
      </c>
      <c r="V911">
        <v>189</v>
      </c>
      <c r="W911">
        <v>0.499</v>
      </c>
      <c r="X911" t="s">
        <v>1406</v>
      </c>
      <c r="Y911">
        <v>125</v>
      </c>
      <c r="AA911" t="s">
        <v>27</v>
      </c>
      <c r="AB911">
        <v>127</v>
      </c>
      <c r="AC911" s="23">
        <v>1.79</v>
      </c>
      <c r="AD911" t="str">
        <f>IF(AND('CVD Dataset'!AA911="Normal",'CVD Dataset'!AB911&gt;AVERAGE('CVD Dataset'!AB:AB),'CVD Dataset'!AF911="High"),"High Lipid Category","Normal Category")</f>
        <v>Normal Category</v>
      </c>
      <c r="AE911">
        <v>16.13</v>
      </c>
      <c r="AF911" t="s">
        <v>28</v>
      </c>
      <c r="AG911">
        <v>0</v>
      </c>
      <c r="AH911" t="s">
        <v>1380</v>
      </c>
      <c r="AI911">
        <f t="shared" si="59"/>
        <v>0</v>
      </c>
      <c r="AJ911" t="s">
        <v>1391</v>
      </c>
    </row>
    <row r="912" spans="1:36" x14ac:dyDescent="0.3">
      <c r="A912" t="s">
        <v>22</v>
      </c>
      <c r="B912">
        <v>42</v>
      </c>
      <c r="C912">
        <v>93.5</v>
      </c>
      <c r="D912">
        <v>1.76</v>
      </c>
      <c r="E912">
        <v>30.2</v>
      </c>
      <c r="F912">
        <f t="shared" si="57"/>
        <v>30.184659090909093</v>
      </c>
      <c r="G912">
        <f t="shared" si="60"/>
        <v>0</v>
      </c>
      <c r="H912" t="s">
        <v>1399</v>
      </c>
      <c r="I912">
        <v>92.1</v>
      </c>
      <c r="J912" t="s">
        <v>794</v>
      </c>
      <c r="K912" s="24">
        <v>102</v>
      </c>
      <c r="L912" s="24">
        <v>64</v>
      </c>
      <c r="M912">
        <v>290</v>
      </c>
      <c r="N912" t="s">
        <v>1432</v>
      </c>
      <c r="O912">
        <v>39</v>
      </c>
      <c r="P912">
        <v>78</v>
      </c>
      <c r="Q912" t="s">
        <v>25</v>
      </c>
      <c r="R912" t="s">
        <v>25</v>
      </c>
      <c r="S912" t="s">
        <v>26</v>
      </c>
      <c r="T912" t="s">
        <v>24</v>
      </c>
      <c r="U912">
        <f t="shared" si="58"/>
        <v>3</v>
      </c>
      <c r="V912">
        <v>176</v>
      </c>
      <c r="W912">
        <v>0.52300000000000002</v>
      </c>
      <c r="X912" t="s">
        <v>1407</v>
      </c>
      <c r="Y912">
        <v>102</v>
      </c>
      <c r="Z912">
        <v>64</v>
      </c>
      <c r="AA912" t="s">
        <v>35</v>
      </c>
      <c r="AB912">
        <v>221</v>
      </c>
      <c r="AC912" s="23">
        <v>5.67</v>
      </c>
      <c r="AD912" t="str">
        <f>IF(AND('CVD Dataset'!AA912="Normal",'CVD Dataset'!AB912&gt;AVERAGE('CVD Dataset'!AB:AB),'CVD Dataset'!AF912="High"),"High Lipid Category","Normal Category")</f>
        <v>High Lipid Category</v>
      </c>
      <c r="AE912">
        <v>18.940000000000001</v>
      </c>
      <c r="AF912" t="s">
        <v>32</v>
      </c>
      <c r="AG912">
        <v>0</v>
      </c>
      <c r="AH912" t="s">
        <v>1379</v>
      </c>
      <c r="AI912">
        <f t="shared" si="59"/>
        <v>1</v>
      </c>
      <c r="AJ912" t="s">
        <v>1391</v>
      </c>
    </row>
    <row r="913" spans="1:36" x14ac:dyDescent="0.3">
      <c r="A913" t="s">
        <v>22</v>
      </c>
      <c r="B913">
        <v>58</v>
      </c>
      <c r="C913">
        <v>72.3</v>
      </c>
      <c r="D913">
        <v>1.74</v>
      </c>
      <c r="E913">
        <v>23.9</v>
      </c>
      <c r="F913">
        <f t="shared" si="57"/>
        <v>23.880301228695995</v>
      </c>
      <c r="G913">
        <f t="shared" si="60"/>
        <v>0</v>
      </c>
      <c r="H913" t="s">
        <v>1398</v>
      </c>
      <c r="I913">
        <v>91.6</v>
      </c>
      <c r="J913" t="s">
        <v>117</v>
      </c>
      <c r="K913" s="24">
        <v>99</v>
      </c>
      <c r="L913" s="24">
        <v>90</v>
      </c>
      <c r="M913">
        <v>208</v>
      </c>
      <c r="N913" t="s">
        <v>1432</v>
      </c>
      <c r="O913">
        <v>63</v>
      </c>
      <c r="P913">
        <v>114</v>
      </c>
      <c r="Q913" t="s">
        <v>24</v>
      </c>
      <c r="R913" t="s">
        <v>24</v>
      </c>
      <c r="S913" t="s">
        <v>30</v>
      </c>
      <c r="T913" t="s">
        <v>24</v>
      </c>
      <c r="U913">
        <f t="shared" si="58"/>
        <v>0</v>
      </c>
      <c r="V913">
        <v>174</v>
      </c>
      <c r="W913">
        <v>0.52600000000000002</v>
      </c>
      <c r="X913" t="s">
        <v>1407</v>
      </c>
      <c r="Y913">
        <v>99</v>
      </c>
      <c r="Z913">
        <v>90</v>
      </c>
      <c r="AA913" t="s">
        <v>40</v>
      </c>
      <c r="AB913">
        <v>115</v>
      </c>
      <c r="AC913" s="23">
        <v>1.83</v>
      </c>
      <c r="AD913" t="str">
        <f>IF(AND('CVD Dataset'!AA913="Normal",'CVD Dataset'!AB913&gt;AVERAGE('CVD Dataset'!AB:AB),'CVD Dataset'!AF913="High"),"High Lipid Category","Normal Category")</f>
        <v>Normal Category</v>
      </c>
      <c r="AE913">
        <v>13.89</v>
      </c>
      <c r="AF913" t="s">
        <v>28</v>
      </c>
      <c r="AG913">
        <v>0</v>
      </c>
      <c r="AH913" t="s">
        <v>1380</v>
      </c>
      <c r="AI913">
        <f t="shared" si="59"/>
        <v>0</v>
      </c>
      <c r="AJ913" t="s">
        <v>1391</v>
      </c>
    </row>
    <row r="914" spans="1:36" x14ac:dyDescent="0.3">
      <c r="A914" t="s">
        <v>22</v>
      </c>
      <c r="B914">
        <v>48</v>
      </c>
      <c r="C914">
        <v>60.8</v>
      </c>
      <c r="D914">
        <v>1.68</v>
      </c>
      <c r="E914">
        <v>21.5</v>
      </c>
      <c r="F914">
        <f t="shared" si="57"/>
        <v>21.541950113378686</v>
      </c>
      <c r="G914">
        <f t="shared" si="60"/>
        <v>0</v>
      </c>
      <c r="H914" t="s">
        <v>1398</v>
      </c>
      <c r="I914">
        <v>82.5</v>
      </c>
      <c r="J914" t="s">
        <v>795</v>
      </c>
      <c r="K914" s="24">
        <v>133</v>
      </c>
      <c r="L914" s="24">
        <v>76</v>
      </c>
      <c r="M914">
        <v>173</v>
      </c>
      <c r="N914" t="s">
        <v>1433</v>
      </c>
      <c r="O914">
        <v>56</v>
      </c>
      <c r="P914">
        <v>122</v>
      </c>
      <c r="Q914" t="s">
        <v>24</v>
      </c>
      <c r="R914" t="s">
        <v>24</v>
      </c>
      <c r="S914" t="s">
        <v>39</v>
      </c>
      <c r="T914" t="s">
        <v>25</v>
      </c>
      <c r="U914">
        <f t="shared" si="58"/>
        <v>1</v>
      </c>
      <c r="V914">
        <v>168</v>
      </c>
      <c r="W914">
        <v>0.49099999999999999</v>
      </c>
      <c r="X914" t="s">
        <v>1406</v>
      </c>
      <c r="Y914">
        <v>133</v>
      </c>
      <c r="Z914">
        <v>76</v>
      </c>
      <c r="AA914" t="s">
        <v>31</v>
      </c>
      <c r="AB914">
        <v>87</v>
      </c>
      <c r="AC914" s="23">
        <v>1.55</v>
      </c>
      <c r="AD914" t="str">
        <f>IF(AND('CVD Dataset'!AA914="Normal",'CVD Dataset'!AB914&gt;AVERAGE('CVD Dataset'!AB:AB),'CVD Dataset'!AF914="High"),"High Lipid Category","Normal Category")</f>
        <v>Normal Category</v>
      </c>
      <c r="AE914">
        <v>14.41</v>
      </c>
      <c r="AF914" t="s">
        <v>28</v>
      </c>
      <c r="AG914">
        <v>0</v>
      </c>
      <c r="AH914" t="s">
        <v>1380</v>
      </c>
      <c r="AI914">
        <f t="shared" si="59"/>
        <v>0</v>
      </c>
      <c r="AJ914" t="s">
        <v>1391</v>
      </c>
    </row>
    <row r="915" spans="1:36" x14ac:dyDescent="0.3">
      <c r="A915" t="s">
        <v>33</v>
      </c>
      <c r="B915">
        <v>54</v>
      </c>
      <c r="C915">
        <v>111</v>
      </c>
      <c r="D915">
        <v>1.78</v>
      </c>
      <c r="E915">
        <v>35</v>
      </c>
      <c r="F915">
        <f t="shared" si="57"/>
        <v>35.033455371796492</v>
      </c>
      <c r="G915">
        <f t="shared" si="60"/>
        <v>0</v>
      </c>
      <c r="H915" t="s">
        <v>1399</v>
      </c>
      <c r="I915">
        <v>100</v>
      </c>
      <c r="J915" t="s">
        <v>796</v>
      </c>
      <c r="K915" s="24">
        <v>117</v>
      </c>
      <c r="L915" s="24">
        <v>74</v>
      </c>
      <c r="M915">
        <v>247</v>
      </c>
      <c r="N915" t="s">
        <v>1432</v>
      </c>
      <c r="O915">
        <v>41</v>
      </c>
      <c r="P915">
        <v>136</v>
      </c>
      <c r="Q915" t="s">
        <v>24</v>
      </c>
      <c r="R915" t="s">
        <v>25</v>
      </c>
      <c r="S915" t="s">
        <v>39</v>
      </c>
      <c r="T915" t="s">
        <v>24</v>
      </c>
      <c r="U915">
        <f t="shared" si="58"/>
        <v>1</v>
      </c>
      <c r="V915">
        <v>178</v>
      </c>
      <c r="W915">
        <v>0.56200000000000006</v>
      </c>
      <c r="X915" t="s">
        <v>1407</v>
      </c>
      <c r="Y915">
        <v>117</v>
      </c>
      <c r="Z915">
        <v>74</v>
      </c>
      <c r="AA915" t="s">
        <v>35</v>
      </c>
      <c r="AB915">
        <v>176</v>
      </c>
      <c r="AC915" s="23">
        <v>4.29</v>
      </c>
      <c r="AD915" t="str">
        <f>IF(AND('CVD Dataset'!AA915="Normal",'CVD Dataset'!AB915&gt;AVERAGE('CVD Dataset'!AB:AB),'CVD Dataset'!AF915="High"),"High Lipid Category","Normal Category")</f>
        <v>High Lipid Category</v>
      </c>
      <c r="AE915">
        <v>19.79</v>
      </c>
      <c r="AF915" t="s">
        <v>32</v>
      </c>
      <c r="AG915">
        <v>0</v>
      </c>
      <c r="AH915" t="s">
        <v>1379</v>
      </c>
      <c r="AI915">
        <f t="shared" si="59"/>
        <v>1</v>
      </c>
      <c r="AJ915" t="s">
        <v>1391</v>
      </c>
    </row>
    <row r="916" spans="1:36" x14ac:dyDescent="0.3">
      <c r="A916" t="s">
        <v>22</v>
      </c>
      <c r="B916">
        <v>59</v>
      </c>
      <c r="C916">
        <v>103</v>
      </c>
      <c r="D916">
        <v>1.8</v>
      </c>
      <c r="E916">
        <v>31.8</v>
      </c>
      <c r="F916">
        <f t="shared" si="57"/>
        <v>31.79012345679012</v>
      </c>
      <c r="G916">
        <f t="shared" si="60"/>
        <v>0</v>
      </c>
      <c r="H916" t="s">
        <v>1399</v>
      </c>
      <c r="I916">
        <v>94.4</v>
      </c>
      <c r="J916" t="s">
        <v>797</v>
      </c>
      <c r="K916" s="24">
        <v>139</v>
      </c>
      <c r="L916" s="24">
        <v>68</v>
      </c>
      <c r="M916">
        <v>107</v>
      </c>
      <c r="N916" t="s">
        <v>1434</v>
      </c>
      <c r="O916">
        <v>42</v>
      </c>
      <c r="P916">
        <v>124</v>
      </c>
      <c r="Q916" t="s">
        <v>24</v>
      </c>
      <c r="R916" t="s">
        <v>24</v>
      </c>
      <c r="S916" t="s">
        <v>26</v>
      </c>
      <c r="T916" t="s">
        <v>25</v>
      </c>
      <c r="U916">
        <f t="shared" si="58"/>
        <v>2</v>
      </c>
      <c r="V916">
        <v>180</v>
      </c>
      <c r="W916">
        <v>0.52400000000000002</v>
      </c>
      <c r="X916" t="s">
        <v>1407</v>
      </c>
      <c r="Y916">
        <v>139</v>
      </c>
      <c r="Z916">
        <v>68</v>
      </c>
      <c r="AA916" t="s">
        <v>31</v>
      </c>
      <c r="AB916">
        <v>35</v>
      </c>
      <c r="AC916" s="23">
        <v>0.83</v>
      </c>
      <c r="AD916" t="str">
        <f>IF(AND('CVD Dataset'!AA916="Normal",'CVD Dataset'!AB916&gt;AVERAGE('CVD Dataset'!AB:AB),'CVD Dataset'!AF916="High"),"High Lipid Category","Normal Category")</f>
        <v>Normal Category</v>
      </c>
      <c r="AE916">
        <v>15.45</v>
      </c>
      <c r="AF916" t="s">
        <v>32</v>
      </c>
      <c r="AG916">
        <v>0</v>
      </c>
      <c r="AH916" t="s">
        <v>1379</v>
      </c>
      <c r="AI916">
        <f t="shared" si="59"/>
        <v>1</v>
      </c>
      <c r="AJ916" t="s">
        <v>1391</v>
      </c>
    </row>
    <row r="917" spans="1:36" x14ac:dyDescent="0.3">
      <c r="A917" t="s">
        <v>33</v>
      </c>
      <c r="B917">
        <v>33</v>
      </c>
      <c r="C917">
        <v>95.7</v>
      </c>
      <c r="E917">
        <v>35.200000000000003</v>
      </c>
      <c r="F917" t="str">
        <f t="shared" si="57"/>
        <v/>
      </c>
      <c r="G917" t="str">
        <f t="shared" si="60"/>
        <v/>
      </c>
      <c r="H917" t="s">
        <v>1399</v>
      </c>
      <c r="I917">
        <v>72.099999999999994</v>
      </c>
      <c r="J917" t="s">
        <v>643</v>
      </c>
      <c r="K917" s="24">
        <v>140</v>
      </c>
      <c r="L917" s="24">
        <v>62</v>
      </c>
      <c r="M917">
        <v>118</v>
      </c>
      <c r="N917" t="s">
        <v>1434</v>
      </c>
      <c r="O917">
        <v>45</v>
      </c>
      <c r="P917">
        <v>91</v>
      </c>
      <c r="Q917" t="s">
        <v>25</v>
      </c>
      <c r="R917" t="s">
        <v>25</v>
      </c>
      <c r="S917" t="s">
        <v>39</v>
      </c>
      <c r="T917" t="s">
        <v>25</v>
      </c>
      <c r="U917">
        <f t="shared" si="58"/>
        <v>3</v>
      </c>
      <c r="V917">
        <v>165</v>
      </c>
      <c r="X917" t="s">
        <v>1410</v>
      </c>
      <c r="Y917">
        <v>140</v>
      </c>
      <c r="Z917">
        <v>62</v>
      </c>
      <c r="AA917" t="s">
        <v>40</v>
      </c>
      <c r="AB917">
        <v>43</v>
      </c>
      <c r="AC917" s="23">
        <v>0.96</v>
      </c>
      <c r="AD917" t="str">
        <f>IF(AND('CVD Dataset'!AA917="Normal",'CVD Dataset'!AB917&gt;AVERAGE('CVD Dataset'!AB:AB),'CVD Dataset'!AF917="High"),"High Lipid Category","Normal Category")</f>
        <v>Normal Category</v>
      </c>
      <c r="AE917">
        <v>18.399999999999999</v>
      </c>
      <c r="AF917" t="s">
        <v>32</v>
      </c>
      <c r="AG917">
        <v>0</v>
      </c>
      <c r="AH917" t="s">
        <v>1379</v>
      </c>
      <c r="AI917">
        <f t="shared" si="59"/>
        <v>1</v>
      </c>
      <c r="AJ917" t="s">
        <v>1391</v>
      </c>
    </row>
    <row r="918" spans="1:36" x14ac:dyDescent="0.3">
      <c r="A918" t="s">
        <v>22</v>
      </c>
      <c r="B918">
        <v>34</v>
      </c>
      <c r="C918">
        <v>64.599999999999994</v>
      </c>
      <c r="D918">
        <v>1.62</v>
      </c>
      <c r="E918">
        <v>24.6</v>
      </c>
      <c r="F918">
        <f t="shared" si="57"/>
        <v>24.615150129553413</v>
      </c>
      <c r="G918">
        <f t="shared" si="60"/>
        <v>0</v>
      </c>
      <c r="H918" t="s">
        <v>1398</v>
      </c>
      <c r="I918">
        <v>92.8</v>
      </c>
      <c r="J918" t="s">
        <v>798</v>
      </c>
      <c r="K918" s="24">
        <v>90</v>
      </c>
      <c r="L918" s="24">
        <v>70</v>
      </c>
      <c r="M918">
        <v>106</v>
      </c>
      <c r="N918" t="s">
        <v>1434</v>
      </c>
      <c r="O918">
        <v>43</v>
      </c>
      <c r="P918">
        <v>114</v>
      </c>
      <c r="Q918" t="s">
        <v>25</v>
      </c>
      <c r="R918" t="s">
        <v>25</v>
      </c>
      <c r="S918" t="s">
        <v>39</v>
      </c>
      <c r="T918" t="s">
        <v>24</v>
      </c>
      <c r="U918">
        <f t="shared" si="58"/>
        <v>2</v>
      </c>
      <c r="V918">
        <v>162</v>
      </c>
      <c r="W918">
        <v>0.57299999999999995</v>
      </c>
      <c r="X918" t="s">
        <v>1407</v>
      </c>
      <c r="Y918">
        <v>90</v>
      </c>
      <c r="Z918">
        <v>70</v>
      </c>
      <c r="AA918" t="s">
        <v>35</v>
      </c>
      <c r="AB918">
        <v>33</v>
      </c>
      <c r="AC918" s="23">
        <v>0.77</v>
      </c>
      <c r="AD918" t="str">
        <f>IF(AND('CVD Dataset'!AA918="Normal",'CVD Dataset'!AB918&gt;AVERAGE('CVD Dataset'!AB:AB),'CVD Dataset'!AF918="High"),"High Lipid Category","Normal Category")</f>
        <v>Normal Category</v>
      </c>
      <c r="AE918">
        <v>13.54</v>
      </c>
      <c r="AF918" t="s">
        <v>28</v>
      </c>
      <c r="AG918">
        <v>0</v>
      </c>
      <c r="AH918" t="s">
        <v>1380</v>
      </c>
      <c r="AI918">
        <f t="shared" si="59"/>
        <v>0</v>
      </c>
      <c r="AJ918" t="s">
        <v>1391</v>
      </c>
    </row>
    <row r="919" spans="1:36" x14ac:dyDescent="0.3">
      <c r="A919" t="s">
        <v>33</v>
      </c>
      <c r="C919">
        <v>56.2</v>
      </c>
      <c r="D919">
        <v>1.89</v>
      </c>
      <c r="E919">
        <v>15.7</v>
      </c>
      <c r="F919">
        <f t="shared" si="57"/>
        <v>15.733042188068644</v>
      </c>
      <c r="G919">
        <f t="shared" si="60"/>
        <v>0</v>
      </c>
      <c r="H919" t="s">
        <v>1401</v>
      </c>
      <c r="I919">
        <v>74.599999999999994</v>
      </c>
      <c r="J919" t="s">
        <v>784</v>
      </c>
      <c r="K919" s="24">
        <v>146</v>
      </c>
      <c r="L919" s="24">
        <v>65</v>
      </c>
      <c r="M919">
        <v>131</v>
      </c>
      <c r="N919" t="s">
        <v>1434</v>
      </c>
      <c r="O919">
        <v>45</v>
      </c>
      <c r="P919">
        <v>93</v>
      </c>
      <c r="Q919" t="s">
        <v>24</v>
      </c>
      <c r="R919" t="s">
        <v>25</v>
      </c>
      <c r="S919" t="s">
        <v>26</v>
      </c>
      <c r="T919" t="s">
        <v>25</v>
      </c>
      <c r="U919">
        <f t="shared" si="58"/>
        <v>3</v>
      </c>
      <c r="V919">
        <v>189</v>
      </c>
      <c r="W919">
        <v>0.39500000000000002</v>
      </c>
      <c r="X919" t="s">
        <v>1408</v>
      </c>
      <c r="Y919">
        <v>146</v>
      </c>
      <c r="Z919">
        <v>65</v>
      </c>
      <c r="AA919" t="s">
        <v>40</v>
      </c>
      <c r="AB919">
        <v>56</v>
      </c>
      <c r="AC919" s="23">
        <v>1.24</v>
      </c>
      <c r="AD919" t="str">
        <f>IF(AND('CVD Dataset'!AA919="Normal",'CVD Dataset'!AB919&gt;AVERAGE('CVD Dataset'!AB:AB),'CVD Dataset'!AF919="High"),"High Lipid Category","Normal Category")</f>
        <v>Normal Category</v>
      </c>
      <c r="AE919">
        <v>15.06</v>
      </c>
      <c r="AF919" t="s">
        <v>28</v>
      </c>
      <c r="AG919">
        <v>0</v>
      </c>
      <c r="AH919" t="s">
        <v>1380</v>
      </c>
      <c r="AI919">
        <f t="shared" si="59"/>
        <v>0</v>
      </c>
      <c r="AJ919" t="s">
        <v>1391</v>
      </c>
    </row>
    <row r="920" spans="1:36" x14ac:dyDescent="0.3">
      <c r="A920" t="s">
        <v>22</v>
      </c>
      <c r="B920">
        <v>30</v>
      </c>
      <c r="C920">
        <v>65.2</v>
      </c>
      <c r="D920">
        <v>1.71</v>
      </c>
      <c r="E920">
        <v>22.3</v>
      </c>
      <c r="F920">
        <f t="shared" si="57"/>
        <v>22.297459047228209</v>
      </c>
      <c r="G920">
        <f t="shared" si="60"/>
        <v>0</v>
      </c>
      <c r="H920" t="s">
        <v>1398</v>
      </c>
      <c r="I920">
        <v>86</v>
      </c>
      <c r="J920" t="s">
        <v>799</v>
      </c>
      <c r="K920" s="24">
        <v>97</v>
      </c>
      <c r="L920" s="24">
        <v>67</v>
      </c>
      <c r="M920">
        <v>229</v>
      </c>
      <c r="N920" t="s">
        <v>1432</v>
      </c>
      <c r="O920">
        <v>68</v>
      </c>
      <c r="Q920" t="s">
        <v>24</v>
      </c>
      <c r="R920" t="s">
        <v>25</v>
      </c>
      <c r="S920" t="s">
        <v>26</v>
      </c>
      <c r="T920" t="s">
        <v>25</v>
      </c>
      <c r="U920">
        <f t="shared" si="58"/>
        <v>3</v>
      </c>
      <c r="V920">
        <v>171</v>
      </c>
      <c r="W920">
        <v>0.503</v>
      </c>
      <c r="X920" t="s">
        <v>1406</v>
      </c>
      <c r="Y920">
        <v>97</v>
      </c>
      <c r="Z920">
        <v>67</v>
      </c>
      <c r="AA920" t="s">
        <v>35</v>
      </c>
      <c r="AB920">
        <v>131</v>
      </c>
      <c r="AC920" s="23">
        <v>1.93</v>
      </c>
      <c r="AD920" t="str">
        <f>IF(AND('CVD Dataset'!AA920="Normal",'CVD Dataset'!AB920&gt;AVERAGE('CVD Dataset'!AB:AB),'CVD Dataset'!AF920="High"),"High Lipid Category","Normal Category")</f>
        <v>High Lipid Category</v>
      </c>
      <c r="AE920">
        <v>15.89</v>
      </c>
      <c r="AF920" t="s">
        <v>32</v>
      </c>
      <c r="AG920">
        <v>1</v>
      </c>
      <c r="AH920" t="s">
        <v>1379</v>
      </c>
      <c r="AI920">
        <f t="shared" si="59"/>
        <v>1</v>
      </c>
      <c r="AJ920" t="s">
        <v>1391</v>
      </c>
    </row>
    <row r="921" spans="1:36" x14ac:dyDescent="0.3">
      <c r="A921" t="s">
        <v>22</v>
      </c>
      <c r="B921">
        <v>37</v>
      </c>
      <c r="D921">
        <v>1.69</v>
      </c>
      <c r="E921">
        <v>35.5</v>
      </c>
      <c r="F921">
        <f t="shared" si="57"/>
        <v>0</v>
      </c>
      <c r="G921">
        <f t="shared" si="60"/>
        <v>1</v>
      </c>
      <c r="H921" t="s">
        <v>1399</v>
      </c>
      <c r="I921">
        <v>77.8</v>
      </c>
      <c r="J921" t="s">
        <v>800</v>
      </c>
      <c r="K921" s="24">
        <v>126</v>
      </c>
      <c r="L921" s="24">
        <v>99</v>
      </c>
      <c r="M921">
        <v>126</v>
      </c>
      <c r="N921" t="s">
        <v>1434</v>
      </c>
      <c r="O921">
        <v>57</v>
      </c>
      <c r="P921">
        <v>88</v>
      </c>
      <c r="Q921" t="s">
        <v>25</v>
      </c>
      <c r="R921" t="s">
        <v>25</v>
      </c>
      <c r="S921" t="s">
        <v>39</v>
      </c>
      <c r="T921" t="s">
        <v>25</v>
      </c>
      <c r="U921">
        <f t="shared" si="58"/>
        <v>3</v>
      </c>
      <c r="V921">
        <v>169</v>
      </c>
      <c r="X921" t="s">
        <v>1410</v>
      </c>
      <c r="Y921">
        <v>126</v>
      </c>
      <c r="Z921">
        <v>99</v>
      </c>
      <c r="AA921" t="s">
        <v>40</v>
      </c>
      <c r="AB921">
        <v>39</v>
      </c>
      <c r="AC921" s="23">
        <v>0.68</v>
      </c>
      <c r="AD921" t="str">
        <f>IF(AND('CVD Dataset'!AA921="Normal",'CVD Dataset'!AB921&gt;AVERAGE('CVD Dataset'!AB:AB),'CVD Dataset'!AF921="High"),"High Lipid Category","Normal Category")</f>
        <v>Normal Category</v>
      </c>
      <c r="AE921">
        <v>17.920000000000002</v>
      </c>
      <c r="AF921" t="s">
        <v>32</v>
      </c>
      <c r="AG921">
        <v>0</v>
      </c>
      <c r="AH921" t="s">
        <v>1379</v>
      </c>
      <c r="AI921">
        <f t="shared" si="59"/>
        <v>1</v>
      </c>
      <c r="AJ921" t="s">
        <v>1391</v>
      </c>
    </row>
    <row r="922" spans="1:36" x14ac:dyDescent="0.3">
      <c r="A922" t="s">
        <v>33</v>
      </c>
      <c r="B922">
        <v>39</v>
      </c>
      <c r="C922">
        <v>77.900000000000006</v>
      </c>
      <c r="D922">
        <v>1.72</v>
      </c>
      <c r="E922">
        <v>26.3</v>
      </c>
      <c r="F922">
        <f t="shared" si="57"/>
        <v>26.331800973499192</v>
      </c>
      <c r="G922">
        <f t="shared" si="60"/>
        <v>0</v>
      </c>
      <c r="H922" t="s">
        <v>1400</v>
      </c>
      <c r="I922">
        <v>95.9</v>
      </c>
      <c r="J922" t="s">
        <v>801</v>
      </c>
      <c r="K922" s="24">
        <v>120</v>
      </c>
      <c r="L922" s="24">
        <v>91</v>
      </c>
      <c r="M922">
        <v>208</v>
      </c>
      <c r="N922" t="s">
        <v>1432</v>
      </c>
      <c r="O922">
        <v>66</v>
      </c>
      <c r="P922">
        <v>103</v>
      </c>
      <c r="Q922" t="s">
        <v>24</v>
      </c>
      <c r="R922" t="s">
        <v>25</v>
      </c>
      <c r="S922" t="s">
        <v>39</v>
      </c>
      <c r="T922" t="s">
        <v>24</v>
      </c>
      <c r="U922">
        <f t="shared" si="58"/>
        <v>1</v>
      </c>
      <c r="V922">
        <v>172</v>
      </c>
      <c r="W922">
        <v>0.55800000000000005</v>
      </c>
      <c r="X922" t="s">
        <v>1407</v>
      </c>
      <c r="Y922">
        <v>120</v>
      </c>
      <c r="Z922">
        <v>91</v>
      </c>
      <c r="AA922" t="s">
        <v>40</v>
      </c>
      <c r="AB922">
        <v>112</v>
      </c>
      <c r="AC922" s="23">
        <v>1.7</v>
      </c>
      <c r="AD922" t="str">
        <f>IF(AND('CVD Dataset'!AA922="Normal",'CVD Dataset'!AB922&gt;AVERAGE('CVD Dataset'!AB:AB),'CVD Dataset'!AF922="High"),"High Lipid Category","Normal Category")</f>
        <v>Normal Category</v>
      </c>
      <c r="AE922">
        <v>17.420000000000002</v>
      </c>
      <c r="AF922" t="s">
        <v>28</v>
      </c>
      <c r="AG922">
        <v>0</v>
      </c>
      <c r="AH922" t="s">
        <v>1380</v>
      </c>
      <c r="AI922">
        <f t="shared" si="59"/>
        <v>0</v>
      </c>
      <c r="AJ922" t="s">
        <v>1391</v>
      </c>
    </row>
    <row r="923" spans="1:36" x14ac:dyDescent="0.3">
      <c r="A923" t="s">
        <v>33</v>
      </c>
      <c r="B923">
        <v>48</v>
      </c>
      <c r="C923">
        <v>107.2</v>
      </c>
      <c r="D923">
        <v>1.61</v>
      </c>
      <c r="E923">
        <v>41.4</v>
      </c>
      <c r="F923">
        <f t="shared" si="57"/>
        <v>41.356429150109946</v>
      </c>
      <c r="G923">
        <f t="shared" si="60"/>
        <v>0</v>
      </c>
      <c r="H923" t="s">
        <v>1399</v>
      </c>
      <c r="I923">
        <v>80.8</v>
      </c>
      <c r="J923" t="s">
        <v>609</v>
      </c>
      <c r="K923" s="24">
        <v>113</v>
      </c>
      <c r="L923" s="24">
        <v>77</v>
      </c>
      <c r="M923">
        <v>152</v>
      </c>
      <c r="N923" t="s">
        <v>1433</v>
      </c>
      <c r="O923">
        <v>80</v>
      </c>
      <c r="P923">
        <v>134</v>
      </c>
      <c r="Q923" t="s">
        <v>25</v>
      </c>
      <c r="R923" t="s">
        <v>24</v>
      </c>
      <c r="S923" t="s">
        <v>39</v>
      </c>
      <c r="T923" t="s">
        <v>24</v>
      </c>
      <c r="U923">
        <f t="shared" si="58"/>
        <v>1</v>
      </c>
      <c r="V923">
        <v>161</v>
      </c>
      <c r="W923">
        <v>0.502</v>
      </c>
      <c r="X923" t="s">
        <v>1406</v>
      </c>
      <c r="Y923">
        <v>113</v>
      </c>
      <c r="AA923" t="s">
        <v>35</v>
      </c>
      <c r="AB923">
        <v>42</v>
      </c>
      <c r="AC923" s="23">
        <v>0.53</v>
      </c>
      <c r="AD923" t="str">
        <f>IF(AND('CVD Dataset'!AA923="Normal",'CVD Dataset'!AB923&gt;AVERAGE('CVD Dataset'!AB:AB),'CVD Dataset'!AF923="High"),"High Lipid Category","Normal Category")</f>
        <v>Normal Category</v>
      </c>
      <c r="AE923">
        <v>16.97</v>
      </c>
      <c r="AF923" t="s">
        <v>28</v>
      </c>
      <c r="AG923">
        <v>0</v>
      </c>
      <c r="AH923" t="s">
        <v>1380</v>
      </c>
      <c r="AI923">
        <f t="shared" si="59"/>
        <v>0</v>
      </c>
      <c r="AJ923" t="s">
        <v>1391</v>
      </c>
    </row>
    <row r="924" spans="1:36" x14ac:dyDescent="0.3">
      <c r="A924" t="s">
        <v>33</v>
      </c>
      <c r="B924">
        <v>60</v>
      </c>
      <c r="C924">
        <v>86.5</v>
      </c>
      <c r="D924">
        <v>1.6</v>
      </c>
      <c r="E924">
        <v>33.799999999999997</v>
      </c>
      <c r="F924">
        <f t="shared" si="57"/>
        <v>33.789062499999993</v>
      </c>
      <c r="G924">
        <f t="shared" si="60"/>
        <v>0</v>
      </c>
      <c r="H924" t="s">
        <v>1399</v>
      </c>
      <c r="I924">
        <v>70.7</v>
      </c>
      <c r="J924" t="s">
        <v>124</v>
      </c>
      <c r="K924" s="24">
        <v>119</v>
      </c>
      <c r="L924" s="24">
        <v>65</v>
      </c>
      <c r="M924">
        <v>181</v>
      </c>
      <c r="N924" t="s">
        <v>1432</v>
      </c>
      <c r="O924">
        <v>47</v>
      </c>
      <c r="P924">
        <v>129</v>
      </c>
      <c r="Q924" t="s">
        <v>24</v>
      </c>
      <c r="R924" t="s">
        <v>24</v>
      </c>
      <c r="S924" t="s">
        <v>30</v>
      </c>
      <c r="T924" t="s">
        <v>24</v>
      </c>
      <c r="U924">
        <f t="shared" si="58"/>
        <v>0</v>
      </c>
      <c r="V924">
        <v>160</v>
      </c>
      <c r="W924">
        <v>0.442</v>
      </c>
      <c r="X924" t="s">
        <v>1408</v>
      </c>
      <c r="Y924">
        <v>119</v>
      </c>
      <c r="Z924">
        <v>65</v>
      </c>
      <c r="AA924" t="s">
        <v>35</v>
      </c>
      <c r="AB924">
        <v>104</v>
      </c>
      <c r="AC924" s="23">
        <v>2.21</v>
      </c>
      <c r="AD924" t="str">
        <f>IF(AND('CVD Dataset'!AA924="Normal",'CVD Dataset'!AB924&gt;AVERAGE('CVD Dataset'!AB:AB),'CVD Dataset'!AF924="High"),"High Lipid Category","Normal Category")</f>
        <v>Normal Category</v>
      </c>
      <c r="AE924">
        <v>16.329999999999998</v>
      </c>
      <c r="AF924" t="s">
        <v>28</v>
      </c>
      <c r="AG924">
        <v>0</v>
      </c>
      <c r="AH924" t="s">
        <v>1380</v>
      </c>
      <c r="AI924">
        <f t="shared" si="59"/>
        <v>0</v>
      </c>
      <c r="AJ924" t="s">
        <v>1391</v>
      </c>
    </row>
    <row r="925" spans="1:36" x14ac:dyDescent="0.3">
      <c r="A925" t="s">
        <v>33</v>
      </c>
      <c r="C925">
        <v>73.2</v>
      </c>
      <c r="D925">
        <v>1.62</v>
      </c>
      <c r="E925">
        <v>27.9</v>
      </c>
      <c r="F925">
        <f t="shared" si="57"/>
        <v>27.892089620484679</v>
      </c>
      <c r="G925">
        <f t="shared" si="60"/>
        <v>0</v>
      </c>
      <c r="H925" t="s">
        <v>1400</v>
      </c>
      <c r="I925">
        <v>70.2</v>
      </c>
      <c r="J925" t="s">
        <v>302</v>
      </c>
      <c r="K925" s="24">
        <v>115</v>
      </c>
      <c r="L925" s="24">
        <v>100</v>
      </c>
      <c r="N925" t="s">
        <v>1434</v>
      </c>
      <c r="O925">
        <v>34</v>
      </c>
      <c r="P925">
        <v>104</v>
      </c>
      <c r="Q925" t="s">
        <v>25</v>
      </c>
      <c r="R925" t="s">
        <v>25</v>
      </c>
      <c r="S925" t="s">
        <v>30</v>
      </c>
      <c r="T925" t="s">
        <v>24</v>
      </c>
      <c r="U925">
        <f t="shared" si="58"/>
        <v>2</v>
      </c>
      <c r="V925">
        <v>162</v>
      </c>
      <c r="W925">
        <v>0.433</v>
      </c>
      <c r="X925" t="s">
        <v>1408</v>
      </c>
      <c r="Y925">
        <v>115</v>
      </c>
      <c r="Z925">
        <v>100</v>
      </c>
      <c r="AA925" t="s">
        <v>40</v>
      </c>
      <c r="AB925">
        <v>160</v>
      </c>
      <c r="AC925" s="23">
        <v>4.71</v>
      </c>
      <c r="AD925" t="str">
        <f>IF(AND('CVD Dataset'!AA925="Normal",'CVD Dataset'!AB925&gt;AVERAGE('CVD Dataset'!AB:AB),'CVD Dataset'!AF925="High"),"High Lipid Category","Normal Category")</f>
        <v>Normal Category</v>
      </c>
      <c r="AE925">
        <v>17.809999999999999</v>
      </c>
      <c r="AF925" t="s">
        <v>32</v>
      </c>
      <c r="AG925">
        <v>0</v>
      </c>
      <c r="AH925" t="s">
        <v>1379</v>
      </c>
      <c r="AI925">
        <f t="shared" si="59"/>
        <v>1</v>
      </c>
      <c r="AJ925" t="s">
        <v>1391</v>
      </c>
    </row>
    <row r="926" spans="1:36" x14ac:dyDescent="0.3">
      <c r="A926" t="s">
        <v>33</v>
      </c>
      <c r="B926">
        <v>44</v>
      </c>
      <c r="C926">
        <v>113</v>
      </c>
      <c r="D926">
        <v>1.7</v>
      </c>
      <c r="E926">
        <v>39.1</v>
      </c>
      <c r="F926">
        <f t="shared" si="57"/>
        <v>39.100346020761251</v>
      </c>
      <c r="G926">
        <f t="shared" si="60"/>
        <v>0</v>
      </c>
      <c r="H926" t="s">
        <v>1399</v>
      </c>
      <c r="I926">
        <v>82.6</v>
      </c>
      <c r="J926" t="s">
        <v>802</v>
      </c>
      <c r="K926" s="24">
        <v>113</v>
      </c>
      <c r="L926" s="24">
        <v>70</v>
      </c>
      <c r="M926">
        <v>270</v>
      </c>
      <c r="N926" t="s">
        <v>1432</v>
      </c>
      <c r="O926">
        <v>44</v>
      </c>
      <c r="P926">
        <v>103</v>
      </c>
      <c r="Q926" t="s">
        <v>25</v>
      </c>
      <c r="R926" t="s">
        <v>25</v>
      </c>
      <c r="S926" t="s">
        <v>30</v>
      </c>
      <c r="T926" t="s">
        <v>24</v>
      </c>
      <c r="U926">
        <f t="shared" si="58"/>
        <v>2</v>
      </c>
      <c r="V926">
        <v>170</v>
      </c>
      <c r="W926">
        <v>0.48599999999999999</v>
      </c>
      <c r="X926" t="s">
        <v>1406</v>
      </c>
      <c r="Y926">
        <v>113</v>
      </c>
      <c r="Z926">
        <v>70</v>
      </c>
      <c r="AA926" t="s">
        <v>35</v>
      </c>
      <c r="AB926">
        <v>196</v>
      </c>
      <c r="AC926" s="23">
        <v>4.45</v>
      </c>
      <c r="AD926" t="str">
        <f>IF(AND('CVD Dataset'!AA926="Normal",'CVD Dataset'!AB926&gt;AVERAGE('CVD Dataset'!AB:AB),'CVD Dataset'!AF926="High"),"High Lipid Category","Normal Category")</f>
        <v>High Lipid Category</v>
      </c>
      <c r="AE926">
        <v>20.87</v>
      </c>
      <c r="AF926" t="s">
        <v>32</v>
      </c>
      <c r="AG926">
        <v>0</v>
      </c>
      <c r="AH926" t="s">
        <v>1379</v>
      </c>
      <c r="AI926">
        <f t="shared" si="59"/>
        <v>1</v>
      </c>
      <c r="AJ926" t="s">
        <v>1391</v>
      </c>
    </row>
    <row r="927" spans="1:36" x14ac:dyDescent="0.3">
      <c r="A927" t="s">
        <v>33</v>
      </c>
      <c r="B927">
        <v>40</v>
      </c>
      <c r="C927">
        <v>120</v>
      </c>
      <c r="E927">
        <v>35.4</v>
      </c>
      <c r="F927" t="str">
        <f t="shared" si="57"/>
        <v/>
      </c>
      <c r="G927" t="str">
        <f t="shared" si="60"/>
        <v/>
      </c>
      <c r="H927" t="s">
        <v>1399</v>
      </c>
      <c r="I927">
        <v>100.9</v>
      </c>
      <c r="J927" t="s">
        <v>803</v>
      </c>
      <c r="K927" s="24">
        <v>94</v>
      </c>
      <c r="L927" s="24">
        <v>68</v>
      </c>
      <c r="M927">
        <v>223</v>
      </c>
      <c r="N927" t="s">
        <v>1432</v>
      </c>
      <c r="O927">
        <v>62</v>
      </c>
      <c r="P927">
        <v>84</v>
      </c>
      <c r="Q927" t="s">
        <v>25</v>
      </c>
      <c r="R927" t="s">
        <v>25</v>
      </c>
      <c r="S927" t="s">
        <v>39</v>
      </c>
      <c r="T927" t="s">
        <v>25</v>
      </c>
      <c r="U927">
        <f t="shared" si="58"/>
        <v>3</v>
      </c>
      <c r="V927">
        <v>184</v>
      </c>
      <c r="W927">
        <v>0.54800000000000004</v>
      </c>
      <c r="X927" t="s">
        <v>1407</v>
      </c>
      <c r="Y927">
        <v>94</v>
      </c>
      <c r="Z927">
        <v>68</v>
      </c>
      <c r="AA927" t="s">
        <v>35</v>
      </c>
      <c r="AB927">
        <v>131</v>
      </c>
      <c r="AC927" s="23">
        <v>2.11</v>
      </c>
      <c r="AD927" t="str">
        <f>IF(AND('CVD Dataset'!AA927="Normal",'CVD Dataset'!AB927&gt;AVERAGE('CVD Dataset'!AB:AB),'CVD Dataset'!AF927="High"),"High Lipid Category","Normal Category")</f>
        <v>High Lipid Category</v>
      </c>
      <c r="AE927">
        <v>18.239999999999998</v>
      </c>
      <c r="AF927" t="s">
        <v>32</v>
      </c>
      <c r="AG927">
        <v>1</v>
      </c>
      <c r="AH927" t="s">
        <v>1379</v>
      </c>
      <c r="AI927">
        <f t="shared" si="59"/>
        <v>1</v>
      </c>
      <c r="AJ927" t="s">
        <v>1391</v>
      </c>
    </row>
    <row r="928" spans="1:36" x14ac:dyDescent="0.3">
      <c r="A928" t="s">
        <v>22</v>
      </c>
      <c r="B928">
        <v>56</v>
      </c>
      <c r="C928">
        <v>114</v>
      </c>
      <c r="D928">
        <v>1.66</v>
      </c>
      <c r="E928">
        <v>41.4</v>
      </c>
      <c r="F928">
        <f t="shared" si="57"/>
        <v>41.370300479024536</v>
      </c>
      <c r="G928">
        <f t="shared" si="60"/>
        <v>0</v>
      </c>
      <c r="H928" t="s">
        <v>1399</v>
      </c>
      <c r="I928">
        <v>73.900000000000006</v>
      </c>
      <c r="J928" t="s">
        <v>661</v>
      </c>
      <c r="K928" s="24">
        <v>111</v>
      </c>
      <c r="L928" s="24">
        <v>97</v>
      </c>
      <c r="M928">
        <v>120</v>
      </c>
      <c r="N928" t="s">
        <v>1434</v>
      </c>
      <c r="O928">
        <v>34</v>
      </c>
      <c r="P928">
        <v>93</v>
      </c>
      <c r="Q928" t="s">
        <v>25</v>
      </c>
      <c r="R928" t="s">
        <v>24</v>
      </c>
      <c r="S928" t="s">
        <v>30</v>
      </c>
      <c r="T928" t="s">
        <v>24</v>
      </c>
      <c r="U928">
        <f t="shared" si="58"/>
        <v>1</v>
      </c>
      <c r="V928">
        <v>166</v>
      </c>
      <c r="W928">
        <v>0.44500000000000001</v>
      </c>
      <c r="X928" t="s">
        <v>1408</v>
      </c>
      <c r="Y928">
        <v>111</v>
      </c>
      <c r="Z928">
        <v>97</v>
      </c>
      <c r="AA928" t="s">
        <v>40</v>
      </c>
      <c r="AB928">
        <v>56</v>
      </c>
      <c r="AC928" s="23">
        <v>1.65</v>
      </c>
      <c r="AD928" t="str">
        <f>IF(AND('CVD Dataset'!AA928="Normal",'CVD Dataset'!AB928&gt;AVERAGE('CVD Dataset'!AB:AB),'CVD Dataset'!AF928="High"),"High Lipid Category","Normal Category")</f>
        <v>Normal Category</v>
      </c>
      <c r="AE928">
        <v>16.23</v>
      </c>
      <c r="AF928" t="s">
        <v>32</v>
      </c>
      <c r="AG928">
        <v>0</v>
      </c>
      <c r="AH928" t="s">
        <v>1379</v>
      </c>
      <c r="AI928">
        <f t="shared" si="59"/>
        <v>1</v>
      </c>
      <c r="AJ928" t="s">
        <v>1391</v>
      </c>
    </row>
    <row r="929" spans="1:36" x14ac:dyDescent="0.3">
      <c r="A929" t="s">
        <v>33</v>
      </c>
      <c r="B929">
        <v>59</v>
      </c>
      <c r="C929">
        <v>82.7</v>
      </c>
      <c r="D929">
        <v>1.84</v>
      </c>
      <c r="E929">
        <v>24.4</v>
      </c>
      <c r="F929">
        <f t="shared" si="57"/>
        <v>24.426984877126653</v>
      </c>
      <c r="G929">
        <f t="shared" si="60"/>
        <v>0</v>
      </c>
      <c r="H929" t="s">
        <v>1398</v>
      </c>
      <c r="I929">
        <v>100.2</v>
      </c>
      <c r="J929" t="s">
        <v>804</v>
      </c>
      <c r="K929" s="24">
        <v>145</v>
      </c>
      <c r="L929" s="24">
        <v>65</v>
      </c>
      <c r="M929">
        <v>158</v>
      </c>
      <c r="N929" t="s">
        <v>1433</v>
      </c>
      <c r="O929">
        <v>75</v>
      </c>
      <c r="P929">
        <v>107</v>
      </c>
      <c r="Q929" t="s">
        <v>25</v>
      </c>
      <c r="R929" t="s">
        <v>24</v>
      </c>
      <c r="S929" t="s">
        <v>39</v>
      </c>
      <c r="T929" t="s">
        <v>24</v>
      </c>
      <c r="U929">
        <f t="shared" si="58"/>
        <v>1</v>
      </c>
      <c r="V929">
        <v>184</v>
      </c>
      <c r="W929">
        <v>0.54500000000000004</v>
      </c>
      <c r="X929" t="s">
        <v>1407</v>
      </c>
      <c r="Y929">
        <v>145</v>
      </c>
      <c r="Z929">
        <v>65</v>
      </c>
      <c r="AA929" t="s">
        <v>40</v>
      </c>
      <c r="AB929">
        <v>53</v>
      </c>
      <c r="AC929" s="23">
        <v>0.71</v>
      </c>
      <c r="AD929" t="str">
        <f>IF(AND('CVD Dataset'!AA929="Normal",'CVD Dataset'!AB929&gt;AVERAGE('CVD Dataset'!AB:AB),'CVD Dataset'!AF929="High"),"High Lipid Category","Normal Category")</f>
        <v>Normal Category</v>
      </c>
      <c r="AE929">
        <v>15.29</v>
      </c>
      <c r="AF929" t="s">
        <v>28</v>
      </c>
      <c r="AG929">
        <v>0</v>
      </c>
      <c r="AH929" t="s">
        <v>1380</v>
      </c>
      <c r="AI929">
        <f t="shared" si="59"/>
        <v>0</v>
      </c>
      <c r="AJ929" t="s">
        <v>1391</v>
      </c>
    </row>
    <row r="930" spans="1:36" x14ac:dyDescent="0.3">
      <c r="A930" t="s">
        <v>22</v>
      </c>
      <c r="C930">
        <v>110.5</v>
      </c>
      <c r="E930">
        <v>42.6</v>
      </c>
      <c r="F930" t="str">
        <f t="shared" si="57"/>
        <v/>
      </c>
      <c r="G930" t="str">
        <f t="shared" si="60"/>
        <v/>
      </c>
      <c r="H930" t="s">
        <v>1399</v>
      </c>
      <c r="I930">
        <v>76.900000000000006</v>
      </c>
      <c r="J930" t="s">
        <v>805</v>
      </c>
      <c r="K930" s="24">
        <v>133</v>
      </c>
      <c r="L930" s="24">
        <v>95</v>
      </c>
      <c r="M930">
        <v>173</v>
      </c>
      <c r="N930" t="s">
        <v>1433</v>
      </c>
      <c r="O930">
        <v>55</v>
      </c>
      <c r="P930">
        <v>99</v>
      </c>
      <c r="Q930" t="s">
        <v>24</v>
      </c>
      <c r="R930" t="s">
        <v>24</v>
      </c>
      <c r="S930" t="s">
        <v>39</v>
      </c>
      <c r="T930" t="s">
        <v>25</v>
      </c>
      <c r="U930">
        <f t="shared" si="58"/>
        <v>1</v>
      </c>
      <c r="V930">
        <v>161</v>
      </c>
      <c r="W930">
        <v>0.47799999999999998</v>
      </c>
      <c r="X930" t="s">
        <v>1406</v>
      </c>
      <c r="Y930">
        <v>133</v>
      </c>
      <c r="Z930">
        <v>95</v>
      </c>
      <c r="AA930" t="s">
        <v>31</v>
      </c>
      <c r="AB930">
        <v>88</v>
      </c>
      <c r="AC930" s="23">
        <v>1.6</v>
      </c>
      <c r="AD930" t="str">
        <f>IF(AND('CVD Dataset'!AA930="Normal",'CVD Dataset'!AB930&gt;AVERAGE('CVD Dataset'!AB:AB),'CVD Dataset'!AF930="High"),"High Lipid Category","Normal Category")</f>
        <v>Normal Category</v>
      </c>
      <c r="AE930">
        <v>18.63</v>
      </c>
      <c r="AF930" t="s">
        <v>28</v>
      </c>
      <c r="AG930">
        <v>0</v>
      </c>
      <c r="AH930" t="s">
        <v>1380</v>
      </c>
      <c r="AI930">
        <f t="shared" si="59"/>
        <v>0</v>
      </c>
      <c r="AJ930" t="s">
        <v>1391</v>
      </c>
    </row>
    <row r="931" spans="1:36" x14ac:dyDescent="0.3">
      <c r="A931" t="s">
        <v>33</v>
      </c>
      <c r="B931">
        <v>44</v>
      </c>
      <c r="C931">
        <v>60.1</v>
      </c>
      <c r="D931">
        <v>1.87</v>
      </c>
      <c r="E931">
        <v>17.2</v>
      </c>
      <c r="F931">
        <f t="shared" si="57"/>
        <v>17.186651033772769</v>
      </c>
      <c r="G931">
        <f t="shared" si="60"/>
        <v>0</v>
      </c>
      <c r="H931" t="s">
        <v>1401</v>
      </c>
      <c r="I931">
        <v>106.6</v>
      </c>
      <c r="J931" t="s">
        <v>806</v>
      </c>
      <c r="K931" s="24">
        <v>149</v>
      </c>
      <c r="L931" s="24">
        <v>60</v>
      </c>
      <c r="M931">
        <v>182</v>
      </c>
      <c r="N931" t="s">
        <v>1432</v>
      </c>
      <c r="O931">
        <v>54</v>
      </c>
      <c r="P931">
        <v>70</v>
      </c>
      <c r="Q931" t="s">
        <v>24</v>
      </c>
      <c r="R931" t="s">
        <v>25</v>
      </c>
      <c r="S931" t="s">
        <v>30</v>
      </c>
      <c r="T931" t="s">
        <v>25</v>
      </c>
      <c r="U931">
        <f t="shared" si="58"/>
        <v>2</v>
      </c>
      <c r="V931">
        <v>187</v>
      </c>
      <c r="W931">
        <v>0.56999999999999995</v>
      </c>
      <c r="X931" t="s">
        <v>1407</v>
      </c>
      <c r="Y931">
        <v>149</v>
      </c>
      <c r="Z931">
        <v>60</v>
      </c>
      <c r="AA931" t="s">
        <v>40</v>
      </c>
      <c r="AB931">
        <v>98</v>
      </c>
      <c r="AC931" s="23">
        <v>1.81</v>
      </c>
      <c r="AD931" t="str">
        <f>IF(AND('CVD Dataset'!AA931="Normal",'CVD Dataset'!AB931&gt;AVERAGE('CVD Dataset'!AB:AB),'CVD Dataset'!AF931="High"),"High Lipid Category","Normal Category")</f>
        <v>Normal Category</v>
      </c>
      <c r="AE931">
        <v>16.53</v>
      </c>
      <c r="AF931" t="s">
        <v>28</v>
      </c>
      <c r="AG931">
        <v>0</v>
      </c>
      <c r="AH931" t="s">
        <v>1380</v>
      </c>
      <c r="AI931">
        <f t="shared" si="59"/>
        <v>0</v>
      </c>
      <c r="AJ931" t="s">
        <v>1391</v>
      </c>
    </row>
    <row r="932" spans="1:36" x14ac:dyDescent="0.3">
      <c r="A932" t="s">
        <v>33</v>
      </c>
      <c r="B932">
        <v>55</v>
      </c>
      <c r="C932">
        <v>109.8</v>
      </c>
      <c r="D932">
        <v>1.81</v>
      </c>
      <c r="E932">
        <v>33.5</v>
      </c>
      <c r="F932">
        <f t="shared" si="57"/>
        <v>33.515460456030034</v>
      </c>
      <c r="G932">
        <f t="shared" si="60"/>
        <v>0</v>
      </c>
      <c r="H932" t="s">
        <v>1399</v>
      </c>
      <c r="I932">
        <v>101.1</v>
      </c>
      <c r="J932" t="s">
        <v>807</v>
      </c>
      <c r="K932" s="24">
        <v>102</v>
      </c>
      <c r="L932" s="24">
        <v>95</v>
      </c>
      <c r="M932">
        <v>265</v>
      </c>
      <c r="N932" t="s">
        <v>1432</v>
      </c>
      <c r="O932">
        <v>76</v>
      </c>
      <c r="P932">
        <v>121</v>
      </c>
      <c r="Q932" t="s">
        <v>24</v>
      </c>
      <c r="R932" t="s">
        <v>25</v>
      </c>
      <c r="S932" t="s">
        <v>30</v>
      </c>
      <c r="T932" t="s">
        <v>24</v>
      </c>
      <c r="U932">
        <f t="shared" si="58"/>
        <v>1</v>
      </c>
      <c r="V932">
        <v>181</v>
      </c>
      <c r="W932">
        <v>0.55900000000000005</v>
      </c>
      <c r="X932" t="s">
        <v>1407</v>
      </c>
      <c r="Y932">
        <v>102</v>
      </c>
      <c r="Z932">
        <v>95</v>
      </c>
      <c r="AA932" t="s">
        <v>40</v>
      </c>
      <c r="AB932">
        <v>159</v>
      </c>
      <c r="AC932" s="23">
        <v>2.09</v>
      </c>
      <c r="AD932" t="str">
        <f>IF(AND('CVD Dataset'!AA932="Normal",'CVD Dataset'!AB932&gt;AVERAGE('CVD Dataset'!AB:AB),'CVD Dataset'!AF932="High"),"High Lipid Category","Normal Category")</f>
        <v>Normal Category</v>
      </c>
      <c r="AE932">
        <v>19.100000000000001</v>
      </c>
      <c r="AF932" t="s">
        <v>32</v>
      </c>
      <c r="AG932">
        <v>1</v>
      </c>
      <c r="AH932" t="s">
        <v>1379</v>
      </c>
      <c r="AI932">
        <f t="shared" si="59"/>
        <v>1</v>
      </c>
      <c r="AJ932" t="s">
        <v>1392</v>
      </c>
    </row>
    <row r="933" spans="1:36" x14ac:dyDescent="0.3">
      <c r="A933" t="s">
        <v>22</v>
      </c>
      <c r="B933">
        <v>45</v>
      </c>
      <c r="C933">
        <v>111.4</v>
      </c>
      <c r="D933">
        <v>1.89</v>
      </c>
      <c r="E933">
        <v>31.2</v>
      </c>
      <c r="F933">
        <f t="shared" si="57"/>
        <v>31.186137006242831</v>
      </c>
      <c r="G933">
        <f t="shared" si="60"/>
        <v>0</v>
      </c>
      <c r="H933" t="s">
        <v>1399</v>
      </c>
      <c r="I933">
        <v>101.8</v>
      </c>
      <c r="J933" t="s">
        <v>808</v>
      </c>
      <c r="K933" s="24">
        <v>132</v>
      </c>
      <c r="L933" s="24">
        <v>84</v>
      </c>
      <c r="M933">
        <v>266</v>
      </c>
      <c r="N933" t="s">
        <v>1432</v>
      </c>
      <c r="O933">
        <v>44</v>
      </c>
      <c r="P933">
        <v>113</v>
      </c>
      <c r="Q933" t="s">
        <v>25</v>
      </c>
      <c r="R933" t="s">
        <v>24</v>
      </c>
      <c r="S933" t="s">
        <v>26</v>
      </c>
      <c r="T933" t="s">
        <v>25</v>
      </c>
      <c r="U933">
        <f t="shared" si="58"/>
        <v>3</v>
      </c>
      <c r="V933">
        <v>189</v>
      </c>
      <c r="W933">
        <v>0.53900000000000003</v>
      </c>
      <c r="X933" t="s">
        <v>1407</v>
      </c>
      <c r="Y933">
        <v>132</v>
      </c>
      <c r="Z933">
        <v>84</v>
      </c>
      <c r="AA933" t="s">
        <v>31</v>
      </c>
      <c r="AB933">
        <v>192</v>
      </c>
      <c r="AC933" s="23">
        <v>4.3600000000000003</v>
      </c>
      <c r="AD933" t="str">
        <f>IF(AND('CVD Dataset'!AA933="Normal",'CVD Dataset'!AB933&gt;AVERAGE('CVD Dataset'!AB:AB),'CVD Dataset'!AF933="High"),"High Lipid Category","Normal Category")</f>
        <v>Normal Category</v>
      </c>
      <c r="AE933">
        <v>18.16</v>
      </c>
      <c r="AF933" t="s">
        <v>32</v>
      </c>
      <c r="AG933">
        <v>0</v>
      </c>
      <c r="AH933" t="s">
        <v>1379</v>
      </c>
      <c r="AI933">
        <f t="shared" si="59"/>
        <v>1</v>
      </c>
      <c r="AJ933" t="s">
        <v>1391</v>
      </c>
    </row>
    <row r="934" spans="1:36" x14ac:dyDescent="0.3">
      <c r="A934" t="s">
        <v>22</v>
      </c>
      <c r="B934">
        <v>31</v>
      </c>
      <c r="C934">
        <v>54.3</v>
      </c>
      <c r="D934">
        <v>1.69</v>
      </c>
      <c r="E934">
        <v>19</v>
      </c>
      <c r="F934">
        <f t="shared" si="57"/>
        <v>19.011939357865622</v>
      </c>
      <c r="G934">
        <f t="shared" si="60"/>
        <v>0</v>
      </c>
      <c r="H934" t="s">
        <v>1398</v>
      </c>
      <c r="I934">
        <v>78</v>
      </c>
      <c r="J934" t="s">
        <v>809</v>
      </c>
      <c r="K934" s="24">
        <v>135</v>
      </c>
      <c r="L934" s="24">
        <v>83</v>
      </c>
      <c r="M934">
        <v>124</v>
      </c>
      <c r="N934" t="s">
        <v>1434</v>
      </c>
      <c r="O934">
        <v>61</v>
      </c>
      <c r="P934">
        <v>124</v>
      </c>
      <c r="Q934" t="s">
        <v>25</v>
      </c>
      <c r="R934" t="s">
        <v>25</v>
      </c>
      <c r="S934" t="s">
        <v>26</v>
      </c>
      <c r="T934" t="s">
        <v>24</v>
      </c>
      <c r="U934">
        <f t="shared" si="58"/>
        <v>3</v>
      </c>
      <c r="V934">
        <v>169</v>
      </c>
      <c r="W934">
        <v>0.46200000000000002</v>
      </c>
      <c r="X934" t="s">
        <v>1406</v>
      </c>
      <c r="Y934">
        <v>135</v>
      </c>
      <c r="Z934">
        <v>83</v>
      </c>
      <c r="AA934" t="s">
        <v>31</v>
      </c>
      <c r="AB934">
        <v>33</v>
      </c>
      <c r="AC934" s="23">
        <v>0.54</v>
      </c>
      <c r="AD934" t="str">
        <f>IF(AND('CVD Dataset'!AA934="Normal",'CVD Dataset'!AB934&gt;AVERAGE('CVD Dataset'!AB:AB),'CVD Dataset'!AF934="High"),"High Lipid Category","Normal Category")</f>
        <v>Normal Category</v>
      </c>
      <c r="AE934">
        <v>15.03</v>
      </c>
      <c r="AF934" t="s">
        <v>28</v>
      </c>
      <c r="AG934">
        <v>0</v>
      </c>
      <c r="AH934" t="s">
        <v>1380</v>
      </c>
      <c r="AI934">
        <f t="shared" si="59"/>
        <v>0</v>
      </c>
      <c r="AJ934" t="s">
        <v>1391</v>
      </c>
    </row>
    <row r="935" spans="1:36" x14ac:dyDescent="0.3">
      <c r="A935" t="s">
        <v>33</v>
      </c>
      <c r="B935">
        <v>33</v>
      </c>
      <c r="C935">
        <v>88.4</v>
      </c>
      <c r="D935">
        <v>1.86</v>
      </c>
      <c r="E935">
        <v>25.6</v>
      </c>
      <c r="F935">
        <f t="shared" si="57"/>
        <v>25.552086946467799</v>
      </c>
      <c r="G935">
        <f t="shared" si="60"/>
        <v>0</v>
      </c>
      <c r="H935" t="s">
        <v>1400</v>
      </c>
      <c r="I935">
        <v>90.1</v>
      </c>
      <c r="J935" t="s">
        <v>290</v>
      </c>
      <c r="K935" s="24">
        <v>116</v>
      </c>
      <c r="L935" s="24">
        <v>69</v>
      </c>
      <c r="M935">
        <v>268</v>
      </c>
      <c r="N935" t="s">
        <v>1432</v>
      </c>
      <c r="O935">
        <v>68</v>
      </c>
      <c r="P935">
        <v>88</v>
      </c>
      <c r="Q935" t="s">
        <v>25</v>
      </c>
      <c r="R935" t="s">
        <v>24</v>
      </c>
      <c r="S935" t="s">
        <v>26</v>
      </c>
      <c r="T935" t="s">
        <v>24</v>
      </c>
      <c r="U935">
        <f t="shared" si="58"/>
        <v>2</v>
      </c>
      <c r="V935">
        <v>186</v>
      </c>
      <c r="W935">
        <v>0.48399999999999999</v>
      </c>
      <c r="X935" t="s">
        <v>1406</v>
      </c>
      <c r="Y935">
        <v>116</v>
      </c>
      <c r="Z935">
        <v>69</v>
      </c>
      <c r="AA935" t="s">
        <v>35</v>
      </c>
      <c r="AB935">
        <v>170</v>
      </c>
      <c r="AC935" s="23">
        <v>2.5</v>
      </c>
      <c r="AD935" t="str">
        <f>IF(AND('CVD Dataset'!AA935="Normal",'CVD Dataset'!AB935&gt;AVERAGE('CVD Dataset'!AB:AB),'CVD Dataset'!AF935="High"),"High Lipid Category","Normal Category")</f>
        <v>High Lipid Category</v>
      </c>
      <c r="AE935">
        <v>16.28</v>
      </c>
      <c r="AF935" t="s">
        <v>32</v>
      </c>
      <c r="AG935">
        <v>1</v>
      </c>
      <c r="AH935" t="s">
        <v>1379</v>
      </c>
      <c r="AI935">
        <f t="shared" si="59"/>
        <v>1</v>
      </c>
      <c r="AJ935" t="s">
        <v>1391</v>
      </c>
    </row>
    <row r="936" spans="1:36" x14ac:dyDescent="0.3">
      <c r="A936" t="s">
        <v>22</v>
      </c>
      <c r="B936">
        <v>52</v>
      </c>
      <c r="C936">
        <v>94</v>
      </c>
      <c r="D936">
        <v>1.71</v>
      </c>
      <c r="E936">
        <v>32.1</v>
      </c>
      <c r="F936">
        <f t="shared" si="57"/>
        <v>32.146643411648029</v>
      </c>
      <c r="G936">
        <f t="shared" si="60"/>
        <v>0</v>
      </c>
      <c r="H936" t="s">
        <v>1399</v>
      </c>
      <c r="I936">
        <v>90.6</v>
      </c>
      <c r="J936" t="s">
        <v>499</v>
      </c>
      <c r="K936" s="24">
        <v>90</v>
      </c>
      <c r="L936" s="24">
        <v>82</v>
      </c>
      <c r="M936">
        <v>108</v>
      </c>
      <c r="N936" t="s">
        <v>1434</v>
      </c>
      <c r="P936">
        <v>89</v>
      </c>
      <c r="Q936" t="s">
        <v>24</v>
      </c>
      <c r="R936" t="s">
        <v>24</v>
      </c>
      <c r="S936" t="s">
        <v>30</v>
      </c>
      <c r="T936" t="s">
        <v>24</v>
      </c>
      <c r="U936">
        <f t="shared" si="58"/>
        <v>0</v>
      </c>
      <c r="V936">
        <v>171</v>
      </c>
      <c r="W936">
        <v>0.53</v>
      </c>
      <c r="X936" t="s">
        <v>1407</v>
      </c>
      <c r="Y936">
        <v>90</v>
      </c>
      <c r="Z936">
        <v>82</v>
      </c>
      <c r="AA936" t="s">
        <v>31</v>
      </c>
      <c r="AB936">
        <v>24</v>
      </c>
      <c r="AC936" s="23" t="s">
        <v>1410</v>
      </c>
      <c r="AD936" t="str">
        <f>IF(AND('CVD Dataset'!AA936="Normal",'CVD Dataset'!AB936&gt;AVERAGE('CVD Dataset'!AB:AB),'CVD Dataset'!AF936="High"),"High Lipid Category","Normal Category")</f>
        <v>Normal Category</v>
      </c>
      <c r="AE936">
        <v>13.08</v>
      </c>
      <c r="AF936" t="s">
        <v>28</v>
      </c>
      <c r="AG936">
        <v>0</v>
      </c>
      <c r="AH936" t="s">
        <v>1380</v>
      </c>
      <c r="AI936">
        <f t="shared" si="59"/>
        <v>0</v>
      </c>
      <c r="AJ936" t="s">
        <v>1391</v>
      </c>
    </row>
    <row r="937" spans="1:36" x14ac:dyDescent="0.3">
      <c r="A937" t="s">
        <v>22</v>
      </c>
      <c r="B937">
        <v>50</v>
      </c>
      <c r="C937">
        <v>83.8</v>
      </c>
      <c r="D937">
        <v>1.76</v>
      </c>
      <c r="E937">
        <v>27.1</v>
      </c>
      <c r="F937">
        <f t="shared" si="57"/>
        <v>27.053202479338843</v>
      </c>
      <c r="G937">
        <f t="shared" si="60"/>
        <v>0</v>
      </c>
      <c r="H937" t="s">
        <v>1400</v>
      </c>
      <c r="I937">
        <v>106.5</v>
      </c>
      <c r="J937" t="s">
        <v>810</v>
      </c>
      <c r="K937" s="24">
        <v>131</v>
      </c>
      <c r="L937" s="24">
        <v>75</v>
      </c>
      <c r="M937">
        <v>280</v>
      </c>
      <c r="N937" t="s">
        <v>1432</v>
      </c>
      <c r="O937">
        <v>52</v>
      </c>
      <c r="P937">
        <v>135</v>
      </c>
      <c r="Q937" t="s">
        <v>25</v>
      </c>
      <c r="R937" t="s">
        <v>25</v>
      </c>
      <c r="S937" t="s">
        <v>30</v>
      </c>
      <c r="T937" t="s">
        <v>24</v>
      </c>
      <c r="U937">
        <f t="shared" si="58"/>
        <v>2</v>
      </c>
      <c r="V937">
        <v>176</v>
      </c>
      <c r="W937">
        <v>0.60499999999999998</v>
      </c>
      <c r="X937" t="s">
        <v>1409</v>
      </c>
      <c r="Y937">
        <v>131</v>
      </c>
      <c r="Z937">
        <v>75</v>
      </c>
      <c r="AA937" t="s">
        <v>31</v>
      </c>
      <c r="AB937">
        <v>198</v>
      </c>
      <c r="AC937" s="23">
        <v>3.81</v>
      </c>
      <c r="AD937" t="str">
        <f>IF(AND('CVD Dataset'!AA937="Normal",'CVD Dataset'!AB937&gt;AVERAGE('CVD Dataset'!AB:AB),'CVD Dataset'!AF937="High"),"High Lipid Category","Normal Category")</f>
        <v>Normal Category</v>
      </c>
      <c r="AE937">
        <v>19.57</v>
      </c>
      <c r="AF937" t="s">
        <v>32</v>
      </c>
      <c r="AG937">
        <v>0</v>
      </c>
      <c r="AH937" t="s">
        <v>1379</v>
      </c>
      <c r="AI937">
        <f t="shared" si="59"/>
        <v>1</v>
      </c>
      <c r="AJ937" t="s">
        <v>1391</v>
      </c>
    </row>
    <row r="938" spans="1:36" x14ac:dyDescent="0.3">
      <c r="A938" t="s">
        <v>22</v>
      </c>
      <c r="B938">
        <v>34</v>
      </c>
      <c r="C938">
        <v>104.2</v>
      </c>
      <c r="D938">
        <v>1.88</v>
      </c>
      <c r="E938">
        <v>29.5</v>
      </c>
      <c r="F938">
        <f t="shared" si="57"/>
        <v>29.481665912177458</v>
      </c>
      <c r="G938">
        <f t="shared" si="60"/>
        <v>0</v>
      </c>
      <c r="H938" t="s">
        <v>1400</v>
      </c>
      <c r="I938">
        <v>83.7</v>
      </c>
      <c r="J938" t="s">
        <v>811</v>
      </c>
      <c r="K938" s="24">
        <v>138</v>
      </c>
      <c r="L938" s="24">
        <v>76</v>
      </c>
      <c r="M938">
        <v>140</v>
      </c>
      <c r="N938" t="s">
        <v>1434</v>
      </c>
      <c r="O938">
        <v>63</v>
      </c>
      <c r="P938">
        <v>92</v>
      </c>
      <c r="Q938" t="s">
        <v>25</v>
      </c>
      <c r="R938" t="s">
        <v>25</v>
      </c>
      <c r="S938" t="s">
        <v>39</v>
      </c>
      <c r="T938" t="s">
        <v>25</v>
      </c>
      <c r="U938">
        <f t="shared" si="58"/>
        <v>3</v>
      </c>
      <c r="V938">
        <v>188</v>
      </c>
      <c r="X938" t="s">
        <v>1410</v>
      </c>
      <c r="Y938">
        <v>138</v>
      </c>
      <c r="Z938">
        <v>76</v>
      </c>
      <c r="AA938" t="s">
        <v>31</v>
      </c>
      <c r="AB938">
        <v>47</v>
      </c>
      <c r="AC938" s="23">
        <v>0.75</v>
      </c>
      <c r="AD938" t="str">
        <f>IF(AND('CVD Dataset'!AA938="Normal",'CVD Dataset'!AB938&gt;AVERAGE('CVD Dataset'!AB:AB),'CVD Dataset'!AF938="High"),"High Lipid Category","Normal Category")</f>
        <v>Normal Category</v>
      </c>
      <c r="AE938">
        <v>17.600000000000001</v>
      </c>
      <c r="AF938" t="s">
        <v>32</v>
      </c>
      <c r="AG938">
        <v>1</v>
      </c>
      <c r="AH938" t="s">
        <v>1379</v>
      </c>
      <c r="AI938">
        <f t="shared" si="59"/>
        <v>1</v>
      </c>
      <c r="AJ938" t="s">
        <v>1391</v>
      </c>
    </row>
    <row r="939" spans="1:36" x14ac:dyDescent="0.3">
      <c r="A939" t="s">
        <v>22</v>
      </c>
      <c r="B939">
        <v>56</v>
      </c>
      <c r="D939">
        <v>1.85</v>
      </c>
      <c r="E939">
        <v>22.7</v>
      </c>
      <c r="F939">
        <f t="shared" si="57"/>
        <v>0</v>
      </c>
      <c r="G939">
        <f t="shared" si="60"/>
        <v>1</v>
      </c>
      <c r="H939" t="s">
        <v>1398</v>
      </c>
      <c r="I939">
        <v>99.6</v>
      </c>
      <c r="J939" t="s">
        <v>812</v>
      </c>
      <c r="K939" s="24">
        <v>130</v>
      </c>
      <c r="L939" s="24">
        <v>77</v>
      </c>
      <c r="M939">
        <v>203</v>
      </c>
      <c r="N939" t="s">
        <v>1432</v>
      </c>
      <c r="O939">
        <v>35</v>
      </c>
      <c r="P939">
        <v>122</v>
      </c>
      <c r="Q939" t="s">
        <v>25</v>
      </c>
      <c r="R939" t="s">
        <v>25</v>
      </c>
      <c r="S939" t="s">
        <v>26</v>
      </c>
      <c r="T939" t="s">
        <v>25</v>
      </c>
      <c r="U939">
        <f t="shared" si="58"/>
        <v>4</v>
      </c>
      <c r="V939">
        <v>185</v>
      </c>
      <c r="W939">
        <v>0.53800000000000003</v>
      </c>
      <c r="X939" t="s">
        <v>1407</v>
      </c>
      <c r="Y939">
        <v>130</v>
      </c>
      <c r="Z939">
        <v>77</v>
      </c>
      <c r="AA939" t="s">
        <v>31</v>
      </c>
      <c r="AB939">
        <v>138</v>
      </c>
      <c r="AC939" s="23">
        <v>3.94</v>
      </c>
      <c r="AD939" t="str">
        <f>IF(AND('CVD Dataset'!AA939="Normal",'CVD Dataset'!AB939&gt;AVERAGE('CVD Dataset'!AB:AB),'CVD Dataset'!AF939="High"),"High Lipid Category","Normal Category")</f>
        <v>Normal Category</v>
      </c>
      <c r="AE939">
        <v>17.100000000000001</v>
      </c>
      <c r="AF939" t="s">
        <v>32</v>
      </c>
      <c r="AG939">
        <v>0</v>
      </c>
      <c r="AH939" t="s">
        <v>1379</v>
      </c>
      <c r="AI939">
        <f t="shared" si="59"/>
        <v>1</v>
      </c>
      <c r="AJ939" t="s">
        <v>1392</v>
      </c>
    </row>
    <row r="940" spans="1:36" x14ac:dyDescent="0.3">
      <c r="A940" t="s">
        <v>22</v>
      </c>
      <c r="B940">
        <v>39</v>
      </c>
      <c r="C940">
        <v>118.4</v>
      </c>
      <c r="D940">
        <v>1.74</v>
      </c>
      <c r="E940">
        <v>39.1</v>
      </c>
      <c r="F940">
        <f t="shared" si="57"/>
        <v>39.106883339939223</v>
      </c>
      <c r="G940">
        <f t="shared" si="60"/>
        <v>0</v>
      </c>
      <c r="H940" t="s">
        <v>1399</v>
      </c>
      <c r="I940">
        <v>74.3</v>
      </c>
      <c r="J940" t="s">
        <v>813</v>
      </c>
      <c r="K940" s="24">
        <v>101</v>
      </c>
      <c r="L940" s="24">
        <v>92</v>
      </c>
      <c r="M940">
        <v>213</v>
      </c>
      <c r="N940" t="s">
        <v>1432</v>
      </c>
      <c r="O940">
        <v>49</v>
      </c>
      <c r="P940">
        <v>140</v>
      </c>
      <c r="Q940" t="s">
        <v>24</v>
      </c>
      <c r="R940" t="s">
        <v>25</v>
      </c>
      <c r="S940" t="s">
        <v>39</v>
      </c>
      <c r="T940" t="s">
        <v>25</v>
      </c>
      <c r="U940">
        <f t="shared" si="58"/>
        <v>2</v>
      </c>
      <c r="V940">
        <v>174</v>
      </c>
      <c r="W940">
        <v>0.42699999999999999</v>
      </c>
      <c r="X940" t="s">
        <v>1408</v>
      </c>
      <c r="Y940">
        <v>101</v>
      </c>
      <c r="Z940">
        <v>92</v>
      </c>
      <c r="AA940" t="s">
        <v>40</v>
      </c>
      <c r="AB940">
        <v>134</v>
      </c>
      <c r="AC940" s="23">
        <v>2.73</v>
      </c>
      <c r="AD940" t="str">
        <f>IF(AND('CVD Dataset'!AA940="Normal",'CVD Dataset'!AB940&gt;AVERAGE('CVD Dataset'!AB:AB),'CVD Dataset'!AF940="High"),"High Lipid Category","Normal Category")</f>
        <v>Normal Category</v>
      </c>
      <c r="AE940">
        <v>19.13</v>
      </c>
      <c r="AF940" t="s">
        <v>32</v>
      </c>
      <c r="AG940">
        <v>0</v>
      </c>
      <c r="AH940" t="s">
        <v>1379</v>
      </c>
      <c r="AI940">
        <f t="shared" si="59"/>
        <v>1</v>
      </c>
      <c r="AJ940" t="s">
        <v>1391</v>
      </c>
    </row>
    <row r="941" spans="1:36" x14ac:dyDescent="0.3">
      <c r="A941" t="s">
        <v>33</v>
      </c>
      <c r="B941">
        <v>48</v>
      </c>
      <c r="C941">
        <v>114.5</v>
      </c>
      <c r="D941">
        <v>1.9</v>
      </c>
      <c r="E941">
        <v>31.7</v>
      </c>
      <c r="F941">
        <f t="shared" si="57"/>
        <v>31.717451523545709</v>
      </c>
      <c r="G941">
        <f t="shared" si="60"/>
        <v>0</v>
      </c>
      <c r="H941" t="s">
        <v>1399</v>
      </c>
      <c r="I941">
        <v>80</v>
      </c>
      <c r="J941" t="s">
        <v>814</v>
      </c>
      <c r="K941" s="24">
        <v>144</v>
      </c>
      <c r="L941" s="24">
        <v>99</v>
      </c>
      <c r="M941">
        <v>201</v>
      </c>
      <c r="N941" t="s">
        <v>1432</v>
      </c>
      <c r="O941">
        <v>46</v>
      </c>
      <c r="P941">
        <v>135</v>
      </c>
      <c r="Q941" t="s">
        <v>25</v>
      </c>
      <c r="R941" t="s">
        <v>25</v>
      </c>
      <c r="S941" t="s">
        <v>26</v>
      </c>
      <c r="T941" t="s">
        <v>25</v>
      </c>
      <c r="U941">
        <f t="shared" si="58"/>
        <v>4</v>
      </c>
      <c r="V941">
        <v>190</v>
      </c>
      <c r="W941">
        <v>0.42099999999999999</v>
      </c>
      <c r="X941" t="s">
        <v>1408</v>
      </c>
      <c r="Y941">
        <v>144</v>
      </c>
      <c r="Z941">
        <v>99</v>
      </c>
      <c r="AA941" t="s">
        <v>40</v>
      </c>
      <c r="AB941">
        <v>125</v>
      </c>
      <c r="AC941" s="23">
        <v>2.72</v>
      </c>
      <c r="AD941" t="str">
        <f>IF(AND('CVD Dataset'!AA941="Normal",'CVD Dataset'!AB941&gt;AVERAGE('CVD Dataset'!AB:AB),'CVD Dataset'!AF941="High"),"High Lipid Category","Normal Category")</f>
        <v>Normal Category</v>
      </c>
      <c r="AE941">
        <v>19.559999999999999</v>
      </c>
      <c r="AF941" t="s">
        <v>32</v>
      </c>
      <c r="AG941">
        <v>0</v>
      </c>
      <c r="AH941" t="s">
        <v>1379</v>
      </c>
      <c r="AI941">
        <f t="shared" si="59"/>
        <v>1</v>
      </c>
      <c r="AJ941" t="s">
        <v>1391</v>
      </c>
    </row>
    <row r="942" spans="1:36" x14ac:dyDescent="0.3">
      <c r="A942" t="s">
        <v>22</v>
      </c>
      <c r="B942">
        <v>52</v>
      </c>
      <c r="C942">
        <v>85.2</v>
      </c>
      <c r="D942">
        <v>1.66</v>
      </c>
      <c r="E942">
        <v>30.9</v>
      </c>
      <c r="F942">
        <f t="shared" si="57"/>
        <v>30.918856147481495</v>
      </c>
      <c r="G942">
        <f t="shared" si="60"/>
        <v>0</v>
      </c>
      <c r="H942" t="s">
        <v>1399</v>
      </c>
      <c r="I942">
        <v>89.7</v>
      </c>
      <c r="J942" t="s">
        <v>815</v>
      </c>
      <c r="K942" s="24">
        <v>106</v>
      </c>
      <c r="L942" s="24">
        <v>77</v>
      </c>
      <c r="M942">
        <v>250</v>
      </c>
      <c r="N942" t="s">
        <v>1432</v>
      </c>
      <c r="P942">
        <v>135</v>
      </c>
      <c r="Q942" t="s">
        <v>25</v>
      </c>
      <c r="R942" t="s">
        <v>25</v>
      </c>
      <c r="S942" t="s">
        <v>30</v>
      </c>
      <c r="T942" t="s">
        <v>24</v>
      </c>
      <c r="U942">
        <f t="shared" si="58"/>
        <v>2</v>
      </c>
      <c r="V942">
        <v>166</v>
      </c>
      <c r="W942">
        <v>0.54</v>
      </c>
      <c r="X942" t="s">
        <v>1407</v>
      </c>
      <c r="Y942">
        <v>106</v>
      </c>
      <c r="Z942">
        <v>77</v>
      </c>
      <c r="AA942" t="s">
        <v>35</v>
      </c>
      <c r="AB942">
        <v>156</v>
      </c>
      <c r="AC942" s="23" t="s">
        <v>1410</v>
      </c>
      <c r="AD942" t="str">
        <f>IF(AND('CVD Dataset'!AA942="Normal",'CVD Dataset'!AB942&gt;AVERAGE('CVD Dataset'!AB:AB),'CVD Dataset'!AF942="High"),"High Lipid Category","Normal Category")</f>
        <v>High Lipid Category</v>
      </c>
      <c r="AE942">
        <v>18.48</v>
      </c>
      <c r="AF942" t="s">
        <v>32</v>
      </c>
      <c r="AG942">
        <v>0</v>
      </c>
      <c r="AH942" t="s">
        <v>1379</v>
      </c>
      <c r="AI942">
        <f t="shared" si="59"/>
        <v>1</v>
      </c>
      <c r="AJ942" t="s">
        <v>1391</v>
      </c>
    </row>
    <row r="943" spans="1:36" x14ac:dyDescent="0.3">
      <c r="A943" t="s">
        <v>22</v>
      </c>
      <c r="B943">
        <v>41</v>
      </c>
      <c r="D943">
        <v>1.7</v>
      </c>
      <c r="E943">
        <v>22.5</v>
      </c>
      <c r="F943">
        <f t="shared" si="57"/>
        <v>0</v>
      </c>
      <c r="G943">
        <f t="shared" si="60"/>
        <v>1</v>
      </c>
      <c r="H943" t="s">
        <v>1398</v>
      </c>
      <c r="I943">
        <v>75.2</v>
      </c>
      <c r="J943" t="s">
        <v>816</v>
      </c>
      <c r="K943" s="24">
        <v>139</v>
      </c>
      <c r="L943" s="24">
        <v>60</v>
      </c>
      <c r="M943">
        <v>190</v>
      </c>
      <c r="N943" t="s">
        <v>1432</v>
      </c>
      <c r="O943">
        <v>33</v>
      </c>
      <c r="P943">
        <v>90</v>
      </c>
      <c r="Q943" t="s">
        <v>25</v>
      </c>
      <c r="R943" t="s">
        <v>25</v>
      </c>
      <c r="S943" t="s">
        <v>26</v>
      </c>
      <c r="T943" t="s">
        <v>25</v>
      </c>
      <c r="U943">
        <f t="shared" si="58"/>
        <v>4</v>
      </c>
      <c r="V943">
        <v>170</v>
      </c>
      <c r="W943">
        <v>0.442</v>
      </c>
      <c r="X943" t="s">
        <v>1408</v>
      </c>
      <c r="Y943">
        <v>139</v>
      </c>
      <c r="Z943">
        <v>60</v>
      </c>
      <c r="AA943" t="s">
        <v>31</v>
      </c>
      <c r="AB943">
        <v>127</v>
      </c>
      <c r="AC943" s="23">
        <v>3.85</v>
      </c>
      <c r="AD943" t="str">
        <f>IF(AND('CVD Dataset'!AA943="Normal",'CVD Dataset'!AB943&gt;AVERAGE('CVD Dataset'!AB:AB),'CVD Dataset'!AF943="High"),"High Lipid Category","Normal Category")</f>
        <v>Normal Category</v>
      </c>
      <c r="AE943">
        <v>17.25</v>
      </c>
      <c r="AF943" t="s">
        <v>32</v>
      </c>
      <c r="AG943">
        <v>0</v>
      </c>
      <c r="AH943" t="s">
        <v>1379</v>
      </c>
      <c r="AI943">
        <f t="shared" si="59"/>
        <v>1</v>
      </c>
      <c r="AJ943" t="s">
        <v>1391</v>
      </c>
    </row>
    <row r="944" spans="1:36" x14ac:dyDescent="0.3">
      <c r="A944" t="s">
        <v>22</v>
      </c>
      <c r="B944">
        <v>58</v>
      </c>
      <c r="C944">
        <v>117</v>
      </c>
      <c r="D944">
        <v>1.89</v>
      </c>
      <c r="E944">
        <v>32.799999999999997</v>
      </c>
      <c r="F944">
        <f t="shared" si="57"/>
        <v>32.753842277651806</v>
      </c>
      <c r="G944">
        <f t="shared" si="60"/>
        <v>0</v>
      </c>
      <c r="H944" t="s">
        <v>1399</v>
      </c>
      <c r="I944">
        <v>80.599999999999994</v>
      </c>
      <c r="J944" t="s">
        <v>740</v>
      </c>
      <c r="K944" s="24">
        <v>112</v>
      </c>
      <c r="L944" s="24">
        <v>93</v>
      </c>
      <c r="M944">
        <v>135</v>
      </c>
      <c r="N944" t="s">
        <v>1434</v>
      </c>
      <c r="O944">
        <v>43</v>
      </c>
      <c r="P944">
        <v>128</v>
      </c>
      <c r="Q944" t="s">
        <v>25</v>
      </c>
      <c r="R944" t="s">
        <v>25</v>
      </c>
      <c r="S944" t="s">
        <v>39</v>
      </c>
      <c r="T944" t="s">
        <v>24</v>
      </c>
      <c r="U944">
        <f t="shared" si="58"/>
        <v>2</v>
      </c>
      <c r="V944">
        <v>189</v>
      </c>
      <c r="W944">
        <v>0.42599999999999999</v>
      </c>
      <c r="X944" t="s">
        <v>1408</v>
      </c>
      <c r="Z944">
        <v>93</v>
      </c>
      <c r="AA944" t="s">
        <v>40</v>
      </c>
      <c r="AB944">
        <v>62</v>
      </c>
      <c r="AC944" s="23">
        <v>1.44</v>
      </c>
      <c r="AD944" t="str">
        <f>IF(AND('CVD Dataset'!AA944="Normal",'CVD Dataset'!AB944&gt;AVERAGE('CVD Dataset'!AB:AB),'CVD Dataset'!AF944="High"),"High Lipid Category","Normal Category")</f>
        <v>Normal Category</v>
      </c>
      <c r="AE944">
        <v>16.86</v>
      </c>
      <c r="AF944" t="s">
        <v>32</v>
      </c>
      <c r="AG944">
        <v>0</v>
      </c>
      <c r="AH944" t="s">
        <v>1379</v>
      </c>
      <c r="AI944">
        <f t="shared" si="59"/>
        <v>1</v>
      </c>
      <c r="AJ944" t="s">
        <v>1392</v>
      </c>
    </row>
    <row r="945" spans="1:36" x14ac:dyDescent="0.3">
      <c r="A945" t="s">
        <v>33</v>
      </c>
      <c r="B945">
        <v>44</v>
      </c>
      <c r="C945">
        <v>105.4</v>
      </c>
      <c r="D945">
        <v>1.83</v>
      </c>
      <c r="E945">
        <v>31.5</v>
      </c>
      <c r="F945">
        <f t="shared" si="57"/>
        <v>31.473020991967509</v>
      </c>
      <c r="G945">
        <f t="shared" si="60"/>
        <v>0</v>
      </c>
      <c r="H945" t="s">
        <v>1399</v>
      </c>
      <c r="I945">
        <v>109.7</v>
      </c>
      <c r="J945" t="s">
        <v>817</v>
      </c>
      <c r="K945" s="24">
        <v>142</v>
      </c>
      <c r="L945" s="24">
        <v>84</v>
      </c>
      <c r="M945">
        <v>230</v>
      </c>
      <c r="N945" t="s">
        <v>1432</v>
      </c>
      <c r="O945">
        <v>73</v>
      </c>
      <c r="P945">
        <v>128</v>
      </c>
      <c r="Q945" t="s">
        <v>24</v>
      </c>
      <c r="R945" t="s">
        <v>25</v>
      </c>
      <c r="S945" t="s">
        <v>26</v>
      </c>
      <c r="T945" t="s">
        <v>24</v>
      </c>
      <c r="U945">
        <f t="shared" si="58"/>
        <v>2</v>
      </c>
      <c r="V945">
        <v>183</v>
      </c>
      <c r="W945">
        <v>0.59899999999999998</v>
      </c>
      <c r="X945" t="s">
        <v>1409</v>
      </c>
      <c r="Y945">
        <v>142</v>
      </c>
      <c r="Z945">
        <v>84</v>
      </c>
      <c r="AA945" t="s">
        <v>31</v>
      </c>
      <c r="AB945">
        <v>127</v>
      </c>
      <c r="AC945" s="23">
        <v>1.74</v>
      </c>
      <c r="AD945" t="str">
        <f>IF(AND('CVD Dataset'!AA945="Normal",'CVD Dataset'!AB945&gt;AVERAGE('CVD Dataset'!AB:AB),'CVD Dataset'!AF945="High"),"High Lipid Category","Normal Category")</f>
        <v>Normal Category</v>
      </c>
      <c r="AE945">
        <v>20</v>
      </c>
      <c r="AF945" t="s">
        <v>32</v>
      </c>
      <c r="AG945">
        <v>1</v>
      </c>
      <c r="AH945" t="s">
        <v>1379</v>
      </c>
      <c r="AI945">
        <f t="shared" si="59"/>
        <v>1</v>
      </c>
      <c r="AJ945" t="s">
        <v>1391</v>
      </c>
    </row>
    <row r="946" spans="1:36" x14ac:dyDescent="0.3">
      <c r="A946" t="s">
        <v>33</v>
      </c>
      <c r="B946">
        <v>36</v>
      </c>
      <c r="C946">
        <v>55.4</v>
      </c>
      <c r="D946">
        <v>1.86</v>
      </c>
      <c r="E946">
        <v>16</v>
      </c>
      <c r="F946">
        <f t="shared" si="57"/>
        <v>16.013411955139318</v>
      </c>
      <c r="G946">
        <f t="shared" si="60"/>
        <v>0</v>
      </c>
      <c r="H946" t="s">
        <v>1401</v>
      </c>
      <c r="I946">
        <v>86.2</v>
      </c>
      <c r="J946" t="s">
        <v>351</v>
      </c>
      <c r="K946" s="24">
        <v>93</v>
      </c>
      <c r="L946" s="24">
        <v>63</v>
      </c>
      <c r="M946">
        <v>109</v>
      </c>
      <c r="N946" t="s">
        <v>1434</v>
      </c>
      <c r="O946">
        <v>50</v>
      </c>
      <c r="P946">
        <v>143</v>
      </c>
      <c r="Q946" t="s">
        <v>25</v>
      </c>
      <c r="R946" t="s">
        <v>25</v>
      </c>
      <c r="S946" t="s">
        <v>39</v>
      </c>
      <c r="T946" t="s">
        <v>24</v>
      </c>
      <c r="U946">
        <f t="shared" si="58"/>
        <v>2</v>
      </c>
      <c r="V946">
        <v>186</v>
      </c>
      <c r="W946">
        <v>0.46300000000000002</v>
      </c>
      <c r="X946" t="s">
        <v>1406</v>
      </c>
      <c r="Y946">
        <v>93</v>
      </c>
      <c r="Z946">
        <v>63</v>
      </c>
      <c r="AA946" t="s">
        <v>35</v>
      </c>
      <c r="AB946">
        <v>29</v>
      </c>
      <c r="AC946" s="23">
        <v>0.57999999999999996</v>
      </c>
      <c r="AD946" t="str">
        <f>IF(AND('CVD Dataset'!AA946="Normal",'CVD Dataset'!AB946&gt;AVERAGE('CVD Dataset'!AB:AB),'CVD Dataset'!AF946="High"),"High Lipid Category","Normal Category")</f>
        <v>Normal Category</v>
      </c>
      <c r="AE946">
        <v>12.03</v>
      </c>
      <c r="AF946" t="s">
        <v>28</v>
      </c>
      <c r="AG946">
        <v>0</v>
      </c>
      <c r="AH946" t="s">
        <v>1380</v>
      </c>
      <c r="AI946">
        <f t="shared" si="59"/>
        <v>0</v>
      </c>
      <c r="AJ946" t="s">
        <v>1391</v>
      </c>
    </row>
    <row r="947" spans="1:36" x14ac:dyDescent="0.3">
      <c r="A947" t="s">
        <v>22</v>
      </c>
      <c r="B947">
        <v>53</v>
      </c>
      <c r="C947">
        <v>105.5</v>
      </c>
      <c r="D947">
        <v>1.71</v>
      </c>
      <c r="E947">
        <v>36.1</v>
      </c>
      <c r="F947">
        <f t="shared" si="57"/>
        <v>36.079477446051783</v>
      </c>
      <c r="G947">
        <f t="shared" si="60"/>
        <v>0</v>
      </c>
      <c r="H947" t="s">
        <v>1399</v>
      </c>
      <c r="I947">
        <v>83.1</v>
      </c>
      <c r="J947" t="s">
        <v>721</v>
      </c>
      <c r="K947" s="24">
        <v>104</v>
      </c>
      <c r="L947" s="24">
        <v>70</v>
      </c>
      <c r="M947">
        <v>280</v>
      </c>
      <c r="N947" t="s">
        <v>1432</v>
      </c>
      <c r="O947">
        <v>63</v>
      </c>
      <c r="Q947" t="s">
        <v>25</v>
      </c>
      <c r="R947" t="s">
        <v>25</v>
      </c>
      <c r="S947" t="s">
        <v>39</v>
      </c>
      <c r="T947" t="s">
        <v>25</v>
      </c>
      <c r="U947">
        <f t="shared" si="58"/>
        <v>3</v>
      </c>
      <c r="V947">
        <v>171</v>
      </c>
      <c r="W947">
        <v>0.48599999999999999</v>
      </c>
      <c r="X947" t="s">
        <v>1406</v>
      </c>
      <c r="Y947">
        <v>104</v>
      </c>
      <c r="Z947">
        <v>70</v>
      </c>
      <c r="AA947" t="s">
        <v>35</v>
      </c>
      <c r="AB947">
        <v>187</v>
      </c>
      <c r="AC947" s="23">
        <v>2.97</v>
      </c>
      <c r="AD947" t="str">
        <f>IF(AND('CVD Dataset'!AA947="Normal",'CVD Dataset'!AB947&gt;AVERAGE('CVD Dataset'!AB:AB),'CVD Dataset'!AF947="High"),"High Lipid Category","Normal Category")</f>
        <v>High Lipid Category</v>
      </c>
      <c r="AE947">
        <v>20.02</v>
      </c>
      <c r="AF947" t="s">
        <v>32</v>
      </c>
      <c r="AG947">
        <v>1</v>
      </c>
      <c r="AH947" t="s">
        <v>1379</v>
      </c>
      <c r="AI947">
        <f t="shared" si="59"/>
        <v>1</v>
      </c>
      <c r="AJ947" t="s">
        <v>1391</v>
      </c>
    </row>
    <row r="948" spans="1:36" x14ac:dyDescent="0.3">
      <c r="A948" t="s">
        <v>22</v>
      </c>
      <c r="B948">
        <v>46</v>
      </c>
      <c r="C948">
        <v>73.2</v>
      </c>
      <c r="D948">
        <v>1.8</v>
      </c>
      <c r="E948">
        <v>22.6</v>
      </c>
      <c r="F948">
        <f t="shared" si="57"/>
        <v>22.592592592592592</v>
      </c>
      <c r="G948">
        <f t="shared" si="60"/>
        <v>0</v>
      </c>
      <c r="H948" t="s">
        <v>1398</v>
      </c>
      <c r="I948">
        <v>79.3</v>
      </c>
      <c r="J948" t="s">
        <v>818</v>
      </c>
      <c r="K948" s="24">
        <v>126</v>
      </c>
      <c r="L948" s="24">
        <v>81</v>
      </c>
      <c r="M948">
        <v>135</v>
      </c>
      <c r="N948" t="s">
        <v>1434</v>
      </c>
      <c r="O948">
        <v>71</v>
      </c>
      <c r="P948">
        <v>117</v>
      </c>
      <c r="Q948" t="s">
        <v>25</v>
      </c>
      <c r="R948" t="s">
        <v>25</v>
      </c>
      <c r="S948" t="s">
        <v>26</v>
      </c>
      <c r="T948" t="s">
        <v>24</v>
      </c>
      <c r="U948">
        <f t="shared" si="58"/>
        <v>3</v>
      </c>
      <c r="V948">
        <v>180</v>
      </c>
      <c r="W948">
        <v>0.441</v>
      </c>
      <c r="X948" t="s">
        <v>1408</v>
      </c>
      <c r="Y948">
        <v>126</v>
      </c>
      <c r="Z948">
        <v>81</v>
      </c>
      <c r="AA948" t="s">
        <v>31</v>
      </c>
      <c r="AC948" s="23">
        <v>0</v>
      </c>
      <c r="AD948" t="str">
        <f>IF(AND('CVD Dataset'!AA948="Normal",'CVD Dataset'!AB948&gt;AVERAGE('CVD Dataset'!AB:AB),'CVD Dataset'!AF948="High"),"High Lipid Category","Normal Category")</f>
        <v>Normal Category</v>
      </c>
      <c r="AE948">
        <v>15.52</v>
      </c>
      <c r="AF948" t="s">
        <v>32</v>
      </c>
      <c r="AG948">
        <v>1</v>
      </c>
      <c r="AH948" t="s">
        <v>1379</v>
      </c>
      <c r="AI948">
        <f t="shared" si="59"/>
        <v>1</v>
      </c>
      <c r="AJ948" t="s">
        <v>1391</v>
      </c>
    </row>
    <row r="949" spans="1:36" x14ac:dyDescent="0.3">
      <c r="A949" t="s">
        <v>33</v>
      </c>
      <c r="B949">
        <v>56</v>
      </c>
      <c r="C949">
        <v>66</v>
      </c>
      <c r="D949">
        <v>1.82</v>
      </c>
      <c r="E949">
        <v>19.899999999999999</v>
      </c>
      <c r="F949">
        <f t="shared" si="57"/>
        <v>19.925129815239703</v>
      </c>
      <c r="G949">
        <f t="shared" si="60"/>
        <v>0</v>
      </c>
      <c r="H949" t="s">
        <v>1398</v>
      </c>
      <c r="I949">
        <v>80.5</v>
      </c>
      <c r="J949" t="s">
        <v>819</v>
      </c>
      <c r="K949" s="24">
        <v>148</v>
      </c>
      <c r="L949" s="24">
        <v>94</v>
      </c>
      <c r="M949">
        <v>159</v>
      </c>
      <c r="N949" t="s">
        <v>1433</v>
      </c>
      <c r="O949">
        <v>73</v>
      </c>
      <c r="P949">
        <v>71</v>
      </c>
      <c r="Q949" t="s">
        <v>25</v>
      </c>
      <c r="R949" t="s">
        <v>25</v>
      </c>
      <c r="S949" t="s">
        <v>26</v>
      </c>
      <c r="T949" t="s">
        <v>24</v>
      </c>
      <c r="U949">
        <f t="shared" si="58"/>
        <v>3</v>
      </c>
      <c r="V949">
        <v>182</v>
      </c>
      <c r="W949">
        <v>0.442</v>
      </c>
      <c r="X949" t="s">
        <v>1408</v>
      </c>
      <c r="Y949">
        <v>148</v>
      </c>
      <c r="Z949">
        <v>94</v>
      </c>
      <c r="AA949" t="s">
        <v>40</v>
      </c>
      <c r="AB949">
        <v>56</v>
      </c>
      <c r="AC949" s="23">
        <v>0.77</v>
      </c>
      <c r="AD949" t="str">
        <f>IF(AND('CVD Dataset'!AA949="Normal",'CVD Dataset'!AB949&gt;AVERAGE('CVD Dataset'!AB:AB),'CVD Dataset'!AF949="High"),"High Lipid Category","Normal Category")</f>
        <v>Normal Category</v>
      </c>
      <c r="AE949">
        <v>16.559999999999999</v>
      </c>
      <c r="AF949" t="s">
        <v>32</v>
      </c>
      <c r="AG949">
        <v>1</v>
      </c>
      <c r="AH949" t="s">
        <v>1379</v>
      </c>
      <c r="AI949">
        <f t="shared" si="59"/>
        <v>1</v>
      </c>
      <c r="AJ949" t="s">
        <v>1392</v>
      </c>
    </row>
    <row r="950" spans="1:36" x14ac:dyDescent="0.3">
      <c r="A950" t="s">
        <v>33</v>
      </c>
      <c r="B950">
        <v>47</v>
      </c>
      <c r="C950">
        <v>51.6</v>
      </c>
      <c r="D950">
        <v>1.68</v>
      </c>
      <c r="E950">
        <v>18.3</v>
      </c>
      <c r="F950">
        <f t="shared" si="57"/>
        <v>18.282312925170071</v>
      </c>
      <c r="G950">
        <f t="shared" si="60"/>
        <v>0</v>
      </c>
      <c r="H950" t="s">
        <v>1401</v>
      </c>
      <c r="I950">
        <v>71.8</v>
      </c>
      <c r="J950" t="s">
        <v>562</v>
      </c>
      <c r="K950" s="24">
        <v>106</v>
      </c>
      <c r="L950" s="24">
        <v>92</v>
      </c>
      <c r="M950">
        <v>137</v>
      </c>
      <c r="N950" t="s">
        <v>1434</v>
      </c>
      <c r="O950">
        <v>37</v>
      </c>
      <c r="P950">
        <v>105</v>
      </c>
      <c r="Q950" t="s">
        <v>24</v>
      </c>
      <c r="R950" t="s">
        <v>24</v>
      </c>
      <c r="S950" t="s">
        <v>39</v>
      </c>
      <c r="T950" t="s">
        <v>25</v>
      </c>
      <c r="U950">
        <f t="shared" si="58"/>
        <v>1</v>
      </c>
      <c r="V950">
        <v>168</v>
      </c>
      <c r="W950">
        <v>0.42699999999999999</v>
      </c>
      <c r="X950" t="s">
        <v>1408</v>
      </c>
      <c r="Y950">
        <v>106</v>
      </c>
      <c r="Z950">
        <v>92</v>
      </c>
      <c r="AA950" t="s">
        <v>40</v>
      </c>
      <c r="AB950">
        <v>70</v>
      </c>
      <c r="AC950" s="23">
        <v>1.89</v>
      </c>
      <c r="AD950" t="str">
        <f>IF(AND('CVD Dataset'!AA950="Normal",'CVD Dataset'!AB950&gt;AVERAGE('CVD Dataset'!AB:AB),'CVD Dataset'!AF950="High"),"High Lipid Category","Normal Category")</f>
        <v>Normal Category</v>
      </c>
      <c r="AE950">
        <v>11.7</v>
      </c>
      <c r="AF950" t="s">
        <v>28</v>
      </c>
      <c r="AG950">
        <v>0</v>
      </c>
      <c r="AH950" t="s">
        <v>1380</v>
      </c>
      <c r="AI950">
        <f t="shared" si="59"/>
        <v>0</v>
      </c>
      <c r="AJ950" t="s">
        <v>1391</v>
      </c>
    </row>
    <row r="951" spans="1:36" x14ac:dyDescent="0.3">
      <c r="A951" t="s">
        <v>22</v>
      </c>
      <c r="B951">
        <v>55</v>
      </c>
      <c r="D951">
        <v>1.65</v>
      </c>
      <c r="E951">
        <v>21.4</v>
      </c>
      <c r="F951">
        <f t="shared" si="57"/>
        <v>0</v>
      </c>
      <c r="G951">
        <f t="shared" si="60"/>
        <v>1</v>
      </c>
      <c r="H951" t="s">
        <v>1398</v>
      </c>
      <c r="I951">
        <v>92.6</v>
      </c>
      <c r="J951" t="s">
        <v>820</v>
      </c>
      <c r="K951" s="24">
        <v>107</v>
      </c>
      <c r="L951" s="24">
        <v>89</v>
      </c>
      <c r="M951">
        <v>179</v>
      </c>
      <c r="N951" t="s">
        <v>1433</v>
      </c>
      <c r="O951">
        <v>75</v>
      </c>
      <c r="P951">
        <v>139</v>
      </c>
      <c r="Q951" t="s">
        <v>25</v>
      </c>
      <c r="R951" t="s">
        <v>24</v>
      </c>
      <c r="S951" t="s">
        <v>39</v>
      </c>
      <c r="T951" t="s">
        <v>24</v>
      </c>
      <c r="U951">
        <f t="shared" si="58"/>
        <v>1</v>
      </c>
      <c r="V951">
        <v>165</v>
      </c>
      <c r="W951">
        <v>0.56100000000000005</v>
      </c>
      <c r="X951" t="s">
        <v>1407</v>
      </c>
      <c r="Y951">
        <v>107</v>
      </c>
      <c r="Z951">
        <v>89</v>
      </c>
      <c r="AA951" t="s">
        <v>31</v>
      </c>
      <c r="AB951">
        <v>74</v>
      </c>
      <c r="AC951" s="23">
        <v>0.99</v>
      </c>
      <c r="AD951" t="str">
        <f>IF(AND('CVD Dataset'!AA951="Normal",'CVD Dataset'!AB951&gt;AVERAGE('CVD Dataset'!AB:AB),'CVD Dataset'!AF951="High"),"High Lipid Category","Normal Category")</f>
        <v>Normal Category</v>
      </c>
      <c r="AE951">
        <v>13.21</v>
      </c>
      <c r="AF951" t="s">
        <v>28</v>
      </c>
      <c r="AG951">
        <v>0</v>
      </c>
      <c r="AH951" t="s">
        <v>1380</v>
      </c>
      <c r="AI951">
        <f t="shared" si="59"/>
        <v>0</v>
      </c>
      <c r="AJ951" t="s">
        <v>1391</v>
      </c>
    </row>
    <row r="952" spans="1:36" x14ac:dyDescent="0.3">
      <c r="A952" t="s">
        <v>22</v>
      </c>
      <c r="B952">
        <v>60</v>
      </c>
      <c r="C952">
        <v>54.3</v>
      </c>
      <c r="D952">
        <v>1.81</v>
      </c>
      <c r="E952">
        <v>16.600000000000001</v>
      </c>
      <c r="F952">
        <f t="shared" si="57"/>
        <v>16.574585635359114</v>
      </c>
      <c r="G952">
        <f t="shared" si="60"/>
        <v>0</v>
      </c>
      <c r="H952" t="s">
        <v>1401</v>
      </c>
      <c r="I952">
        <v>99.1</v>
      </c>
      <c r="J952" t="s">
        <v>205</v>
      </c>
      <c r="K952" s="24">
        <v>133</v>
      </c>
      <c r="L952" s="24">
        <v>65</v>
      </c>
      <c r="M952">
        <v>187</v>
      </c>
      <c r="N952" t="s">
        <v>1432</v>
      </c>
      <c r="O952">
        <v>78</v>
      </c>
      <c r="P952">
        <v>80</v>
      </c>
      <c r="Q952" t="s">
        <v>24</v>
      </c>
      <c r="R952" t="s">
        <v>25</v>
      </c>
      <c r="S952" t="s">
        <v>30</v>
      </c>
      <c r="T952" t="s">
        <v>24</v>
      </c>
      <c r="U952">
        <f t="shared" si="58"/>
        <v>1</v>
      </c>
      <c r="V952">
        <v>181</v>
      </c>
      <c r="W952">
        <v>0.54800000000000004</v>
      </c>
      <c r="X952" t="s">
        <v>1407</v>
      </c>
      <c r="Y952">
        <v>133</v>
      </c>
      <c r="Z952">
        <v>65</v>
      </c>
      <c r="AA952" t="s">
        <v>31</v>
      </c>
      <c r="AB952">
        <v>79</v>
      </c>
      <c r="AC952" s="23">
        <v>1.01</v>
      </c>
      <c r="AD952" t="str">
        <f>IF(AND('CVD Dataset'!AA952="Normal",'CVD Dataset'!AB952&gt;AVERAGE('CVD Dataset'!AB:AB),'CVD Dataset'!AF952="High"),"High Lipid Category","Normal Category")</f>
        <v>Normal Category</v>
      </c>
      <c r="AE952">
        <v>15.71</v>
      </c>
      <c r="AF952" t="s">
        <v>28</v>
      </c>
      <c r="AG952">
        <v>0</v>
      </c>
      <c r="AH952" t="s">
        <v>1380</v>
      </c>
      <c r="AI952">
        <f t="shared" si="59"/>
        <v>0</v>
      </c>
      <c r="AJ952" t="s">
        <v>1392</v>
      </c>
    </row>
    <row r="953" spans="1:36" x14ac:dyDescent="0.3">
      <c r="A953" t="s">
        <v>22</v>
      </c>
      <c r="B953">
        <v>37</v>
      </c>
      <c r="C953">
        <v>79</v>
      </c>
      <c r="D953">
        <v>1.74</v>
      </c>
      <c r="F953">
        <f t="shared" si="57"/>
        <v>26.09327520147972</v>
      </c>
      <c r="G953">
        <f t="shared" si="60"/>
        <v>1</v>
      </c>
      <c r="H953" t="s">
        <v>1401</v>
      </c>
      <c r="I953">
        <v>92.4</v>
      </c>
      <c r="J953" t="s">
        <v>821</v>
      </c>
      <c r="K953" s="24">
        <v>147</v>
      </c>
      <c r="L953" s="24">
        <v>85</v>
      </c>
      <c r="M953">
        <v>212</v>
      </c>
      <c r="N953" t="s">
        <v>1432</v>
      </c>
      <c r="O953">
        <v>73</v>
      </c>
      <c r="P953">
        <v>90</v>
      </c>
      <c r="Q953" t="s">
        <v>25</v>
      </c>
      <c r="R953" t="s">
        <v>24</v>
      </c>
      <c r="S953" t="s">
        <v>39</v>
      </c>
      <c r="T953" t="s">
        <v>24</v>
      </c>
      <c r="U953">
        <f t="shared" si="58"/>
        <v>1</v>
      </c>
      <c r="V953">
        <v>174</v>
      </c>
      <c r="W953">
        <v>0.53100000000000003</v>
      </c>
      <c r="X953" t="s">
        <v>1407</v>
      </c>
      <c r="Y953">
        <v>147</v>
      </c>
      <c r="Z953">
        <v>85</v>
      </c>
      <c r="AA953" t="s">
        <v>31</v>
      </c>
      <c r="AC953" s="23">
        <v>0</v>
      </c>
      <c r="AD953" t="str">
        <f>IF(AND('CVD Dataset'!AA953="Normal",'CVD Dataset'!AB953&gt;AVERAGE('CVD Dataset'!AB:AB),'CVD Dataset'!AF953="High"),"High Lipid Category","Normal Category")</f>
        <v>Normal Category</v>
      </c>
      <c r="AE953">
        <v>16.809999999999999</v>
      </c>
      <c r="AF953" t="s">
        <v>28</v>
      </c>
      <c r="AG953">
        <v>0</v>
      </c>
      <c r="AH953" t="s">
        <v>1380</v>
      </c>
      <c r="AI953">
        <f t="shared" si="59"/>
        <v>0</v>
      </c>
      <c r="AJ953" t="s">
        <v>1391</v>
      </c>
    </row>
    <row r="954" spans="1:36" x14ac:dyDescent="0.3">
      <c r="A954" t="s">
        <v>33</v>
      </c>
      <c r="B954">
        <v>51</v>
      </c>
      <c r="C954">
        <v>85.9</v>
      </c>
      <c r="D954">
        <v>1.78</v>
      </c>
      <c r="E954">
        <v>27.1</v>
      </c>
      <c r="F954">
        <f t="shared" si="57"/>
        <v>27.111475823759626</v>
      </c>
      <c r="G954">
        <f t="shared" si="60"/>
        <v>0</v>
      </c>
      <c r="H954" t="s">
        <v>1400</v>
      </c>
      <c r="I954">
        <v>87.2</v>
      </c>
      <c r="J954" t="s">
        <v>194</v>
      </c>
      <c r="K954" s="24">
        <v>144</v>
      </c>
      <c r="L954" s="24">
        <v>70</v>
      </c>
      <c r="M954">
        <v>189</v>
      </c>
      <c r="N954" t="s">
        <v>1432</v>
      </c>
      <c r="O954">
        <v>44</v>
      </c>
      <c r="P954">
        <v>100</v>
      </c>
      <c r="Q954" t="s">
        <v>24</v>
      </c>
      <c r="R954" t="s">
        <v>24</v>
      </c>
      <c r="S954" t="s">
        <v>26</v>
      </c>
      <c r="T954" t="s">
        <v>24</v>
      </c>
      <c r="U954">
        <f t="shared" si="58"/>
        <v>1</v>
      </c>
      <c r="V954">
        <v>178</v>
      </c>
      <c r="W954">
        <v>0.49</v>
      </c>
      <c r="X954" t="s">
        <v>1406</v>
      </c>
      <c r="Y954">
        <v>144</v>
      </c>
      <c r="Z954">
        <v>70</v>
      </c>
      <c r="AA954" t="s">
        <v>40</v>
      </c>
      <c r="AC954" s="23">
        <v>0</v>
      </c>
      <c r="AD954" t="str">
        <f>IF(AND('CVD Dataset'!AA954="Normal",'CVD Dataset'!AB954&gt;AVERAGE('CVD Dataset'!AB:AB),'CVD Dataset'!AF954="High"),"High Lipid Category","Normal Category")</f>
        <v>Normal Category</v>
      </c>
      <c r="AE954">
        <v>16.399999999999999</v>
      </c>
      <c r="AF954" t="s">
        <v>28</v>
      </c>
      <c r="AG954">
        <v>0</v>
      </c>
      <c r="AH954" t="s">
        <v>1380</v>
      </c>
      <c r="AI954">
        <f t="shared" si="59"/>
        <v>0</v>
      </c>
      <c r="AJ954" t="s">
        <v>1391</v>
      </c>
    </row>
    <row r="955" spans="1:36" x14ac:dyDescent="0.3">
      <c r="A955" t="s">
        <v>33</v>
      </c>
      <c r="B955">
        <v>31</v>
      </c>
      <c r="C955">
        <v>60.3</v>
      </c>
      <c r="D955">
        <v>1.7</v>
      </c>
      <c r="E955">
        <v>20.9</v>
      </c>
      <c r="F955">
        <f t="shared" si="57"/>
        <v>20.865051903114189</v>
      </c>
      <c r="G955">
        <f t="shared" si="60"/>
        <v>0</v>
      </c>
      <c r="H955" t="s">
        <v>1398</v>
      </c>
      <c r="I955">
        <v>70.099999999999994</v>
      </c>
      <c r="J955" t="s">
        <v>822</v>
      </c>
      <c r="K955" s="24">
        <v>141</v>
      </c>
      <c r="L955" s="24">
        <v>96</v>
      </c>
      <c r="M955">
        <v>253</v>
      </c>
      <c r="N955" t="s">
        <v>1432</v>
      </c>
      <c r="O955">
        <v>38</v>
      </c>
      <c r="P955">
        <v>119</v>
      </c>
      <c r="Q955" t="s">
        <v>25</v>
      </c>
      <c r="R955" t="s">
        <v>24</v>
      </c>
      <c r="S955" t="s">
        <v>39</v>
      </c>
      <c r="T955" t="s">
        <v>25</v>
      </c>
      <c r="U955">
        <f t="shared" si="58"/>
        <v>2</v>
      </c>
      <c r="V955">
        <v>170</v>
      </c>
      <c r="W955">
        <v>0.41199999999999998</v>
      </c>
      <c r="X955" t="s">
        <v>1408</v>
      </c>
      <c r="Y955">
        <v>141</v>
      </c>
      <c r="Z955">
        <v>96</v>
      </c>
      <c r="AA955" t="s">
        <v>40</v>
      </c>
      <c r="AB955">
        <v>185</v>
      </c>
      <c r="AC955" s="23">
        <v>4.87</v>
      </c>
      <c r="AD955" t="str">
        <f>IF(AND('CVD Dataset'!AA955="Normal",'CVD Dataset'!AB955&gt;AVERAGE('CVD Dataset'!AB:AB),'CVD Dataset'!AF955="High"),"High Lipid Category","Normal Category")</f>
        <v>Normal Category</v>
      </c>
      <c r="AE955">
        <v>16.29</v>
      </c>
      <c r="AF955" t="s">
        <v>32</v>
      </c>
      <c r="AG955">
        <v>0</v>
      </c>
      <c r="AH955" t="s">
        <v>1379</v>
      </c>
      <c r="AI955">
        <f t="shared" si="59"/>
        <v>1</v>
      </c>
      <c r="AJ955" t="s">
        <v>1391</v>
      </c>
    </row>
    <row r="956" spans="1:36" x14ac:dyDescent="0.3">
      <c r="A956" t="s">
        <v>22</v>
      </c>
      <c r="B956">
        <v>49</v>
      </c>
      <c r="C956">
        <v>60.5</v>
      </c>
      <c r="D956">
        <v>1.64</v>
      </c>
      <c r="E956">
        <v>22.5</v>
      </c>
      <c r="F956">
        <f t="shared" si="57"/>
        <v>22.494051160023798</v>
      </c>
      <c r="G956">
        <f t="shared" si="60"/>
        <v>0</v>
      </c>
      <c r="H956" t="s">
        <v>1398</v>
      </c>
      <c r="I956">
        <v>76.400000000000006</v>
      </c>
      <c r="J956" t="s">
        <v>823</v>
      </c>
      <c r="K956" s="24">
        <v>104</v>
      </c>
      <c r="L956" s="24">
        <v>80</v>
      </c>
      <c r="M956">
        <v>178</v>
      </c>
      <c r="N956" t="s">
        <v>1433</v>
      </c>
      <c r="O956">
        <v>78</v>
      </c>
      <c r="P956">
        <v>124</v>
      </c>
      <c r="Q956" t="s">
        <v>24</v>
      </c>
      <c r="R956" t="s">
        <v>24</v>
      </c>
      <c r="S956" t="s">
        <v>39</v>
      </c>
      <c r="T956" t="s">
        <v>25</v>
      </c>
      <c r="U956">
        <f t="shared" si="58"/>
        <v>1</v>
      </c>
      <c r="V956">
        <v>164</v>
      </c>
      <c r="W956">
        <v>0.46600000000000003</v>
      </c>
      <c r="X956" t="s">
        <v>1406</v>
      </c>
      <c r="Y956">
        <v>104</v>
      </c>
      <c r="Z956">
        <v>80</v>
      </c>
      <c r="AA956" t="s">
        <v>31</v>
      </c>
      <c r="AB956">
        <v>70</v>
      </c>
      <c r="AC956" s="23">
        <v>0.9</v>
      </c>
      <c r="AD956" t="str">
        <f>IF(AND('CVD Dataset'!AA956="Normal",'CVD Dataset'!AB956&gt;AVERAGE('CVD Dataset'!AB:AB),'CVD Dataset'!AF956="High"),"High Lipid Category","Normal Category")</f>
        <v>Normal Category</v>
      </c>
      <c r="AE956">
        <v>13.26</v>
      </c>
      <c r="AF956" t="s">
        <v>28</v>
      </c>
      <c r="AG956">
        <v>0</v>
      </c>
      <c r="AH956" t="s">
        <v>1380</v>
      </c>
      <c r="AI956">
        <f t="shared" si="59"/>
        <v>0</v>
      </c>
      <c r="AJ956" t="s">
        <v>1391</v>
      </c>
    </row>
    <row r="957" spans="1:36" x14ac:dyDescent="0.3">
      <c r="A957" t="s">
        <v>22</v>
      </c>
      <c r="B957">
        <v>48</v>
      </c>
      <c r="C957">
        <v>82.9</v>
      </c>
      <c r="D957">
        <v>1.89</v>
      </c>
      <c r="E957">
        <v>23.2</v>
      </c>
      <c r="F957">
        <f t="shared" si="57"/>
        <v>23.207636964250725</v>
      </c>
      <c r="G957">
        <f t="shared" si="60"/>
        <v>0</v>
      </c>
      <c r="H957" t="s">
        <v>1398</v>
      </c>
      <c r="I957">
        <v>84.4</v>
      </c>
      <c r="J957" t="s">
        <v>824</v>
      </c>
      <c r="K957" s="24">
        <v>129</v>
      </c>
      <c r="L957" s="24">
        <v>60</v>
      </c>
      <c r="M957">
        <v>109</v>
      </c>
      <c r="N957" t="s">
        <v>1434</v>
      </c>
      <c r="O957">
        <v>70</v>
      </c>
      <c r="P957">
        <v>108</v>
      </c>
      <c r="Q957" t="s">
        <v>24</v>
      </c>
      <c r="R957" t="s">
        <v>25</v>
      </c>
      <c r="S957" t="s">
        <v>30</v>
      </c>
      <c r="T957" t="s">
        <v>25</v>
      </c>
      <c r="U957">
        <f t="shared" si="58"/>
        <v>2</v>
      </c>
      <c r="V957">
        <v>189</v>
      </c>
      <c r="W957">
        <v>0.44700000000000001</v>
      </c>
      <c r="X957" t="s">
        <v>1408</v>
      </c>
      <c r="Y957">
        <v>129</v>
      </c>
      <c r="Z957">
        <v>60</v>
      </c>
      <c r="AA957" t="s">
        <v>27</v>
      </c>
      <c r="AB957">
        <v>9</v>
      </c>
      <c r="AC957" s="23">
        <v>0.13</v>
      </c>
      <c r="AD957" t="str">
        <f>IF(AND('CVD Dataset'!AA957="Normal",'CVD Dataset'!AB957&gt;AVERAGE('CVD Dataset'!AB:AB),'CVD Dataset'!AF957="High"),"High Lipid Category","Normal Category")</f>
        <v>Normal Category</v>
      </c>
      <c r="AE957">
        <v>15.27</v>
      </c>
      <c r="AF957" t="s">
        <v>28</v>
      </c>
      <c r="AG957">
        <v>0</v>
      </c>
      <c r="AH957" t="s">
        <v>1380</v>
      </c>
      <c r="AI957">
        <f t="shared" si="59"/>
        <v>0</v>
      </c>
      <c r="AJ957" t="s">
        <v>1391</v>
      </c>
    </row>
    <row r="958" spans="1:36" x14ac:dyDescent="0.3">
      <c r="A958" t="s">
        <v>22</v>
      </c>
      <c r="B958">
        <v>48</v>
      </c>
      <c r="C958">
        <v>103.2</v>
      </c>
      <c r="D958">
        <v>1.75</v>
      </c>
      <c r="E958">
        <v>33.700000000000003</v>
      </c>
      <c r="F958">
        <f t="shared" si="57"/>
        <v>33.697959183673468</v>
      </c>
      <c r="G958">
        <f t="shared" si="60"/>
        <v>0</v>
      </c>
      <c r="H958" t="s">
        <v>1399</v>
      </c>
      <c r="I958">
        <v>75.5</v>
      </c>
      <c r="J958" t="s">
        <v>825</v>
      </c>
      <c r="K958" s="24">
        <v>146</v>
      </c>
      <c r="L958" s="24">
        <v>99</v>
      </c>
      <c r="M958">
        <v>256</v>
      </c>
      <c r="N958" t="s">
        <v>1432</v>
      </c>
      <c r="O958">
        <v>38</v>
      </c>
      <c r="P958">
        <v>104</v>
      </c>
      <c r="Q958" t="s">
        <v>24</v>
      </c>
      <c r="R958" t="s">
        <v>24</v>
      </c>
      <c r="S958" t="s">
        <v>26</v>
      </c>
      <c r="T958" t="s">
        <v>25</v>
      </c>
      <c r="U958">
        <f t="shared" si="58"/>
        <v>2</v>
      </c>
      <c r="W958">
        <v>0.43099999999999999</v>
      </c>
      <c r="X958" t="s">
        <v>1408</v>
      </c>
      <c r="Y958">
        <v>146</v>
      </c>
      <c r="Z958">
        <v>99</v>
      </c>
      <c r="AA958" t="s">
        <v>40</v>
      </c>
      <c r="AB958">
        <v>188</v>
      </c>
      <c r="AC958" s="23">
        <v>4.95</v>
      </c>
      <c r="AD958" t="str">
        <f>IF(AND('CVD Dataset'!AA958="Normal",'CVD Dataset'!AB958&gt;AVERAGE('CVD Dataset'!AB:AB),'CVD Dataset'!AF958="High"),"High Lipid Category","Normal Category")</f>
        <v>Normal Category</v>
      </c>
      <c r="AE958">
        <v>19.16</v>
      </c>
      <c r="AF958" t="s">
        <v>32</v>
      </c>
      <c r="AG958">
        <v>0</v>
      </c>
      <c r="AH958" t="s">
        <v>1379</v>
      </c>
      <c r="AI958">
        <f t="shared" si="59"/>
        <v>1</v>
      </c>
      <c r="AJ958" t="s">
        <v>1391</v>
      </c>
    </row>
    <row r="959" spans="1:36" x14ac:dyDescent="0.3">
      <c r="A959" t="s">
        <v>22</v>
      </c>
      <c r="B959">
        <v>40</v>
      </c>
      <c r="C959">
        <v>74.400000000000006</v>
      </c>
      <c r="D959">
        <v>1.88</v>
      </c>
      <c r="E959">
        <v>21.1</v>
      </c>
      <c r="F959">
        <f t="shared" si="57"/>
        <v>21.050248981439569</v>
      </c>
      <c r="G959">
        <f t="shared" si="60"/>
        <v>0</v>
      </c>
      <c r="H959" t="s">
        <v>1398</v>
      </c>
      <c r="I959">
        <v>91.1</v>
      </c>
      <c r="J959" t="s">
        <v>826</v>
      </c>
      <c r="K959" s="24">
        <v>90</v>
      </c>
      <c r="L959" s="24">
        <v>97</v>
      </c>
      <c r="M959">
        <v>176</v>
      </c>
      <c r="N959" t="s">
        <v>1433</v>
      </c>
      <c r="O959">
        <v>73</v>
      </c>
      <c r="P959">
        <v>98</v>
      </c>
      <c r="Q959" t="s">
        <v>25</v>
      </c>
      <c r="R959" t="s">
        <v>24</v>
      </c>
      <c r="S959" t="s">
        <v>26</v>
      </c>
      <c r="T959" t="s">
        <v>24</v>
      </c>
      <c r="U959">
        <f t="shared" si="58"/>
        <v>2</v>
      </c>
      <c r="V959">
        <v>188</v>
      </c>
      <c r="W959">
        <v>0.48499999999999999</v>
      </c>
      <c r="X959" t="s">
        <v>1406</v>
      </c>
      <c r="Y959">
        <v>90</v>
      </c>
      <c r="Z959">
        <v>97</v>
      </c>
      <c r="AA959" t="s">
        <v>40</v>
      </c>
      <c r="AB959">
        <v>73</v>
      </c>
      <c r="AC959" s="23">
        <v>1</v>
      </c>
      <c r="AD959" t="str">
        <f>IF(AND('CVD Dataset'!AA959="Normal",'CVD Dataset'!AB959&gt;AVERAGE('CVD Dataset'!AB:AB),'CVD Dataset'!AF959="High"),"High Lipid Category","Normal Category")</f>
        <v>Normal Category</v>
      </c>
      <c r="AE959">
        <v>12.24</v>
      </c>
      <c r="AF959" t="s">
        <v>28</v>
      </c>
      <c r="AG959">
        <v>0</v>
      </c>
      <c r="AH959" t="s">
        <v>1380</v>
      </c>
      <c r="AI959">
        <f t="shared" si="59"/>
        <v>0</v>
      </c>
      <c r="AJ959" t="s">
        <v>1391</v>
      </c>
    </row>
    <row r="960" spans="1:36" x14ac:dyDescent="0.3">
      <c r="A960" t="s">
        <v>22</v>
      </c>
      <c r="B960">
        <v>31</v>
      </c>
      <c r="C960">
        <v>93.2</v>
      </c>
      <c r="D960">
        <v>1.63</v>
      </c>
      <c r="E960">
        <v>35.1</v>
      </c>
      <c r="F960">
        <f t="shared" si="57"/>
        <v>35.078474914373899</v>
      </c>
      <c r="G960">
        <f t="shared" si="60"/>
        <v>0</v>
      </c>
      <c r="H960" t="s">
        <v>1399</v>
      </c>
      <c r="I960">
        <v>95.5</v>
      </c>
      <c r="J960" t="s">
        <v>827</v>
      </c>
      <c r="K960" s="24">
        <v>139</v>
      </c>
      <c r="L960" s="24">
        <v>91</v>
      </c>
      <c r="N960" t="s">
        <v>1434</v>
      </c>
      <c r="O960">
        <v>57</v>
      </c>
      <c r="P960">
        <v>123</v>
      </c>
      <c r="Q960" t="s">
        <v>25</v>
      </c>
      <c r="R960" t="s">
        <v>24</v>
      </c>
      <c r="S960" t="s">
        <v>39</v>
      </c>
      <c r="T960" t="s">
        <v>25</v>
      </c>
      <c r="U960">
        <f t="shared" si="58"/>
        <v>2</v>
      </c>
      <c r="V960">
        <v>163</v>
      </c>
      <c r="W960">
        <v>0.58599999999999997</v>
      </c>
      <c r="X960" t="s">
        <v>1409</v>
      </c>
      <c r="Z960">
        <v>91</v>
      </c>
      <c r="AA960" t="s">
        <v>31</v>
      </c>
      <c r="AB960">
        <v>180</v>
      </c>
      <c r="AC960" s="23">
        <v>3.16</v>
      </c>
      <c r="AD960" t="str">
        <f>IF(AND('CVD Dataset'!AA960="Normal",'CVD Dataset'!AB960&gt;AVERAGE('CVD Dataset'!AB:AB),'CVD Dataset'!AF960="High"),"High Lipid Category","Normal Category")</f>
        <v>Normal Category</v>
      </c>
      <c r="AE960">
        <v>19.309999999999999</v>
      </c>
      <c r="AF960" t="s">
        <v>32</v>
      </c>
      <c r="AG960">
        <v>0</v>
      </c>
      <c r="AH960" t="s">
        <v>1379</v>
      </c>
      <c r="AI960">
        <f t="shared" si="59"/>
        <v>1</v>
      </c>
      <c r="AJ960" t="s">
        <v>1391</v>
      </c>
    </row>
    <row r="961" spans="1:36" x14ac:dyDescent="0.3">
      <c r="A961" t="s">
        <v>33</v>
      </c>
      <c r="B961">
        <v>57</v>
      </c>
      <c r="C961">
        <v>74.900000000000006</v>
      </c>
      <c r="D961">
        <v>1.81</v>
      </c>
      <c r="E961">
        <v>22.9</v>
      </c>
      <c r="F961">
        <f t="shared" si="57"/>
        <v>22.862549983211746</v>
      </c>
      <c r="G961">
        <f t="shared" si="60"/>
        <v>0</v>
      </c>
      <c r="H961" t="s">
        <v>1398</v>
      </c>
      <c r="I961">
        <v>72.099999999999994</v>
      </c>
      <c r="J961" t="s">
        <v>828</v>
      </c>
      <c r="K961" s="24">
        <v>121</v>
      </c>
      <c r="L961" s="24">
        <v>93</v>
      </c>
      <c r="M961">
        <v>258</v>
      </c>
      <c r="N961" t="s">
        <v>1432</v>
      </c>
      <c r="O961">
        <v>53</v>
      </c>
      <c r="P961">
        <v>109</v>
      </c>
      <c r="Q961" t="s">
        <v>25</v>
      </c>
      <c r="R961" t="s">
        <v>24</v>
      </c>
      <c r="S961" t="s">
        <v>30</v>
      </c>
      <c r="T961" t="s">
        <v>25</v>
      </c>
      <c r="U961">
        <f t="shared" si="58"/>
        <v>2</v>
      </c>
      <c r="V961">
        <v>181</v>
      </c>
      <c r="W961">
        <v>0.39800000000000002</v>
      </c>
      <c r="X961" t="s">
        <v>1408</v>
      </c>
      <c r="Y961">
        <v>121</v>
      </c>
      <c r="Z961">
        <v>93</v>
      </c>
      <c r="AA961" t="s">
        <v>40</v>
      </c>
      <c r="AB961">
        <v>175</v>
      </c>
      <c r="AC961" s="23">
        <v>3.3</v>
      </c>
      <c r="AD961" t="str">
        <f>IF(AND('CVD Dataset'!AA961="Normal",'CVD Dataset'!AB961&gt;AVERAGE('CVD Dataset'!AB:AB),'CVD Dataset'!AF961="High"),"High Lipid Category","Normal Category")</f>
        <v>Normal Category</v>
      </c>
      <c r="AE961">
        <v>15.79</v>
      </c>
      <c r="AF961" t="s">
        <v>32</v>
      </c>
      <c r="AG961">
        <v>0</v>
      </c>
      <c r="AH961" t="s">
        <v>1379</v>
      </c>
      <c r="AI961">
        <f t="shared" si="59"/>
        <v>1</v>
      </c>
      <c r="AJ961" t="s">
        <v>1391</v>
      </c>
    </row>
    <row r="962" spans="1:36" x14ac:dyDescent="0.3">
      <c r="A962" t="s">
        <v>22</v>
      </c>
      <c r="B962">
        <v>33</v>
      </c>
      <c r="C962">
        <v>57.9</v>
      </c>
      <c r="D962">
        <v>1.73</v>
      </c>
      <c r="E962">
        <v>19.3</v>
      </c>
      <c r="F962">
        <f t="shared" si="57"/>
        <v>19.345785024558118</v>
      </c>
      <c r="G962">
        <f t="shared" si="60"/>
        <v>0</v>
      </c>
      <c r="H962" t="s">
        <v>1398</v>
      </c>
      <c r="I962">
        <v>84.7</v>
      </c>
      <c r="J962" t="s">
        <v>264</v>
      </c>
      <c r="K962" s="24">
        <v>126</v>
      </c>
      <c r="L962" s="24">
        <v>86</v>
      </c>
      <c r="M962">
        <v>111</v>
      </c>
      <c r="N962" t="s">
        <v>1434</v>
      </c>
      <c r="O962">
        <v>57</v>
      </c>
      <c r="P962">
        <v>124</v>
      </c>
      <c r="Q962" t="s">
        <v>25</v>
      </c>
      <c r="R962" t="s">
        <v>24</v>
      </c>
      <c r="S962" t="s">
        <v>26</v>
      </c>
      <c r="T962" t="s">
        <v>24</v>
      </c>
      <c r="U962">
        <f t="shared" si="58"/>
        <v>2</v>
      </c>
      <c r="X962" t="s">
        <v>1410</v>
      </c>
      <c r="Y962">
        <v>126</v>
      </c>
      <c r="Z962">
        <v>86</v>
      </c>
      <c r="AA962" t="s">
        <v>31</v>
      </c>
      <c r="AB962">
        <v>24</v>
      </c>
      <c r="AC962" s="23">
        <v>0.42</v>
      </c>
      <c r="AD962" t="str">
        <f>IF(AND('CVD Dataset'!AA962="Normal",'CVD Dataset'!AB962&gt;AVERAGE('CVD Dataset'!AB:AB),'CVD Dataset'!AF962="High"),"High Lipid Category","Normal Category")</f>
        <v>Normal Category</v>
      </c>
      <c r="AE962">
        <v>12.38</v>
      </c>
      <c r="AF962" t="s">
        <v>28</v>
      </c>
      <c r="AG962">
        <v>0</v>
      </c>
      <c r="AH962" t="s">
        <v>1380</v>
      </c>
      <c r="AI962">
        <f t="shared" si="59"/>
        <v>0</v>
      </c>
      <c r="AJ962" t="s">
        <v>1391</v>
      </c>
    </row>
    <row r="963" spans="1:36" x14ac:dyDescent="0.3">
      <c r="A963" t="s">
        <v>22</v>
      </c>
      <c r="B963">
        <v>47</v>
      </c>
      <c r="C963">
        <v>82.7</v>
      </c>
      <c r="D963">
        <v>1.63</v>
      </c>
      <c r="E963">
        <v>31.1</v>
      </c>
      <c r="F963">
        <f t="shared" ref="F963:F1026" si="61">IFERROR(C963/POWER(D963,2),"")</f>
        <v>31.126500809213749</v>
      </c>
      <c r="G963">
        <f t="shared" si="60"/>
        <v>0</v>
      </c>
      <c r="H963" t="s">
        <v>1399</v>
      </c>
      <c r="I963">
        <v>82.1</v>
      </c>
      <c r="J963" t="s">
        <v>623</v>
      </c>
      <c r="K963" s="24">
        <v>132</v>
      </c>
      <c r="L963" s="24">
        <v>65</v>
      </c>
      <c r="M963">
        <v>158</v>
      </c>
      <c r="N963" t="s">
        <v>1433</v>
      </c>
      <c r="O963">
        <v>78</v>
      </c>
      <c r="P963">
        <v>91</v>
      </c>
      <c r="Q963" t="s">
        <v>24</v>
      </c>
      <c r="R963" t="s">
        <v>25</v>
      </c>
      <c r="S963" t="s">
        <v>30</v>
      </c>
      <c r="T963" t="s">
        <v>25</v>
      </c>
      <c r="U963">
        <f t="shared" ref="U963:U1026" si="62">SUM(IF(Q963="Y",1,0),IF(R963="Y",1,0),IF(S963="Low",1,0),IF(T963="Y",1,0))</f>
        <v>2</v>
      </c>
      <c r="V963">
        <v>163</v>
      </c>
      <c r="W963">
        <v>0.504</v>
      </c>
      <c r="X963" t="s">
        <v>1406</v>
      </c>
      <c r="Z963">
        <v>65</v>
      </c>
      <c r="AA963" t="s">
        <v>31</v>
      </c>
      <c r="AB963">
        <v>50</v>
      </c>
      <c r="AC963" s="23">
        <v>0.64</v>
      </c>
      <c r="AD963" t="str">
        <f>IF(AND('CVD Dataset'!AA963="Normal",'CVD Dataset'!AB963&gt;AVERAGE('CVD Dataset'!AB:AB),'CVD Dataset'!AF963="High"),"High Lipid Category","Normal Category")</f>
        <v>Normal Category</v>
      </c>
      <c r="AE963">
        <v>17.98</v>
      </c>
      <c r="AF963" t="s">
        <v>32</v>
      </c>
      <c r="AG963">
        <v>1</v>
      </c>
      <c r="AH963" t="s">
        <v>1379</v>
      </c>
      <c r="AI963">
        <f t="shared" ref="AI963:AI1026" si="63">IF(AF963="HIGH",1,0)</f>
        <v>1</v>
      </c>
      <c r="AJ963" t="s">
        <v>1391</v>
      </c>
    </row>
    <row r="964" spans="1:36" x14ac:dyDescent="0.3">
      <c r="A964" t="s">
        <v>33</v>
      </c>
      <c r="B964">
        <v>60</v>
      </c>
      <c r="C964">
        <v>91.2</v>
      </c>
      <c r="D964">
        <v>1.68</v>
      </c>
      <c r="E964">
        <v>32.299999999999997</v>
      </c>
      <c r="F964">
        <f t="shared" si="61"/>
        <v>32.312925170068034</v>
      </c>
      <c r="G964">
        <f t="shared" si="60"/>
        <v>0</v>
      </c>
      <c r="H964" t="s">
        <v>1399</v>
      </c>
      <c r="I964">
        <v>73.2</v>
      </c>
      <c r="J964" t="s">
        <v>829</v>
      </c>
      <c r="K964" s="24">
        <v>124</v>
      </c>
      <c r="L964" s="24">
        <v>80</v>
      </c>
      <c r="M964">
        <v>249</v>
      </c>
      <c r="N964" t="s">
        <v>1432</v>
      </c>
      <c r="O964">
        <v>60</v>
      </c>
      <c r="P964">
        <v>147</v>
      </c>
      <c r="Q964" t="s">
        <v>24</v>
      </c>
      <c r="R964" t="s">
        <v>24</v>
      </c>
      <c r="S964" t="s">
        <v>39</v>
      </c>
      <c r="T964" t="s">
        <v>24</v>
      </c>
      <c r="U964">
        <f t="shared" si="62"/>
        <v>0</v>
      </c>
      <c r="V964">
        <v>168</v>
      </c>
      <c r="W964">
        <v>0.436</v>
      </c>
      <c r="X964" t="s">
        <v>1408</v>
      </c>
      <c r="Y964">
        <v>124</v>
      </c>
      <c r="AA964" t="s">
        <v>31</v>
      </c>
      <c r="AB964">
        <v>159</v>
      </c>
      <c r="AC964" s="23">
        <v>2.65</v>
      </c>
      <c r="AD964" t="str">
        <f>IF(AND('CVD Dataset'!AA964="Normal",'CVD Dataset'!AB964&gt;AVERAGE('CVD Dataset'!AB:AB),'CVD Dataset'!AF964="High"),"High Lipid Category","Normal Category")</f>
        <v>Normal Category</v>
      </c>
      <c r="AE964">
        <v>17.64</v>
      </c>
      <c r="AF964" t="s">
        <v>28</v>
      </c>
      <c r="AG964">
        <v>0</v>
      </c>
      <c r="AH964" t="s">
        <v>1380</v>
      </c>
      <c r="AI964">
        <f t="shared" si="63"/>
        <v>0</v>
      </c>
      <c r="AJ964" t="s">
        <v>1391</v>
      </c>
    </row>
    <row r="965" spans="1:36" x14ac:dyDescent="0.3">
      <c r="A965" t="s">
        <v>22</v>
      </c>
      <c r="B965">
        <v>53</v>
      </c>
      <c r="C965">
        <v>115.2</v>
      </c>
      <c r="D965">
        <v>1.74</v>
      </c>
      <c r="E965">
        <v>38</v>
      </c>
      <c r="F965">
        <f t="shared" si="61"/>
        <v>38.049940546967896</v>
      </c>
      <c r="G965">
        <f t="shared" si="60"/>
        <v>0</v>
      </c>
      <c r="H965" t="s">
        <v>1399</v>
      </c>
      <c r="I965">
        <v>88.1</v>
      </c>
      <c r="J965" t="s">
        <v>830</v>
      </c>
      <c r="K965" s="24">
        <v>146</v>
      </c>
      <c r="L965" s="24">
        <v>80</v>
      </c>
      <c r="M965">
        <v>100</v>
      </c>
      <c r="N965" t="s">
        <v>1434</v>
      </c>
      <c r="O965">
        <v>32</v>
      </c>
      <c r="P965">
        <v>72</v>
      </c>
      <c r="Q965" t="s">
        <v>24</v>
      </c>
      <c r="R965" t="s">
        <v>25</v>
      </c>
      <c r="S965" t="s">
        <v>26</v>
      </c>
      <c r="T965" t="s">
        <v>25</v>
      </c>
      <c r="U965">
        <f t="shared" si="62"/>
        <v>3</v>
      </c>
      <c r="V965">
        <v>174</v>
      </c>
      <c r="W965">
        <v>0.50600000000000001</v>
      </c>
      <c r="X965" t="s">
        <v>1406</v>
      </c>
      <c r="Y965">
        <v>146</v>
      </c>
      <c r="Z965">
        <v>80</v>
      </c>
      <c r="AA965" t="s">
        <v>31</v>
      </c>
      <c r="AB965">
        <v>38</v>
      </c>
      <c r="AC965" s="23">
        <v>1.19</v>
      </c>
      <c r="AD965" t="str">
        <f>IF(AND('CVD Dataset'!AA965="Normal",'CVD Dataset'!AB965&gt;AVERAGE('CVD Dataset'!AB:AB),'CVD Dataset'!AF965="High"),"High Lipid Category","Normal Category")</f>
        <v>Normal Category</v>
      </c>
      <c r="AE965">
        <v>18.899999999999999</v>
      </c>
      <c r="AF965" t="s">
        <v>32</v>
      </c>
      <c r="AG965">
        <v>0</v>
      </c>
      <c r="AH965" t="s">
        <v>1379</v>
      </c>
      <c r="AI965">
        <f t="shared" si="63"/>
        <v>1</v>
      </c>
      <c r="AJ965" t="s">
        <v>1392</v>
      </c>
    </row>
    <row r="966" spans="1:36" x14ac:dyDescent="0.3">
      <c r="A966" t="s">
        <v>22</v>
      </c>
      <c r="B966">
        <v>44</v>
      </c>
      <c r="C966">
        <v>96.3</v>
      </c>
      <c r="D966">
        <v>1.74</v>
      </c>
      <c r="E966">
        <v>31.8</v>
      </c>
      <c r="F966">
        <f t="shared" si="61"/>
        <v>31.807372175980973</v>
      </c>
      <c r="G966">
        <f t="shared" si="60"/>
        <v>0</v>
      </c>
      <c r="H966" t="s">
        <v>1399</v>
      </c>
      <c r="I966">
        <v>91.3</v>
      </c>
      <c r="J966" t="s">
        <v>831</v>
      </c>
      <c r="K966" s="24">
        <v>93</v>
      </c>
      <c r="L966" s="24">
        <v>95</v>
      </c>
      <c r="M966">
        <v>109</v>
      </c>
      <c r="N966" t="s">
        <v>1434</v>
      </c>
      <c r="O966">
        <v>53</v>
      </c>
      <c r="P966">
        <v>129</v>
      </c>
      <c r="Q966" t="s">
        <v>24</v>
      </c>
      <c r="R966" t="s">
        <v>25</v>
      </c>
      <c r="S966" t="s">
        <v>30</v>
      </c>
      <c r="T966" t="s">
        <v>25</v>
      </c>
      <c r="U966">
        <f t="shared" si="62"/>
        <v>2</v>
      </c>
      <c r="V966">
        <v>174</v>
      </c>
      <c r="W966">
        <v>0.52500000000000002</v>
      </c>
      <c r="X966" t="s">
        <v>1407</v>
      </c>
      <c r="Y966">
        <v>93</v>
      </c>
      <c r="Z966">
        <v>95</v>
      </c>
      <c r="AA966" t="s">
        <v>40</v>
      </c>
      <c r="AB966">
        <v>26</v>
      </c>
      <c r="AC966" s="23">
        <v>0.49</v>
      </c>
      <c r="AD966" t="str">
        <f>IF(AND('CVD Dataset'!AA966="Normal",'CVD Dataset'!AB966&gt;AVERAGE('CVD Dataset'!AB:AB),'CVD Dataset'!AF966="High"),"High Lipid Category","Normal Category")</f>
        <v>Normal Category</v>
      </c>
      <c r="AE966">
        <v>15.19</v>
      </c>
      <c r="AF966" t="s">
        <v>28</v>
      </c>
      <c r="AG966">
        <v>0</v>
      </c>
      <c r="AH966" t="s">
        <v>1380</v>
      </c>
      <c r="AI966">
        <f t="shared" si="63"/>
        <v>0</v>
      </c>
      <c r="AJ966" t="s">
        <v>1391</v>
      </c>
    </row>
    <row r="967" spans="1:36" x14ac:dyDescent="0.3">
      <c r="A967" t="s">
        <v>33</v>
      </c>
      <c r="B967">
        <v>37</v>
      </c>
      <c r="C967">
        <v>102.6</v>
      </c>
      <c r="D967">
        <v>1.74</v>
      </c>
      <c r="E967">
        <v>33.9</v>
      </c>
      <c r="F967">
        <f t="shared" si="61"/>
        <v>33.888228299643281</v>
      </c>
      <c r="G967">
        <f t="shared" si="60"/>
        <v>0</v>
      </c>
      <c r="H967" t="s">
        <v>1399</v>
      </c>
      <c r="I967">
        <v>103.5</v>
      </c>
      <c r="J967" t="s">
        <v>832</v>
      </c>
      <c r="K967" s="24">
        <v>134</v>
      </c>
      <c r="L967" s="24">
        <v>68</v>
      </c>
      <c r="M967">
        <v>127</v>
      </c>
      <c r="N967" t="s">
        <v>1434</v>
      </c>
      <c r="O967">
        <v>60</v>
      </c>
      <c r="P967">
        <v>138</v>
      </c>
      <c r="Q967" t="s">
        <v>24</v>
      </c>
      <c r="R967" t="s">
        <v>25</v>
      </c>
      <c r="S967" t="s">
        <v>30</v>
      </c>
      <c r="T967" t="s">
        <v>24</v>
      </c>
      <c r="U967">
        <f t="shared" si="62"/>
        <v>1</v>
      </c>
      <c r="V967">
        <v>174</v>
      </c>
      <c r="X967" t="s">
        <v>1410</v>
      </c>
      <c r="Y967">
        <v>134</v>
      </c>
      <c r="Z967">
        <v>68</v>
      </c>
      <c r="AA967" t="s">
        <v>31</v>
      </c>
      <c r="AB967">
        <v>37</v>
      </c>
      <c r="AC967" s="23">
        <v>0.62</v>
      </c>
      <c r="AD967" t="str">
        <f>IF(AND('CVD Dataset'!AA967="Normal",'CVD Dataset'!AB967&gt;AVERAGE('CVD Dataset'!AB:AB),'CVD Dataset'!AF967="High"),"High Lipid Category","Normal Category")</f>
        <v>Normal Category</v>
      </c>
      <c r="AE967">
        <v>18.02</v>
      </c>
      <c r="AF967" t="s">
        <v>28</v>
      </c>
      <c r="AG967">
        <v>0</v>
      </c>
      <c r="AH967" t="s">
        <v>1380</v>
      </c>
      <c r="AI967">
        <f t="shared" si="63"/>
        <v>0</v>
      </c>
      <c r="AJ967" t="s">
        <v>1391</v>
      </c>
    </row>
    <row r="968" spans="1:36" x14ac:dyDescent="0.3">
      <c r="A968" t="s">
        <v>22</v>
      </c>
      <c r="B968">
        <v>60</v>
      </c>
      <c r="D968">
        <v>1.79</v>
      </c>
      <c r="E968">
        <v>26.1</v>
      </c>
      <c r="F968">
        <f t="shared" si="61"/>
        <v>0</v>
      </c>
      <c r="G968">
        <f t="shared" si="60"/>
        <v>1</v>
      </c>
      <c r="H968" t="s">
        <v>1400</v>
      </c>
      <c r="I968">
        <v>99.2</v>
      </c>
      <c r="J968" t="s">
        <v>273</v>
      </c>
      <c r="K968" s="24">
        <v>121</v>
      </c>
      <c r="L968" s="24">
        <v>100</v>
      </c>
      <c r="M968">
        <v>245</v>
      </c>
      <c r="N968" t="s">
        <v>1432</v>
      </c>
      <c r="O968">
        <v>37</v>
      </c>
      <c r="P968">
        <v>72</v>
      </c>
      <c r="Q968" t="s">
        <v>25</v>
      </c>
      <c r="R968" t="s">
        <v>24</v>
      </c>
      <c r="S968" t="s">
        <v>39</v>
      </c>
      <c r="T968" t="s">
        <v>24</v>
      </c>
      <c r="U968">
        <f t="shared" si="62"/>
        <v>1</v>
      </c>
      <c r="V968">
        <v>179</v>
      </c>
      <c r="W968">
        <v>0.55400000000000005</v>
      </c>
      <c r="X968" t="s">
        <v>1407</v>
      </c>
      <c r="Y968">
        <v>121</v>
      </c>
      <c r="Z968">
        <v>100</v>
      </c>
      <c r="AA968" t="s">
        <v>40</v>
      </c>
      <c r="AC968" s="23">
        <v>0</v>
      </c>
      <c r="AD968" t="str">
        <f>IF(AND('CVD Dataset'!AA968="Normal",'CVD Dataset'!AB968&gt;AVERAGE('CVD Dataset'!AB:AB),'CVD Dataset'!AF968="High"),"High Lipid Category","Normal Category")</f>
        <v>Normal Category</v>
      </c>
      <c r="AE968">
        <v>16.170000000000002</v>
      </c>
      <c r="AF968" t="s">
        <v>32</v>
      </c>
      <c r="AG968">
        <v>0</v>
      </c>
      <c r="AH968" t="s">
        <v>1379</v>
      </c>
      <c r="AI968">
        <f t="shared" si="63"/>
        <v>1</v>
      </c>
      <c r="AJ968" t="s">
        <v>1391</v>
      </c>
    </row>
    <row r="969" spans="1:36" x14ac:dyDescent="0.3">
      <c r="A969" t="s">
        <v>33</v>
      </c>
      <c r="B969">
        <v>31</v>
      </c>
      <c r="C969">
        <v>51</v>
      </c>
      <c r="D969">
        <v>1.63</v>
      </c>
      <c r="E969">
        <v>19.2</v>
      </c>
      <c r="F969">
        <f t="shared" si="61"/>
        <v>19.195302796492154</v>
      </c>
      <c r="G969">
        <f t="shared" si="60"/>
        <v>0</v>
      </c>
      <c r="H969" t="s">
        <v>1398</v>
      </c>
      <c r="I969">
        <v>95.4</v>
      </c>
      <c r="J969" t="s">
        <v>566</v>
      </c>
      <c r="K969" s="24">
        <v>92</v>
      </c>
      <c r="L969" s="24">
        <v>60</v>
      </c>
      <c r="M969">
        <v>121</v>
      </c>
      <c r="N969" t="s">
        <v>1434</v>
      </c>
      <c r="O969">
        <v>46</v>
      </c>
      <c r="P969">
        <v>143</v>
      </c>
      <c r="Q969" t="s">
        <v>25</v>
      </c>
      <c r="R969" t="s">
        <v>24</v>
      </c>
      <c r="S969" t="s">
        <v>30</v>
      </c>
      <c r="T969" t="s">
        <v>24</v>
      </c>
      <c r="U969">
        <f t="shared" si="62"/>
        <v>1</v>
      </c>
      <c r="V969">
        <v>163</v>
      </c>
      <c r="W969">
        <v>0.58499999999999996</v>
      </c>
      <c r="X969" t="s">
        <v>1409</v>
      </c>
      <c r="Y969">
        <v>92</v>
      </c>
      <c r="Z969">
        <v>60</v>
      </c>
      <c r="AA969" t="s">
        <v>35</v>
      </c>
      <c r="AB969">
        <v>45</v>
      </c>
      <c r="AC969" s="23">
        <v>0.98</v>
      </c>
      <c r="AD969" t="str">
        <f>IF(AND('CVD Dataset'!AA969="Normal",'CVD Dataset'!AB969&gt;AVERAGE('CVD Dataset'!AB:AB),'CVD Dataset'!AF969="High"),"High Lipid Category","Normal Category")</f>
        <v>Normal Category</v>
      </c>
      <c r="AE969">
        <v>10.86</v>
      </c>
      <c r="AF969" t="s">
        <v>54</v>
      </c>
      <c r="AG969">
        <v>0</v>
      </c>
      <c r="AH969" t="s">
        <v>1380</v>
      </c>
      <c r="AI969">
        <f t="shared" si="63"/>
        <v>0</v>
      </c>
      <c r="AJ969" t="s">
        <v>1391</v>
      </c>
    </row>
    <row r="970" spans="1:36" x14ac:dyDescent="0.3">
      <c r="A970" t="s">
        <v>22</v>
      </c>
      <c r="B970">
        <v>33</v>
      </c>
      <c r="C970">
        <v>116.9</v>
      </c>
      <c r="D970">
        <v>1.89</v>
      </c>
      <c r="E970">
        <v>32.700000000000003</v>
      </c>
      <c r="F970">
        <f t="shared" si="61"/>
        <v>32.725847540662357</v>
      </c>
      <c r="G970">
        <f t="shared" si="60"/>
        <v>0</v>
      </c>
      <c r="H970" t="s">
        <v>1399</v>
      </c>
      <c r="I970">
        <v>93.6</v>
      </c>
      <c r="J970" t="s">
        <v>791</v>
      </c>
      <c r="K970" s="24">
        <v>131</v>
      </c>
      <c r="L970" s="24">
        <v>62</v>
      </c>
      <c r="M970">
        <v>110</v>
      </c>
      <c r="N970" t="s">
        <v>1434</v>
      </c>
      <c r="O970">
        <v>74</v>
      </c>
      <c r="P970">
        <v>108</v>
      </c>
      <c r="Q970" t="s">
        <v>25</v>
      </c>
      <c r="R970" t="s">
        <v>25</v>
      </c>
      <c r="S970" t="s">
        <v>30</v>
      </c>
      <c r="T970" t="s">
        <v>24</v>
      </c>
      <c r="U970">
        <f t="shared" si="62"/>
        <v>2</v>
      </c>
      <c r="V970">
        <v>189</v>
      </c>
      <c r="W970">
        <v>0.495</v>
      </c>
      <c r="X970" t="s">
        <v>1406</v>
      </c>
      <c r="Y970">
        <v>131</v>
      </c>
      <c r="Z970">
        <v>62</v>
      </c>
      <c r="AA970" t="s">
        <v>31</v>
      </c>
      <c r="AC970" s="23">
        <v>0</v>
      </c>
      <c r="AD970" t="str">
        <f>IF(AND('CVD Dataset'!AA970="Normal",'CVD Dataset'!AB970&gt;AVERAGE('CVD Dataset'!AB:AB),'CVD Dataset'!AF970="High"),"High Lipid Category","Normal Category")</f>
        <v>Normal Category</v>
      </c>
      <c r="AE970">
        <v>17.29</v>
      </c>
      <c r="AF970" t="s">
        <v>28</v>
      </c>
      <c r="AG970">
        <v>0</v>
      </c>
      <c r="AH970" t="s">
        <v>1380</v>
      </c>
      <c r="AI970">
        <f t="shared" si="63"/>
        <v>0</v>
      </c>
      <c r="AJ970" t="s">
        <v>1391</v>
      </c>
    </row>
    <row r="971" spans="1:36" x14ac:dyDescent="0.3">
      <c r="A971" t="s">
        <v>33</v>
      </c>
      <c r="B971">
        <v>38</v>
      </c>
      <c r="D971">
        <v>1.89</v>
      </c>
      <c r="E971">
        <v>15.3</v>
      </c>
      <c r="F971">
        <f t="shared" si="61"/>
        <v>0</v>
      </c>
      <c r="G971">
        <f t="shared" si="60"/>
        <v>1</v>
      </c>
      <c r="H971" t="s">
        <v>1401</v>
      </c>
      <c r="I971">
        <v>99.9</v>
      </c>
      <c r="J971" t="s">
        <v>713</v>
      </c>
      <c r="K971" s="24">
        <v>134</v>
      </c>
      <c r="L971" s="24">
        <v>88</v>
      </c>
      <c r="M971">
        <v>206</v>
      </c>
      <c r="N971" t="s">
        <v>1432</v>
      </c>
      <c r="O971">
        <v>79</v>
      </c>
      <c r="P971">
        <v>105</v>
      </c>
      <c r="Q971" t="s">
        <v>24</v>
      </c>
      <c r="R971" t="s">
        <v>24</v>
      </c>
      <c r="S971" t="s">
        <v>30</v>
      </c>
      <c r="T971" t="s">
        <v>25</v>
      </c>
      <c r="U971">
        <f t="shared" si="62"/>
        <v>1</v>
      </c>
      <c r="V971">
        <v>189</v>
      </c>
      <c r="W971">
        <v>0.52900000000000003</v>
      </c>
      <c r="X971" t="s">
        <v>1407</v>
      </c>
      <c r="Y971">
        <v>134</v>
      </c>
      <c r="Z971">
        <v>88</v>
      </c>
      <c r="AA971" t="s">
        <v>31</v>
      </c>
      <c r="AB971">
        <v>97</v>
      </c>
      <c r="AC971" s="23">
        <v>1.23</v>
      </c>
      <c r="AD971" t="str">
        <f>IF(AND('CVD Dataset'!AA971="Normal",'CVD Dataset'!AB971&gt;AVERAGE('CVD Dataset'!AB:AB),'CVD Dataset'!AF971="High"),"High Lipid Category","Normal Category")</f>
        <v>Normal Category</v>
      </c>
      <c r="AE971">
        <v>13.88</v>
      </c>
      <c r="AF971" t="s">
        <v>28</v>
      </c>
      <c r="AG971">
        <v>0</v>
      </c>
      <c r="AH971" t="s">
        <v>1380</v>
      </c>
      <c r="AI971">
        <f t="shared" si="63"/>
        <v>0</v>
      </c>
      <c r="AJ971" t="s">
        <v>1391</v>
      </c>
    </row>
    <row r="972" spans="1:36" x14ac:dyDescent="0.3">
      <c r="A972" t="s">
        <v>22</v>
      </c>
      <c r="B972">
        <v>39</v>
      </c>
      <c r="C972">
        <v>106.7</v>
      </c>
      <c r="D972">
        <v>1.65</v>
      </c>
      <c r="E972">
        <v>39.200000000000003</v>
      </c>
      <c r="F972">
        <f t="shared" si="61"/>
        <v>39.191919191919197</v>
      </c>
      <c r="G972">
        <f t="shared" si="60"/>
        <v>0</v>
      </c>
      <c r="H972" t="s">
        <v>1399</v>
      </c>
      <c r="I972">
        <v>106.5</v>
      </c>
      <c r="J972" t="s">
        <v>833</v>
      </c>
      <c r="K972" s="24">
        <v>106</v>
      </c>
      <c r="L972" s="24">
        <v>69</v>
      </c>
      <c r="M972">
        <v>201</v>
      </c>
      <c r="N972" t="s">
        <v>1432</v>
      </c>
      <c r="O972">
        <v>76</v>
      </c>
      <c r="P972">
        <v>127</v>
      </c>
      <c r="Q972" t="s">
        <v>24</v>
      </c>
      <c r="R972" t="s">
        <v>24</v>
      </c>
      <c r="S972" t="s">
        <v>30</v>
      </c>
      <c r="T972" t="s">
        <v>24</v>
      </c>
      <c r="U972">
        <f t="shared" si="62"/>
        <v>0</v>
      </c>
      <c r="V972">
        <v>165</v>
      </c>
      <c r="W972">
        <v>0.64500000000000002</v>
      </c>
      <c r="X972" t="s">
        <v>1409</v>
      </c>
      <c r="Y972">
        <v>106</v>
      </c>
      <c r="Z972">
        <v>69</v>
      </c>
      <c r="AA972" t="s">
        <v>35</v>
      </c>
      <c r="AB972">
        <v>95</v>
      </c>
      <c r="AC972" s="23">
        <v>1.25</v>
      </c>
      <c r="AD972" t="str">
        <f>IF(AND('CVD Dataset'!AA972="Normal",'CVD Dataset'!AB972&gt;AVERAGE('CVD Dataset'!AB:AB),'CVD Dataset'!AF972="High"),"High Lipid Category","Normal Category")</f>
        <v>Normal Category</v>
      </c>
      <c r="AE972">
        <v>17.16</v>
      </c>
      <c r="AF972" t="s">
        <v>28</v>
      </c>
      <c r="AG972">
        <v>0</v>
      </c>
      <c r="AH972" t="s">
        <v>1380</v>
      </c>
      <c r="AI972">
        <f t="shared" si="63"/>
        <v>0</v>
      </c>
      <c r="AJ972" t="s">
        <v>1391</v>
      </c>
    </row>
    <row r="973" spans="1:36" x14ac:dyDescent="0.3">
      <c r="A973" t="s">
        <v>22</v>
      </c>
      <c r="B973">
        <v>49</v>
      </c>
      <c r="C973">
        <v>62.7</v>
      </c>
      <c r="D973">
        <v>1.63</v>
      </c>
      <c r="E973">
        <v>23.6</v>
      </c>
      <c r="F973">
        <f t="shared" si="61"/>
        <v>23.598931085099178</v>
      </c>
      <c r="G973">
        <f t="shared" si="60"/>
        <v>0</v>
      </c>
      <c r="H973" t="s">
        <v>1398</v>
      </c>
      <c r="I973">
        <v>93.9</v>
      </c>
      <c r="J973" t="s">
        <v>687</v>
      </c>
      <c r="K973" s="24">
        <v>110</v>
      </c>
      <c r="L973" s="24">
        <v>86</v>
      </c>
      <c r="M973">
        <v>252</v>
      </c>
      <c r="N973" t="s">
        <v>1432</v>
      </c>
      <c r="O973">
        <v>42</v>
      </c>
      <c r="P973">
        <v>114</v>
      </c>
      <c r="Q973" t="s">
        <v>25</v>
      </c>
      <c r="R973" t="s">
        <v>25</v>
      </c>
      <c r="S973" t="s">
        <v>26</v>
      </c>
      <c r="T973" t="s">
        <v>25</v>
      </c>
      <c r="U973">
        <f t="shared" si="62"/>
        <v>4</v>
      </c>
      <c r="V973">
        <v>163</v>
      </c>
      <c r="W973">
        <v>0.57599999999999996</v>
      </c>
      <c r="X973" t="s">
        <v>1407</v>
      </c>
      <c r="Y973">
        <v>110</v>
      </c>
      <c r="Z973">
        <v>86</v>
      </c>
      <c r="AA973" t="s">
        <v>31</v>
      </c>
      <c r="AB973">
        <v>180</v>
      </c>
      <c r="AC973" s="23">
        <v>4.29</v>
      </c>
      <c r="AD973" t="str">
        <f>IF(AND('CVD Dataset'!AA973="Normal",'CVD Dataset'!AB973&gt;AVERAGE('CVD Dataset'!AB:AB),'CVD Dataset'!AF973="High"),"High Lipid Category","Normal Category")</f>
        <v>Normal Category</v>
      </c>
      <c r="AE973">
        <v>17.260000000000002</v>
      </c>
      <c r="AF973" t="s">
        <v>32</v>
      </c>
      <c r="AG973">
        <v>0</v>
      </c>
      <c r="AH973" t="s">
        <v>1379</v>
      </c>
      <c r="AI973">
        <f t="shared" si="63"/>
        <v>1</v>
      </c>
      <c r="AJ973" t="s">
        <v>1391</v>
      </c>
    </row>
    <row r="974" spans="1:36" x14ac:dyDescent="0.3">
      <c r="A974" t="s">
        <v>22</v>
      </c>
      <c r="B974">
        <v>40</v>
      </c>
      <c r="C974">
        <v>98.1</v>
      </c>
      <c r="D974">
        <v>1.84</v>
      </c>
      <c r="F974">
        <f t="shared" si="61"/>
        <v>28.975661625708881</v>
      </c>
      <c r="G974">
        <f t="shared" si="60"/>
        <v>1</v>
      </c>
      <c r="H974" t="s">
        <v>1401</v>
      </c>
      <c r="I974">
        <v>73.3</v>
      </c>
      <c r="J974" t="s">
        <v>834</v>
      </c>
      <c r="K974" s="24">
        <v>143</v>
      </c>
      <c r="L974" s="24">
        <v>95</v>
      </c>
      <c r="M974">
        <v>235</v>
      </c>
      <c r="N974" t="s">
        <v>1432</v>
      </c>
      <c r="O974">
        <v>75</v>
      </c>
      <c r="P974">
        <v>100</v>
      </c>
      <c r="Q974" t="s">
        <v>24</v>
      </c>
      <c r="R974" t="s">
        <v>25</v>
      </c>
      <c r="S974" t="s">
        <v>26</v>
      </c>
      <c r="T974" t="s">
        <v>25</v>
      </c>
      <c r="U974">
        <f t="shared" si="62"/>
        <v>3</v>
      </c>
      <c r="V974">
        <v>184</v>
      </c>
      <c r="W974">
        <v>0.39800000000000002</v>
      </c>
      <c r="X974" t="s">
        <v>1408</v>
      </c>
      <c r="Y974">
        <v>143</v>
      </c>
      <c r="Z974">
        <v>95</v>
      </c>
      <c r="AA974" t="s">
        <v>40</v>
      </c>
      <c r="AB974">
        <v>130</v>
      </c>
      <c r="AC974" s="23">
        <v>1.73</v>
      </c>
      <c r="AD974" t="str">
        <f>IF(AND('CVD Dataset'!AA974="Normal",'CVD Dataset'!AB974&gt;AVERAGE('CVD Dataset'!AB:AB),'CVD Dataset'!AF974="High"),"High Lipid Category","Normal Category")</f>
        <v>Normal Category</v>
      </c>
      <c r="AE974">
        <v>19.649999999999999</v>
      </c>
      <c r="AF974" t="s">
        <v>32</v>
      </c>
      <c r="AG974">
        <v>1</v>
      </c>
      <c r="AH974" t="s">
        <v>1379</v>
      </c>
      <c r="AI974">
        <f t="shared" si="63"/>
        <v>1</v>
      </c>
      <c r="AJ974" t="s">
        <v>1391</v>
      </c>
    </row>
    <row r="975" spans="1:36" x14ac:dyDescent="0.3">
      <c r="A975" t="s">
        <v>22</v>
      </c>
      <c r="B975">
        <v>36</v>
      </c>
      <c r="D975">
        <v>1.76</v>
      </c>
      <c r="E975">
        <v>19.7</v>
      </c>
      <c r="F975">
        <f t="shared" si="61"/>
        <v>0</v>
      </c>
      <c r="G975">
        <f t="shared" ref="G975:G1038" si="64">IFERROR(IF(ABS(E975 - F975) &lt;= 0.1, 0, 1),"")</f>
        <v>1</v>
      </c>
      <c r="H975" t="s">
        <v>1398</v>
      </c>
      <c r="I975">
        <v>88</v>
      </c>
      <c r="J975" t="s">
        <v>417</v>
      </c>
      <c r="K975" s="24">
        <v>98</v>
      </c>
      <c r="L975" s="24">
        <v>88</v>
      </c>
      <c r="N975" t="s">
        <v>1434</v>
      </c>
      <c r="O975">
        <v>44</v>
      </c>
      <c r="Q975" t="s">
        <v>25</v>
      </c>
      <c r="R975" t="s">
        <v>25</v>
      </c>
      <c r="S975" t="s">
        <v>39</v>
      </c>
      <c r="T975" t="s">
        <v>25</v>
      </c>
      <c r="U975">
        <f t="shared" si="62"/>
        <v>3</v>
      </c>
      <c r="V975">
        <v>176</v>
      </c>
      <c r="W975">
        <v>0.5</v>
      </c>
      <c r="X975" t="s">
        <v>1406</v>
      </c>
      <c r="Y975">
        <v>98</v>
      </c>
      <c r="Z975">
        <v>88</v>
      </c>
      <c r="AA975" t="s">
        <v>31</v>
      </c>
      <c r="AB975">
        <v>177</v>
      </c>
      <c r="AC975" s="23">
        <v>4.0199999999999996</v>
      </c>
      <c r="AD975" t="str">
        <f>IF(AND('CVD Dataset'!AA975="Normal",'CVD Dataset'!AB975&gt;AVERAGE('CVD Dataset'!AB:AB),'CVD Dataset'!AF975="High"),"High Lipid Category","Normal Category")</f>
        <v>Normal Category</v>
      </c>
      <c r="AE975">
        <v>15.86</v>
      </c>
      <c r="AF975" t="s">
        <v>32</v>
      </c>
      <c r="AG975">
        <v>0</v>
      </c>
      <c r="AH975" t="s">
        <v>1379</v>
      </c>
      <c r="AI975">
        <f t="shared" si="63"/>
        <v>1</v>
      </c>
      <c r="AJ975" t="s">
        <v>1391</v>
      </c>
    </row>
    <row r="976" spans="1:36" x14ac:dyDescent="0.3">
      <c r="A976" t="s">
        <v>33</v>
      </c>
      <c r="B976">
        <v>32</v>
      </c>
      <c r="C976">
        <v>94.9</v>
      </c>
      <c r="D976">
        <v>1.84</v>
      </c>
      <c r="E976">
        <v>28</v>
      </c>
      <c r="F976">
        <f t="shared" si="61"/>
        <v>28.030482041587902</v>
      </c>
      <c r="G976">
        <f t="shared" si="64"/>
        <v>0</v>
      </c>
      <c r="H976" t="s">
        <v>1400</v>
      </c>
      <c r="I976">
        <v>79.3</v>
      </c>
      <c r="J976" t="s">
        <v>835</v>
      </c>
      <c r="K976" s="24">
        <v>143</v>
      </c>
      <c r="L976" s="24">
        <v>66</v>
      </c>
      <c r="M976">
        <v>206</v>
      </c>
      <c r="N976" t="s">
        <v>1432</v>
      </c>
      <c r="O976">
        <v>46</v>
      </c>
      <c r="P976">
        <v>122</v>
      </c>
      <c r="Q976" t="s">
        <v>25</v>
      </c>
      <c r="R976" t="s">
        <v>24</v>
      </c>
      <c r="S976" t="s">
        <v>26</v>
      </c>
      <c r="T976" t="s">
        <v>24</v>
      </c>
      <c r="U976">
        <f t="shared" si="62"/>
        <v>2</v>
      </c>
      <c r="V976">
        <v>184</v>
      </c>
      <c r="W976">
        <v>0.43099999999999999</v>
      </c>
      <c r="X976" t="s">
        <v>1408</v>
      </c>
      <c r="Y976">
        <v>143</v>
      </c>
      <c r="Z976">
        <v>66</v>
      </c>
      <c r="AA976" t="s">
        <v>40</v>
      </c>
      <c r="AB976">
        <v>130</v>
      </c>
      <c r="AC976" s="23">
        <v>2.83</v>
      </c>
      <c r="AD976" t="str">
        <f>IF(AND('CVD Dataset'!AA976="Normal",'CVD Dataset'!AB976&gt;AVERAGE('CVD Dataset'!AB:AB),'CVD Dataset'!AF976="High"),"High Lipid Category","Normal Category")</f>
        <v>Normal Category</v>
      </c>
      <c r="AE976">
        <v>16.87</v>
      </c>
      <c r="AF976" t="s">
        <v>32</v>
      </c>
      <c r="AG976">
        <v>0</v>
      </c>
      <c r="AH976" t="s">
        <v>1379</v>
      </c>
      <c r="AI976">
        <f t="shared" si="63"/>
        <v>1</v>
      </c>
      <c r="AJ976" t="s">
        <v>1391</v>
      </c>
    </row>
    <row r="977" spans="1:36" x14ac:dyDescent="0.3">
      <c r="A977" t="s">
        <v>33</v>
      </c>
      <c r="B977">
        <v>40</v>
      </c>
      <c r="C977">
        <v>76.900000000000006</v>
      </c>
      <c r="D977">
        <v>1.64</v>
      </c>
      <c r="E977">
        <v>28.6</v>
      </c>
      <c r="F977">
        <f t="shared" si="61"/>
        <v>28.591612135633557</v>
      </c>
      <c r="G977">
        <f t="shared" si="64"/>
        <v>0</v>
      </c>
      <c r="H977" t="s">
        <v>1400</v>
      </c>
      <c r="I977">
        <v>101.5</v>
      </c>
      <c r="J977" t="s">
        <v>836</v>
      </c>
      <c r="K977" s="24">
        <v>101</v>
      </c>
      <c r="L977" s="24">
        <v>79</v>
      </c>
      <c r="M977">
        <v>181</v>
      </c>
      <c r="N977" t="s">
        <v>1432</v>
      </c>
      <c r="O977">
        <v>63</v>
      </c>
      <c r="P977">
        <v>144</v>
      </c>
      <c r="Q977" t="s">
        <v>25</v>
      </c>
      <c r="R977" t="s">
        <v>24</v>
      </c>
      <c r="S977" t="s">
        <v>26</v>
      </c>
      <c r="T977" t="s">
        <v>24</v>
      </c>
      <c r="U977">
        <f t="shared" si="62"/>
        <v>2</v>
      </c>
      <c r="V977">
        <v>164</v>
      </c>
      <c r="W977">
        <v>0.61899999999999999</v>
      </c>
      <c r="X977" t="s">
        <v>1409</v>
      </c>
      <c r="Y977">
        <v>101</v>
      </c>
      <c r="Z977">
        <v>79</v>
      </c>
      <c r="AA977" t="s">
        <v>35</v>
      </c>
      <c r="AB977">
        <v>88</v>
      </c>
      <c r="AC977" s="23">
        <v>1.4</v>
      </c>
      <c r="AD977" t="str">
        <f>IF(AND('CVD Dataset'!AA977="Normal",'CVD Dataset'!AB977&gt;AVERAGE('CVD Dataset'!AB:AB),'CVD Dataset'!AF977="High"),"High Lipid Category","Normal Category")</f>
        <v>Normal Category</v>
      </c>
      <c r="AE977">
        <v>14.39</v>
      </c>
      <c r="AF977" t="s">
        <v>28</v>
      </c>
      <c r="AG977">
        <v>0</v>
      </c>
      <c r="AH977" t="s">
        <v>1380</v>
      </c>
      <c r="AI977">
        <f t="shared" si="63"/>
        <v>0</v>
      </c>
      <c r="AJ977" t="s">
        <v>1391</v>
      </c>
    </row>
    <row r="978" spans="1:36" x14ac:dyDescent="0.3">
      <c r="A978" t="s">
        <v>33</v>
      </c>
      <c r="B978">
        <v>55</v>
      </c>
      <c r="C978">
        <v>83</v>
      </c>
      <c r="D978">
        <v>1.61</v>
      </c>
      <c r="E978">
        <v>32</v>
      </c>
      <c r="F978">
        <f t="shared" si="61"/>
        <v>32.020369584506767</v>
      </c>
      <c r="G978">
        <f t="shared" si="64"/>
        <v>0</v>
      </c>
      <c r="H978" t="s">
        <v>1399</v>
      </c>
      <c r="I978">
        <v>77.7</v>
      </c>
      <c r="J978" t="s">
        <v>837</v>
      </c>
      <c r="K978" s="24">
        <v>116</v>
      </c>
      <c r="L978" s="24">
        <v>66</v>
      </c>
      <c r="M978">
        <v>210</v>
      </c>
      <c r="N978" t="s">
        <v>1432</v>
      </c>
      <c r="O978">
        <v>32</v>
      </c>
      <c r="P978">
        <v>100</v>
      </c>
      <c r="Q978" t="s">
        <v>25</v>
      </c>
      <c r="R978" t="s">
        <v>24</v>
      </c>
      <c r="S978" t="s">
        <v>30</v>
      </c>
      <c r="T978" t="s">
        <v>25</v>
      </c>
      <c r="U978">
        <f t="shared" si="62"/>
        <v>2</v>
      </c>
      <c r="V978">
        <v>161</v>
      </c>
      <c r="W978">
        <v>0.48299999999999998</v>
      </c>
      <c r="X978" t="s">
        <v>1406</v>
      </c>
      <c r="Y978">
        <v>116</v>
      </c>
      <c r="Z978">
        <v>66</v>
      </c>
      <c r="AA978" t="s">
        <v>35</v>
      </c>
      <c r="AC978" s="23">
        <v>0</v>
      </c>
      <c r="AD978" t="str">
        <f>IF(AND('CVD Dataset'!AA978="Normal",'CVD Dataset'!AB978&gt;AVERAGE('CVD Dataset'!AB:AB),'CVD Dataset'!AF978="High"),"High Lipid Category","Normal Category")</f>
        <v>Normal Category</v>
      </c>
      <c r="AE978">
        <v>16.399999999999999</v>
      </c>
      <c r="AF978" t="s">
        <v>32</v>
      </c>
      <c r="AG978">
        <v>0</v>
      </c>
      <c r="AH978" t="s">
        <v>1379</v>
      </c>
      <c r="AI978">
        <f t="shared" si="63"/>
        <v>1</v>
      </c>
      <c r="AJ978" t="s">
        <v>1391</v>
      </c>
    </row>
    <row r="979" spans="1:36" x14ac:dyDescent="0.3">
      <c r="A979" t="s">
        <v>22</v>
      </c>
      <c r="B979">
        <v>36</v>
      </c>
      <c r="C979">
        <v>83.1</v>
      </c>
      <c r="D979">
        <v>1.81</v>
      </c>
      <c r="E979">
        <v>25.4</v>
      </c>
      <c r="F979">
        <f t="shared" si="61"/>
        <v>25.365526082842401</v>
      </c>
      <c r="G979">
        <f t="shared" si="64"/>
        <v>0</v>
      </c>
      <c r="H979" t="s">
        <v>1400</v>
      </c>
      <c r="I979">
        <v>99.9</v>
      </c>
      <c r="J979" t="s">
        <v>562</v>
      </c>
      <c r="K979" s="24">
        <v>106</v>
      </c>
      <c r="L979" s="24">
        <v>92</v>
      </c>
      <c r="M979">
        <v>167</v>
      </c>
      <c r="N979" t="s">
        <v>1433</v>
      </c>
      <c r="O979">
        <v>42</v>
      </c>
      <c r="P979">
        <v>87</v>
      </c>
      <c r="Q979" t="s">
        <v>25</v>
      </c>
      <c r="R979" t="s">
        <v>25</v>
      </c>
      <c r="S979" t="s">
        <v>39</v>
      </c>
      <c r="T979" t="s">
        <v>24</v>
      </c>
      <c r="U979">
        <f t="shared" si="62"/>
        <v>2</v>
      </c>
      <c r="V979">
        <v>181</v>
      </c>
      <c r="W979">
        <v>0.55200000000000005</v>
      </c>
      <c r="X979" t="s">
        <v>1407</v>
      </c>
      <c r="Y979">
        <v>106</v>
      </c>
      <c r="Z979">
        <v>92</v>
      </c>
      <c r="AA979" t="s">
        <v>40</v>
      </c>
      <c r="AB979">
        <v>95</v>
      </c>
      <c r="AC979" s="23">
        <v>2.2599999999999998</v>
      </c>
      <c r="AD979" t="str">
        <f>IF(AND('CVD Dataset'!AA979="Normal",'CVD Dataset'!AB979&gt;AVERAGE('CVD Dataset'!AB:AB),'CVD Dataset'!AF979="High"),"High Lipid Category","Normal Category")</f>
        <v>Normal Category</v>
      </c>
      <c r="AE979">
        <v>15.72</v>
      </c>
      <c r="AF979" t="s">
        <v>28</v>
      </c>
      <c r="AG979">
        <v>0</v>
      </c>
      <c r="AH979" t="s">
        <v>1380</v>
      </c>
      <c r="AI979">
        <f t="shared" si="63"/>
        <v>0</v>
      </c>
      <c r="AJ979" t="s">
        <v>1391</v>
      </c>
    </row>
    <row r="980" spans="1:36" x14ac:dyDescent="0.3">
      <c r="A980" t="s">
        <v>22</v>
      </c>
      <c r="B980">
        <v>41</v>
      </c>
      <c r="C980">
        <v>102.7</v>
      </c>
      <c r="D980">
        <v>1.61</v>
      </c>
      <c r="E980">
        <v>39.6</v>
      </c>
      <c r="F980">
        <f t="shared" si="61"/>
        <v>39.620385016010182</v>
      </c>
      <c r="G980">
        <f t="shared" si="64"/>
        <v>0</v>
      </c>
      <c r="H980" t="s">
        <v>1399</v>
      </c>
      <c r="I980">
        <v>107.3</v>
      </c>
      <c r="J980" t="s">
        <v>838</v>
      </c>
      <c r="K980" s="24">
        <v>95</v>
      </c>
      <c r="L980" s="24">
        <v>88</v>
      </c>
      <c r="M980">
        <v>188</v>
      </c>
      <c r="N980" t="s">
        <v>1432</v>
      </c>
      <c r="O980">
        <v>56</v>
      </c>
      <c r="P980">
        <v>86</v>
      </c>
      <c r="Q980" t="s">
        <v>25</v>
      </c>
      <c r="R980" t="s">
        <v>25</v>
      </c>
      <c r="S980" t="s">
        <v>30</v>
      </c>
      <c r="T980" t="s">
        <v>25</v>
      </c>
      <c r="U980">
        <f t="shared" si="62"/>
        <v>3</v>
      </c>
      <c r="V980">
        <v>161</v>
      </c>
      <c r="W980">
        <v>0.66600000000000004</v>
      </c>
      <c r="X980" t="s">
        <v>1409</v>
      </c>
      <c r="Y980">
        <v>95</v>
      </c>
      <c r="Z980">
        <v>88</v>
      </c>
      <c r="AA980" t="s">
        <v>31</v>
      </c>
      <c r="AB980">
        <v>102</v>
      </c>
      <c r="AC980" s="23">
        <v>1.82</v>
      </c>
      <c r="AD980" t="str">
        <f>IF(AND('CVD Dataset'!AA980="Normal",'CVD Dataset'!AB980&gt;AVERAGE('CVD Dataset'!AB:AB),'CVD Dataset'!AF980="High"),"High Lipid Category","Normal Category")</f>
        <v>Normal Category</v>
      </c>
      <c r="AE980">
        <v>18.43</v>
      </c>
      <c r="AF980" t="s">
        <v>32</v>
      </c>
      <c r="AG980">
        <v>0</v>
      </c>
      <c r="AH980" t="s">
        <v>1379</v>
      </c>
      <c r="AI980">
        <f t="shared" si="63"/>
        <v>1</v>
      </c>
      <c r="AJ980" t="s">
        <v>1391</v>
      </c>
    </row>
    <row r="981" spans="1:36" x14ac:dyDescent="0.3">
      <c r="A981" t="s">
        <v>33</v>
      </c>
      <c r="C981">
        <v>81.2</v>
      </c>
      <c r="D981">
        <v>1.84</v>
      </c>
      <c r="E981">
        <v>24</v>
      </c>
      <c r="F981">
        <f t="shared" si="61"/>
        <v>23.983931947069944</v>
      </c>
      <c r="G981">
        <f t="shared" si="64"/>
        <v>0</v>
      </c>
      <c r="H981" t="s">
        <v>1398</v>
      </c>
      <c r="I981">
        <v>86.1</v>
      </c>
      <c r="J981" t="s">
        <v>839</v>
      </c>
      <c r="K981" s="24">
        <v>131</v>
      </c>
      <c r="L981" s="24">
        <v>84</v>
      </c>
      <c r="M981">
        <v>223</v>
      </c>
      <c r="N981" t="s">
        <v>1432</v>
      </c>
      <c r="O981">
        <v>38</v>
      </c>
      <c r="P981">
        <v>81</v>
      </c>
      <c r="Q981" t="s">
        <v>24</v>
      </c>
      <c r="R981" t="s">
        <v>25</v>
      </c>
      <c r="S981" t="s">
        <v>26</v>
      </c>
      <c r="T981" t="s">
        <v>25</v>
      </c>
      <c r="U981">
        <f t="shared" si="62"/>
        <v>3</v>
      </c>
      <c r="V981">
        <v>184</v>
      </c>
      <c r="W981">
        <v>0.46800000000000003</v>
      </c>
      <c r="X981" t="s">
        <v>1406</v>
      </c>
      <c r="Y981">
        <v>131</v>
      </c>
      <c r="Z981">
        <v>84</v>
      </c>
      <c r="AA981" t="s">
        <v>31</v>
      </c>
      <c r="AB981">
        <v>155</v>
      </c>
      <c r="AC981" s="23">
        <v>4.08</v>
      </c>
      <c r="AD981" t="str">
        <f>IF(AND('CVD Dataset'!AA981="Normal",'CVD Dataset'!AB981&gt;AVERAGE('CVD Dataset'!AB:AB),'CVD Dataset'!AF981="High"),"High Lipid Category","Normal Category")</f>
        <v>Normal Category</v>
      </c>
      <c r="AE981">
        <v>17.809999999999999</v>
      </c>
      <c r="AF981" t="s">
        <v>32</v>
      </c>
      <c r="AG981">
        <v>0</v>
      </c>
      <c r="AH981" t="s">
        <v>1379</v>
      </c>
      <c r="AI981">
        <f t="shared" si="63"/>
        <v>1</v>
      </c>
      <c r="AJ981" t="s">
        <v>1391</v>
      </c>
    </row>
    <row r="982" spans="1:36" x14ac:dyDescent="0.3">
      <c r="A982" t="s">
        <v>22</v>
      </c>
      <c r="B982">
        <v>59</v>
      </c>
      <c r="C982">
        <v>54.1</v>
      </c>
      <c r="E982">
        <v>16</v>
      </c>
      <c r="F982" t="str">
        <f t="shared" si="61"/>
        <v/>
      </c>
      <c r="G982" t="str">
        <f t="shared" si="64"/>
        <v/>
      </c>
      <c r="H982" t="s">
        <v>1401</v>
      </c>
      <c r="I982">
        <v>102.1</v>
      </c>
      <c r="J982" t="s">
        <v>840</v>
      </c>
      <c r="K982" s="24">
        <v>101</v>
      </c>
      <c r="L982" s="24">
        <v>86</v>
      </c>
      <c r="M982">
        <v>150</v>
      </c>
      <c r="N982" t="s">
        <v>1433</v>
      </c>
      <c r="O982">
        <v>57</v>
      </c>
      <c r="P982">
        <v>100</v>
      </c>
      <c r="Q982" t="s">
        <v>25</v>
      </c>
      <c r="R982" t="s">
        <v>24</v>
      </c>
      <c r="S982" t="s">
        <v>39</v>
      </c>
      <c r="T982" t="s">
        <v>25</v>
      </c>
      <c r="U982">
        <f t="shared" si="62"/>
        <v>2</v>
      </c>
      <c r="V982">
        <v>184</v>
      </c>
      <c r="W982">
        <v>0.55500000000000005</v>
      </c>
      <c r="X982" t="s">
        <v>1407</v>
      </c>
      <c r="Y982">
        <v>101</v>
      </c>
      <c r="Z982">
        <v>86</v>
      </c>
      <c r="AA982" t="s">
        <v>31</v>
      </c>
      <c r="AB982">
        <v>63</v>
      </c>
      <c r="AC982" s="23">
        <v>1.1100000000000001</v>
      </c>
      <c r="AD982" t="str">
        <f>IF(AND('CVD Dataset'!AA982="Normal",'CVD Dataset'!AB982&gt;AVERAGE('CVD Dataset'!AB:AB),'CVD Dataset'!AF982="High"),"High Lipid Category","Normal Category")</f>
        <v>Normal Category</v>
      </c>
      <c r="AE982">
        <v>11.25</v>
      </c>
      <c r="AF982" t="s">
        <v>28</v>
      </c>
      <c r="AG982">
        <v>0</v>
      </c>
      <c r="AH982" t="s">
        <v>1380</v>
      </c>
      <c r="AI982">
        <f t="shared" si="63"/>
        <v>0</v>
      </c>
      <c r="AJ982" t="s">
        <v>1391</v>
      </c>
    </row>
    <row r="983" spans="1:36" x14ac:dyDescent="0.3">
      <c r="A983" t="s">
        <v>22</v>
      </c>
      <c r="C983">
        <v>93.7</v>
      </c>
      <c r="D983">
        <v>1.75</v>
      </c>
      <c r="E983">
        <v>30.6</v>
      </c>
      <c r="F983">
        <f t="shared" si="61"/>
        <v>30.59591836734694</v>
      </c>
      <c r="G983">
        <f t="shared" si="64"/>
        <v>0</v>
      </c>
      <c r="H983" t="s">
        <v>1399</v>
      </c>
      <c r="I983">
        <v>78.8</v>
      </c>
      <c r="J983" t="s">
        <v>841</v>
      </c>
      <c r="K983" s="24">
        <v>134</v>
      </c>
      <c r="L983" s="24">
        <v>81</v>
      </c>
      <c r="M983">
        <v>119</v>
      </c>
      <c r="N983" t="s">
        <v>1434</v>
      </c>
      <c r="O983">
        <v>41</v>
      </c>
      <c r="P983">
        <v>96</v>
      </c>
      <c r="Q983" t="s">
        <v>25</v>
      </c>
      <c r="R983" t="s">
        <v>24</v>
      </c>
      <c r="S983" t="s">
        <v>30</v>
      </c>
      <c r="T983" t="s">
        <v>24</v>
      </c>
      <c r="U983">
        <f t="shared" si="62"/>
        <v>1</v>
      </c>
      <c r="V983">
        <v>175</v>
      </c>
      <c r="W983">
        <v>0.45</v>
      </c>
      <c r="X983" t="s">
        <v>1408</v>
      </c>
      <c r="Y983">
        <v>134</v>
      </c>
      <c r="Z983">
        <v>81</v>
      </c>
      <c r="AA983" t="s">
        <v>31</v>
      </c>
      <c r="AC983" s="23">
        <v>0</v>
      </c>
      <c r="AD983" t="str">
        <f>IF(AND('CVD Dataset'!AA983="Normal",'CVD Dataset'!AB983&gt;AVERAGE('CVD Dataset'!AB:AB),'CVD Dataset'!AF983="High"),"High Lipid Category","Normal Category")</f>
        <v>Normal Category</v>
      </c>
      <c r="AE983">
        <v>15.2</v>
      </c>
      <c r="AF983" t="s">
        <v>28</v>
      </c>
      <c r="AG983">
        <v>0</v>
      </c>
      <c r="AH983" t="s">
        <v>1380</v>
      </c>
      <c r="AI983">
        <f t="shared" si="63"/>
        <v>0</v>
      </c>
      <c r="AJ983" t="s">
        <v>1391</v>
      </c>
    </row>
    <row r="984" spans="1:36" x14ac:dyDescent="0.3">
      <c r="A984" t="s">
        <v>33</v>
      </c>
      <c r="B984">
        <v>56</v>
      </c>
      <c r="C984">
        <v>84.1</v>
      </c>
      <c r="D984">
        <v>1.76</v>
      </c>
      <c r="E984">
        <v>27.2</v>
      </c>
      <c r="F984">
        <f t="shared" si="61"/>
        <v>27.150051652892561</v>
      </c>
      <c r="G984">
        <f t="shared" si="64"/>
        <v>0</v>
      </c>
      <c r="H984" t="s">
        <v>1400</v>
      </c>
      <c r="I984">
        <v>83.4</v>
      </c>
      <c r="J984" t="s">
        <v>842</v>
      </c>
      <c r="K984" s="24">
        <v>130</v>
      </c>
      <c r="L984" s="24">
        <v>65</v>
      </c>
      <c r="M984">
        <v>111</v>
      </c>
      <c r="N984" t="s">
        <v>1434</v>
      </c>
      <c r="O984">
        <v>61</v>
      </c>
      <c r="P984">
        <v>113</v>
      </c>
      <c r="Q984" t="s">
        <v>24</v>
      </c>
      <c r="R984" t="s">
        <v>24</v>
      </c>
      <c r="S984" t="s">
        <v>26</v>
      </c>
      <c r="T984" t="s">
        <v>24</v>
      </c>
      <c r="U984">
        <f t="shared" si="62"/>
        <v>1</v>
      </c>
      <c r="V984">
        <v>176</v>
      </c>
      <c r="W984">
        <v>0.47399999999999998</v>
      </c>
      <c r="X984" t="s">
        <v>1406</v>
      </c>
      <c r="Y984">
        <v>130</v>
      </c>
      <c r="Z984">
        <v>65</v>
      </c>
      <c r="AA984" t="s">
        <v>31</v>
      </c>
      <c r="AB984">
        <v>20</v>
      </c>
      <c r="AC984" s="23">
        <v>0.33</v>
      </c>
      <c r="AD984" t="str">
        <f>IF(AND('CVD Dataset'!AA984="Normal",'CVD Dataset'!AB984&gt;AVERAGE('CVD Dataset'!AB:AB),'CVD Dataset'!AF984="High"),"High Lipid Category","Normal Category")</f>
        <v>Normal Category</v>
      </c>
      <c r="AE984">
        <v>14.16</v>
      </c>
      <c r="AF984" t="s">
        <v>28</v>
      </c>
      <c r="AG984">
        <v>0</v>
      </c>
      <c r="AH984" t="s">
        <v>1380</v>
      </c>
      <c r="AI984">
        <f t="shared" si="63"/>
        <v>0</v>
      </c>
      <c r="AJ984" t="s">
        <v>1391</v>
      </c>
    </row>
    <row r="985" spans="1:36" x14ac:dyDescent="0.3">
      <c r="A985" t="s">
        <v>22</v>
      </c>
      <c r="B985">
        <v>47</v>
      </c>
      <c r="C985">
        <v>112.2</v>
      </c>
      <c r="D985">
        <v>1.69</v>
      </c>
      <c r="E985">
        <v>39.299999999999997</v>
      </c>
      <c r="F985">
        <f t="shared" si="61"/>
        <v>39.28433878365604</v>
      </c>
      <c r="G985">
        <f t="shared" si="64"/>
        <v>0</v>
      </c>
      <c r="H985" t="s">
        <v>1399</v>
      </c>
      <c r="I985">
        <v>75.3</v>
      </c>
      <c r="J985" t="s">
        <v>843</v>
      </c>
      <c r="K985" s="24">
        <v>138</v>
      </c>
      <c r="L985" s="24">
        <v>61</v>
      </c>
      <c r="M985">
        <v>285</v>
      </c>
      <c r="N985" t="s">
        <v>1432</v>
      </c>
      <c r="O985">
        <v>60</v>
      </c>
      <c r="P985">
        <v>99</v>
      </c>
      <c r="Q985" t="s">
        <v>25</v>
      </c>
      <c r="R985" t="s">
        <v>24</v>
      </c>
      <c r="S985" t="s">
        <v>26</v>
      </c>
      <c r="T985" t="s">
        <v>25</v>
      </c>
      <c r="U985">
        <f t="shared" si="62"/>
        <v>3</v>
      </c>
      <c r="V985">
        <v>169</v>
      </c>
      <c r="W985">
        <v>0.44600000000000001</v>
      </c>
      <c r="X985" t="s">
        <v>1408</v>
      </c>
      <c r="Y985">
        <v>138</v>
      </c>
      <c r="Z985">
        <v>61</v>
      </c>
      <c r="AA985" t="s">
        <v>31</v>
      </c>
      <c r="AB985">
        <v>195</v>
      </c>
      <c r="AC985" s="23">
        <v>3.25</v>
      </c>
      <c r="AD985" t="str">
        <f>IF(AND('CVD Dataset'!AA985="Normal",'CVD Dataset'!AB985&gt;AVERAGE('CVD Dataset'!AB:AB),'CVD Dataset'!AF985="High"),"High Lipid Category","Normal Category")</f>
        <v>Normal Category</v>
      </c>
      <c r="AE985">
        <v>20.46</v>
      </c>
      <c r="AF985" t="s">
        <v>32</v>
      </c>
      <c r="AG985">
        <v>1</v>
      </c>
      <c r="AH985" t="s">
        <v>1379</v>
      </c>
      <c r="AI985">
        <f t="shared" si="63"/>
        <v>1</v>
      </c>
      <c r="AJ985" t="s">
        <v>1391</v>
      </c>
    </row>
    <row r="986" spans="1:36" x14ac:dyDescent="0.3">
      <c r="A986" t="s">
        <v>33</v>
      </c>
      <c r="B986">
        <v>37</v>
      </c>
      <c r="C986">
        <v>109.6</v>
      </c>
      <c r="D986">
        <v>1.83</v>
      </c>
      <c r="F986">
        <f t="shared" si="61"/>
        <v>32.727164143450082</v>
      </c>
      <c r="G986">
        <f t="shared" si="64"/>
        <v>1</v>
      </c>
      <c r="H986" t="s">
        <v>1401</v>
      </c>
      <c r="I986">
        <v>90.1</v>
      </c>
      <c r="J986" t="s">
        <v>844</v>
      </c>
      <c r="K986" s="24">
        <v>146</v>
      </c>
      <c r="L986" s="24">
        <v>90</v>
      </c>
      <c r="N986" t="s">
        <v>1434</v>
      </c>
      <c r="P986">
        <v>86</v>
      </c>
      <c r="Q986" t="s">
        <v>24</v>
      </c>
      <c r="R986" t="s">
        <v>25</v>
      </c>
      <c r="S986" t="s">
        <v>26</v>
      </c>
      <c r="T986" t="s">
        <v>25</v>
      </c>
      <c r="U986">
        <f t="shared" si="62"/>
        <v>3</v>
      </c>
      <c r="V986">
        <v>183</v>
      </c>
      <c r="W986">
        <v>0.49199999999999999</v>
      </c>
      <c r="X986" t="s">
        <v>1406</v>
      </c>
      <c r="Z986">
        <v>90</v>
      </c>
      <c r="AA986" t="s">
        <v>40</v>
      </c>
      <c r="AB986">
        <v>128</v>
      </c>
      <c r="AC986" s="23" t="s">
        <v>1410</v>
      </c>
      <c r="AD986" t="str">
        <f>IF(AND('CVD Dataset'!AA986="Normal",'CVD Dataset'!AB986&gt;AVERAGE('CVD Dataset'!AB:AB),'CVD Dataset'!AF986="High"),"High Lipid Category","Normal Category")</f>
        <v>Normal Category</v>
      </c>
      <c r="AE986">
        <v>20.14</v>
      </c>
      <c r="AF986" t="s">
        <v>32</v>
      </c>
      <c r="AG986">
        <v>0</v>
      </c>
      <c r="AH986" t="s">
        <v>1379</v>
      </c>
      <c r="AI986">
        <f t="shared" si="63"/>
        <v>1</v>
      </c>
      <c r="AJ986" t="s">
        <v>1391</v>
      </c>
    </row>
    <row r="987" spans="1:36" x14ac:dyDescent="0.3">
      <c r="A987" t="s">
        <v>22</v>
      </c>
      <c r="B987">
        <v>57</v>
      </c>
      <c r="C987">
        <v>54.2</v>
      </c>
      <c r="D987">
        <v>1.87</v>
      </c>
      <c r="E987">
        <v>15.5</v>
      </c>
      <c r="F987">
        <f t="shared" si="61"/>
        <v>15.499442363236007</v>
      </c>
      <c r="G987">
        <f t="shared" si="64"/>
        <v>0</v>
      </c>
      <c r="H987" t="s">
        <v>1401</v>
      </c>
      <c r="I987">
        <v>89.8</v>
      </c>
      <c r="J987" t="s">
        <v>845</v>
      </c>
      <c r="K987" s="24">
        <v>92</v>
      </c>
      <c r="L987" s="24">
        <v>94</v>
      </c>
      <c r="M987">
        <v>245</v>
      </c>
      <c r="N987" t="s">
        <v>1432</v>
      </c>
      <c r="O987">
        <v>36</v>
      </c>
      <c r="P987">
        <v>99</v>
      </c>
      <c r="Q987" t="s">
        <v>24</v>
      </c>
      <c r="R987" t="s">
        <v>25</v>
      </c>
      <c r="S987" t="s">
        <v>26</v>
      </c>
      <c r="T987" t="s">
        <v>25</v>
      </c>
      <c r="U987">
        <f t="shared" si="62"/>
        <v>3</v>
      </c>
      <c r="V987">
        <v>187</v>
      </c>
      <c r="W987">
        <v>0.48</v>
      </c>
      <c r="X987" t="s">
        <v>1406</v>
      </c>
      <c r="Y987">
        <v>92</v>
      </c>
      <c r="Z987">
        <v>94</v>
      </c>
      <c r="AA987" t="s">
        <v>40</v>
      </c>
      <c r="AB987">
        <v>179</v>
      </c>
      <c r="AC987" s="23">
        <v>4.97</v>
      </c>
      <c r="AD987" t="str">
        <f>IF(AND('CVD Dataset'!AA987="Normal",'CVD Dataset'!AB987&gt;AVERAGE('CVD Dataset'!AB:AB),'CVD Dataset'!AF987="High"),"High Lipid Category","Normal Category")</f>
        <v>Normal Category</v>
      </c>
      <c r="AF987" t="s">
        <v>32</v>
      </c>
      <c r="AG987">
        <v>0</v>
      </c>
      <c r="AH987" t="s">
        <v>1379</v>
      </c>
      <c r="AI987">
        <f t="shared" si="63"/>
        <v>1</v>
      </c>
      <c r="AJ987" t="s">
        <v>1392</v>
      </c>
    </row>
    <row r="988" spans="1:36" x14ac:dyDescent="0.3">
      <c r="A988" t="s">
        <v>33</v>
      </c>
      <c r="B988">
        <v>76</v>
      </c>
      <c r="C988">
        <v>56.283000000000001</v>
      </c>
      <c r="D988">
        <v>1.9410000000000001</v>
      </c>
      <c r="E988">
        <v>32.701999999999998</v>
      </c>
      <c r="F988">
        <f t="shared" si="61"/>
        <v>14.939159613545497</v>
      </c>
      <c r="G988">
        <f t="shared" si="64"/>
        <v>1</v>
      </c>
      <c r="H988" t="s">
        <v>1399</v>
      </c>
      <c r="I988">
        <v>107.777</v>
      </c>
      <c r="J988" t="s">
        <v>846</v>
      </c>
      <c r="K988" s="24">
        <v>135</v>
      </c>
      <c r="L988" s="24">
        <v>69</v>
      </c>
      <c r="M988">
        <v>276</v>
      </c>
      <c r="N988" t="s">
        <v>1432</v>
      </c>
      <c r="O988">
        <v>83</v>
      </c>
      <c r="P988">
        <v>177</v>
      </c>
      <c r="Q988" t="s">
        <v>25</v>
      </c>
      <c r="R988" t="s">
        <v>25</v>
      </c>
      <c r="S988" t="s">
        <v>39</v>
      </c>
      <c r="T988" t="s">
        <v>24</v>
      </c>
      <c r="U988">
        <f t="shared" si="62"/>
        <v>2</v>
      </c>
      <c r="V988">
        <v>194.06200000000001</v>
      </c>
      <c r="W988">
        <v>0.55500000000000005</v>
      </c>
      <c r="X988" t="s">
        <v>1407</v>
      </c>
      <c r="Y988">
        <v>135</v>
      </c>
      <c r="Z988">
        <v>69</v>
      </c>
      <c r="AA988" t="s">
        <v>31</v>
      </c>
      <c r="AB988">
        <v>163</v>
      </c>
      <c r="AC988" s="23">
        <v>1.96</v>
      </c>
      <c r="AD988" t="str">
        <f>IF(AND('CVD Dataset'!AA988="Normal",'CVD Dataset'!AB988&gt;AVERAGE('CVD Dataset'!AB:AB),'CVD Dataset'!AF988="High"),"High Lipid Category","Normal Category")</f>
        <v>Normal Category</v>
      </c>
      <c r="AE988">
        <v>20.81</v>
      </c>
      <c r="AF988" t="s">
        <v>54</v>
      </c>
      <c r="AG988">
        <v>0</v>
      </c>
      <c r="AH988" t="s">
        <v>1380</v>
      </c>
      <c r="AI988">
        <f t="shared" si="63"/>
        <v>0</v>
      </c>
      <c r="AJ988" t="s">
        <v>1392</v>
      </c>
    </row>
    <row r="989" spans="1:36" x14ac:dyDescent="0.3">
      <c r="A989" t="s">
        <v>22</v>
      </c>
      <c r="B989">
        <v>62</v>
      </c>
      <c r="C989">
        <v>87.543999999999997</v>
      </c>
      <c r="E989">
        <v>38.527000000000001</v>
      </c>
      <c r="F989" t="str">
        <f t="shared" si="61"/>
        <v/>
      </c>
      <c r="G989" t="str">
        <f t="shared" si="64"/>
        <v/>
      </c>
      <c r="H989" t="s">
        <v>1399</v>
      </c>
      <c r="I989">
        <v>86.486999999999995</v>
      </c>
      <c r="J989" t="s">
        <v>847</v>
      </c>
      <c r="K989" s="24">
        <v>154</v>
      </c>
      <c r="L989" s="24">
        <v>60</v>
      </c>
      <c r="M989">
        <v>125</v>
      </c>
      <c r="N989" t="s">
        <v>1434</v>
      </c>
      <c r="O989">
        <v>48</v>
      </c>
      <c r="P989">
        <v>167</v>
      </c>
      <c r="Q989" t="s">
        <v>25</v>
      </c>
      <c r="R989" t="s">
        <v>25</v>
      </c>
      <c r="S989" t="s">
        <v>39</v>
      </c>
      <c r="T989" t="s">
        <v>25</v>
      </c>
      <c r="U989">
        <f t="shared" si="62"/>
        <v>3</v>
      </c>
      <c r="V989">
        <v>178.33699999999999</v>
      </c>
      <c r="W989">
        <v>0.48499999999999999</v>
      </c>
      <c r="X989" t="s">
        <v>1406</v>
      </c>
      <c r="Y989">
        <v>154</v>
      </c>
      <c r="Z989">
        <v>60</v>
      </c>
      <c r="AA989" t="s">
        <v>40</v>
      </c>
      <c r="AB989">
        <v>47</v>
      </c>
      <c r="AC989" s="23">
        <v>0.98</v>
      </c>
      <c r="AD989" t="str">
        <f>IF(AND('CVD Dataset'!AA989="Normal",'CVD Dataset'!AB989&gt;AVERAGE('CVD Dataset'!AB:AB),'CVD Dataset'!AF989="High"),"High Lipid Category","Normal Category")</f>
        <v>Normal Category</v>
      </c>
      <c r="AE989">
        <v>19.905000000000001</v>
      </c>
      <c r="AF989" t="s">
        <v>32</v>
      </c>
      <c r="AG989">
        <v>0</v>
      </c>
      <c r="AH989" t="s">
        <v>1379</v>
      </c>
      <c r="AI989">
        <f t="shared" si="63"/>
        <v>1</v>
      </c>
      <c r="AJ989" t="s">
        <v>1392</v>
      </c>
    </row>
    <row r="990" spans="1:36" x14ac:dyDescent="0.3">
      <c r="A990" t="s">
        <v>33</v>
      </c>
      <c r="B990">
        <v>60</v>
      </c>
      <c r="C990">
        <v>97.400999999999996</v>
      </c>
      <c r="D990">
        <v>1.7709999999999999</v>
      </c>
      <c r="E990">
        <v>32.968000000000004</v>
      </c>
      <c r="F990">
        <f t="shared" si="61"/>
        <v>31.054625290257334</v>
      </c>
      <c r="G990">
        <f t="shared" si="64"/>
        <v>1</v>
      </c>
      <c r="H990" t="s">
        <v>1399</v>
      </c>
      <c r="I990">
        <v>79.328000000000003</v>
      </c>
      <c r="J990" t="s">
        <v>848</v>
      </c>
      <c r="K990" s="24">
        <v>147</v>
      </c>
      <c r="L990" s="24">
        <v>78</v>
      </c>
      <c r="M990">
        <v>177</v>
      </c>
      <c r="N990" t="s">
        <v>1433</v>
      </c>
      <c r="O990">
        <v>40</v>
      </c>
      <c r="P990">
        <v>176</v>
      </c>
      <c r="Q990" t="s">
        <v>25</v>
      </c>
      <c r="R990" t="s">
        <v>25</v>
      </c>
      <c r="S990" t="s">
        <v>30</v>
      </c>
      <c r="T990" t="s">
        <v>25</v>
      </c>
      <c r="U990">
        <f t="shared" si="62"/>
        <v>3</v>
      </c>
      <c r="V990">
        <v>177.14599999999999</v>
      </c>
      <c r="W990">
        <v>0.44800000000000001</v>
      </c>
      <c r="X990" t="s">
        <v>1408</v>
      </c>
      <c r="Z990">
        <v>78</v>
      </c>
      <c r="AA990" t="s">
        <v>40</v>
      </c>
      <c r="AB990">
        <v>107</v>
      </c>
      <c r="AC990" s="23">
        <v>2.68</v>
      </c>
      <c r="AD990" t="str">
        <f>IF(AND('CVD Dataset'!AA990="Normal",'CVD Dataset'!AB990&gt;AVERAGE('CVD Dataset'!AB:AB),'CVD Dataset'!AF990="High"),"High Lipid Category","Normal Category")</f>
        <v>Normal Category</v>
      </c>
      <c r="AE990">
        <v>19.484000000000002</v>
      </c>
      <c r="AF990" t="s">
        <v>28</v>
      </c>
      <c r="AG990">
        <v>0</v>
      </c>
      <c r="AH990" t="s">
        <v>1380</v>
      </c>
      <c r="AI990">
        <f t="shared" si="63"/>
        <v>0</v>
      </c>
      <c r="AJ990" t="s">
        <v>1392</v>
      </c>
    </row>
    <row r="991" spans="1:36" x14ac:dyDescent="0.3">
      <c r="A991" t="s">
        <v>22</v>
      </c>
      <c r="B991">
        <v>44</v>
      </c>
      <c r="C991">
        <v>82.164000000000001</v>
      </c>
      <c r="D991">
        <v>1.986</v>
      </c>
      <c r="E991">
        <v>34.701000000000001</v>
      </c>
      <c r="F991">
        <f t="shared" si="61"/>
        <v>20.831621957935155</v>
      </c>
      <c r="G991">
        <f t="shared" si="64"/>
        <v>1</v>
      </c>
      <c r="H991" t="s">
        <v>1399</v>
      </c>
      <c r="I991">
        <v>117.72</v>
      </c>
      <c r="J991" t="s">
        <v>849</v>
      </c>
      <c r="K991" s="24">
        <v>154</v>
      </c>
      <c r="L991" s="24">
        <v>69</v>
      </c>
      <c r="M991">
        <v>285</v>
      </c>
      <c r="N991" t="s">
        <v>1432</v>
      </c>
      <c r="O991">
        <v>83</v>
      </c>
      <c r="P991">
        <v>73</v>
      </c>
      <c r="Q991" t="s">
        <v>24</v>
      </c>
      <c r="R991" t="s">
        <v>25</v>
      </c>
      <c r="S991" t="s">
        <v>39</v>
      </c>
      <c r="T991" t="s">
        <v>25</v>
      </c>
      <c r="U991">
        <f t="shared" si="62"/>
        <v>2</v>
      </c>
      <c r="V991">
        <v>198.596</v>
      </c>
      <c r="X991" t="s">
        <v>1410</v>
      </c>
      <c r="Y991">
        <v>154</v>
      </c>
      <c r="Z991">
        <v>69</v>
      </c>
      <c r="AA991" t="s">
        <v>40</v>
      </c>
      <c r="AB991">
        <v>172</v>
      </c>
      <c r="AC991" s="23">
        <v>2.0699999999999998</v>
      </c>
      <c r="AD991" t="str">
        <f>IF(AND('CVD Dataset'!AA991="Normal",'CVD Dataset'!AB991&gt;AVERAGE('CVD Dataset'!AB:AB),'CVD Dataset'!AF991="High"),"High Lipid Category","Normal Category")</f>
        <v>Normal Category</v>
      </c>
      <c r="AE991">
        <v>22.34</v>
      </c>
      <c r="AF991" t="s">
        <v>54</v>
      </c>
      <c r="AG991">
        <v>0</v>
      </c>
      <c r="AH991" t="s">
        <v>1380</v>
      </c>
      <c r="AI991">
        <f t="shared" si="63"/>
        <v>0</v>
      </c>
      <c r="AJ991" t="s">
        <v>1391</v>
      </c>
    </row>
    <row r="992" spans="1:36" x14ac:dyDescent="0.3">
      <c r="A992" t="s">
        <v>33</v>
      </c>
      <c r="B992">
        <v>67</v>
      </c>
      <c r="C992">
        <v>93.938999999999993</v>
      </c>
      <c r="D992">
        <v>1.988</v>
      </c>
      <c r="E992">
        <v>28.5</v>
      </c>
      <c r="F992">
        <f t="shared" si="61"/>
        <v>23.769123797108605</v>
      </c>
      <c r="G992">
        <f t="shared" si="64"/>
        <v>1</v>
      </c>
      <c r="H992" t="s">
        <v>1400</v>
      </c>
      <c r="I992">
        <v>112.81399999999999</v>
      </c>
      <c r="J992" t="s">
        <v>850</v>
      </c>
      <c r="K992" s="24">
        <v>105</v>
      </c>
      <c r="L992" s="24">
        <v>110</v>
      </c>
      <c r="M992">
        <v>174</v>
      </c>
      <c r="N992" t="s">
        <v>1433</v>
      </c>
      <c r="O992">
        <v>45</v>
      </c>
      <c r="P992">
        <v>83</v>
      </c>
      <c r="Q992" t="s">
        <v>24</v>
      </c>
      <c r="R992" t="s">
        <v>25</v>
      </c>
      <c r="S992" t="s">
        <v>39</v>
      </c>
      <c r="T992" t="s">
        <v>24</v>
      </c>
      <c r="U992">
        <f t="shared" si="62"/>
        <v>1</v>
      </c>
      <c r="V992">
        <v>198.84200000000001</v>
      </c>
      <c r="W992">
        <v>0.56699999999999995</v>
      </c>
      <c r="X992" t="s">
        <v>1407</v>
      </c>
      <c r="Y992">
        <v>105</v>
      </c>
      <c r="Z992">
        <v>110</v>
      </c>
      <c r="AA992" t="s">
        <v>40</v>
      </c>
      <c r="AC992" s="23">
        <v>0</v>
      </c>
      <c r="AD992" t="str">
        <f>IF(AND('CVD Dataset'!AA992="Normal",'CVD Dataset'!AB992&gt;AVERAGE('CVD Dataset'!AB:AB),'CVD Dataset'!AF992="High"),"High Lipid Category","Normal Category")</f>
        <v>Normal Category</v>
      </c>
      <c r="AE992">
        <v>16.43</v>
      </c>
      <c r="AF992" t="s">
        <v>32</v>
      </c>
      <c r="AG992">
        <v>0</v>
      </c>
      <c r="AH992" t="s">
        <v>1379</v>
      </c>
      <c r="AI992">
        <f t="shared" si="63"/>
        <v>1</v>
      </c>
      <c r="AJ992" t="s">
        <v>1392</v>
      </c>
    </row>
    <row r="993" spans="1:36" x14ac:dyDescent="0.3">
      <c r="A993" t="s">
        <v>33</v>
      </c>
      <c r="B993">
        <v>50</v>
      </c>
      <c r="C993">
        <v>77.491</v>
      </c>
      <c r="D993">
        <v>1.73</v>
      </c>
      <c r="E993">
        <v>19.614999999999998</v>
      </c>
      <c r="F993">
        <f t="shared" si="61"/>
        <v>25.891610144007483</v>
      </c>
      <c r="G993">
        <f t="shared" si="64"/>
        <v>1</v>
      </c>
      <c r="H993" t="s">
        <v>1398</v>
      </c>
      <c r="I993">
        <v>94.611999999999995</v>
      </c>
      <c r="J993" t="s">
        <v>851</v>
      </c>
      <c r="K993" s="24">
        <v>125</v>
      </c>
      <c r="L993" s="24">
        <v>118</v>
      </c>
      <c r="M993">
        <v>156</v>
      </c>
      <c r="N993" t="s">
        <v>1433</v>
      </c>
      <c r="O993">
        <v>36</v>
      </c>
      <c r="P993">
        <v>174</v>
      </c>
      <c r="Q993" t="s">
        <v>25</v>
      </c>
      <c r="R993" t="s">
        <v>24</v>
      </c>
      <c r="S993" t="s">
        <v>30</v>
      </c>
      <c r="T993" t="s">
        <v>24</v>
      </c>
      <c r="U993">
        <f t="shared" si="62"/>
        <v>1</v>
      </c>
      <c r="V993">
        <v>172.97399999999999</v>
      </c>
      <c r="W993">
        <v>0.54700000000000004</v>
      </c>
      <c r="X993" t="s">
        <v>1407</v>
      </c>
      <c r="Y993">
        <v>125</v>
      </c>
      <c r="Z993">
        <v>118</v>
      </c>
      <c r="AA993" t="s">
        <v>40</v>
      </c>
      <c r="AB993">
        <v>90</v>
      </c>
      <c r="AC993" s="23">
        <v>2.5</v>
      </c>
      <c r="AD993" t="str">
        <f>IF(AND('CVD Dataset'!AA993="Normal",'CVD Dataset'!AB993&gt;AVERAGE('CVD Dataset'!AB:AB),'CVD Dataset'!AF993="High"),"High Lipid Category","Normal Category")</f>
        <v>Normal Category</v>
      </c>
      <c r="AE993">
        <v>13.292999999999999</v>
      </c>
      <c r="AF993" t="s">
        <v>54</v>
      </c>
      <c r="AG993">
        <v>0</v>
      </c>
      <c r="AH993" t="s">
        <v>1380</v>
      </c>
      <c r="AI993">
        <f t="shared" si="63"/>
        <v>0</v>
      </c>
      <c r="AJ993" t="s">
        <v>1391</v>
      </c>
    </row>
    <row r="994" spans="1:36" x14ac:dyDescent="0.3">
      <c r="A994" t="s">
        <v>22</v>
      </c>
      <c r="B994">
        <v>38</v>
      </c>
      <c r="C994">
        <v>68.516000000000005</v>
      </c>
      <c r="D994">
        <v>1.929</v>
      </c>
      <c r="E994">
        <v>39.966999999999999</v>
      </c>
      <c r="F994">
        <f t="shared" si="61"/>
        <v>18.41312686422966</v>
      </c>
      <c r="G994">
        <f t="shared" si="64"/>
        <v>1</v>
      </c>
      <c r="H994" t="s">
        <v>1399</v>
      </c>
      <c r="I994">
        <v>96.956999999999994</v>
      </c>
      <c r="J994" t="s">
        <v>852</v>
      </c>
      <c r="K994" s="24">
        <v>105</v>
      </c>
      <c r="L994" s="24">
        <v>84</v>
      </c>
      <c r="M994">
        <v>241</v>
      </c>
      <c r="N994" t="s">
        <v>1432</v>
      </c>
      <c r="O994">
        <v>52</v>
      </c>
      <c r="P994">
        <v>103</v>
      </c>
      <c r="Q994" t="s">
        <v>25</v>
      </c>
      <c r="R994" t="s">
        <v>24</v>
      </c>
      <c r="S994" t="s">
        <v>39</v>
      </c>
      <c r="T994" t="s">
        <v>25</v>
      </c>
      <c r="U994">
        <f t="shared" si="62"/>
        <v>2</v>
      </c>
      <c r="V994">
        <v>192.93600000000001</v>
      </c>
      <c r="W994">
        <v>0.503</v>
      </c>
      <c r="X994" t="s">
        <v>1406</v>
      </c>
      <c r="Y994">
        <v>105</v>
      </c>
      <c r="Z994">
        <v>84</v>
      </c>
      <c r="AA994" t="s">
        <v>31</v>
      </c>
      <c r="AB994">
        <v>159</v>
      </c>
      <c r="AC994" s="23">
        <v>3.06</v>
      </c>
      <c r="AD994" t="str">
        <f>IF(AND('CVD Dataset'!AA994="Normal",'CVD Dataset'!AB994&gt;AVERAGE('CVD Dataset'!AB:AB),'CVD Dataset'!AF994="High"),"High Lipid Category","Normal Category")</f>
        <v>Normal Category</v>
      </c>
      <c r="AE994">
        <v>18.062999999999999</v>
      </c>
      <c r="AF994" t="s">
        <v>32</v>
      </c>
      <c r="AG994">
        <v>0</v>
      </c>
      <c r="AH994" t="s">
        <v>1379</v>
      </c>
      <c r="AI994">
        <f t="shared" si="63"/>
        <v>1</v>
      </c>
      <c r="AJ994" t="s">
        <v>1391</v>
      </c>
    </row>
    <row r="995" spans="1:36" x14ac:dyDescent="0.3">
      <c r="A995" t="s">
        <v>33</v>
      </c>
      <c r="B995">
        <v>77</v>
      </c>
      <c r="C995">
        <v>86.405000000000001</v>
      </c>
      <c r="D995">
        <v>1.972</v>
      </c>
      <c r="E995">
        <v>35.85</v>
      </c>
      <c r="F995">
        <f t="shared" si="61"/>
        <v>22.219027850351164</v>
      </c>
      <c r="G995">
        <f t="shared" si="64"/>
        <v>1</v>
      </c>
      <c r="H995" t="s">
        <v>1399</v>
      </c>
      <c r="I995">
        <v>99.563999999999993</v>
      </c>
      <c r="J995" t="s">
        <v>853</v>
      </c>
      <c r="K995" s="24">
        <v>129</v>
      </c>
      <c r="L995" s="24">
        <v>93</v>
      </c>
      <c r="M995">
        <v>222</v>
      </c>
      <c r="N995" t="s">
        <v>1432</v>
      </c>
      <c r="O995">
        <v>40</v>
      </c>
      <c r="Q995" t="s">
        <v>24</v>
      </c>
      <c r="R995" t="s">
        <v>24</v>
      </c>
      <c r="S995" t="s">
        <v>39</v>
      </c>
      <c r="T995" t="s">
        <v>24</v>
      </c>
      <c r="U995">
        <f t="shared" si="62"/>
        <v>0</v>
      </c>
      <c r="V995">
        <v>197.21600000000001</v>
      </c>
      <c r="W995">
        <v>0.505</v>
      </c>
      <c r="X995" t="s">
        <v>1406</v>
      </c>
      <c r="Y995">
        <v>129</v>
      </c>
      <c r="Z995">
        <v>93</v>
      </c>
      <c r="AA995" t="s">
        <v>40</v>
      </c>
      <c r="AB995">
        <v>152</v>
      </c>
      <c r="AC995" s="23">
        <v>3.8</v>
      </c>
      <c r="AD995" t="str">
        <f>IF(AND('CVD Dataset'!AA995="Normal",'CVD Dataset'!AB995&gt;AVERAGE('CVD Dataset'!AB:AB),'CVD Dataset'!AF995="High"),"High Lipid Category","Normal Category")</f>
        <v>Normal Category</v>
      </c>
      <c r="AE995">
        <v>18.059999999999999</v>
      </c>
      <c r="AF995" t="s">
        <v>32</v>
      </c>
      <c r="AG995">
        <v>0</v>
      </c>
      <c r="AH995" t="s">
        <v>1379</v>
      </c>
      <c r="AI995">
        <f t="shared" si="63"/>
        <v>1</v>
      </c>
      <c r="AJ995" t="s">
        <v>1391</v>
      </c>
    </row>
    <row r="996" spans="1:36" x14ac:dyDescent="0.3">
      <c r="A996" t="s">
        <v>33</v>
      </c>
      <c r="B996">
        <v>51</v>
      </c>
      <c r="C996">
        <v>105</v>
      </c>
      <c r="E996">
        <v>25.309000000000001</v>
      </c>
      <c r="F996" t="str">
        <f t="shared" si="61"/>
        <v/>
      </c>
      <c r="G996" t="str">
        <f t="shared" si="64"/>
        <v/>
      </c>
      <c r="H996" t="s">
        <v>1400</v>
      </c>
      <c r="I996">
        <v>110.277</v>
      </c>
      <c r="J996" t="s">
        <v>854</v>
      </c>
      <c r="K996" s="24">
        <v>144</v>
      </c>
      <c r="L996" s="24">
        <v>93</v>
      </c>
      <c r="M996">
        <v>126</v>
      </c>
      <c r="N996" t="s">
        <v>1434</v>
      </c>
      <c r="O996">
        <v>50</v>
      </c>
      <c r="P996">
        <v>91</v>
      </c>
      <c r="Q996" t="s">
        <v>24</v>
      </c>
      <c r="R996" t="s">
        <v>24</v>
      </c>
      <c r="S996" t="s">
        <v>39</v>
      </c>
      <c r="T996" t="s">
        <v>24</v>
      </c>
      <c r="U996">
        <f t="shared" si="62"/>
        <v>0</v>
      </c>
      <c r="V996">
        <v>176.828</v>
      </c>
      <c r="W996">
        <v>0.624</v>
      </c>
      <c r="X996" t="s">
        <v>1409</v>
      </c>
      <c r="Y996">
        <v>144</v>
      </c>
      <c r="Z996">
        <v>93</v>
      </c>
      <c r="AA996" t="s">
        <v>40</v>
      </c>
      <c r="AB996">
        <v>46</v>
      </c>
      <c r="AC996" s="23">
        <v>0.92</v>
      </c>
      <c r="AD996" t="str">
        <f>IF(AND('CVD Dataset'!AA996="Normal",'CVD Dataset'!AB996&gt;AVERAGE('CVD Dataset'!AB:AB),'CVD Dataset'!AF996="High"),"High Lipid Category","Normal Category")</f>
        <v>Normal Category</v>
      </c>
      <c r="AF996" t="s">
        <v>28</v>
      </c>
      <c r="AG996">
        <v>0</v>
      </c>
      <c r="AH996" t="s">
        <v>1380</v>
      </c>
      <c r="AI996">
        <f t="shared" si="63"/>
        <v>0</v>
      </c>
      <c r="AJ996" t="s">
        <v>1391</v>
      </c>
    </row>
    <row r="997" spans="1:36" x14ac:dyDescent="0.3">
      <c r="A997" t="s">
        <v>33</v>
      </c>
      <c r="B997">
        <v>42</v>
      </c>
      <c r="C997">
        <v>51.094999999999999</v>
      </c>
      <c r="D997">
        <v>1.5209999999999999</v>
      </c>
      <c r="E997">
        <v>20.190000000000001</v>
      </c>
      <c r="F997">
        <f t="shared" si="61"/>
        <v>22.086147863723347</v>
      </c>
      <c r="G997">
        <f t="shared" si="64"/>
        <v>1</v>
      </c>
      <c r="H997" t="s">
        <v>1398</v>
      </c>
      <c r="I997">
        <v>72.274000000000001</v>
      </c>
      <c r="J997" t="s">
        <v>855</v>
      </c>
      <c r="K997" s="24">
        <v>159</v>
      </c>
      <c r="L997" s="24">
        <v>91</v>
      </c>
      <c r="M997">
        <v>296</v>
      </c>
      <c r="N997" t="s">
        <v>1432</v>
      </c>
      <c r="P997">
        <v>123</v>
      </c>
      <c r="Q997" t="s">
        <v>24</v>
      </c>
      <c r="R997" t="s">
        <v>24</v>
      </c>
      <c r="S997" t="s">
        <v>39</v>
      </c>
      <c r="T997" t="s">
        <v>24</v>
      </c>
      <c r="U997">
        <f t="shared" si="62"/>
        <v>0</v>
      </c>
      <c r="V997">
        <v>152.08000000000001</v>
      </c>
      <c r="X997" t="s">
        <v>1410</v>
      </c>
      <c r="Y997">
        <v>159</v>
      </c>
      <c r="Z997">
        <v>91</v>
      </c>
      <c r="AA997" t="s">
        <v>40</v>
      </c>
      <c r="AB997">
        <v>211</v>
      </c>
      <c r="AC997" s="23" t="s">
        <v>1410</v>
      </c>
      <c r="AD997" t="str">
        <f>IF(AND('CVD Dataset'!AA997="Normal",'CVD Dataset'!AB997&gt;AVERAGE('CVD Dataset'!AB:AB),'CVD Dataset'!AF997="High"),"High Lipid Category","Normal Category")</f>
        <v>Normal Category</v>
      </c>
      <c r="AE997">
        <v>17.908000000000001</v>
      </c>
      <c r="AF997" t="s">
        <v>54</v>
      </c>
      <c r="AG997">
        <v>0</v>
      </c>
      <c r="AH997" t="s">
        <v>1380</v>
      </c>
      <c r="AI997">
        <f t="shared" si="63"/>
        <v>0</v>
      </c>
      <c r="AJ997" t="s">
        <v>1391</v>
      </c>
    </row>
    <row r="998" spans="1:36" x14ac:dyDescent="0.3">
      <c r="A998" t="s">
        <v>22</v>
      </c>
      <c r="B998">
        <v>52</v>
      </c>
      <c r="C998">
        <v>69.367000000000004</v>
      </c>
      <c r="D998">
        <v>1.8320000000000001</v>
      </c>
      <c r="E998">
        <v>30.099</v>
      </c>
      <c r="F998">
        <f t="shared" si="61"/>
        <v>20.668167559733796</v>
      </c>
      <c r="G998">
        <f t="shared" si="64"/>
        <v>1</v>
      </c>
      <c r="H998" t="s">
        <v>1399</v>
      </c>
      <c r="I998">
        <v>112.452</v>
      </c>
      <c r="J998" t="s">
        <v>856</v>
      </c>
      <c r="K998" s="24">
        <v>149</v>
      </c>
      <c r="L998" s="24">
        <v>107</v>
      </c>
      <c r="N998" t="s">
        <v>1434</v>
      </c>
      <c r="O998">
        <v>47</v>
      </c>
      <c r="P998">
        <v>90</v>
      </c>
      <c r="Q998" t="s">
        <v>25</v>
      </c>
      <c r="R998" t="s">
        <v>24</v>
      </c>
      <c r="S998" t="s">
        <v>26</v>
      </c>
      <c r="T998" t="s">
        <v>24</v>
      </c>
      <c r="U998">
        <f t="shared" si="62"/>
        <v>2</v>
      </c>
      <c r="V998">
        <v>183.17400000000001</v>
      </c>
      <c r="W998">
        <v>0.61399999999999999</v>
      </c>
      <c r="X998" t="s">
        <v>1409</v>
      </c>
      <c r="Y998">
        <v>149</v>
      </c>
      <c r="Z998">
        <v>107</v>
      </c>
      <c r="AA998" t="s">
        <v>40</v>
      </c>
      <c r="AB998">
        <v>210</v>
      </c>
      <c r="AC998" s="23">
        <v>4.47</v>
      </c>
      <c r="AD998" t="str">
        <f>IF(AND('CVD Dataset'!AA998="Normal",'CVD Dataset'!AB998&gt;AVERAGE('CVD Dataset'!AB:AB),'CVD Dataset'!AF998="High"),"High Lipid Category","Normal Category")</f>
        <v>Normal Category</v>
      </c>
      <c r="AE998">
        <v>19.21</v>
      </c>
      <c r="AF998" t="s">
        <v>54</v>
      </c>
      <c r="AG998">
        <v>0</v>
      </c>
      <c r="AH998" t="s">
        <v>1380</v>
      </c>
      <c r="AI998">
        <f t="shared" si="63"/>
        <v>0</v>
      </c>
      <c r="AJ998" t="s">
        <v>1391</v>
      </c>
    </row>
    <row r="999" spans="1:36" x14ac:dyDescent="0.3">
      <c r="A999" t="s">
        <v>22</v>
      </c>
      <c r="B999">
        <v>60</v>
      </c>
      <c r="C999">
        <v>90.05</v>
      </c>
      <c r="E999">
        <v>33.582000000000001</v>
      </c>
      <c r="F999" t="str">
        <f t="shared" si="61"/>
        <v/>
      </c>
      <c r="G999" t="str">
        <f t="shared" si="64"/>
        <v/>
      </c>
      <c r="H999" t="s">
        <v>1399</v>
      </c>
      <c r="I999">
        <v>85.075999999999993</v>
      </c>
      <c r="J999" t="s">
        <v>857</v>
      </c>
      <c r="K999" s="24">
        <v>120</v>
      </c>
      <c r="L999" s="24">
        <v>102</v>
      </c>
      <c r="M999">
        <v>238</v>
      </c>
      <c r="N999" t="s">
        <v>1432</v>
      </c>
      <c r="O999">
        <v>51</v>
      </c>
      <c r="P999">
        <v>161</v>
      </c>
      <c r="Q999" t="s">
        <v>24</v>
      </c>
      <c r="R999" t="s">
        <v>25</v>
      </c>
      <c r="S999" t="s">
        <v>26</v>
      </c>
      <c r="T999" t="s">
        <v>25</v>
      </c>
      <c r="U999">
        <f t="shared" si="62"/>
        <v>3</v>
      </c>
      <c r="W999">
        <v>0.5</v>
      </c>
      <c r="X999" t="s">
        <v>1406</v>
      </c>
      <c r="Y999">
        <v>120</v>
      </c>
      <c r="Z999">
        <v>102</v>
      </c>
      <c r="AA999" t="s">
        <v>40</v>
      </c>
      <c r="AB999">
        <v>157</v>
      </c>
      <c r="AC999" s="23">
        <v>3.08</v>
      </c>
      <c r="AD999" t="str">
        <f>IF(AND('CVD Dataset'!AA999="Normal",'CVD Dataset'!AB999&gt;AVERAGE('CVD Dataset'!AB:AB),'CVD Dataset'!AF999="High"),"High Lipid Category","Normal Category")</f>
        <v>Normal Category</v>
      </c>
      <c r="AE999">
        <v>19.475999999999999</v>
      </c>
      <c r="AF999" t="s">
        <v>54</v>
      </c>
      <c r="AG999">
        <v>0</v>
      </c>
      <c r="AH999" t="s">
        <v>1380</v>
      </c>
      <c r="AI999">
        <f t="shared" si="63"/>
        <v>0</v>
      </c>
      <c r="AJ999" t="s">
        <v>1392</v>
      </c>
    </row>
    <row r="1000" spans="1:36" x14ac:dyDescent="0.3">
      <c r="A1000" t="s">
        <v>22</v>
      </c>
      <c r="B1000">
        <v>43</v>
      </c>
      <c r="C1000">
        <v>91.147999999999996</v>
      </c>
      <c r="D1000">
        <v>1.998</v>
      </c>
      <c r="E1000">
        <v>38.405000000000001</v>
      </c>
      <c r="F1000">
        <f t="shared" si="61"/>
        <v>22.832642452262071</v>
      </c>
      <c r="G1000">
        <f t="shared" si="64"/>
        <v>1</v>
      </c>
      <c r="H1000" t="s">
        <v>1399</v>
      </c>
      <c r="I1000">
        <v>108.75</v>
      </c>
      <c r="J1000" t="s">
        <v>858</v>
      </c>
      <c r="K1000" s="24">
        <v>108</v>
      </c>
      <c r="L1000" s="24">
        <v>95</v>
      </c>
      <c r="M1000">
        <v>272</v>
      </c>
      <c r="N1000" t="s">
        <v>1432</v>
      </c>
      <c r="O1000">
        <v>40</v>
      </c>
      <c r="P1000">
        <v>157</v>
      </c>
      <c r="Q1000" t="s">
        <v>24</v>
      </c>
      <c r="R1000" t="s">
        <v>25</v>
      </c>
      <c r="S1000" t="s">
        <v>26</v>
      </c>
      <c r="T1000" t="s">
        <v>25</v>
      </c>
      <c r="U1000">
        <f t="shared" si="62"/>
        <v>3</v>
      </c>
      <c r="V1000">
        <v>199.80199999999999</v>
      </c>
      <c r="W1000">
        <v>0.54400000000000004</v>
      </c>
      <c r="X1000" t="s">
        <v>1407</v>
      </c>
      <c r="Y1000">
        <v>108</v>
      </c>
      <c r="Z1000">
        <v>95</v>
      </c>
      <c r="AA1000" t="s">
        <v>40</v>
      </c>
      <c r="AB1000">
        <v>202</v>
      </c>
      <c r="AC1000" s="23">
        <v>5.05</v>
      </c>
      <c r="AD1000" t="str">
        <f>IF(AND('CVD Dataset'!AA1000="Normal",'CVD Dataset'!AB1000&gt;AVERAGE('CVD Dataset'!AB:AB),'CVD Dataset'!AF1000="High"),"High Lipid Category","Normal Category")</f>
        <v>Normal Category</v>
      </c>
      <c r="AE1000">
        <v>20.521000000000001</v>
      </c>
      <c r="AF1000" t="s">
        <v>54</v>
      </c>
      <c r="AG1000">
        <v>0</v>
      </c>
      <c r="AH1000" t="s">
        <v>1380</v>
      </c>
      <c r="AI1000">
        <f t="shared" si="63"/>
        <v>0</v>
      </c>
      <c r="AJ1000" t="s">
        <v>1391</v>
      </c>
    </row>
    <row r="1001" spans="1:36" x14ac:dyDescent="0.3">
      <c r="A1001" t="s">
        <v>33</v>
      </c>
      <c r="B1001">
        <v>65</v>
      </c>
      <c r="C1001">
        <v>80.069000000000003</v>
      </c>
      <c r="E1001">
        <v>29.166</v>
      </c>
      <c r="F1001" t="str">
        <f t="shared" si="61"/>
        <v/>
      </c>
      <c r="G1001" t="str">
        <f t="shared" si="64"/>
        <v/>
      </c>
      <c r="H1001" t="s">
        <v>1400</v>
      </c>
      <c r="I1001">
        <v>80.971000000000004</v>
      </c>
      <c r="J1001" t="s">
        <v>116</v>
      </c>
      <c r="K1001" s="24">
        <v>120</v>
      </c>
      <c r="L1001" s="24">
        <v>87</v>
      </c>
      <c r="M1001">
        <v>151</v>
      </c>
      <c r="N1001" t="s">
        <v>1433</v>
      </c>
      <c r="O1001">
        <v>35</v>
      </c>
      <c r="P1001">
        <v>70</v>
      </c>
      <c r="Q1001" t="s">
        <v>24</v>
      </c>
      <c r="R1001" t="s">
        <v>25</v>
      </c>
      <c r="S1001" t="s">
        <v>30</v>
      </c>
      <c r="T1001" t="s">
        <v>24</v>
      </c>
      <c r="U1001">
        <f t="shared" si="62"/>
        <v>1</v>
      </c>
      <c r="V1001">
        <v>155.93100000000001</v>
      </c>
      <c r="W1001">
        <v>0.51900000000000002</v>
      </c>
      <c r="X1001" t="s">
        <v>1406</v>
      </c>
      <c r="Y1001">
        <v>120</v>
      </c>
      <c r="Z1001">
        <v>87</v>
      </c>
      <c r="AA1001" t="s">
        <v>31</v>
      </c>
      <c r="AB1001">
        <v>86</v>
      </c>
      <c r="AC1001" s="23">
        <v>2.46</v>
      </c>
      <c r="AD1001" t="str">
        <f>IF(AND('CVD Dataset'!AA1001="Normal",'CVD Dataset'!AB1001&gt;AVERAGE('CVD Dataset'!AB:AB),'CVD Dataset'!AF1001="High"),"High Lipid Category","Normal Category")</f>
        <v>Normal Category</v>
      </c>
      <c r="AE1001">
        <v>16.853000000000002</v>
      </c>
      <c r="AF1001" t="s">
        <v>28</v>
      </c>
      <c r="AG1001">
        <v>0</v>
      </c>
      <c r="AH1001" t="s">
        <v>1380</v>
      </c>
      <c r="AI1001">
        <f t="shared" si="63"/>
        <v>0</v>
      </c>
      <c r="AJ1001" t="s">
        <v>1392</v>
      </c>
    </row>
    <row r="1002" spans="1:36" x14ac:dyDescent="0.3">
      <c r="A1002" t="s">
        <v>22</v>
      </c>
      <c r="B1002">
        <v>67</v>
      </c>
      <c r="C1002">
        <v>58.323999999999998</v>
      </c>
      <c r="D1002">
        <v>1.6339999999999999</v>
      </c>
      <c r="E1002">
        <v>36.951999999999998</v>
      </c>
      <c r="F1002">
        <f t="shared" si="61"/>
        <v>21.844554741726085</v>
      </c>
      <c r="G1002">
        <f t="shared" si="64"/>
        <v>1</v>
      </c>
      <c r="H1002" t="s">
        <v>1399</v>
      </c>
      <c r="I1002">
        <v>86.34</v>
      </c>
      <c r="J1002" t="s">
        <v>859</v>
      </c>
      <c r="K1002" s="24">
        <v>168</v>
      </c>
      <c r="L1002" s="24">
        <v>60</v>
      </c>
      <c r="M1002">
        <v>233</v>
      </c>
      <c r="N1002" t="s">
        <v>1432</v>
      </c>
      <c r="O1002">
        <v>86</v>
      </c>
      <c r="P1002">
        <v>114</v>
      </c>
      <c r="Q1002" t="s">
        <v>25</v>
      </c>
      <c r="R1002" t="s">
        <v>25</v>
      </c>
      <c r="S1002" t="s">
        <v>26</v>
      </c>
      <c r="T1002" t="s">
        <v>24</v>
      </c>
      <c r="U1002">
        <f t="shared" si="62"/>
        <v>3</v>
      </c>
      <c r="V1002">
        <v>163.422</v>
      </c>
      <c r="W1002">
        <v>0.52800000000000002</v>
      </c>
      <c r="X1002" t="s">
        <v>1407</v>
      </c>
      <c r="Y1002">
        <v>168</v>
      </c>
      <c r="Z1002">
        <v>60</v>
      </c>
      <c r="AA1002" t="s">
        <v>40</v>
      </c>
      <c r="AB1002">
        <v>117</v>
      </c>
      <c r="AC1002" s="23">
        <v>1.36</v>
      </c>
      <c r="AD1002" t="str">
        <f>IF(AND('CVD Dataset'!AA1002="Normal",'CVD Dataset'!AB1002&gt;AVERAGE('CVD Dataset'!AB:AB),'CVD Dataset'!AF1002="High"),"High Lipid Category","Normal Category")</f>
        <v>Normal Category</v>
      </c>
      <c r="AE1002">
        <v>22.45</v>
      </c>
      <c r="AF1002" t="s">
        <v>54</v>
      </c>
      <c r="AG1002">
        <v>0</v>
      </c>
      <c r="AH1002" t="s">
        <v>1380</v>
      </c>
      <c r="AI1002">
        <f t="shared" si="63"/>
        <v>0</v>
      </c>
      <c r="AJ1002" t="s">
        <v>1392</v>
      </c>
    </row>
    <row r="1003" spans="1:36" x14ac:dyDescent="0.3">
      <c r="A1003" t="s">
        <v>33</v>
      </c>
      <c r="B1003">
        <v>52</v>
      </c>
      <c r="C1003">
        <v>55.683999999999997</v>
      </c>
      <c r="D1003">
        <v>1.552</v>
      </c>
      <c r="F1003">
        <f t="shared" si="61"/>
        <v>23.117826017642681</v>
      </c>
      <c r="G1003">
        <f t="shared" si="64"/>
        <v>1</v>
      </c>
      <c r="H1003" t="s">
        <v>1401</v>
      </c>
      <c r="I1003">
        <v>103.846</v>
      </c>
      <c r="J1003" t="s">
        <v>860</v>
      </c>
      <c r="K1003" s="24">
        <v>147</v>
      </c>
      <c r="L1003" s="24">
        <v>87</v>
      </c>
      <c r="M1003">
        <v>298</v>
      </c>
      <c r="N1003" t="s">
        <v>1432</v>
      </c>
      <c r="O1003">
        <v>53</v>
      </c>
      <c r="P1003">
        <v>149</v>
      </c>
      <c r="Q1003" t="s">
        <v>25</v>
      </c>
      <c r="R1003" t="s">
        <v>25</v>
      </c>
      <c r="S1003" t="s">
        <v>26</v>
      </c>
      <c r="T1003" t="s">
        <v>25</v>
      </c>
      <c r="U1003">
        <f t="shared" si="62"/>
        <v>4</v>
      </c>
      <c r="V1003">
        <v>155.167</v>
      </c>
      <c r="W1003">
        <v>0.66900000000000004</v>
      </c>
      <c r="X1003" t="s">
        <v>1409</v>
      </c>
      <c r="Y1003">
        <v>147</v>
      </c>
      <c r="Z1003">
        <v>87</v>
      </c>
      <c r="AA1003" t="s">
        <v>31</v>
      </c>
      <c r="AB1003">
        <v>215</v>
      </c>
      <c r="AC1003" s="23">
        <v>4.0599999999999996</v>
      </c>
      <c r="AD1003" t="str">
        <f>IF(AND('CVD Dataset'!AA1003="Normal",'CVD Dataset'!AB1003&gt;AVERAGE('CVD Dataset'!AB:AB),'CVD Dataset'!AF1003="High"),"High Lipid Category","Normal Category")</f>
        <v>Normal Category</v>
      </c>
      <c r="AE1003">
        <v>21.032</v>
      </c>
      <c r="AF1003" t="s">
        <v>32</v>
      </c>
      <c r="AG1003">
        <v>0</v>
      </c>
      <c r="AH1003" t="s">
        <v>1379</v>
      </c>
      <c r="AI1003">
        <f t="shared" si="63"/>
        <v>1</v>
      </c>
      <c r="AJ1003" t="s">
        <v>1392</v>
      </c>
    </row>
    <row r="1004" spans="1:36" x14ac:dyDescent="0.3">
      <c r="A1004" t="s">
        <v>22</v>
      </c>
      <c r="B1004">
        <v>28</v>
      </c>
      <c r="C1004">
        <v>88.094999999999999</v>
      </c>
      <c r="D1004">
        <v>1.738</v>
      </c>
      <c r="E1004">
        <v>24.181999999999999</v>
      </c>
      <c r="F1004">
        <f t="shared" si="61"/>
        <v>29.164310656932759</v>
      </c>
      <c r="G1004">
        <f t="shared" si="64"/>
        <v>1</v>
      </c>
      <c r="H1004" t="s">
        <v>1398</v>
      </c>
      <c r="I1004">
        <v>70.090999999999994</v>
      </c>
      <c r="J1004" t="s">
        <v>861</v>
      </c>
      <c r="K1004" s="24">
        <v>99</v>
      </c>
      <c r="L1004" s="24">
        <v>80</v>
      </c>
      <c r="M1004">
        <v>141</v>
      </c>
      <c r="N1004" t="s">
        <v>1434</v>
      </c>
      <c r="O1004">
        <v>35</v>
      </c>
      <c r="P1004">
        <v>74</v>
      </c>
      <c r="Q1004" t="s">
        <v>25</v>
      </c>
      <c r="R1004" t="s">
        <v>25</v>
      </c>
      <c r="S1004" t="s">
        <v>26</v>
      </c>
      <c r="T1004" t="s">
        <v>24</v>
      </c>
      <c r="U1004">
        <f t="shared" si="62"/>
        <v>3</v>
      </c>
      <c r="V1004">
        <v>173.78</v>
      </c>
      <c r="W1004">
        <v>0.40300000000000002</v>
      </c>
      <c r="X1004" t="s">
        <v>1408</v>
      </c>
      <c r="Y1004">
        <v>99</v>
      </c>
      <c r="Z1004">
        <v>80</v>
      </c>
      <c r="AA1004" t="s">
        <v>31</v>
      </c>
      <c r="AB1004">
        <v>76</v>
      </c>
      <c r="AC1004" s="23">
        <v>2.17</v>
      </c>
      <c r="AD1004" t="str">
        <f>IF(AND('CVD Dataset'!AA1004="Normal",'CVD Dataset'!AB1004&gt;AVERAGE('CVD Dataset'!AB:AB),'CVD Dataset'!AF1004="High"),"High Lipid Category","Normal Category")</f>
        <v>Normal Category</v>
      </c>
      <c r="AE1004">
        <v>14.606</v>
      </c>
      <c r="AF1004" t="s">
        <v>28</v>
      </c>
      <c r="AG1004">
        <v>0</v>
      </c>
      <c r="AH1004" t="s">
        <v>1380</v>
      </c>
      <c r="AI1004">
        <f t="shared" si="63"/>
        <v>0</v>
      </c>
      <c r="AJ1004" t="s">
        <v>1391</v>
      </c>
    </row>
    <row r="1005" spans="1:36" x14ac:dyDescent="0.3">
      <c r="A1005" t="s">
        <v>33</v>
      </c>
      <c r="B1005">
        <v>79</v>
      </c>
      <c r="C1005">
        <v>102.027</v>
      </c>
      <c r="D1005">
        <v>1.786</v>
      </c>
      <c r="E1005">
        <v>18.585000000000001</v>
      </c>
      <c r="F1005">
        <f t="shared" si="61"/>
        <v>31.985431043239124</v>
      </c>
      <c r="G1005">
        <f t="shared" si="64"/>
        <v>1</v>
      </c>
      <c r="H1005" t="s">
        <v>1398</v>
      </c>
      <c r="I1005">
        <v>83.74</v>
      </c>
      <c r="J1005" t="s">
        <v>862</v>
      </c>
      <c r="K1005" s="24">
        <v>152</v>
      </c>
      <c r="L1005" s="24">
        <v>109</v>
      </c>
      <c r="M1005">
        <v>182</v>
      </c>
      <c r="N1005" t="s">
        <v>1432</v>
      </c>
      <c r="O1005">
        <v>87</v>
      </c>
      <c r="P1005">
        <v>102</v>
      </c>
      <c r="Q1005" t="s">
        <v>25</v>
      </c>
      <c r="R1005" t="s">
        <v>24</v>
      </c>
      <c r="S1005" t="s">
        <v>26</v>
      </c>
      <c r="T1005" t="s">
        <v>24</v>
      </c>
      <c r="U1005">
        <f t="shared" si="62"/>
        <v>2</v>
      </c>
      <c r="V1005">
        <v>178.63300000000001</v>
      </c>
      <c r="W1005">
        <v>0.46899999999999997</v>
      </c>
      <c r="X1005" t="s">
        <v>1406</v>
      </c>
      <c r="Y1005">
        <v>152</v>
      </c>
      <c r="Z1005">
        <v>109</v>
      </c>
      <c r="AA1005" t="s">
        <v>40</v>
      </c>
      <c r="AB1005">
        <v>65</v>
      </c>
      <c r="AC1005" s="23">
        <v>0.75</v>
      </c>
      <c r="AD1005" t="str">
        <f>IF(AND('CVD Dataset'!AA1005="Normal",'CVD Dataset'!AB1005&gt;AVERAGE('CVD Dataset'!AB:AB),'CVD Dataset'!AF1005="High"),"High Lipid Category","Normal Category")</f>
        <v>Normal Category</v>
      </c>
      <c r="AE1005">
        <v>14.957000000000001</v>
      </c>
      <c r="AF1005" t="s">
        <v>28</v>
      </c>
      <c r="AG1005">
        <v>0</v>
      </c>
      <c r="AH1005" t="s">
        <v>1380</v>
      </c>
      <c r="AI1005">
        <f t="shared" si="63"/>
        <v>0</v>
      </c>
      <c r="AJ1005" t="s">
        <v>1391</v>
      </c>
    </row>
    <row r="1006" spans="1:36" x14ac:dyDescent="0.3">
      <c r="A1006" t="s">
        <v>22</v>
      </c>
      <c r="B1006">
        <v>54</v>
      </c>
      <c r="C1006">
        <v>98.343000000000004</v>
      </c>
      <c r="D1006">
        <v>1.887</v>
      </c>
      <c r="E1006">
        <v>35.972999999999999</v>
      </c>
      <c r="F1006">
        <f t="shared" si="61"/>
        <v>27.618472301910064</v>
      </c>
      <c r="G1006">
        <f t="shared" si="64"/>
        <v>1</v>
      </c>
      <c r="H1006" t="s">
        <v>1399</v>
      </c>
      <c r="I1006">
        <v>103.28400000000001</v>
      </c>
      <c r="J1006" t="s">
        <v>863</v>
      </c>
      <c r="K1006" s="24">
        <v>104</v>
      </c>
      <c r="L1006" s="24">
        <v>99</v>
      </c>
      <c r="M1006">
        <v>295</v>
      </c>
      <c r="N1006" t="s">
        <v>1432</v>
      </c>
      <c r="O1006">
        <v>64</v>
      </c>
      <c r="P1006">
        <v>75</v>
      </c>
      <c r="Q1006" t="s">
        <v>25</v>
      </c>
      <c r="R1006" t="s">
        <v>25</v>
      </c>
      <c r="S1006" t="s">
        <v>39</v>
      </c>
      <c r="T1006" t="s">
        <v>24</v>
      </c>
      <c r="U1006">
        <f t="shared" si="62"/>
        <v>2</v>
      </c>
      <c r="V1006">
        <v>188.71100000000001</v>
      </c>
      <c r="W1006">
        <v>0.54700000000000004</v>
      </c>
      <c r="X1006" t="s">
        <v>1407</v>
      </c>
      <c r="Y1006">
        <v>104</v>
      </c>
      <c r="Z1006">
        <v>99</v>
      </c>
      <c r="AA1006" t="s">
        <v>40</v>
      </c>
      <c r="AB1006">
        <v>201</v>
      </c>
      <c r="AC1006" s="23">
        <v>3.14</v>
      </c>
      <c r="AD1006" t="str">
        <f>IF(AND('CVD Dataset'!AA1006="Normal",'CVD Dataset'!AB1006&gt;AVERAGE('CVD Dataset'!AB:AB),'CVD Dataset'!AF1006="High"),"High Lipid Category","Normal Category")</f>
        <v>Normal Category</v>
      </c>
      <c r="AE1006">
        <v>20.295000000000002</v>
      </c>
      <c r="AF1006" t="s">
        <v>54</v>
      </c>
      <c r="AG1006">
        <v>0</v>
      </c>
      <c r="AH1006" t="s">
        <v>1380</v>
      </c>
      <c r="AI1006">
        <f t="shared" si="63"/>
        <v>0</v>
      </c>
      <c r="AJ1006" t="s">
        <v>1392</v>
      </c>
    </row>
    <row r="1007" spans="1:36" x14ac:dyDescent="0.3">
      <c r="A1007" t="s">
        <v>33</v>
      </c>
      <c r="B1007">
        <v>79</v>
      </c>
      <c r="C1007">
        <v>75.956999999999994</v>
      </c>
      <c r="D1007">
        <v>1.6539999999999999</v>
      </c>
      <c r="E1007">
        <v>21.277999999999999</v>
      </c>
      <c r="F1007">
        <f t="shared" si="61"/>
        <v>27.764943437111164</v>
      </c>
      <c r="G1007">
        <f t="shared" si="64"/>
        <v>1</v>
      </c>
      <c r="H1007" t="s">
        <v>1398</v>
      </c>
      <c r="I1007">
        <v>117.142</v>
      </c>
      <c r="J1007" t="s">
        <v>864</v>
      </c>
      <c r="K1007" s="24">
        <v>155</v>
      </c>
      <c r="L1007" s="24">
        <v>119</v>
      </c>
      <c r="M1007">
        <v>112</v>
      </c>
      <c r="N1007" t="s">
        <v>1434</v>
      </c>
      <c r="O1007">
        <v>61</v>
      </c>
      <c r="P1007">
        <v>89</v>
      </c>
      <c r="Q1007" t="s">
        <v>24</v>
      </c>
      <c r="R1007" t="s">
        <v>24</v>
      </c>
      <c r="S1007" t="s">
        <v>30</v>
      </c>
      <c r="T1007" t="s">
        <v>24</v>
      </c>
      <c r="U1007">
        <f t="shared" si="62"/>
        <v>0</v>
      </c>
      <c r="V1007">
        <v>165.435</v>
      </c>
      <c r="W1007">
        <v>0.70799999999999996</v>
      </c>
      <c r="X1007" t="s">
        <v>1409</v>
      </c>
      <c r="Y1007">
        <v>155</v>
      </c>
      <c r="Z1007">
        <v>119</v>
      </c>
      <c r="AA1007" t="s">
        <v>40</v>
      </c>
      <c r="AB1007">
        <v>21</v>
      </c>
      <c r="AC1007" s="23">
        <v>0.34</v>
      </c>
      <c r="AD1007" t="str">
        <f>IF(AND('CVD Dataset'!AA1007="Normal",'CVD Dataset'!AB1007&gt;AVERAGE('CVD Dataset'!AB:AB),'CVD Dataset'!AF1007="High"),"High Lipid Category","Normal Category")</f>
        <v>Normal Category</v>
      </c>
      <c r="AE1007">
        <v>14.246</v>
      </c>
      <c r="AF1007" t="s">
        <v>28</v>
      </c>
      <c r="AG1007">
        <v>0</v>
      </c>
      <c r="AH1007" t="s">
        <v>1380</v>
      </c>
      <c r="AI1007">
        <f t="shared" si="63"/>
        <v>0</v>
      </c>
      <c r="AJ1007" t="s">
        <v>1391</v>
      </c>
    </row>
    <row r="1008" spans="1:36" x14ac:dyDescent="0.3">
      <c r="A1008" t="s">
        <v>33</v>
      </c>
      <c r="B1008">
        <v>27</v>
      </c>
      <c r="C1008">
        <v>114.312</v>
      </c>
      <c r="D1008">
        <v>1.6879999999999999</v>
      </c>
      <c r="E1008">
        <v>25.163</v>
      </c>
      <c r="F1008">
        <f t="shared" si="61"/>
        <v>40.118708025426201</v>
      </c>
      <c r="G1008">
        <f t="shared" si="64"/>
        <v>1</v>
      </c>
      <c r="H1008" t="s">
        <v>1400</v>
      </c>
      <c r="J1008" t="s">
        <v>865</v>
      </c>
      <c r="K1008" s="24">
        <v>140</v>
      </c>
      <c r="L1008" s="24">
        <v>106</v>
      </c>
      <c r="M1008">
        <v>210</v>
      </c>
      <c r="N1008" t="s">
        <v>1432</v>
      </c>
      <c r="O1008">
        <v>41</v>
      </c>
      <c r="P1008">
        <v>80</v>
      </c>
      <c r="Q1008" t="s">
        <v>25</v>
      </c>
      <c r="R1008" t="s">
        <v>24</v>
      </c>
      <c r="S1008" t="s">
        <v>26</v>
      </c>
      <c r="T1008" t="s">
        <v>24</v>
      </c>
      <c r="U1008">
        <f t="shared" si="62"/>
        <v>2</v>
      </c>
      <c r="V1008">
        <v>168.81200000000001</v>
      </c>
      <c r="W1008">
        <v>0.58399999999999996</v>
      </c>
      <c r="X1008" t="s">
        <v>1407</v>
      </c>
      <c r="Y1008">
        <v>140</v>
      </c>
      <c r="Z1008">
        <v>106</v>
      </c>
      <c r="AA1008" t="s">
        <v>40</v>
      </c>
      <c r="AB1008">
        <v>139</v>
      </c>
      <c r="AC1008" s="23">
        <v>3.39</v>
      </c>
      <c r="AD1008" t="str">
        <f>IF(AND('CVD Dataset'!AA1008="Normal",'CVD Dataset'!AB1008&gt;AVERAGE('CVD Dataset'!AB:AB),'CVD Dataset'!AF1008="High"),"High Lipid Category","Normal Category")</f>
        <v>Normal Category</v>
      </c>
      <c r="AE1008">
        <v>16.233000000000001</v>
      </c>
      <c r="AF1008" t="s">
        <v>28</v>
      </c>
      <c r="AG1008">
        <v>0</v>
      </c>
      <c r="AH1008" t="s">
        <v>1380</v>
      </c>
      <c r="AI1008">
        <f t="shared" si="63"/>
        <v>0</v>
      </c>
      <c r="AJ1008" t="s">
        <v>1391</v>
      </c>
    </row>
    <row r="1009" spans="1:36" x14ac:dyDescent="0.3">
      <c r="A1009" t="s">
        <v>22</v>
      </c>
      <c r="B1009">
        <v>70</v>
      </c>
      <c r="D1009">
        <v>1.754</v>
      </c>
      <c r="E1009">
        <v>37.484000000000002</v>
      </c>
      <c r="F1009">
        <f t="shared" si="61"/>
        <v>0</v>
      </c>
      <c r="G1009">
        <f t="shared" si="64"/>
        <v>1</v>
      </c>
      <c r="H1009" t="s">
        <v>1399</v>
      </c>
      <c r="I1009">
        <v>95.49</v>
      </c>
      <c r="J1009" t="s">
        <v>866</v>
      </c>
      <c r="K1009" s="24">
        <v>113</v>
      </c>
      <c r="L1009" s="24">
        <v>119</v>
      </c>
      <c r="M1009">
        <v>172</v>
      </c>
      <c r="N1009" t="s">
        <v>1433</v>
      </c>
      <c r="O1009">
        <v>65</v>
      </c>
      <c r="P1009">
        <v>141</v>
      </c>
      <c r="Q1009" t="s">
        <v>24</v>
      </c>
      <c r="R1009" t="s">
        <v>24</v>
      </c>
      <c r="S1009" t="s">
        <v>26</v>
      </c>
      <c r="T1009" t="s">
        <v>24</v>
      </c>
      <c r="U1009">
        <f t="shared" si="62"/>
        <v>1</v>
      </c>
      <c r="V1009">
        <v>175.352</v>
      </c>
      <c r="W1009">
        <v>0.54500000000000004</v>
      </c>
      <c r="X1009" t="s">
        <v>1407</v>
      </c>
      <c r="Y1009">
        <v>113</v>
      </c>
      <c r="Z1009">
        <v>119</v>
      </c>
      <c r="AA1009" t="s">
        <v>40</v>
      </c>
      <c r="AB1009">
        <v>77</v>
      </c>
      <c r="AC1009" s="23">
        <v>1.18</v>
      </c>
      <c r="AD1009" t="str">
        <f>IF(AND('CVD Dataset'!AA1009="Normal",'CVD Dataset'!AB1009&gt;AVERAGE('CVD Dataset'!AB:AB),'CVD Dataset'!AF1009="High"),"High Lipid Category","Normal Category")</f>
        <v>Normal Category</v>
      </c>
      <c r="AE1009">
        <v>16.587</v>
      </c>
      <c r="AF1009" t="s">
        <v>54</v>
      </c>
      <c r="AG1009">
        <v>0</v>
      </c>
      <c r="AH1009" t="s">
        <v>1380</v>
      </c>
      <c r="AI1009">
        <f t="shared" si="63"/>
        <v>0</v>
      </c>
      <c r="AJ1009" t="s">
        <v>1391</v>
      </c>
    </row>
    <row r="1010" spans="1:36" x14ac:dyDescent="0.3">
      <c r="A1010" t="s">
        <v>22</v>
      </c>
      <c r="B1010">
        <v>37</v>
      </c>
      <c r="C1010">
        <v>82.742999999999995</v>
      </c>
      <c r="D1010">
        <v>1.9770000000000001</v>
      </c>
      <c r="E1010">
        <v>24.571999999999999</v>
      </c>
      <c r="F1010">
        <f t="shared" si="61"/>
        <v>21.169856997351175</v>
      </c>
      <c r="G1010">
        <f t="shared" si="64"/>
        <v>1</v>
      </c>
      <c r="H1010" t="s">
        <v>1398</v>
      </c>
      <c r="I1010">
        <v>95.001999999999995</v>
      </c>
      <c r="J1010" t="s">
        <v>867</v>
      </c>
      <c r="K1010" s="24">
        <v>136</v>
      </c>
      <c r="L1010" s="24">
        <v>114</v>
      </c>
      <c r="M1010">
        <v>282</v>
      </c>
      <c r="N1010" t="s">
        <v>1432</v>
      </c>
      <c r="O1010">
        <v>57</v>
      </c>
      <c r="P1010">
        <v>164</v>
      </c>
      <c r="Q1010" t="s">
        <v>24</v>
      </c>
      <c r="R1010" t="s">
        <v>25</v>
      </c>
      <c r="S1010" t="s">
        <v>26</v>
      </c>
      <c r="T1010" t="s">
        <v>25</v>
      </c>
      <c r="U1010">
        <f t="shared" si="62"/>
        <v>3</v>
      </c>
      <c r="V1010">
        <v>197.67</v>
      </c>
      <c r="W1010">
        <v>0.48099999999999998</v>
      </c>
      <c r="X1010" t="s">
        <v>1406</v>
      </c>
      <c r="Y1010">
        <v>136</v>
      </c>
      <c r="Z1010">
        <v>114</v>
      </c>
      <c r="AA1010" t="s">
        <v>31</v>
      </c>
      <c r="AB1010">
        <v>195</v>
      </c>
      <c r="AC1010" s="23">
        <v>3.42</v>
      </c>
      <c r="AD1010" t="str">
        <f>IF(AND('CVD Dataset'!AA1010="Normal",'CVD Dataset'!AB1010&gt;AVERAGE('CVD Dataset'!AB:AB),'CVD Dataset'!AF1010="High"),"High Lipid Category","Normal Category")</f>
        <v>Normal Category</v>
      </c>
      <c r="AE1010">
        <v>19.353999999999999</v>
      </c>
      <c r="AF1010" t="s">
        <v>32</v>
      </c>
      <c r="AG1010">
        <v>0</v>
      </c>
      <c r="AH1010" t="s">
        <v>1379</v>
      </c>
      <c r="AI1010">
        <f t="shared" si="63"/>
        <v>1</v>
      </c>
      <c r="AJ1010" t="s">
        <v>1391</v>
      </c>
    </row>
    <row r="1011" spans="1:36" x14ac:dyDescent="0.3">
      <c r="A1011" t="s">
        <v>33</v>
      </c>
      <c r="B1011">
        <v>43</v>
      </c>
      <c r="C1011">
        <v>98.221999999999994</v>
      </c>
      <c r="D1011">
        <v>1.9830000000000001</v>
      </c>
      <c r="E1011">
        <v>24.088999999999999</v>
      </c>
      <c r="F1011">
        <f t="shared" si="61"/>
        <v>24.978326872719677</v>
      </c>
      <c r="G1011">
        <f t="shared" si="64"/>
        <v>1</v>
      </c>
      <c r="H1011" t="s">
        <v>1398</v>
      </c>
      <c r="I1011">
        <v>116.852</v>
      </c>
      <c r="J1011" t="s">
        <v>868</v>
      </c>
      <c r="K1011" s="24">
        <v>103</v>
      </c>
      <c r="L1011" s="24">
        <v>68</v>
      </c>
      <c r="M1011">
        <v>152</v>
      </c>
      <c r="N1011" t="s">
        <v>1433</v>
      </c>
      <c r="O1011">
        <v>47</v>
      </c>
      <c r="Q1011" t="s">
        <v>25</v>
      </c>
      <c r="R1011" t="s">
        <v>24</v>
      </c>
      <c r="S1011" t="s">
        <v>30</v>
      </c>
      <c r="T1011" t="s">
        <v>25</v>
      </c>
      <c r="U1011">
        <f t="shared" si="62"/>
        <v>2</v>
      </c>
      <c r="V1011">
        <v>198.255</v>
      </c>
      <c r="W1011">
        <v>0.58899999999999997</v>
      </c>
      <c r="X1011" t="s">
        <v>1409</v>
      </c>
      <c r="Y1011">
        <v>103</v>
      </c>
      <c r="Z1011">
        <v>68</v>
      </c>
      <c r="AA1011" t="s">
        <v>35</v>
      </c>
      <c r="AB1011">
        <v>75</v>
      </c>
      <c r="AC1011" s="23">
        <v>1.6</v>
      </c>
      <c r="AD1011" t="str">
        <f>IF(AND('CVD Dataset'!AA1011="Normal",'CVD Dataset'!AB1011&gt;AVERAGE('CVD Dataset'!AB:AB),'CVD Dataset'!AF1011="High"),"High Lipid Category","Normal Category")</f>
        <v>Normal Category</v>
      </c>
      <c r="AE1011">
        <v>13.007999999999999</v>
      </c>
      <c r="AF1011" t="s">
        <v>32</v>
      </c>
      <c r="AG1011">
        <v>0</v>
      </c>
      <c r="AH1011" t="s">
        <v>1379</v>
      </c>
      <c r="AI1011">
        <f t="shared" si="63"/>
        <v>1</v>
      </c>
      <c r="AJ1011" t="s">
        <v>1391</v>
      </c>
    </row>
    <row r="1012" spans="1:36" x14ac:dyDescent="0.3">
      <c r="A1012" t="s">
        <v>33</v>
      </c>
      <c r="B1012">
        <v>31</v>
      </c>
      <c r="C1012">
        <v>104.34399999999999</v>
      </c>
      <c r="D1012">
        <v>1.9550000000000001</v>
      </c>
      <c r="E1012">
        <v>27.114999999999998</v>
      </c>
      <c r="F1012">
        <f t="shared" si="61"/>
        <v>27.30071101052452</v>
      </c>
      <c r="G1012">
        <f t="shared" si="64"/>
        <v>1</v>
      </c>
      <c r="H1012" t="s">
        <v>1400</v>
      </c>
      <c r="I1012">
        <v>74.353999999999999</v>
      </c>
      <c r="J1012" t="s">
        <v>869</v>
      </c>
      <c r="K1012" s="24">
        <v>174</v>
      </c>
      <c r="L1012" s="24">
        <v>119</v>
      </c>
      <c r="M1012">
        <v>160</v>
      </c>
      <c r="N1012" t="s">
        <v>1433</v>
      </c>
      <c r="O1012">
        <v>39</v>
      </c>
      <c r="P1012">
        <v>89</v>
      </c>
      <c r="Q1012" t="s">
        <v>24</v>
      </c>
      <c r="R1012" t="s">
        <v>24</v>
      </c>
      <c r="S1012" t="s">
        <v>26</v>
      </c>
      <c r="T1012" t="s">
        <v>24</v>
      </c>
      <c r="U1012">
        <f t="shared" si="62"/>
        <v>1</v>
      </c>
      <c r="V1012">
        <v>195.47499999999999</v>
      </c>
      <c r="W1012">
        <v>0.38</v>
      </c>
      <c r="X1012" t="s">
        <v>1408</v>
      </c>
      <c r="Y1012">
        <v>174</v>
      </c>
      <c r="AA1012" t="s">
        <v>40</v>
      </c>
      <c r="AB1012">
        <v>91</v>
      </c>
      <c r="AC1012" s="23">
        <v>2.33</v>
      </c>
      <c r="AD1012" t="str">
        <f>IF(AND('CVD Dataset'!AA1012="Normal",'CVD Dataset'!AB1012&gt;AVERAGE('CVD Dataset'!AB:AB),'CVD Dataset'!AF1012="High"),"High Lipid Category","Normal Category")</f>
        <v>Normal Category</v>
      </c>
      <c r="AE1012">
        <v>17.323</v>
      </c>
      <c r="AF1012" t="s">
        <v>28</v>
      </c>
      <c r="AG1012">
        <v>0</v>
      </c>
      <c r="AH1012" t="s">
        <v>1380</v>
      </c>
      <c r="AI1012">
        <f t="shared" si="63"/>
        <v>0</v>
      </c>
      <c r="AJ1012" t="s">
        <v>1391</v>
      </c>
    </row>
    <row r="1013" spans="1:36" x14ac:dyDescent="0.3">
      <c r="A1013" t="s">
        <v>33</v>
      </c>
      <c r="B1013">
        <v>30</v>
      </c>
      <c r="C1013">
        <v>72.361999999999995</v>
      </c>
      <c r="D1013">
        <v>1.5920000000000001</v>
      </c>
      <c r="E1013">
        <v>27.881</v>
      </c>
      <c r="F1013">
        <f t="shared" si="61"/>
        <v>28.551204515037494</v>
      </c>
      <c r="G1013">
        <f t="shared" si="64"/>
        <v>1</v>
      </c>
      <c r="H1013" t="s">
        <v>1400</v>
      </c>
      <c r="I1013">
        <v>117.02200000000001</v>
      </c>
      <c r="J1013" t="s">
        <v>433</v>
      </c>
      <c r="K1013" s="24">
        <v>121</v>
      </c>
      <c r="L1013" s="24">
        <v>92</v>
      </c>
      <c r="M1013">
        <v>107</v>
      </c>
      <c r="N1013" t="s">
        <v>1434</v>
      </c>
      <c r="O1013">
        <v>40</v>
      </c>
      <c r="P1013">
        <v>97</v>
      </c>
      <c r="Q1013" t="s">
        <v>24</v>
      </c>
      <c r="R1013" t="s">
        <v>25</v>
      </c>
      <c r="S1013" t="s">
        <v>26</v>
      </c>
      <c r="T1013" t="s">
        <v>24</v>
      </c>
      <c r="U1013">
        <f t="shared" si="62"/>
        <v>2</v>
      </c>
      <c r="V1013">
        <v>159.161</v>
      </c>
      <c r="W1013">
        <v>0.73499999999999999</v>
      </c>
      <c r="X1013" t="s">
        <v>1409</v>
      </c>
      <c r="Y1013">
        <v>121</v>
      </c>
      <c r="Z1013">
        <v>92</v>
      </c>
      <c r="AA1013" t="s">
        <v>40</v>
      </c>
      <c r="AB1013">
        <v>37</v>
      </c>
      <c r="AC1013" s="23">
        <v>0.93</v>
      </c>
      <c r="AD1013" t="str">
        <f>IF(AND('CVD Dataset'!AA1013="Normal",'CVD Dataset'!AB1013&gt;AVERAGE('CVD Dataset'!AB:AB),'CVD Dataset'!AF1013="High"),"High Lipid Category","Normal Category")</f>
        <v>Normal Category</v>
      </c>
      <c r="AE1013">
        <v>15.766</v>
      </c>
      <c r="AF1013" t="s">
        <v>32</v>
      </c>
      <c r="AG1013">
        <v>0</v>
      </c>
      <c r="AH1013" t="s">
        <v>1379</v>
      </c>
      <c r="AI1013">
        <f t="shared" si="63"/>
        <v>1</v>
      </c>
      <c r="AJ1013" t="s">
        <v>1391</v>
      </c>
    </row>
    <row r="1014" spans="1:36" x14ac:dyDescent="0.3">
      <c r="A1014" t="s">
        <v>22</v>
      </c>
      <c r="B1014">
        <v>72</v>
      </c>
      <c r="C1014">
        <v>68.852999999999994</v>
      </c>
      <c r="D1014">
        <v>1.9510000000000001</v>
      </c>
      <c r="E1014">
        <v>24.155999999999999</v>
      </c>
      <c r="F1014">
        <f t="shared" si="61"/>
        <v>18.088740518931136</v>
      </c>
      <c r="G1014">
        <f t="shared" si="64"/>
        <v>1</v>
      </c>
      <c r="H1014" t="s">
        <v>1398</v>
      </c>
      <c r="I1014">
        <v>82.284999999999997</v>
      </c>
      <c r="J1014" t="s">
        <v>445</v>
      </c>
      <c r="K1014" s="24">
        <v>116</v>
      </c>
      <c r="L1014" s="24">
        <v>86</v>
      </c>
      <c r="M1014">
        <v>192</v>
      </c>
      <c r="N1014" t="s">
        <v>1432</v>
      </c>
      <c r="P1014">
        <v>183</v>
      </c>
      <c r="Q1014" t="s">
        <v>25</v>
      </c>
      <c r="R1014" t="s">
        <v>24</v>
      </c>
      <c r="S1014" t="s">
        <v>30</v>
      </c>
      <c r="T1014" t="s">
        <v>24</v>
      </c>
      <c r="U1014">
        <f t="shared" si="62"/>
        <v>1</v>
      </c>
      <c r="V1014">
        <v>195.06</v>
      </c>
      <c r="W1014">
        <v>0.42199999999999999</v>
      </c>
      <c r="X1014" t="s">
        <v>1408</v>
      </c>
      <c r="Y1014">
        <v>116</v>
      </c>
      <c r="Z1014">
        <v>86</v>
      </c>
      <c r="AA1014" t="s">
        <v>31</v>
      </c>
      <c r="AB1014">
        <v>107</v>
      </c>
      <c r="AC1014" s="23" t="s">
        <v>1410</v>
      </c>
      <c r="AD1014" t="str">
        <f>IF(AND('CVD Dataset'!AA1014="Normal",'CVD Dataset'!AB1014&gt;AVERAGE('CVD Dataset'!AB:AB),'CVD Dataset'!AF1014="High"),"High Lipid Category","Normal Category")</f>
        <v>Normal Category</v>
      </c>
      <c r="AE1014">
        <v>14.471</v>
      </c>
      <c r="AF1014" t="s">
        <v>28</v>
      </c>
      <c r="AG1014">
        <v>0</v>
      </c>
      <c r="AH1014" t="s">
        <v>1380</v>
      </c>
      <c r="AI1014">
        <f t="shared" si="63"/>
        <v>0</v>
      </c>
      <c r="AJ1014" t="s">
        <v>1391</v>
      </c>
    </row>
    <row r="1015" spans="1:36" x14ac:dyDescent="0.3">
      <c r="A1015" t="s">
        <v>33</v>
      </c>
      <c r="B1015">
        <v>37</v>
      </c>
      <c r="C1015">
        <v>117.678</v>
      </c>
      <c r="D1015">
        <v>1.7929999999999999</v>
      </c>
      <c r="E1015">
        <v>23.637</v>
      </c>
      <c r="F1015">
        <f t="shared" si="61"/>
        <v>36.604518594808034</v>
      </c>
      <c r="G1015">
        <f t="shared" si="64"/>
        <v>1</v>
      </c>
      <c r="H1015" t="s">
        <v>1398</v>
      </c>
      <c r="I1015">
        <v>105.11</v>
      </c>
      <c r="J1015" t="s">
        <v>870</v>
      </c>
      <c r="K1015" s="24">
        <v>121</v>
      </c>
      <c r="L1015" s="24">
        <v>72</v>
      </c>
      <c r="M1015">
        <v>269</v>
      </c>
      <c r="N1015" t="s">
        <v>1432</v>
      </c>
      <c r="O1015">
        <v>41</v>
      </c>
      <c r="P1015">
        <v>103</v>
      </c>
      <c r="Q1015" t="s">
        <v>24</v>
      </c>
      <c r="R1015" t="s">
        <v>25</v>
      </c>
      <c r="S1015" t="s">
        <v>30</v>
      </c>
      <c r="T1015" t="s">
        <v>24</v>
      </c>
      <c r="U1015">
        <f t="shared" si="62"/>
        <v>1</v>
      </c>
      <c r="V1015">
        <v>179.27</v>
      </c>
      <c r="W1015">
        <v>0.58599999999999997</v>
      </c>
      <c r="X1015" t="s">
        <v>1409</v>
      </c>
      <c r="Y1015">
        <v>121</v>
      </c>
      <c r="Z1015">
        <v>72</v>
      </c>
      <c r="AA1015" t="s">
        <v>27</v>
      </c>
      <c r="AB1015">
        <v>198</v>
      </c>
      <c r="AC1015" s="23">
        <v>4.83</v>
      </c>
      <c r="AD1015" t="str">
        <f>IF(AND('CVD Dataset'!AA1015="Normal",'CVD Dataset'!AB1015&gt;AVERAGE('CVD Dataset'!AB:AB),'CVD Dataset'!AF1015="High"),"High Lipid Category","Normal Category")</f>
        <v>Normal Category</v>
      </c>
      <c r="AE1015">
        <v>18.157</v>
      </c>
      <c r="AF1015" t="s">
        <v>32</v>
      </c>
      <c r="AG1015">
        <v>0</v>
      </c>
      <c r="AH1015" t="s">
        <v>1379</v>
      </c>
      <c r="AI1015">
        <f t="shared" si="63"/>
        <v>1</v>
      </c>
      <c r="AJ1015" t="s">
        <v>1391</v>
      </c>
    </row>
    <row r="1016" spans="1:36" x14ac:dyDescent="0.3">
      <c r="A1016" t="s">
        <v>33</v>
      </c>
      <c r="B1016">
        <v>46</v>
      </c>
      <c r="C1016">
        <v>58.262999999999998</v>
      </c>
      <c r="D1016">
        <v>1.6160000000000001</v>
      </c>
      <c r="E1016">
        <v>30.568999999999999</v>
      </c>
      <c r="F1016">
        <f t="shared" si="61"/>
        <v>22.310542471326336</v>
      </c>
      <c r="G1016">
        <f t="shared" si="64"/>
        <v>1</v>
      </c>
      <c r="H1016" t="s">
        <v>1399</v>
      </c>
      <c r="I1016">
        <v>83.263999999999996</v>
      </c>
      <c r="J1016" t="s">
        <v>871</v>
      </c>
      <c r="K1016" s="24">
        <v>109</v>
      </c>
      <c r="L1016" s="24">
        <v>78</v>
      </c>
      <c r="M1016">
        <v>244</v>
      </c>
      <c r="N1016" t="s">
        <v>1432</v>
      </c>
      <c r="O1016">
        <v>49</v>
      </c>
      <c r="P1016">
        <v>115</v>
      </c>
      <c r="Q1016" t="s">
        <v>25</v>
      </c>
      <c r="R1016" t="s">
        <v>25</v>
      </c>
      <c r="S1016" t="s">
        <v>26</v>
      </c>
      <c r="T1016" t="s">
        <v>25</v>
      </c>
      <c r="U1016">
        <f t="shared" si="62"/>
        <v>4</v>
      </c>
      <c r="V1016">
        <v>161.637</v>
      </c>
      <c r="W1016">
        <v>0.51500000000000001</v>
      </c>
      <c r="X1016" t="s">
        <v>1406</v>
      </c>
      <c r="Y1016">
        <v>109</v>
      </c>
      <c r="Z1016">
        <v>78</v>
      </c>
      <c r="AA1016" t="s">
        <v>35</v>
      </c>
      <c r="AB1016">
        <v>165</v>
      </c>
      <c r="AC1016" s="23">
        <v>3.37</v>
      </c>
      <c r="AD1016" t="str">
        <f>IF(AND('CVD Dataset'!AA1016="Normal",'CVD Dataset'!AB1016&gt;AVERAGE('CVD Dataset'!AB:AB),'CVD Dataset'!AF1016="High"),"High Lipid Category","Normal Category")</f>
        <v>Normal Category</v>
      </c>
      <c r="AE1016">
        <v>18.443999999999999</v>
      </c>
      <c r="AF1016" t="s">
        <v>54</v>
      </c>
      <c r="AG1016">
        <v>0</v>
      </c>
      <c r="AH1016" t="s">
        <v>1380</v>
      </c>
      <c r="AI1016">
        <f t="shared" si="63"/>
        <v>0</v>
      </c>
      <c r="AJ1016" t="s">
        <v>1391</v>
      </c>
    </row>
    <row r="1017" spans="1:36" x14ac:dyDescent="0.3">
      <c r="A1017" t="s">
        <v>33</v>
      </c>
      <c r="B1017">
        <v>70</v>
      </c>
      <c r="C1017">
        <v>114.137</v>
      </c>
      <c r="D1017">
        <v>1.9770000000000001</v>
      </c>
      <c r="E1017">
        <v>19.395</v>
      </c>
      <c r="F1017">
        <f t="shared" si="61"/>
        <v>29.202034832030158</v>
      </c>
      <c r="G1017">
        <f t="shared" si="64"/>
        <v>1</v>
      </c>
      <c r="H1017" t="s">
        <v>1398</v>
      </c>
      <c r="I1017">
        <v>85.766000000000005</v>
      </c>
      <c r="J1017" t="s">
        <v>872</v>
      </c>
      <c r="K1017" s="24">
        <v>162</v>
      </c>
      <c r="L1017" s="24">
        <v>118</v>
      </c>
      <c r="M1017">
        <v>104</v>
      </c>
      <c r="N1017" t="s">
        <v>1434</v>
      </c>
      <c r="O1017">
        <v>64</v>
      </c>
      <c r="P1017">
        <v>94</v>
      </c>
      <c r="Q1017" t="s">
        <v>24</v>
      </c>
      <c r="R1017" t="s">
        <v>25</v>
      </c>
      <c r="S1017" t="s">
        <v>30</v>
      </c>
      <c r="T1017" t="s">
        <v>24</v>
      </c>
      <c r="U1017">
        <f t="shared" si="62"/>
        <v>1</v>
      </c>
      <c r="V1017">
        <v>197.697</v>
      </c>
      <c r="W1017">
        <v>0.434</v>
      </c>
      <c r="X1017" t="s">
        <v>1408</v>
      </c>
      <c r="Y1017">
        <v>162</v>
      </c>
      <c r="Z1017">
        <v>118</v>
      </c>
      <c r="AA1017" t="s">
        <v>40</v>
      </c>
      <c r="AB1017">
        <v>10</v>
      </c>
      <c r="AC1017" s="23">
        <v>0.16</v>
      </c>
      <c r="AD1017" t="str">
        <f>IF(AND('CVD Dataset'!AA1017="Normal",'CVD Dataset'!AB1017&gt;AVERAGE('CVD Dataset'!AB:AB),'CVD Dataset'!AF1017="High"),"High Lipid Category","Normal Category")</f>
        <v>Normal Category</v>
      </c>
      <c r="AE1017">
        <v>16.059000000000001</v>
      </c>
      <c r="AF1017" t="s">
        <v>28</v>
      </c>
      <c r="AG1017">
        <v>0</v>
      </c>
      <c r="AH1017" t="s">
        <v>1380</v>
      </c>
      <c r="AI1017">
        <f t="shared" si="63"/>
        <v>0</v>
      </c>
      <c r="AJ1017" t="s">
        <v>1392</v>
      </c>
    </row>
    <row r="1018" spans="1:36" x14ac:dyDescent="0.3">
      <c r="A1018" t="s">
        <v>33</v>
      </c>
      <c r="B1018">
        <v>54</v>
      </c>
      <c r="C1018">
        <v>103.97</v>
      </c>
      <c r="D1018">
        <v>1.5589999999999999</v>
      </c>
      <c r="E1018">
        <v>37.058</v>
      </c>
      <c r="F1018">
        <f t="shared" si="61"/>
        <v>42.777540741935447</v>
      </c>
      <c r="G1018">
        <f t="shared" si="64"/>
        <v>1</v>
      </c>
      <c r="H1018" t="s">
        <v>1399</v>
      </c>
      <c r="I1018">
        <v>112.72199999999999</v>
      </c>
      <c r="J1018" t="s">
        <v>873</v>
      </c>
      <c r="K1018" s="24">
        <v>155</v>
      </c>
      <c r="L1018" s="24">
        <v>70</v>
      </c>
      <c r="M1018">
        <v>169</v>
      </c>
      <c r="N1018" t="s">
        <v>1433</v>
      </c>
      <c r="O1018">
        <v>72</v>
      </c>
      <c r="P1018">
        <v>74</v>
      </c>
      <c r="Q1018" t="s">
        <v>24</v>
      </c>
      <c r="R1018" t="s">
        <v>25</v>
      </c>
      <c r="S1018" t="s">
        <v>30</v>
      </c>
      <c r="T1018" t="s">
        <v>25</v>
      </c>
      <c r="U1018">
        <f t="shared" si="62"/>
        <v>2</v>
      </c>
      <c r="V1018">
        <v>155.87200000000001</v>
      </c>
      <c r="W1018">
        <v>0.72299999999999998</v>
      </c>
      <c r="X1018" t="s">
        <v>1409</v>
      </c>
      <c r="Y1018">
        <v>155</v>
      </c>
      <c r="Z1018">
        <v>70</v>
      </c>
      <c r="AA1018" t="s">
        <v>40</v>
      </c>
      <c r="AB1018">
        <v>67</v>
      </c>
      <c r="AC1018" s="23">
        <v>0.93</v>
      </c>
      <c r="AD1018" t="str">
        <f>IF(AND('CVD Dataset'!AA1018="Normal",'CVD Dataset'!AB1018&gt;AVERAGE('CVD Dataset'!AB:AB),'CVD Dataset'!AF1018="High"),"High Lipid Category","Normal Category")</f>
        <v>Normal Category</v>
      </c>
      <c r="AE1018">
        <v>20.542000000000002</v>
      </c>
      <c r="AF1018" t="s">
        <v>54</v>
      </c>
      <c r="AG1018">
        <v>0</v>
      </c>
      <c r="AH1018" t="s">
        <v>1380</v>
      </c>
      <c r="AI1018">
        <f t="shared" si="63"/>
        <v>0</v>
      </c>
      <c r="AJ1018" t="s">
        <v>1392</v>
      </c>
    </row>
    <row r="1019" spans="1:36" x14ac:dyDescent="0.3">
      <c r="A1019" t="s">
        <v>33</v>
      </c>
      <c r="B1019">
        <v>61</v>
      </c>
      <c r="C1019">
        <v>86.75</v>
      </c>
      <c r="D1019">
        <v>1.7569999999999999</v>
      </c>
      <c r="E1019">
        <v>24.963000000000001</v>
      </c>
      <c r="F1019">
        <f t="shared" si="61"/>
        <v>28.101270825309225</v>
      </c>
      <c r="G1019">
        <f t="shared" si="64"/>
        <v>1</v>
      </c>
      <c r="H1019" t="s">
        <v>1400</v>
      </c>
      <c r="I1019">
        <v>110.819</v>
      </c>
      <c r="J1019" t="s">
        <v>874</v>
      </c>
      <c r="K1019" s="24">
        <v>169</v>
      </c>
      <c r="L1019" s="24">
        <v>89</v>
      </c>
      <c r="M1019">
        <v>207</v>
      </c>
      <c r="N1019" t="s">
        <v>1432</v>
      </c>
      <c r="P1019">
        <v>115</v>
      </c>
      <c r="Q1019" t="s">
        <v>25</v>
      </c>
      <c r="R1019" t="s">
        <v>24</v>
      </c>
      <c r="S1019" t="s">
        <v>26</v>
      </c>
      <c r="T1019" t="s">
        <v>24</v>
      </c>
      <c r="U1019">
        <f t="shared" si="62"/>
        <v>2</v>
      </c>
      <c r="V1019">
        <v>175.69399999999999</v>
      </c>
      <c r="W1019">
        <v>0.63100000000000001</v>
      </c>
      <c r="X1019" t="s">
        <v>1409</v>
      </c>
      <c r="Y1019">
        <v>169</v>
      </c>
      <c r="Z1019">
        <v>89</v>
      </c>
      <c r="AA1019" t="s">
        <v>31</v>
      </c>
      <c r="AB1019">
        <v>124</v>
      </c>
      <c r="AC1019" s="23" t="s">
        <v>1410</v>
      </c>
      <c r="AD1019" t="str">
        <f>IF(AND('CVD Dataset'!AA1019="Normal",'CVD Dataset'!AB1019&gt;AVERAGE('CVD Dataset'!AB:AB),'CVD Dataset'!AF1019="High"),"High Lipid Category","Normal Category")</f>
        <v>Normal Category</v>
      </c>
      <c r="AE1019">
        <v>17.582999999999998</v>
      </c>
      <c r="AF1019" t="s">
        <v>54</v>
      </c>
      <c r="AG1019">
        <v>0</v>
      </c>
      <c r="AH1019" t="s">
        <v>1380</v>
      </c>
      <c r="AI1019">
        <f t="shared" si="63"/>
        <v>0</v>
      </c>
      <c r="AJ1019" t="s">
        <v>1391</v>
      </c>
    </row>
    <row r="1020" spans="1:36" x14ac:dyDescent="0.3">
      <c r="A1020" t="s">
        <v>33</v>
      </c>
      <c r="B1020">
        <v>76</v>
      </c>
      <c r="C1020">
        <v>58.598999999999997</v>
      </c>
      <c r="D1020">
        <v>1.5740000000000001</v>
      </c>
      <c r="E1020">
        <v>28.085999999999999</v>
      </c>
      <c r="F1020">
        <f t="shared" si="61"/>
        <v>23.652701378338271</v>
      </c>
      <c r="G1020">
        <f t="shared" si="64"/>
        <v>1</v>
      </c>
      <c r="H1020" t="s">
        <v>1400</v>
      </c>
      <c r="I1020">
        <v>93.554000000000002</v>
      </c>
      <c r="J1020" t="s">
        <v>875</v>
      </c>
      <c r="K1020" s="24">
        <v>154</v>
      </c>
      <c r="L1020" s="24">
        <v>62</v>
      </c>
      <c r="M1020">
        <v>197</v>
      </c>
      <c r="N1020" t="s">
        <v>1432</v>
      </c>
      <c r="O1020">
        <v>65</v>
      </c>
      <c r="P1020">
        <v>125</v>
      </c>
      <c r="Q1020" t="s">
        <v>24</v>
      </c>
      <c r="R1020" t="s">
        <v>25</v>
      </c>
      <c r="S1020" t="s">
        <v>39</v>
      </c>
      <c r="T1020" t="s">
        <v>24</v>
      </c>
      <c r="U1020">
        <f t="shared" si="62"/>
        <v>1</v>
      </c>
      <c r="V1020">
        <v>157.43899999999999</v>
      </c>
      <c r="W1020">
        <v>0.59399999999999997</v>
      </c>
      <c r="X1020" t="s">
        <v>1409</v>
      </c>
      <c r="Y1020">
        <v>154</v>
      </c>
      <c r="Z1020">
        <v>62</v>
      </c>
      <c r="AA1020" t="s">
        <v>40</v>
      </c>
      <c r="AB1020">
        <v>102</v>
      </c>
      <c r="AC1020" s="23">
        <v>1.57</v>
      </c>
      <c r="AD1020" t="str">
        <f>IF(AND('CVD Dataset'!AA1020="Normal",'CVD Dataset'!AB1020&gt;AVERAGE('CVD Dataset'!AB:AB),'CVD Dataset'!AF1020="High"),"High Lipid Category","Normal Category")</f>
        <v>Normal Category</v>
      </c>
      <c r="AE1020">
        <v>19.257000000000001</v>
      </c>
      <c r="AF1020" t="s">
        <v>28</v>
      </c>
      <c r="AG1020">
        <v>0</v>
      </c>
      <c r="AH1020" t="s">
        <v>1380</v>
      </c>
      <c r="AI1020">
        <f t="shared" si="63"/>
        <v>0</v>
      </c>
      <c r="AJ1020" t="s">
        <v>1392</v>
      </c>
    </row>
    <row r="1021" spans="1:36" x14ac:dyDescent="0.3">
      <c r="A1021" t="s">
        <v>33</v>
      </c>
      <c r="B1021">
        <v>25</v>
      </c>
      <c r="C1021">
        <v>61.902000000000001</v>
      </c>
      <c r="D1021">
        <v>1.5229999999999999</v>
      </c>
      <c r="E1021">
        <v>27.202999999999999</v>
      </c>
      <c r="F1021">
        <f t="shared" si="61"/>
        <v>26.687314536701205</v>
      </c>
      <c r="G1021">
        <f t="shared" si="64"/>
        <v>1</v>
      </c>
      <c r="H1021" t="s">
        <v>1400</v>
      </c>
      <c r="I1021">
        <v>108.373</v>
      </c>
      <c r="J1021" t="s">
        <v>876</v>
      </c>
      <c r="K1021" s="24">
        <v>163</v>
      </c>
      <c r="L1021" s="24">
        <v>73</v>
      </c>
      <c r="M1021">
        <v>200</v>
      </c>
      <c r="N1021" t="s">
        <v>1432</v>
      </c>
      <c r="O1021">
        <v>44</v>
      </c>
      <c r="P1021">
        <v>104</v>
      </c>
      <c r="Q1021" t="s">
        <v>25</v>
      </c>
      <c r="R1021" t="s">
        <v>25</v>
      </c>
      <c r="S1021" t="s">
        <v>30</v>
      </c>
      <c r="T1021" t="s">
        <v>24</v>
      </c>
      <c r="U1021">
        <f t="shared" si="62"/>
        <v>2</v>
      </c>
      <c r="V1021">
        <v>152.291</v>
      </c>
      <c r="W1021">
        <v>0.71199999999999997</v>
      </c>
      <c r="X1021" t="s">
        <v>1409</v>
      </c>
      <c r="Y1021">
        <v>163</v>
      </c>
      <c r="Z1021">
        <v>73</v>
      </c>
      <c r="AA1021" t="s">
        <v>40</v>
      </c>
      <c r="AB1021">
        <v>126</v>
      </c>
      <c r="AC1021" s="23">
        <v>2.86</v>
      </c>
      <c r="AD1021" t="str">
        <f>IF(AND('CVD Dataset'!AA1021="Normal",'CVD Dataset'!AB1021&gt;AVERAGE('CVD Dataset'!AB:AB),'CVD Dataset'!AF1021="High"),"High Lipid Category","Normal Category")</f>
        <v>Normal Category</v>
      </c>
      <c r="AE1021">
        <v>19.591000000000001</v>
      </c>
      <c r="AF1021" t="s">
        <v>54</v>
      </c>
      <c r="AG1021">
        <v>0</v>
      </c>
      <c r="AH1021" t="s">
        <v>1380</v>
      </c>
      <c r="AI1021">
        <f t="shared" si="63"/>
        <v>0</v>
      </c>
      <c r="AJ1021" t="s">
        <v>1391</v>
      </c>
    </row>
    <row r="1022" spans="1:36" x14ac:dyDescent="0.3">
      <c r="A1022" t="s">
        <v>22</v>
      </c>
      <c r="B1022">
        <v>39</v>
      </c>
      <c r="C1022">
        <v>90.147000000000006</v>
      </c>
      <c r="D1022">
        <v>1.7829999999999999</v>
      </c>
      <c r="E1022">
        <v>28.042999999999999</v>
      </c>
      <c r="F1022">
        <f t="shared" si="61"/>
        <v>28.356236645152119</v>
      </c>
      <c r="G1022">
        <f t="shared" si="64"/>
        <v>1</v>
      </c>
      <c r="H1022" t="s">
        <v>1400</v>
      </c>
      <c r="I1022">
        <v>111.875</v>
      </c>
      <c r="J1022" t="s">
        <v>877</v>
      </c>
      <c r="K1022" s="24">
        <v>161</v>
      </c>
      <c r="L1022" s="24">
        <v>114</v>
      </c>
      <c r="M1022">
        <v>249</v>
      </c>
      <c r="N1022" t="s">
        <v>1432</v>
      </c>
      <c r="O1022">
        <v>34</v>
      </c>
      <c r="P1022">
        <v>176</v>
      </c>
      <c r="Q1022" t="s">
        <v>24</v>
      </c>
      <c r="R1022" t="s">
        <v>25</v>
      </c>
      <c r="S1022" t="s">
        <v>26</v>
      </c>
      <c r="T1022" t="s">
        <v>24</v>
      </c>
      <c r="U1022">
        <f t="shared" si="62"/>
        <v>2</v>
      </c>
      <c r="V1022">
        <v>178.274</v>
      </c>
      <c r="W1022">
        <v>0.628</v>
      </c>
      <c r="X1022" t="s">
        <v>1409</v>
      </c>
      <c r="Y1022">
        <v>161</v>
      </c>
      <c r="Z1022">
        <v>114</v>
      </c>
      <c r="AA1022" t="s">
        <v>40</v>
      </c>
      <c r="AB1022">
        <v>185</v>
      </c>
      <c r="AC1022" s="23">
        <v>5.44</v>
      </c>
      <c r="AD1022" t="str">
        <f>IF(AND('CVD Dataset'!AA1022="Normal",'CVD Dataset'!AB1022&gt;AVERAGE('CVD Dataset'!AB:AB),'CVD Dataset'!AF1022="High"),"High Lipid Category","Normal Category")</f>
        <v>Normal Category</v>
      </c>
      <c r="AE1022">
        <v>20.638999999999999</v>
      </c>
      <c r="AF1022" t="s">
        <v>32</v>
      </c>
      <c r="AG1022">
        <v>0</v>
      </c>
      <c r="AH1022" t="s">
        <v>1379</v>
      </c>
      <c r="AI1022">
        <f t="shared" si="63"/>
        <v>1</v>
      </c>
      <c r="AJ1022" t="s">
        <v>1391</v>
      </c>
    </row>
    <row r="1023" spans="1:36" x14ac:dyDescent="0.3">
      <c r="A1023" t="s">
        <v>22</v>
      </c>
      <c r="B1023">
        <v>43</v>
      </c>
      <c r="C1023">
        <v>56.029000000000003</v>
      </c>
      <c r="D1023">
        <v>1.962</v>
      </c>
      <c r="E1023">
        <v>25.34</v>
      </c>
      <c r="F1023">
        <f t="shared" si="61"/>
        <v>14.555088994670399</v>
      </c>
      <c r="G1023">
        <f t="shared" si="64"/>
        <v>1</v>
      </c>
      <c r="H1023" t="s">
        <v>1400</v>
      </c>
      <c r="I1023">
        <v>78.28</v>
      </c>
      <c r="J1023" t="s">
        <v>878</v>
      </c>
      <c r="K1023" s="24">
        <v>163</v>
      </c>
      <c r="L1023" s="24">
        <v>91</v>
      </c>
      <c r="M1023">
        <v>138</v>
      </c>
      <c r="N1023" t="s">
        <v>1434</v>
      </c>
      <c r="O1023">
        <v>66</v>
      </c>
      <c r="P1023">
        <v>154</v>
      </c>
      <c r="Q1023" t="s">
        <v>24</v>
      </c>
      <c r="R1023" t="s">
        <v>25</v>
      </c>
      <c r="S1023" t="s">
        <v>30</v>
      </c>
      <c r="T1023" t="s">
        <v>25</v>
      </c>
      <c r="U1023">
        <f t="shared" si="62"/>
        <v>2</v>
      </c>
      <c r="V1023">
        <v>196.18899999999999</v>
      </c>
      <c r="W1023">
        <v>0.39900000000000002</v>
      </c>
      <c r="X1023" t="s">
        <v>1408</v>
      </c>
      <c r="Y1023">
        <v>163</v>
      </c>
      <c r="Z1023">
        <v>91</v>
      </c>
      <c r="AA1023" t="s">
        <v>40</v>
      </c>
      <c r="AB1023">
        <v>42</v>
      </c>
      <c r="AC1023" s="23">
        <v>0.64</v>
      </c>
      <c r="AD1023" t="str">
        <f>IF(AND('CVD Dataset'!AA1023="Normal",'CVD Dataset'!AB1023&gt;AVERAGE('CVD Dataset'!AB:AB),'CVD Dataset'!AF1023="High"),"High Lipid Category","Normal Category")</f>
        <v>Normal Category</v>
      </c>
      <c r="AE1023">
        <v>17.978000000000002</v>
      </c>
      <c r="AF1023" t="s">
        <v>32</v>
      </c>
      <c r="AG1023">
        <v>1</v>
      </c>
      <c r="AH1023" t="s">
        <v>1379</v>
      </c>
      <c r="AI1023">
        <f t="shared" si="63"/>
        <v>1</v>
      </c>
      <c r="AJ1023" t="s">
        <v>1391</v>
      </c>
    </row>
    <row r="1024" spans="1:36" x14ac:dyDescent="0.3">
      <c r="A1024" t="s">
        <v>22</v>
      </c>
      <c r="B1024">
        <v>34</v>
      </c>
      <c r="C1024">
        <v>102.547</v>
      </c>
      <c r="D1024">
        <v>1.9790000000000001</v>
      </c>
      <c r="E1024">
        <v>20.358000000000001</v>
      </c>
      <c r="F1024">
        <f t="shared" si="61"/>
        <v>26.183721393990101</v>
      </c>
      <c r="G1024">
        <f t="shared" si="64"/>
        <v>1</v>
      </c>
      <c r="H1024" t="s">
        <v>1398</v>
      </c>
      <c r="I1024">
        <v>115.742</v>
      </c>
      <c r="J1024" t="s">
        <v>620</v>
      </c>
      <c r="K1024" s="24">
        <v>148</v>
      </c>
      <c r="L1024" s="24">
        <v>98</v>
      </c>
      <c r="M1024">
        <v>266</v>
      </c>
      <c r="N1024" t="s">
        <v>1432</v>
      </c>
      <c r="O1024">
        <v>44</v>
      </c>
      <c r="P1024">
        <v>159</v>
      </c>
      <c r="Q1024" t="s">
        <v>25</v>
      </c>
      <c r="R1024" t="s">
        <v>24</v>
      </c>
      <c r="S1024" t="s">
        <v>26</v>
      </c>
      <c r="T1024" t="s">
        <v>25</v>
      </c>
      <c r="U1024">
        <f t="shared" si="62"/>
        <v>3</v>
      </c>
      <c r="V1024">
        <v>197.85900000000001</v>
      </c>
      <c r="W1024">
        <v>0.58499999999999996</v>
      </c>
      <c r="X1024" t="s">
        <v>1409</v>
      </c>
      <c r="Y1024">
        <v>148</v>
      </c>
      <c r="Z1024">
        <v>98</v>
      </c>
      <c r="AA1024" t="s">
        <v>40</v>
      </c>
      <c r="AB1024">
        <v>192</v>
      </c>
      <c r="AC1024" s="23">
        <v>4.3600000000000003</v>
      </c>
      <c r="AD1024" t="str">
        <f>IF(AND('CVD Dataset'!AA1024="Normal",'CVD Dataset'!AB1024&gt;AVERAGE('CVD Dataset'!AB:AB),'CVD Dataset'!AF1024="High"),"High Lipid Category","Normal Category")</f>
        <v>Normal Category</v>
      </c>
      <c r="AE1024">
        <v>16.792000000000002</v>
      </c>
      <c r="AF1024" t="s">
        <v>32</v>
      </c>
      <c r="AG1024">
        <v>0</v>
      </c>
      <c r="AH1024" t="s">
        <v>1379</v>
      </c>
      <c r="AI1024">
        <f t="shared" si="63"/>
        <v>1</v>
      </c>
      <c r="AJ1024" t="s">
        <v>1391</v>
      </c>
    </row>
    <row r="1025" spans="1:36" x14ac:dyDescent="0.3">
      <c r="A1025" t="s">
        <v>22</v>
      </c>
      <c r="B1025">
        <v>69</v>
      </c>
      <c r="C1025">
        <v>56.982999999999997</v>
      </c>
      <c r="D1025">
        <v>1.9450000000000001</v>
      </c>
      <c r="E1025">
        <v>25.004999999999999</v>
      </c>
      <c r="F1025">
        <f t="shared" si="61"/>
        <v>15.062813489205066</v>
      </c>
      <c r="G1025">
        <f t="shared" si="64"/>
        <v>1</v>
      </c>
      <c r="H1025" t="s">
        <v>1400</v>
      </c>
      <c r="I1025">
        <v>93.257000000000005</v>
      </c>
      <c r="J1025" t="s">
        <v>879</v>
      </c>
      <c r="K1025" s="24">
        <v>149</v>
      </c>
      <c r="L1025" s="24">
        <v>101</v>
      </c>
      <c r="M1025">
        <v>217</v>
      </c>
      <c r="N1025" t="s">
        <v>1432</v>
      </c>
      <c r="O1025">
        <v>48</v>
      </c>
      <c r="Q1025" t="s">
        <v>24</v>
      </c>
      <c r="R1025" t="s">
        <v>25</v>
      </c>
      <c r="S1025" t="s">
        <v>30</v>
      </c>
      <c r="T1025" t="s">
        <v>25</v>
      </c>
      <c r="U1025">
        <f t="shared" si="62"/>
        <v>2</v>
      </c>
      <c r="V1025">
        <v>194.524</v>
      </c>
      <c r="W1025">
        <v>0.47899999999999998</v>
      </c>
      <c r="X1025" t="s">
        <v>1406</v>
      </c>
      <c r="Y1025">
        <v>149</v>
      </c>
      <c r="AA1025" t="s">
        <v>40</v>
      </c>
      <c r="AB1025">
        <v>139</v>
      </c>
      <c r="AC1025" s="23">
        <v>2.9</v>
      </c>
      <c r="AD1025" t="str">
        <f>IF(AND('CVD Dataset'!AA1025="Normal",'CVD Dataset'!AB1025&gt;AVERAGE('CVD Dataset'!AB:AB),'CVD Dataset'!AF1025="High"),"High Lipid Category","Normal Category")</f>
        <v>Normal Category</v>
      </c>
      <c r="AE1025">
        <v>18.791</v>
      </c>
      <c r="AF1025" t="s">
        <v>54</v>
      </c>
      <c r="AG1025">
        <v>0</v>
      </c>
      <c r="AH1025" t="s">
        <v>1380</v>
      </c>
      <c r="AI1025">
        <f t="shared" si="63"/>
        <v>0</v>
      </c>
      <c r="AJ1025" t="s">
        <v>1392</v>
      </c>
    </row>
    <row r="1026" spans="1:36" x14ac:dyDescent="0.3">
      <c r="A1026" t="s">
        <v>22</v>
      </c>
      <c r="B1026">
        <v>49</v>
      </c>
      <c r="C1026">
        <v>116.55800000000001</v>
      </c>
      <c r="D1026">
        <v>1.665</v>
      </c>
      <c r="E1026">
        <v>25.079000000000001</v>
      </c>
      <c r="F1026">
        <f t="shared" si="61"/>
        <v>42.044927810693579</v>
      </c>
      <c r="G1026">
        <f t="shared" si="64"/>
        <v>1</v>
      </c>
      <c r="H1026" t="s">
        <v>1400</v>
      </c>
      <c r="I1026">
        <v>103.991</v>
      </c>
      <c r="J1026" t="s">
        <v>880</v>
      </c>
      <c r="K1026" s="24">
        <v>121</v>
      </c>
      <c r="L1026" s="24">
        <v>115</v>
      </c>
      <c r="M1026">
        <v>130</v>
      </c>
      <c r="N1026" t="s">
        <v>1434</v>
      </c>
      <c r="O1026">
        <v>39</v>
      </c>
      <c r="P1026">
        <v>189</v>
      </c>
      <c r="Q1026" t="s">
        <v>24</v>
      </c>
      <c r="R1026" t="s">
        <v>25</v>
      </c>
      <c r="S1026" t="s">
        <v>30</v>
      </c>
      <c r="T1026" t="s">
        <v>25</v>
      </c>
      <c r="U1026">
        <f t="shared" si="62"/>
        <v>2</v>
      </c>
      <c r="V1026">
        <v>166.524</v>
      </c>
      <c r="W1026">
        <v>0.624</v>
      </c>
      <c r="X1026" t="s">
        <v>1409</v>
      </c>
      <c r="Y1026">
        <v>121</v>
      </c>
      <c r="Z1026">
        <v>115</v>
      </c>
      <c r="AA1026" t="s">
        <v>40</v>
      </c>
      <c r="AB1026">
        <v>61</v>
      </c>
      <c r="AC1026" s="23">
        <v>1.56</v>
      </c>
      <c r="AD1026" t="str">
        <f>IF(AND('CVD Dataset'!AA1026="Normal",'CVD Dataset'!AB1026&gt;AVERAGE('CVD Dataset'!AB:AB),'CVD Dataset'!AF1026="High"),"High Lipid Category","Normal Category")</f>
        <v>Normal Category</v>
      </c>
      <c r="AE1026">
        <v>15.666</v>
      </c>
      <c r="AF1026" t="s">
        <v>28</v>
      </c>
      <c r="AG1026">
        <v>0</v>
      </c>
      <c r="AH1026" t="s">
        <v>1380</v>
      </c>
      <c r="AI1026">
        <f t="shared" si="63"/>
        <v>0</v>
      </c>
      <c r="AJ1026" t="s">
        <v>1391</v>
      </c>
    </row>
    <row r="1027" spans="1:36" x14ac:dyDescent="0.3">
      <c r="A1027" t="s">
        <v>22</v>
      </c>
      <c r="B1027">
        <v>51</v>
      </c>
      <c r="C1027">
        <v>75.849999999999994</v>
      </c>
      <c r="D1027">
        <v>1.831</v>
      </c>
      <c r="E1027">
        <v>38.493000000000002</v>
      </c>
      <c r="F1027">
        <f t="shared" ref="F1027:F1090" si="65">IFERROR(C1027/POWER(D1027,2),"")</f>
        <v>22.62449512477178</v>
      </c>
      <c r="G1027">
        <f t="shared" si="64"/>
        <v>1</v>
      </c>
      <c r="H1027" t="s">
        <v>1399</v>
      </c>
      <c r="I1027">
        <v>89.087999999999994</v>
      </c>
      <c r="J1027" t="s">
        <v>881</v>
      </c>
      <c r="K1027" s="24">
        <v>131</v>
      </c>
      <c r="L1027" s="24">
        <v>92</v>
      </c>
      <c r="N1027" t="s">
        <v>1434</v>
      </c>
      <c r="O1027">
        <v>69</v>
      </c>
      <c r="P1027">
        <v>175</v>
      </c>
      <c r="Q1027" t="s">
        <v>24</v>
      </c>
      <c r="R1027" t="s">
        <v>24</v>
      </c>
      <c r="S1027" t="s">
        <v>39</v>
      </c>
      <c r="T1027" t="s">
        <v>24</v>
      </c>
      <c r="U1027">
        <f t="shared" ref="U1027:U1090" si="66">SUM(IF(Q1027="Y",1,0),IF(R1027="Y",1,0),IF(S1027="Low",1,0),IF(T1027="Y",1,0))</f>
        <v>0</v>
      </c>
      <c r="V1027">
        <v>183.089</v>
      </c>
      <c r="W1027">
        <v>0.48699999999999999</v>
      </c>
      <c r="X1027" t="s">
        <v>1406</v>
      </c>
      <c r="Y1027">
        <v>131</v>
      </c>
      <c r="Z1027">
        <v>92</v>
      </c>
      <c r="AA1027" t="s">
        <v>31</v>
      </c>
      <c r="AB1027">
        <v>50</v>
      </c>
      <c r="AC1027" s="23">
        <v>0.72</v>
      </c>
      <c r="AD1027" t="str">
        <f>IF(AND('CVD Dataset'!AA1027="Normal",'CVD Dataset'!AB1027&gt;AVERAGE('CVD Dataset'!AB:AB),'CVD Dataset'!AF1027="High"),"High Lipid Category","Normal Category")</f>
        <v>Normal Category</v>
      </c>
      <c r="AE1027">
        <v>17.228999999999999</v>
      </c>
      <c r="AF1027" t="s">
        <v>28</v>
      </c>
      <c r="AG1027">
        <v>0</v>
      </c>
      <c r="AH1027" t="s">
        <v>1380</v>
      </c>
      <c r="AI1027">
        <f t="shared" ref="AI1027:AI1090" si="67">IF(AF1027="HIGH",1,0)</f>
        <v>0</v>
      </c>
      <c r="AJ1027" t="s">
        <v>1391</v>
      </c>
    </row>
    <row r="1028" spans="1:36" x14ac:dyDescent="0.3">
      <c r="A1028" t="s">
        <v>22</v>
      </c>
      <c r="B1028">
        <v>44</v>
      </c>
      <c r="C1028">
        <v>80.807000000000002</v>
      </c>
      <c r="D1028">
        <v>1.6990000000000001</v>
      </c>
      <c r="E1028">
        <v>35.97</v>
      </c>
      <c r="F1028">
        <f t="shared" si="65"/>
        <v>27.993823877979672</v>
      </c>
      <c r="G1028">
        <f t="shared" si="64"/>
        <v>1</v>
      </c>
      <c r="H1028" t="s">
        <v>1399</v>
      </c>
      <c r="I1028">
        <v>102.551</v>
      </c>
      <c r="J1028" t="s">
        <v>882</v>
      </c>
      <c r="K1028" s="24">
        <v>108</v>
      </c>
      <c r="L1028" s="24">
        <v>115</v>
      </c>
      <c r="M1028">
        <v>228</v>
      </c>
      <c r="N1028" t="s">
        <v>1432</v>
      </c>
      <c r="O1028">
        <v>86</v>
      </c>
      <c r="P1028">
        <v>149</v>
      </c>
      <c r="Q1028" t="s">
        <v>24</v>
      </c>
      <c r="R1028" t="s">
        <v>24</v>
      </c>
      <c r="S1028" t="s">
        <v>30</v>
      </c>
      <c r="T1028" t="s">
        <v>25</v>
      </c>
      <c r="U1028">
        <f t="shared" si="66"/>
        <v>1</v>
      </c>
      <c r="V1028">
        <v>169.90199999999999</v>
      </c>
      <c r="W1028">
        <v>0.60399999999999998</v>
      </c>
      <c r="X1028" t="s">
        <v>1409</v>
      </c>
      <c r="Y1028">
        <v>108</v>
      </c>
      <c r="AA1028" t="s">
        <v>40</v>
      </c>
      <c r="AB1028">
        <v>112</v>
      </c>
      <c r="AC1028" s="23">
        <v>1.3</v>
      </c>
      <c r="AD1028" t="str">
        <f>IF(AND('CVD Dataset'!AA1028="Normal",'CVD Dataset'!AB1028&gt;AVERAGE('CVD Dataset'!AB:AB),'CVD Dataset'!AF1028="High"),"High Lipid Category","Normal Category")</f>
        <v>Normal Category</v>
      </c>
      <c r="AE1028">
        <v>17.154</v>
      </c>
      <c r="AF1028" t="s">
        <v>28</v>
      </c>
      <c r="AG1028">
        <v>0</v>
      </c>
      <c r="AH1028" t="s">
        <v>1380</v>
      </c>
      <c r="AI1028">
        <f t="shared" si="67"/>
        <v>0</v>
      </c>
      <c r="AJ1028" t="s">
        <v>1391</v>
      </c>
    </row>
    <row r="1029" spans="1:36" x14ac:dyDescent="0.3">
      <c r="A1029" t="s">
        <v>33</v>
      </c>
      <c r="B1029">
        <v>64</v>
      </c>
      <c r="D1029">
        <v>1.9239999999999999</v>
      </c>
      <c r="E1029">
        <v>35.881</v>
      </c>
      <c r="F1029">
        <f t="shared" si="65"/>
        <v>0</v>
      </c>
      <c r="G1029">
        <f t="shared" si="64"/>
        <v>1</v>
      </c>
      <c r="H1029" t="s">
        <v>1399</v>
      </c>
      <c r="I1029">
        <v>97.462000000000003</v>
      </c>
      <c r="J1029" t="s">
        <v>883</v>
      </c>
      <c r="K1029" s="24">
        <v>102</v>
      </c>
      <c r="L1029" s="24">
        <v>102</v>
      </c>
      <c r="M1029">
        <v>198</v>
      </c>
      <c r="N1029" t="s">
        <v>1432</v>
      </c>
      <c r="O1029">
        <v>55</v>
      </c>
      <c r="P1029">
        <v>149</v>
      </c>
      <c r="Q1029" t="s">
        <v>25</v>
      </c>
      <c r="R1029" t="s">
        <v>24</v>
      </c>
      <c r="S1029" t="s">
        <v>26</v>
      </c>
      <c r="T1029" t="s">
        <v>24</v>
      </c>
      <c r="U1029">
        <f t="shared" si="66"/>
        <v>2</v>
      </c>
      <c r="V1029">
        <v>192.375</v>
      </c>
      <c r="W1029">
        <v>0.50700000000000001</v>
      </c>
      <c r="X1029" t="s">
        <v>1406</v>
      </c>
      <c r="Y1029">
        <v>102</v>
      </c>
      <c r="Z1029">
        <v>102</v>
      </c>
      <c r="AA1029" t="s">
        <v>40</v>
      </c>
      <c r="AB1029">
        <v>113</v>
      </c>
      <c r="AC1029" s="23">
        <v>2.0499999999999998</v>
      </c>
      <c r="AD1029" t="str">
        <f>IF(AND('CVD Dataset'!AA1029="Normal",'CVD Dataset'!AB1029&gt;AVERAGE('CVD Dataset'!AB:AB),'CVD Dataset'!AF1029="High"),"High Lipid Category","Normal Category")</f>
        <v>Normal Category</v>
      </c>
      <c r="AE1029">
        <v>16.236000000000001</v>
      </c>
      <c r="AF1029" t="s">
        <v>32</v>
      </c>
      <c r="AG1029">
        <v>0</v>
      </c>
      <c r="AH1029" t="s">
        <v>1379</v>
      </c>
      <c r="AI1029">
        <f t="shared" si="67"/>
        <v>1</v>
      </c>
      <c r="AJ1029" t="s">
        <v>1391</v>
      </c>
    </row>
    <row r="1030" spans="1:36" x14ac:dyDescent="0.3">
      <c r="A1030" t="s">
        <v>22</v>
      </c>
      <c r="B1030">
        <v>72</v>
      </c>
      <c r="C1030">
        <v>57.835999999999999</v>
      </c>
      <c r="D1030">
        <v>1.554</v>
      </c>
      <c r="E1030">
        <v>24.007999999999999</v>
      </c>
      <c r="F1030">
        <f t="shared" si="65"/>
        <v>23.949487269950588</v>
      </c>
      <c r="G1030">
        <f t="shared" si="64"/>
        <v>0</v>
      </c>
      <c r="H1030" t="s">
        <v>1398</v>
      </c>
      <c r="I1030">
        <v>115.565</v>
      </c>
      <c r="J1030" t="s">
        <v>884</v>
      </c>
      <c r="K1030" s="24">
        <v>157</v>
      </c>
      <c r="L1030" s="24">
        <v>75</v>
      </c>
      <c r="M1030">
        <v>211</v>
      </c>
      <c r="N1030" t="s">
        <v>1432</v>
      </c>
      <c r="O1030">
        <v>81</v>
      </c>
      <c r="P1030">
        <v>85</v>
      </c>
      <c r="Q1030" t="s">
        <v>24</v>
      </c>
      <c r="R1030" t="s">
        <v>24</v>
      </c>
      <c r="S1030" t="s">
        <v>39</v>
      </c>
      <c r="T1030" t="s">
        <v>24</v>
      </c>
      <c r="U1030">
        <f t="shared" si="66"/>
        <v>0</v>
      </c>
      <c r="V1030">
        <v>155.404</v>
      </c>
      <c r="W1030">
        <v>0.74399999999999999</v>
      </c>
      <c r="X1030" t="s">
        <v>1409</v>
      </c>
      <c r="Y1030">
        <v>157</v>
      </c>
      <c r="Z1030">
        <v>75</v>
      </c>
      <c r="AA1030" t="s">
        <v>40</v>
      </c>
      <c r="AB1030">
        <v>100</v>
      </c>
      <c r="AC1030" s="23">
        <v>1.23</v>
      </c>
      <c r="AD1030" t="str">
        <f>IF(AND('CVD Dataset'!AA1030="Normal",'CVD Dataset'!AB1030&gt;AVERAGE('CVD Dataset'!AB:AB),'CVD Dataset'!AF1030="High"),"High Lipid Category","Normal Category")</f>
        <v>Normal Category</v>
      </c>
      <c r="AE1030">
        <v>16.872</v>
      </c>
      <c r="AF1030" t="s">
        <v>28</v>
      </c>
      <c r="AG1030">
        <v>0</v>
      </c>
      <c r="AH1030" t="s">
        <v>1380</v>
      </c>
      <c r="AI1030">
        <f t="shared" si="67"/>
        <v>0</v>
      </c>
      <c r="AJ1030" t="s">
        <v>1391</v>
      </c>
    </row>
    <row r="1031" spans="1:36" x14ac:dyDescent="0.3">
      <c r="A1031" t="s">
        <v>33</v>
      </c>
      <c r="B1031">
        <v>34</v>
      </c>
      <c r="C1031">
        <v>87.111000000000004</v>
      </c>
      <c r="D1031">
        <v>1.552</v>
      </c>
      <c r="E1031">
        <v>37.164999999999999</v>
      </c>
      <c r="F1031">
        <f t="shared" si="65"/>
        <v>36.16509126899777</v>
      </c>
      <c r="G1031">
        <f t="shared" si="64"/>
        <v>1</v>
      </c>
      <c r="H1031" t="s">
        <v>1399</v>
      </c>
      <c r="I1031">
        <v>96.013000000000005</v>
      </c>
      <c r="J1031" t="s">
        <v>885</v>
      </c>
      <c r="K1031" s="24">
        <v>171</v>
      </c>
      <c r="L1031" s="24">
        <v>99</v>
      </c>
      <c r="M1031">
        <v>218</v>
      </c>
      <c r="N1031" t="s">
        <v>1432</v>
      </c>
      <c r="O1031">
        <v>63</v>
      </c>
      <c r="P1031">
        <v>157</v>
      </c>
      <c r="Q1031" t="s">
        <v>25</v>
      </c>
      <c r="R1031" t="s">
        <v>24</v>
      </c>
      <c r="S1031" t="s">
        <v>39</v>
      </c>
      <c r="T1031" t="s">
        <v>24</v>
      </c>
      <c r="U1031">
        <f t="shared" si="66"/>
        <v>1</v>
      </c>
      <c r="W1031">
        <v>0.61899999999999999</v>
      </c>
      <c r="X1031" t="s">
        <v>1409</v>
      </c>
      <c r="Y1031">
        <v>171</v>
      </c>
      <c r="Z1031">
        <v>99</v>
      </c>
      <c r="AA1031" t="s">
        <v>40</v>
      </c>
      <c r="AB1031">
        <v>125</v>
      </c>
      <c r="AC1031" s="23">
        <v>1.98</v>
      </c>
      <c r="AD1031" t="str">
        <f>IF(AND('CVD Dataset'!AA1031="Normal",'CVD Dataset'!AB1031&gt;AVERAGE('CVD Dataset'!AB:AB),'CVD Dataset'!AF1031="High"),"High Lipid Category","Normal Category")</f>
        <v>Normal Category</v>
      </c>
      <c r="AE1031">
        <v>20.343</v>
      </c>
      <c r="AF1031" t="s">
        <v>32</v>
      </c>
      <c r="AG1031">
        <v>1</v>
      </c>
      <c r="AH1031" t="s">
        <v>1379</v>
      </c>
      <c r="AI1031">
        <f t="shared" si="67"/>
        <v>1</v>
      </c>
      <c r="AJ1031" t="s">
        <v>1391</v>
      </c>
    </row>
    <row r="1032" spans="1:36" x14ac:dyDescent="0.3">
      <c r="A1032" t="s">
        <v>22</v>
      </c>
      <c r="B1032">
        <v>60</v>
      </c>
      <c r="C1032">
        <v>60.755000000000003</v>
      </c>
      <c r="D1032">
        <v>1.675</v>
      </c>
      <c r="E1032">
        <v>25.623999999999999</v>
      </c>
      <c r="F1032">
        <f t="shared" si="65"/>
        <v>21.654711517041658</v>
      </c>
      <c r="G1032">
        <f t="shared" si="64"/>
        <v>1</v>
      </c>
      <c r="H1032" t="s">
        <v>1400</v>
      </c>
      <c r="I1032">
        <v>82.403000000000006</v>
      </c>
      <c r="J1032" t="s">
        <v>886</v>
      </c>
      <c r="K1032" s="24">
        <v>143</v>
      </c>
      <c r="L1032" s="24">
        <v>96</v>
      </c>
      <c r="M1032">
        <v>185</v>
      </c>
      <c r="N1032" t="s">
        <v>1432</v>
      </c>
      <c r="O1032">
        <v>42</v>
      </c>
      <c r="P1032">
        <v>184</v>
      </c>
      <c r="Q1032" t="s">
        <v>25</v>
      </c>
      <c r="R1032" t="s">
        <v>25</v>
      </c>
      <c r="S1032" t="s">
        <v>26</v>
      </c>
      <c r="T1032" t="s">
        <v>25</v>
      </c>
      <c r="U1032">
        <f t="shared" si="66"/>
        <v>4</v>
      </c>
      <c r="V1032">
        <v>167.46199999999999</v>
      </c>
      <c r="W1032">
        <v>0.49199999999999999</v>
      </c>
      <c r="X1032" t="s">
        <v>1406</v>
      </c>
      <c r="Y1032">
        <v>143</v>
      </c>
      <c r="Z1032">
        <v>96</v>
      </c>
      <c r="AA1032" t="s">
        <v>40</v>
      </c>
      <c r="AB1032">
        <v>113</v>
      </c>
      <c r="AC1032" s="23">
        <v>2.69</v>
      </c>
      <c r="AD1032" t="str">
        <f>IF(AND('CVD Dataset'!AA1032="Normal",'CVD Dataset'!AB1032&gt;AVERAGE('CVD Dataset'!AB:AB),'CVD Dataset'!AF1032="High"),"High Lipid Category","Normal Category")</f>
        <v>Normal Category</v>
      </c>
      <c r="AE1032">
        <v>17.975000000000001</v>
      </c>
      <c r="AF1032" t="s">
        <v>28</v>
      </c>
      <c r="AG1032">
        <v>0</v>
      </c>
      <c r="AH1032" t="s">
        <v>1380</v>
      </c>
      <c r="AI1032">
        <f t="shared" si="67"/>
        <v>0</v>
      </c>
      <c r="AJ1032" t="s">
        <v>1392</v>
      </c>
    </row>
    <row r="1033" spans="1:36" x14ac:dyDescent="0.3">
      <c r="A1033" t="s">
        <v>22</v>
      </c>
      <c r="B1033">
        <v>59</v>
      </c>
      <c r="C1033">
        <v>55.807000000000002</v>
      </c>
      <c r="D1033">
        <v>1.881</v>
      </c>
      <c r="E1033">
        <v>35.554000000000002</v>
      </c>
      <c r="F1033">
        <f t="shared" si="65"/>
        <v>15.772883144661874</v>
      </c>
      <c r="G1033">
        <f t="shared" si="64"/>
        <v>1</v>
      </c>
      <c r="H1033" t="s">
        <v>1399</v>
      </c>
      <c r="I1033">
        <v>87.524000000000001</v>
      </c>
      <c r="J1033" t="s">
        <v>761</v>
      </c>
      <c r="K1033" s="24">
        <v>118</v>
      </c>
      <c r="L1033" s="24">
        <v>67</v>
      </c>
      <c r="M1033">
        <v>134</v>
      </c>
      <c r="N1033" t="s">
        <v>1434</v>
      </c>
      <c r="O1033">
        <v>78</v>
      </c>
      <c r="P1033">
        <v>176</v>
      </c>
      <c r="Q1033" t="s">
        <v>24</v>
      </c>
      <c r="R1033" t="s">
        <v>25</v>
      </c>
      <c r="S1033" t="s">
        <v>26</v>
      </c>
      <c r="T1033" t="s">
        <v>24</v>
      </c>
      <c r="U1033">
        <f t="shared" si="66"/>
        <v>2</v>
      </c>
      <c r="V1033">
        <v>188.107</v>
      </c>
      <c r="W1033">
        <v>0.46500000000000002</v>
      </c>
      <c r="X1033" t="s">
        <v>1406</v>
      </c>
      <c r="Y1033">
        <v>118</v>
      </c>
      <c r="Z1033">
        <v>67</v>
      </c>
      <c r="AA1033" t="s">
        <v>35</v>
      </c>
      <c r="AB1033">
        <v>26</v>
      </c>
      <c r="AC1033" s="23">
        <v>0.33</v>
      </c>
      <c r="AD1033" t="str">
        <f>IF(AND('CVD Dataset'!AA1033="Normal",'CVD Dataset'!AB1033&gt;AVERAGE('CVD Dataset'!AB:AB),'CVD Dataset'!AF1033="High"),"High Lipid Category","Normal Category")</f>
        <v>Normal Category</v>
      </c>
      <c r="AE1033">
        <v>17.690999999999999</v>
      </c>
      <c r="AF1033" t="s">
        <v>54</v>
      </c>
      <c r="AG1033">
        <v>0</v>
      </c>
      <c r="AH1033" t="s">
        <v>1380</v>
      </c>
      <c r="AI1033">
        <f t="shared" si="67"/>
        <v>0</v>
      </c>
      <c r="AJ1033" t="s">
        <v>1391</v>
      </c>
    </row>
    <row r="1034" spans="1:36" x14ac:dyDescent="0.3">
      <c r="A1034" t="s">
        <v>33</v>
      </c>
      <c r="B1034">
        <v>60</v>
      </c>
      <c r="C1034">
        <v>78.113</v>
      </c>
      <c r="D1034">
        <v>1.915</v>
      </c>
      <c r="E1034">
        <v>30.027999999999999</v>
      </c>
      <c r="F1034">
        <f t="shared" si="65"/>
        <v>21.30030199946826</v>
      </c>
      <c r="G1034">
        <f t="shared" si="64"/>
        <v>1</v>
      </c>
      <c r="H1034" t="s">
        <v>1399</v>
      </c>
      <c r="I1034">
        <v>102.369</v>
      </c>
      <c r="J1034" t="s">
        <v>887</v>
      </c>
      <c r="K1034" s="24">
        <v>124</v>
      </c>
      <c r="L1034" s="24">
        <v>110</v>
      </c>
      <c r="M1034">
        <v>277</v>
      </c>
      <c r="N1034" t="s">
        <v>1432</v>
      </c>
      <c r="O1034">
        <v>85</v>
      </c>
      <c r="P1034">
        <v>116</v>
      </c>
      <c r="Q1034" t="s">
        <v>24</v>
      </c>
      <c r="R1034" t="s">
        <v>25</v>
      </c>
      <c r="S1034" t="s">
        <v>39</v>
      </c>
      <c r="T1034" t="s">
        <v>25</v>
      </c>
      <c r="U1034">
        <f t="shared" si="66"/>
        <v>2</v>
      </c>
      <c r="V1034">
        <v>191.535</v>
      </c>
      <c r="W1034">
        <v>0.53400000000000003</v>
      </c>
      <c r="X1034" t="s">
        <v>1407</v>
      </c>
      <c r="Y1034">
        <v>124</v>
      </c>
      <c r="Z1034">
        <v>110</v>
      </c>
      <c r="AA1034" t="s">
        <v>40</v>
      </c>
      <c r="AB1034">
        <v>162</v>
      </c>
      <c r="AC1034" s="23">
        <v>1.91</v>
      </c>
      <c r="AD1034" t="str">
        <f>IF(AND('CVD Dataset'!AA1034="Normal",'CVD Dataset'!AB1034&gt;AVERAGE('CVD Dataset'!AB:AB),'CVD Dataset'!AF1034="High"),"High Lipid Category","Normal Category")</f>
        <v>Normal Category</v>
      </c>
      <c r="AE1034">
        <v>19.745999999999999</v>
      </c>
      <c r="AF1034" t="s">
        <v>32</v>
      </c>
      <c r="AG1034">
        <v>1</v>
      </c>
      <c r="AH1034" t="s">
        <v>1379</v>
      </c>
      <c r="AI1034">
        <f t="shared" si="67"/>
        <v>1</v>
      </c>
      <c r="AJ1034" t="s">
        <v>1392</v>
      </c>
    </row>
    <row r="1035" spans="1:36" x14ac:dyDescent="0.3">
      <c r="A1035" t="s">
        <v>22</v>
      </c>
      <c r="B1035">
        <v>32</v>
      </c>
      <c r="C1035">
        <v>53.08</v>
      </c>
      <c r="D1035">
        <v>1.5960000000000001</v>
      </c>
      <c r="E1035">
        <v>38.350999999999999</v>
      </c>
      <c r="F1035">
        <f t="shared" si="65"/>
        <v>20.838436944491551</v>
      </c>
      <c r="G1035">
        <f t="shared" si="64"/>
        <v>1</v>
      </c>
      <c r="H1035" t="s">
        <v>1399</v>
      </c>
      <c r="I1035">
        <v>78.852000000000004</v>
      </c>
      <c r="J1035" t="s">
        <v>888</v>
      </c>
      <c r="K1035" s="24">
        <v>167</v>
      </c>
      <c r="L1035" s="24">
        <v>83</v>
      </c>
      <c r="M1035">
        <v>184</v>
      </c>
      <c r="N1035" t="s">
        <v>1432</v>
      </c>
      <c r="O1035">
        <v>85</v>
      </c>
      <c r="P1035">
        <v>95</v>
      </c>
      <c r="Q1035" t="s">
        <v>25</v>
      </c>
      <c r="R1035" t="s">
        <v>25</v>
      </c>
      <c r="S1035" t="s">
        <v>30</v>
      </c>
      <c r="T1035" t="s">
        <v>25</v>
      </c>
      <c r="U1035">
        <f t="shared" si="66"/>
        <v>3</v>
      </c>
      <c r="V1035">
        <v>159.614</v>
      </c>
      <c r="W1035">
        <v>0.49399999999999999</v>
      </c>
      <c r="X1035" t="s">
        <v>1406</v>
      </c>
      <c r="Y1035">
        <v>167</v>
      </c>
      <c r="Z1035">
        <v>83</v>
      </c>
      <c r="AA1035" t="s">
        <v>31</v>
      </c>
      <c r="AB1035">
        <v>69</v>
      </c>
      <c r="AC1035" s="23">
        <v>0.81</v>
      </c>
      <c r="AD1035" t="str">
        <f>IF(AND('CVD Dataset'!AA1035="Normal",'CVD Dataset'!AB1035&gt;AVERAGE('CVD Dataset'!AB:AB),'CVD Dataset'!AF1035="High"),"High Lipid Category","Normal Category")</f>
        <v>Normal Category</v>
      </c>
      <c r="AF1035" t="s">
        <v>54</v>
      </c>
      <c r="AG1035">
        <v>0</v>
      </c>
      <c r="AH1035" t="s">
        <v>1380</v>
      </c>
      <c r="AI1035">
        <f t="shared" si="67"/>
        <v>0</v>
      </c>
      <c r="AJ1035" t="s">
        <v>1391</v>
      </c>
    </row>
    <row r="1036" spans="1:36" x14ac:dyDescent="0.3">
      <c r="A1036" t="s">
        <v>33</v>
      </c>
      <c r="B1036">
        <v>70</v>
      </c>
      <c r="C1036">
        <v>116.129</v>
      </c>
      <c r="D1036">
        <v>1.859</v>
      </c>
      <c r="E1036">
        <v>28.103000000000002</v>
      </c>
      <c r="F1036">
        <f t="shared" si="65"/>
        <v>33.603298261716773</v>
      </c>
      <c r="G1036">
        <f t="shared" si="64"/>
        <v>1</v>
      </c>
      <c r="H1036" t="s">
        <v>1400</v>
      </c>
      <c r="I1036">
        <v>114.06100000000001</v>
      </c>
      <c r="J1036" t="s">
        <v>889</v>
      </c>
      <c r="K1036" s="24">
        <v>125</v>
      </c>
      <c r="L1036" s="24">
        <v>93</v>
      </c>
      <c r="M1036">
        <v>285</v>
      </c>
      <c r="N1036" t="s">
        <v>1432</v>
      </c>
      <c r="O1036">
        <v>67</v>
      </c>
      <c r="P1036">
        <v>92</v>
      </c>
      <c r="Q1036" t="s">
        <v>25</v>
      </c>
      <c r="R1036" t="s">
        <v>24</v>
      </c>
      <c r="S1036" t="s">
        <v>26</v>
      </c>
      <c r="T1036" t="s">
        <v>24</v>
      </c>
      <c r="U1036">
        <f t="shared" si="66"/>
        <v>2</v>
      </c>
      <c r="V1036">
        <v>185.94300000000001</v>
      </c>
      <c r="W1036">
        <v>0.61299999999999999</v>
      </c>
      <c r="X1036" t="s">
        <v>1409</v>
      </c>
      <c r="Y1036">
        <v>125</v>
      </c>
      <c r="Z1036">
        <v>93</v>
      </c>
      <c r="AA1036" t="s">
        <v>40</v>
      </c>
      <c r="AB1036">
        <v>188</v>
      </c>
      <c r="AC1036" s="23">
        <v>2.81</v>
      </c>
      <c r="AD1036" t="str">
        <f>IF(AND('CVD Dataset'!AA1036="Normal",'CVD Dataset'!AB1036&gt;AVERAGE('CVD Dataset'!AB:AB),'CVD Dataset'!AF1036="High"),"High Lipid Category","Normal Category")</f>
        <v>Normal Category</v>
      </c>
      <c r="AE1036">
        <v>17.571000000000002</v>
      </c>
      <c r="AF1036" t="s">
        <v>32</v>
      </c>
      <c r="AG1036">
        <v>1</v>
      </c>
      <c r="AH1036" t="s">
        <v>1379</v>
      </c>
      <c r="AI1036">
        <f t="shared" si="67"/>
        <v>1</v>
      </c>
      <c r="AJ1036" t="s">
        <v>1391</v>
      </c>
    </row>
    <row r="1037" spans="1:36" x14ac:dyDescent="0.3">
      <c r="A1037" t="s">
        <v>33</v>
      </c>
      <c r="B1037">
        <v>41</v>
      </c>
      <c r="C1037">
        <v>112.71599999999999</v>
      </c>
      <c r="D1037">
        <v>1.77</v>
      </c>
      <c r="E1037">
        <v>38.307000000000002</v>
      </c>
      <c r="F1037">
        <f t="shared" si="65"/>
        <v>35.978167193335246</v>
      </c>
      <c r="G1037">
        <f t="shared" si="64"/>
        <v>1</v>
      </c>
      <c r="H1037" t="s">
        <v>1399</v>
      </c>
      <c r="I1037">
        <v>74.33</v>
      </c>
      <c r="J1037" t="s">
        <v>890</v>
      </c>
      <c r="K1037" s="24">
        <v>153</v>
      </c>
      <c r="L1037" s="24">
        <v>95</v>
      </c>
      <c r="M1037">
        <v>259</v>
      </c>
      <c r="N1037" t="s">
        <v>1432</v>
      </c>
      <c r="P1037">
        <v>70</v>
      </c>
      <c r="Q1037" t="s">
        <v>25</v>
      </c>
      <c r="R1037" t="s">
        <v>24</v>
      </c>
      <c r="S1037" t="s">
        <v>39</v>
      </c>
      <c r="T1037" t="s">
        <v>25</v>
      </c>
      <c r="U1037">
        <f t="shared" si="66"/>
        <v>2</v>
      </c>
      <c r="V1037">
        <v>177.02699999999999</v>
      </c>
      <c r="W1037">
        <v>0.42</v>
      </c>
      <c r="X1037" t="s">
        <v>1408</v>
      </c>
      <c r="Y1037">
        <v>153</v>
      </c>
      <c r="Z1037">
        <v>95</v>
      </c>
      <c r="AA1037" t="s">
        <v>40</v>
      </c>
      <c r="AB1037">
        <v>175</v>
      </c>
      <c r="AC1037" s="23" t="s">
        <v>1410</v>
      </c>
      <c r="AD1037" t="str">
        <f>IF(AND('CVD Dataset'!AA1037="Normal",'CVD Dataset'!AB1037&gt;AVERAGE('CVD Dataset'!AB:AB),'CVD Dataset'!AF1037="High"),"High Lipid Category","Normal Category")</f>
        <v>Normal Category</v>
      </c>
      <c r="AE1037">
        <v>20.491</v>
      </c>
      <c r="AF1037" t="s">
        <v>54</v>
      </c>
      <c r="AG1037">
        <v>0</v>
      </c>
      <c r="AH1037" t="s">
        <v>1380</v>
      </c>
      <c r="AI1037">
        <f t="shared" si="67"/>
        <v>0</v>
      </c>
      <c r="AJ1037" t="s">
        <v>1391</v>
      </c>
    </row>
    <row r="1038" spans="1:36" x14ac:dyDescent="0.3">
      <c r="A1038" t="s">
        <v>22</v>
      </c>
      <c r="B1038">
        <v>79</v>
      </c>
      <c r="C1038">
        <v>103.35899999999999</v>
      </c>
      <c r="D1038">
        <v>1.9430000000000001</v>
      </c>
      <c r="E1038">
        <v>28.356999999999999</v>
      </c>
      <c r="F1038">
        <f t="shared" si="65"/>
        <v>27.378061685467632</v>
      </c>
      <c r="G1038">
        <f t="shared" si="64"/>
        <v>1</v>
      </c>
      <c r="H1038" t="s">
        <v>1400</v>
      </c>
      <c r="I1038">
        <v>95.531000000000006</v>
      </c>
      <c r="J1038" t="s">
        <v>891</v>
      </c>
      <c r="K1038" s="24">
        <v>162</v>
      </c>
      <c r="L1038" s="24">
        <v>114</v>
      </c>
      <c r="M1038">
        <v>190</v>
      </c>
      <c r="N1038" t="s">
        <v>1432</v>
      </c>
      <c r="O1038">
        <v>35</v>
      </c>
      <c r="P1038">
        <v>84</v>
      </c>
      <c r="Q1038" t="s">
        <v>25</v>
      </c>
      <c r="R1038" t="s">
        <v>24</v>
      </c>
      <c r="S1038" t="s">
        <v>39</v>
      </c>
      <c r="T1038" t="s">
        <v>25</v>
      </c>
      <c r="U1038">
        <f t="shared" si="66"/>
        <v>2</v>
      </c>
      <c r="V1038">
        <v>194.298</v>
      </c>
      <c r="W1038">
        <v>0.49199999999999999</v>
      </c>
      <c r="X1038" t="s">
        <v>1406</v>
      </c>
      <c r="Y1038">
        <v>162</v>
      </c>
      <c r="Z1038">
        <v>114</v>
      </c>
      <c r="AA1038" t="s">
        <v>40</v>
      </c>
      <c r="AB1038">
        <v>125</v>
      </c>
      <c r="AC1038" s="23">
        <v>3.57</v>
      </c>
      <c r="AD1038" t="str">
        <f>IF(AND('CVD Dataset'!AA1038="Normal",'CVD Dataset'!AB1038&gt;AVERAGE('CVD Dataset'!AB:AB),'CVD Dataset'!AF1038="High"),"High Lipid Category","Normal Category")</f>
        <v>Normal Category</v>
      </c>
      <c r="AE1038">
        <v>17.571000000000002</v>
      </c>
      <c r="AF1038" t="s">
        <v>28</v>
      </c>
      <c r="AG1038">
        <v>0</v>
      </c>
      <c r="AH1038" t="s">
        <v>1380</v>
      </c>
      <c r="AI1038">
        <f t="shared" si="67"/>
        <v>0</v>
      </c>
      <c r="AJ1038" t="s">
        <v>1391</v>
      </c>
    </row>
    <row r="1039" spans="1:36" x14ac:dyDescent="0.3">
      <c r="A1039" t="s">
        <v>22</v>
      </c>
      <c r="B1039">
        <v>64</v>
      </c>
      <c r="C1039">
        <v>90.216999999999999</v>
      </c>
      <c r="D1039">
        <v>1.754</v>
      </c>
      <c r="E1039">
        <v>19.222000000000001</v>
      </c>
      <c r="F1039">
        <f t="shared" si="65"/>
        <v>29.324404618731059</v>
      </c>
      <c r="G1039">
        <f t="shared" ref="G1039:G1102" si="68">IFERROR(IF(ABS(E1039 - F1039) &lt;= 0.1, 0, 1),"")</f>
        <v>1</v>
      </c>
      <c r="H1039" t="s">
        <v>1398</v>
      </c>
      <c r="I1039">
        <v>78.796000000000006</v>
      </c>
      <c r="J1039" t="s">
        <v>892</v>
      </c>
      <c r="K1039" s="24">
        <v>141</v>
      </c>
      <c r="L1039" s="24">
        <v>83</v>
      </c>
      <c r="M1039">
        <v>266</v>
      </c>
      <c r="N1039" t="s">
        <v>1432</v>
      </c>
      <c r="O1039">
        <v>89</v>
      </c>
      <c r="P1039">
        <v>168</v>
      </c>
      <c r="Q1039" t="s">
        <v>24</v>
      </c>
      <c r="R1039" t="s">
        <v>25</v>
      </c>
      <c r="S1039" t="s">
        <v>39</v>
      </c>
      <c r="T1039" t="s">
        <v>24</v>
      </c>
      <c r="U1039">
        <f t="shared" si="66"/>
        <v>1</v>
      </c>
      <c r="V1039">
        <v>175.37100000000001</v>
      </c>
      <c r="W1039">
        <v>0.44900000000000001</v>
      </c>
      <c r="X1039" t="s">
        <v>1408</v>
      </c>
      <c r="Y1039">
        <v>141</v>
      </c>
      <c r="Z1039">
        <v>83</v>
      </c>
      <c r="AA1039" t="s">
        <v>31</v>
      </c>
      <c r="AB1039">
        <v>147</v>
      </c>
      <c r="AC1039" s="23">
        <v>1.65</v>
      </c>
      <c r="AD1039" t="str">
        <f>IF(AND('CVD Dataset'!AA1039="Normal",'CVD Dataset'!AB1039&gt;AVERAGE('CVD Dataset'!AB:AB),'CVD Dataset'!AF1039="High"),"High Lipid Category","Normal Category")</f>
        <v>Normal Category</v>
      </c>
      <c r="AE1039">
        <v>18.213999999999999</v>
      </c>
      <c r="AF1039" t="s">
        <v>28</v>
      </c>
      <c r="AG1039">
        <v>0</v>
      </c>
      <c r="AH1039" t="s">
        <v>1380</v>
      </c>
      <c r="AI1039">
        <f t="shared" si="67"/>
        <v>0</v>
      </c>
      <c r="AJ1039" t="s">
        <v>1392</v>
      </c>
    </row>
    <row r="1040" spans="1:36" x14ac:dyDescent="0.3">
      <c r="A1040" t="s">
        <v>22</v>
      </c>
      <c r="C1040">
        <v>67.730999999999995</v>
      </c>
      <c r="D1040">
        <v>1.798</v>
      </c>
      <c r="E1040">
        <v>20.350000000000001</v>
      </c>
      <c r="F1040">
        <f t="shared" si="65"/>
        <v>20.951161901556663</v>
      </c>
      <c r="G1040">
        <f t="shared" si="68"/>
        <v>1</v>
      </c>
      <c r="H1040" t="s">
        <v>1398</v>
      </c>
      <c r="I1040">
        <v>101.315</v>
      </c>
      <c r="J1040" t="s">
        <v>893</v>
      </c>
      <c r="K1040" s="24">
        <v>168</v>
      </c>
      <c r="L1040" s="24">
        <v>86</v>
      </c>
      <c r="M1040">
        <v>143</v>
      </c>
      <c r="N1040" t="s">
        <v>1434</v>
      </c>
      <c r="O1040">
        <v>31</v>
      </c>
      <c r="P1040">
        <v>151</v>
      </c>
      <c r="Q1040" t="s">
        <v>24</v>
      </c>
      <c r="R1040" t="s">
        <v>24</v>
      </c>
      <c r="S1040" t="s">
        <v>30</v>
      </c>
      <c r="T1040" t="s">
        <v>25</v>
      </c>
      <c r="U1040">
        <f t="shared" si="66"/>
        <v>1</v>
      </c>
      <c r="V1040">
        <v>179.839</v>
      </c>
      <c r="W1040">
        <v>0.56299999999999994</v>
      </c>
      <c r="X1040" t="s">
        <v>1407</v>
      </c>
      <c r="Y1040">
        <v>168</v>
      </c>
      <c r="Z1040">
        <v>86</v>
      </c>
      <c r="AA1040" t="s">
        <v>31</v>
      </c>
      <c r="AB1040">
        <v>82</v>
      </c>
      <c r="AC1040" s="23">
        <v>2.65</v>
      </c>
      <c r="AD1040" t="str">
        <f>IF(AND('CVD Dataset'!AA1040="Normal",'CVD Dataset'!AB1040&gt;AVERAGE('CVD Dataset'!AB:AB),'CVD Dataset'!AF1040="High"),"High Lipid Category","Normal Category")</f>
        <v>Normal Category</v>
      </c>
      <c r="AE1040">
        <v>15.33</v>
      </c>
      <c r="AF1040" t="s">
        <v>54</v>
      </c>
      <c r="AG1040">
        <v>0</v>
      </c>
      <c r="AH1040" t="s">
        <v>1380</v>
      </c>
      <c r="AI1040">
        <f t="shared" si="67"/>
        <v>0</v>
      </c>
      <c r="AJ1040" t="s">
        <v>1391</v>
      </c>
    </row>
    <row r="1041" spans="1:36" x14ac:dyDescent="0.3">
      <c r="A1041" t="s">
        <v>22</v>
      </c>
      <c r="B1041">
        <v>37</v>
      </c>
      <c r="C1041">
        <v>55.311</v>
      </c>
      <c r="D1041">
        <v>1.8160000000000001</v>
      </c>
      <c r="E1041">
        <v>30.302</v>
      </c>
      <c r="F1041">
        <f t="shared" si="65"/>
        <v>16.771805682237186</v>
      </c>
      <c r="G1041">
        <f t="shared" si="68"/>
        <v>1</v>
      </c>
      <c r="H1041" t="s">
        <v>1399</v>
      </c>
      <c r="I1041">
        <v>107.283</v>
      </c>
      <c r="J1041" t="s">
        <v>894</v>
      </c>
      <c r="K1041" s="24">
        <v>92</v>
      </c>
      <c r="L1041" s="24">
        <v>61</v>
      </c>
      <c r="M1041">
        <v>203</v>
      </c>
      <c r="N1041" t="s">
        <v>1432</v>
      </c>
      <c r="O1041">
        <v>59</v>
      </c>
      <c r="P1041">
        <v>82</v>
      </c>
      <c r="Q1041" t="s">
        <v>24</v>
      </c>
      <c r="R1041" t="s">
        <v>25</v>
      </c>
      <c r="S1041" t="s">
        <v>30</v>
      </c>
      <c r="T1041" t="s">
        <v>25</v>
      </c>
      <c r="U1041">
        <f t="shared" si="66"/>
        <v>2</v>
      </c>
      <c r="V1041">
        <v>181.62700000000001</v>
      </c>
      <c r="W1041">
        <v>0.59099999999999997</v>
      </c>
      <c r="X1041" t="s">
        <v>1409</v>
      </c>
      <c r="Y1041">
        <v>92</v>
      </c>
      <c r="Z1041">
        <v>61</v>
      </c>
      <c r="AA1041" t="s">
        <v>35</v>
      </c>
      <c r="AB1041">
        <v>114</v>
      </c>
      <c r="AC1041" s="23">
        <v>1.93</v>
      </c>
      <c r="AD1041" t="str">
        <f>IF(AND('CVD Dataset'!AA1041="Normal",'CVD Dataset'!AB1041&gt;AVERAGE('CVD Dataset'!AB:AB),'CVD Dataset'!AF1041="High"),"High Lipid Category","Normal Category")</f>
        <v>High Lipid Category</v>
      </c>
      <c r="AE1041">
        <v>16.72</v>
      </c>
      <c r="AF1041" t="s">
        <v>32</v>
      </c>
      <c r="AG1041">
        <v>0</v>
      </c>
      <c r="AH1041" t="s">
        <v>1379</v>
      </c>
      <c r="AI1041">
        <f t="shared" si="67"/>
        <v>1</v>
      </c>
      <c r="AJ1041" t="s">
        <v>1391</v>
      </c>
    </row>
    <row r="1042" spans="1:36" x14ac:dyDescent="0.3">
      <c r="A1042" t="s">
        <v>33</v>
      </c>
      <c r="B1042">
        <v>58</v>
      </c>
      <c r="C1042">
        <v>50.307000000000002</v>
      </c>
      <c r="D1042">
        <v>1.633</v>
      </c>
      <c r="E1042">
        <v>28.206</v>
      </c>
      <c r="F1042">
        <f t="shared" si="65"/>
        <v>18.864967005901327</v>
      </c>
      <c r="G1042">
        <f t="shared" si="68"/>
        <v>1</v>
      </c>
      <c r="H1042" t="s">
        <v>1400</v>
      </c>
      <c r="I1042">
        <v>75.421000000000006</v>
      </c>
      <c r="J1042" t="s">
        <v>895</v>
      </c>
      <c r="K1042" s="24">
        <v>122</v>
      </c>
      <c r="L1042" s="24">
        <v>119</v>
      </c>
      <c r="M1042">
        <v>260</v>
      </c>
      <c r="N1042" t="s">
        <v>1432</v>
      </c>
      <c r="O1042">
        <v>62</v>
      </c>
      <c r="P1042">
        <v>124</v>
      </c>
      <c r="Q1042" t="s">
        <v>25</v>
      </c>
      <c r="R1042" t="s">
        <v>25</v>
      </c>
      <c r="S1042" t="s">
        <v>30</v>
      </c>
      <c r="T1042" t="s">
        <v>24</v>
      </c>
      <c r="U1042">
        <f t="shared" si="66"/>
        <v>2</v>
      </c>
      <c r="V1042">
        <v>163.321</v>
      </c>
      <c r="W1042">
        <v>0.46200000000000002</v>
      </c>
      <c r="X1042" t="s">
        <v>1406</v>
      </c>
      <c r="Y1042">
        <v>122</v>
      </c>
      <c r="Z1042">
        <v>119</v>
      </c>
      <c r="AA1042" t="s">
        <v>40</v>
      </c>
      <c r="AB1042">
        <v>168</v>
      </c>
      <c r="AC1042" s="23">
        <v>2.71</v>
      </c>
      <c r="AD1042" t="str">
        <f>IF(AND('CVD Dataset'!AA1042="Normal",'CVD Dataset'!AB1042&gt;AVERAGE('CVD Dataset'!AB:AB),'CVD Dataset'!AF1042="High"),"High Lipid Category","Normal Category")</f>
        <v>Normal Category</v>
      </c>
      <c r="AE1042">
        <v>18.940999999999999</v>
      </c>
      <c r="AF1042" t="s">
        <v>54</v>
      </c>
      <c r="AG1042">
        <v>0</v>
      </c>
      <c r="AH1042" t="s">
        <v>1380</v>
      </c>
      <c r="AI1042">
        <f t="shared" si="67"/>
        <v>0</v>
      </c>
      <c r="AJ1042" t="s">
        <v>1392</v>
      </c>
    </row>
    <row r="1043" spans="1:36" x14ac:dyDescent="0.3">
      <c r="A1043" t="s">
        <v>22</v>
      </c>
      <c r="B1043">
        <v>68</v>
      </c>
      <c r="C1043">
        <v>104.107</v>
      </c>
      <c r="D1043">
        <v>1.782</v>
      </c>
      <c r="E1043">
        <v>21.760999999999999</v>
      </c>
      <c r="F1043">
        <f t="shared" si="65"/>
        <v>32.784195616219556</v>
      </c>
      <c r="G1043">
        <f t="shared" si="68"/>
        <v>1</v>
      </c>
      <c r="H1043" t="s">
        <v>1398</v>
      </c>
      <c r="I1043">
        <v>115.72799999999999</v>
      </c>
      <c r="J1043" t="s">
        <v>896</v>
      </c>
      <c r="K1043" s="24">
        <v>133</v>
      </c>
      <c r="L1043" s="24">
        <v>101</v>
      </c>
      <c r="M1043">
        <v>292</v>
      </c>
      <c r="N1043" t="s">
        <v>1432</v>
      </c>
      <c r="O1043">
        <v>63</v>
      </c>
      <c r="P1043">
        <v>90</v>
      </c>
      <c r="Q1043" t="s">
        <v>24</v>
      </c>
      <c r="R1043" t="s">
        <v>24</v>
      </c>
      <c r="S1043" t="s">
        <v>39</v>
      </c>
      <c r="T1043" t="s">
        <v>24</v>
      </c>
      <c r="U1043">
        <f t="shared" si="66"/>
        <v>0</v>
      </c>
      <c r="V1043">
        <v>178.221</v>
      </c>
      <c r="W1043">
        <v>0.64900000000000002</v>
      </c>
      <c r="X1043" t="s">
        <v>1409</v>
      </c>
      <c r="Y1043">
        <v>133</v>
      </c>
      <c r="Z1043">
        <v>101</v>
      </c>
      <c r="AA1043" t="s">
        <v>31</v>
      </c>
      <c r="AB1043">
        <v>199</v>
      </c>
      <c r="AC1043" s="23">
        <v>3.16</v>
      </c>
      <c r="AD1043" t="str">
        <f>IF(AND('CVD Dataset'!AA1043="Normal",'CVD Dataset'!AB1043&gt;AVERAGE('CVD Dataset'!AB:AB),'CVD Dataset'!AF1043="High"),"High Lipid Category","Normal Category")</f>
        <v>Normal Category</v>
      </c>
      <c r="AE1043">
        <v>16.841999999999999</v>
      </c>
      <c r="AF1043" t="s">
        <v>28</v>
      </c>
      <c r="AG1043">
        <v>0</v>
      </c>
      <c r="AH1043" t="s">
        <v>1380</v>
      </c>
      <c r="AI1043">
        <f t="shared" si="67"/>
        <v>0</v>
      </c>
      <c r="AJ1043" t="s">
        <v>1391</v>
      </c>
    </row>
    <row r="1044" spans="1:36" x14ac:dyDescent="0.3">
      <c r="A1044" t="s">
        <v>22</v>
      </c>
      <c r="B1044">
        <v>62</v>
      </c>
      <c r="C1044">
        <v>102.495</v>
      </c>
      <c r="D1044">
        <v>1.97</v>
      </c>
      <c r="E1044">
        <v>24.384</v>
      </c>
      <c r="F1044">
        <f t="shared" si="65"/>
        <v>26.410111056713649</v>
      </c>
      <c r="G1044">
        <f t="shared" si="68"/>
        <v>1</v>
      </c>
      <c r="H1044" t="s">
        <v>1398</v>
      </c>
      <c r="I1044">
        <v>80.456000000000003</v>
      </c>
      <c r="J1044" t="s">
        <v>897</v>
      </c>
      <c r="K1044" s="24">
        <v>120</v>
      </c>
      <c r="L1044" s="24">
        <v>110</v>
      </c>
      <c r="M1044">
        <v>112</v>
      </c>
      <c r="N1044" t="s">
        <v>1434</v>
      </c>
      <c r="O1044">
        <v>55</v>
      </c>
      <c r="P1044">
        <v>77</v>
      </c>
      <c r="Q1044" t="s">
        <v>25</v>
      </c>
      <c r="R1044" t="s">
        <v>24</v>
      </c>
      <c r="S1044" t="s">
        <v>26</v>
      </c>
      <c r="T1044" t="s">
        <v>25</v>
      </c>
      <c r="U1044">
        <f t="shared" si="66"/>
        <v>3</v>
      </c>
      <c r="V1044">
        <v>197.029</v>
      </c>
      <c r="W1044">
        <v>0.40799999999999997</v>
      </c>
      <c r="X1044" t="s">
        <v>1408</v>
      </c>
      <c r="Y1044">
        <v>120</v>
      </c>
      <c r="Z1044">
        <v>110</v>
      </c>
      <c r="AA1044" t="s">
        <v>40</v>
      </c>
      <c r="AB1044">
        <v>27</v>
      </c>
      <c r="AC1044" s="23">
        <v>0.49</v>
      </c>
      <c r="AD1044" t="str">
        <f>IF(AND('CVD Dataset'!AA1044="Normal",'CVD Dataset'!AB1044&gt;AVERAGE('CVD Dataset'!AB:AB),'CVD Dataset'!AF1044="High"),"High Lipid Category","Normal Category")</f>
        <v>Normal Category</v>
      </c>
      <c r="AE1044">
        <v>13.117000000000001</v>
      </c>
      <c r="AF1044" t="s">
        <v>54</v>
      </c>
      <c r="AG1044">
        <v>0</v>
      </c>
      <c r="AH1044" t="s">
        <v>1380</v>
      </c>
      <c r="AI1044">
        <f t="shared" si="67"/>
        <v>0</v>
      </c>
      <c r="AJ1044" t="s">
        <v>1391</v>
      </c>
    </row>
    <row r="1045" spans="1:36" x14ac:dyDescent="0.3">
      <c r="A1045" t="s">
        <v>22</v>
      </c>
      <c r="B1045">
        <v>36</v>
      </c>
      <c r="C1045">
        <v>108.182</v>
      </c>
      <c r="D1045">
        <v>1.927</v>
      </c>
      <c r="E1045">
        <v>18.600999999999999</v>
      </c>
      <c r="F1045">
        <f t="shared" si="65"/>
        <v>29.133427175453615</v>
      </c>
      <c r="G1045">
        <f t="shared" si="68"/>
        <v>1</v>
      </c>
      <c r="H1045" t="s">
        <v>1398</v>
      </c>
      <c r="I1045">
        <v>115.85899999999999</v>
      </c>
      <c r="J1045" t="s">
        <v>469</v>
      </c>
      <c r="K1045" s="24">
        <v>103</v>
      </c>
      <c r="L1045" s="24">
        <v>64</v>
      </c>
      <c r="M1045">
        <v>101</v>
      </c>
      <c r="N1045" t="s">
        <v>1434</v>
      </c>
      <c r="O1045">
        <v>59</v>
      </c>
      <c r="P1045">
        <v>146</v>
      </c>
      <c r="Q1045" t="s">
        <v>24</v>
      </c>
      <c r="R1045" t="s">
        <v>24</v>
      </c>
      <c r="S1045" t="s">
        <v>30</v>
      </c>
      <c r="T1045" t="s">
        <v>25</v>
      </c>
      <c r="U1045">
        <f t="shared" si="66"/>
        <v>1</v>
      </c>
      <c r="V1045">
        <v>192.71199999999999</v>
      </c>
      <c r="W1045">
        <v>0.60099999999999998</v>
      </c>
      <c r="X1045" t="s">
        <v>1409</v>
      </c>
      <c r="Y1045">
        <v>103</v>
      </c>
      <c r="Z1045">
        <v>64</v>
      </c>
      <c r="AA1045" t="s">
        <v>35</v>
      </c>
      <c r="AB1045">
        <v>12</v>
      </c>
      <c r="AC1045" s="23">
        <v>0.2</v>
      </c>
      <c r="AD1045" t="str">
        <f>IF(AND('CVD Dataset'!AA1045="Normal",'CVD Dataset'!AB1045&gt;AVERAGE('CVD Dataset'!AB:AB),'CVD Dataset'!AF1045="High"),"High Lipid Category","Normal Category")</f>
        <v>Normal Category</v>
      </c>
      <c r="AE1045">
        <v>10.89</v>
      </c>
      <c r="AF1045" t="s">
        <v>32</v>
      </c>
      <c r="AG1045">
        <v>0</v>
      </c>
      <c r="AH1045" t="s">
        <v>1379</v>
      </c>
      <c r="AI1045">
        <f t="shared" si="67"/>
        <v>1</v>
      </c>
      <c r="AJ1045" t="s">
        <v>1391</v>
      </c>
    </row>
    <row r="1046" spans="1:36" x14ac:dyDescent="0.3">
      <c r="A1046" t="s">
        <v>22</v>
      </c>
      <c r="B1046">
        <v>58</v>
      </c>
      <c r="C1046">
        <v>97.126000000000005</v>
      </c>
      <c r="D1046">
        <v>1.72</v>
      </c>
      <c r="F1046">
        <f t="shared" si="65"/>
        <v>32.830584099513253</v>
      </c>
      <c r="G1046">
        <f t="shared" si="68"/>
        <v>1</v>
      </c>
      <c r="H1046" t="s">
        <v>1401</v>
      </c>
      <c r="I1046">
        <v>81.804000000000002</v>
      </c>
      <c r="J1046" t="s">
        <v>898</v>
      </c>
      <c r="K1046" s="24">
        <v>94</v>
      </c>
      <c r="L1046" s="24">
        <v>63</v>
      </c>
      <c r="M1046">
        <v>159</v>
      </c>
      <c r="N1046" t="s">
        <v>1433</v>
      </c>
      <c r="O1046">
        <v>89</v>
      </c>
      <c r="P1046">
        <v>74</v>
      </c>
      <c r="Q1046" t="s">
        <v>24</v>
      </c>
      <c r="R1046" t="s">
        <v>24</v>
      </c>
      <c r="S1046" t="s">
        <v>30</v>
      </c>
      <c r="T1046" t="s">
        <v>25</v>
      </c>
      <c r="U1046">
        <f t="shared" si="66"/>
        <v>1</v>
      </c>
      <c r="V1046">
        <v>172.01900000000001</v>
      </c>
      <c r="W1046">
        <v>0.47599999999999998</v>
      </c>
      <c r="X1046" t="s">
        <v>1406</v>
      </c>
      <c r="Y1046">
        <v>94</v>
      </c>
      <c r="Z1046">
        <v>63</v>
      </c>
      <c r="AA1046" t="s">
        <v>35</v>
      </c>
      <c r="AB1046">
        <v>40</v>
      </c>
      <c r="AC1046" s="23">
        <v>0.45</v>
      </c>
      <c r="AD1046" t="str">
        <f>IF(AND('CVD Dataset'!AA1046="Normal",'CVD Dataset'!AB1046&gt;AVERAGE('CVD Dataset'!AB:AB),'CVD Dataset'!AF1046="High"),"High Lipid Category","Normal Category")</f>
        <v>Normal Category</v>
      </c>
      <c r="AE1046">
        <v>13.047000000000001</v>
      </c>
      <c r="AF1046" t="s">
        <v>28</v>
      </c>
      <c r="AG1046">
        <v>0</v>
      </c>
      <c r="AH1046" t="s">
        <v>1380</v>
      </c>
      <c r="AI1046">
        <f t="shared" si="67"/>
        <v>0</v>
      </c>
      <c r="AJ1046" t="s">
        <v>1391</v>
      </c>
    </row>
    <row r="1047" spans="1:36" x14ac:dyDescent="0.3">
      <c r="A1047" t="s">
        <v>22</v>
      </c>
      <c r="B1047">
        <v>62</v>
      </c>
      <c r="C1047">
        <v>85.781000000000006</v>
      </c>
      <c r="E1047">
        <v>19.832999999999998</v>
      </c>
      <c r="F1047" t="str">
        <f t="shared" si="65"/>
        <v/>
      </c>
      <c r="G1047" t="str">
        <f t="shared" si="68"/>
        <v/>
      </c>
      <c r="H1047" t="s">
        <v>1398</v>
      </c>
      <c r="I1047">
        <v>108.559</v>
      </c>
      <c r="J1047" t="s">
        <v>899</v>
      </c>
      <c r="K1047" s="24">
        <v>154</v>
      </c>
      <c r="L1047" s="24">
        <v>114</v>
      </c>
      <c r="M1047">
        <v>210</v>
      </c>
      <c r="N1047" t="s">
        <v>1432</v>
      </c>
      <c r="O1047">
        <v>81</v>
      </c>
      <c r="P1047">
        <v>107</v>
      </c>
      <c r="Q1047" t="s">
        <v>25</v>
      </c>
      <c r="R1047" t="s">
        <v>24</v>
      </c>
      <c r="S1047" t="s">
        <v>39</v>
      </c>
      <c r="T1047" t="s">
        <v>25</v>
      </c>
      <c r="U1047">
        <f t="shared" si="66"/>
        <v>2</v>
      </c>
      <c r="V1047">
        <v>182.97399999999999</v>
      </c>
      <c r="W1047">
        <v>0.59299999999999997</v>
      </c>
      <c r="X1047" t="s">
        <v>1409</v>
      </c>
      <c r="Y1047">
        <v>154</v>
      </c>
      <c r="Z1047">
        <v>114</v>
      </c>
      <c r="AA1047" t="s">
        <v>40</v>
      </c>
      <c r="AB1047">
        <v>99</v>
      </c>
      <c r="AC1047" s="23">
        <v>1.22</v>
      </c>
      <c r="AD1047" t="str">
        <f>IF(AND('CVD Dataset'!AA1047="Normal",'CVD Dataset'!AB1047&gt;AVERAGE('CVD Dataset'!AB:AB),'CVD Dataset'!AF1047="High"),"High Lipid Category","Normal Category")</f>
        <v>Normal Category</v>
      </c>
      <c r="AE1047">
        <v>15.867000000000001</v>
      </c>
      <c r="AF1047" t="s">
        <v>28</v>
      </c>
      <c r="AG1047">
        <v>0</v>
      </c>
      <c r="AH1047" t="s">
        <v>1380</v>
      </c>
      <c r="AI1047">
        <f t="shared" si="67"/>
        <v>0</v>
      </c>
      <c r="AJ1047" t="s">
        <v>1391</v>
      </c>
    </row>
    <row r="1048" spans="1:36" x14ac:dyDescent="0.3">
      <c r="A1048" t="s">
        <v>33</v>
      </c>
      <c r="B1048">
        <v>44</v>
      </c>
      <c r="C1048">
        <v>51.936</v>
      </c>
      <c r="D1048">
        <v>1.9359999999999999</v>
      </c>
      <c r="E1048">
        <v>36.442</v>
      </c>
      <c r="F1048">
        <f t="shared" si="65"/>
        <v>13.856635475718873</v>
      </c>
      <c r="G1048">
        <f t="shared" si="68"/>
        <v>1</v>
      </c>
      <c r="H1048" t="s">
        <v>1399</v>
      </c>
      <c r="I1048">
        <v>115.755</v>
      </c>
      <c r="J1048" t="s">
        <v>900</v>
      </c>
      <c r="K1048" s="24">
        <v>105</v>
      </c>
      <c r="L1048" s="24">
        <v>108</v>
      </c>
      <c r="M1048">
        <v>107</v>
      </c>
      <c r="N1048" t="s">
        <v>1434</v>
      </c>
      <c r="O1048">
        <v>52</v>
      </c>
      <c r="P1048">
        <v>125</v>
      </c>
      <c r="Q1048" t="s">
        <v>25</v>
      </c>
      <c r="R1048" t="s">
        <v>25</v>
      </c>
      <c r="S1048" t="s">
        <v>26</v>
      </c>
      <c r="T1048" t="s">
        <v>24</v>
      </c>
      <c r="U1048">
        <f t="shared" si="66"/>
        <v>3</v>
      </c>
      <c r="V1048">
        <v>193.61</v>
      </c>
      <c r="W1048">
        <v>0.59799999999999998</v>
      </c>
      <c r="X1048" t="s">
        <v>1409</v>
      </c>
      <c r="Y1048">
        <v>105</v>
      </c>
      <c r="Z1048">
        <v>108</v>
      </c>
      <c r="AA1048" t="s">
        <v>40</v>
      </c>
      <c r="AB1048">
        <v>25</v>
      </c>
      <c r="AC1048" s="23">
        <v>0.48</v>
      </c>
      <c r="AD1048" t="str">
        <f>IF(AND('CVD Dataset'!AA1048="Normal",'CVD Dataset'!AB1048&gt;AVERAGE('CVD Dataset'!AB:AB),'CVD Dataset'!AF1048="High"),"High Lipid Category","Normal Category")</f>
        <v>Normal Category</v>
      </c>
      <c r="AE1048">
        <v>16.678000000000001</v>
      </c>
      <c r="AF1048" t="s">
        <v>32</v>
      </c>
      <c r="AG1048">
        <v>0</v>
      </c>
      <c r="AH1048" t="s">
        <v>1379</v>
      </c>
      <c r="AI1048">
        <f t="shared" si="67"/>
        <v>1</v>
      </c>
      <c r="AJ1048" t="s">
        <v>1391</v>
      </c>
    </row>
    <row r="1049" spans="1:36" x14ac:dyDescent="0.3">
      <c r="A1049" t="s">
        <v>33</v>
      </c>
      <c r="B1049">
        <v>52</v>
      </c>
      <c r="C1049">
        <v>98.406000000000006</v>
      </c>
      <c r="D1049">
        <v>1.956</v>
      </c>
      <c r="E1049">
        <v>24.042999999999999</v>
      </c>
      <c r="F1049">
        <f t="shared" si="65"/>
        <v>25.720764801083973</v>
      </c>
      <c r="G1049">
        <f t="shared" si="68"/>
        <v>1</v>
      </c>
      <c r="H1049" t="s">
        <v>1398</v>
      </c>
      <c r="I1049">
        <v>96.171999999999997</v>
      </c>
      <c r="J1049" t="s">
        <v>901</v>
      </c>
      <c r="K1049" s="24">
        <v>139</v>
      </c>
      <c r="L1049" s="24">
        <v>83</v>
      </c>
      <c r="M1049">
        <v>194</v>
      </c>
      <c r="N1049" t="s">
        <v>1432</v>
      </c>
      <c r="O1049">
        <v>62</v>
      </c>
      <c r="P1049">
        <v>191</v>
      </c>
      <c r="Q1049" t="s">
        <v>24</v>
      </c>
      <c r="R1049" t="s">
        <v>25</v>
      </c>
      <c r="S1049" t="s">
        <v>30</v>
      </c>
      <c r="T1049" t="s">
        <v>25</v>
      </c>
      <c r="U1049">
        <f t="shared" si="66"/>
        <v>2</v>
      </c>
      <c r="V1049">
        <v>195.56299999999999</v>
      </c>
      <c r="W1049">
        <v>0.49199999999999999</v>
      </c>
      <c r="X1049" t="s">
        <v>1406</v>
      </c>
      <c r="Y1049">
        <v>139</v>
      </c>
      <c r="Z1049">
        <v>83</v>
      </c>
      <c r="AA1049" t="s">
        <v>31</v>
      </c>
      <c r="AB1049">
        <v>102</v>
      </c>
      <c r="AC1049" s="23">
        <v>1.65</v>
      </c>
      <c r="AD1049" t="str">
        <f>IF(AND('CVD Dataset'!AA1049="Normal",'CVD Dataset'!AB1049&gt;AVERAGE('CVD Dataset'!AB:AB),'CVD Dataset'!AF1049="High"),"High Lipid Category","Normal Category")</f>
        <v>Normal Category</v>
      </c>
      <c r="AE1049">
        <v>17.638999999999999</v>
      </c>
      <c r="AF1049" t="s">
        <v>32</v>
      </c>
      <c r="AG1049">
        <v>1</v>
      </c>
      <c r="AH1049" t="s">
        <v>1379</v>
      </c>
      <c r="AI1049">
        <f t="shared" si="67"/>
        <v>1</v>
      </c>
      <c r="AJ1049" t="s">
        <v>1392</v>
      </c>
    </row>
    <row r="1050" spans="1:36" x14ac:dyDescent="0.3">
      <c r="A1050" t="s">
        <v>22</v>
      </c>
      <c r="B1050">
        <v>58</v>
      </c>
      <c r="C1050">
        <v>67.057000000000002</v>
      </c>
      <c r="E1050">
        <v>31.312000000000001</v>
      </c>
      <c r="F1050" t="str">
        <f t="shared" si="65"/>
        <v/>
      </c>
      <c r="G1050" t="str">
        <f t="shared" si="68"/>
        <v/>
      </c>
      <c r="H1050" t="s">
        <v>1399</v>
      </c>
      <c r="I1050">
        <v>101.93</v>
      </c>
      <c r="J1050" t="s">
        <v>420</v>
      </c>
      <c r="K1050" s="24">
        <v>96</v>
      </c>
      <c r="L1050" s="24">
        <v>85</v>
      </c>
      <c r="M1050">
        <v>185</v>
      </c>
      <c r="N1050" t="s">
        <v>1432</v>
      </c>
      <c r="O1050">
        <v>70</v>
      </c>
      <c r="P1050">
        <v>172</v>
      </c>
      <c r="Q1050" t="s">
        <v>24</v>
      </c>
      <c r="R1050" t="s">
        <v>24</v>
      </c>
      <c r="S1050" t="s">
        <v>39</v>
      </c>
      <c r="T1050" t="s">
        <v>24</v>
      </c>
      <c r="U1050">
        <f t="shared" si="66"/>
        <v>0</v>
      </c>
      <c r="V1050">
        <v>159.965</v>
      </c>
      <c r="W1050">
        <v>0.63700000000000001</v>
      </c>
      <c r="X1050" t="s">
        <v>1409</v>
      </c>
      <c r="Y1050">
        <v>96</v>
      </c>
      <c r="Z1050">
        <v>85</v>
      </c>
      <c r="AA1050" t="s">
        <v>31</v>
      </c>
      <c r="AB1050">
        <v>85</v>
      </c>
      <c r="AC1050" s="23">
        <v>1.21</v>
      </c>
      <c r="AD1050" t="str">
        <f>IF(AND('CVD Dataset'!AA1050="Normal",'CVD Dataset'!AB1050&gt;AVERAGE('CVD Dataset'!AB:AB),'CVD Dataset'!AF1050="High"),"High Lipid Category","Normal Category")</f>
        <v>Normal Category</v>
      </c>
      <c r="AE1050">
        <v>14.762</v>
      </c>
      <c r="AF1050" t="s">
        <v>54</v>
      </c>
      <c r="AG1050">
        <v>0</v>
      </c>
      <c r="AH1050" t="s">
        <v>1380</v>
      </c>
      <c r="AI1050">
        <f t="shared" si="67"/>
        <v>0</v>
      </c>
      <c r="AJ1050" t="s">
        <v>1391</v>
      </c>
    </row>
    <row r="1051" spans="1:36" x14ac:dyDescent="0.3">
      <c r="A1051" t="s">
        <v>33</v>
      </c>
      <c r="B1051">
        <v>73</v>
      </c>
      <c r="C1051">
        <v>100.845</v>
      </c>
      <c r="D1051">
        <v>1.591</v>
      </c>
      <c r="E1051">
        <v>22.896999999999998</v>
      </c>
      <c r="F1051">
        <f t="shared" si="65"/>
        <v>39.83951208893837</v>
      </c>
      <c r="G1051">
        <f t="shared" si="68"/>
        <v>1</v>
      </c>
      <c r="H1051" t="s">
        <v>1398</v>
      </c>
      <c r="I1051">
        <v>88.019000000000005</v>
      </c>
      <c r="J1051" t="s">
        <v>902</v>
      </c>
      <c r="K1051" s="24">
        <v>145</v>
      </c>
      <c r="L1051" s="24">
        <v>91</v>
      </c>
      <c r="M1051">
        <v>196</v>
      </c>
      <c r="N1051" t="s">
        <v>1432</v>
      </c>
      <c r="O1051">
        <v>76</v>
      </c>
      <c r="P1051">
        <v>135</v>
      </c>
      <c r="Q1051" t="s">
        <v>25</v>
      </c>
      <c r="R1051" t="s">
        <v>24</v>
      </c>
      <c r="S1051" t="s">
        <v>30</v>
      </c>
      <c r="T1051" t="s">
        <v>25</v>
      </c>
      <c r="U1051">
        <f t="shared" si="66"/>
        <v>2</v>
      </c>
      <c r="V1051">
        <v>159.065</v>
      </c>
      <c r="W1051">
        <v>0.55300000000000005</v>
      </c>
      <c r="X1051" t="s">
        <v>1407</v>
      </c>
      <c r="Y1051">
        <v>145</v>
      </c>
      <c r="Z1051">
        <v>91</v>
      </c>
      <c r="AA1051" t="s">
        <v>40</v>
      </c>
      <c r="AB1051">
        <v>90</v>
      </c>
      <c r="AC1051" s="23">
        <v>1.18</v>
      </c>
      <c r="AD1051" t="str">
        <f>IF(AND('CVD Dataset'!AA1051="Normal",'CVD Dataset'!AB1051&gt;AVERAGE('CVD Dataset'!AB:AB),'CVD Dataset'!AF1051="High"),"High Lipid Category","Normal Category")</f>
        <v>Normal Category</v>
      </c>
      <c r="AE1051">
        <v>15.749000000000001</v>
      </c>
      <c r="AF1051" t="s">
        <v>28</v>
      </c>
      <c r="AG1051">
        <v>0</v>
      </c>
      <c r="AH1051" t="s">
        <v>1380</v>
      </c>
      <c r="AI1051">
        <f t="shared" si="67"/>
        <v>0</v>
      </c>
      <c r="AJ1051" t="s">
        <v>1391</v>
      </c>
    </row>
    <row r="1052" spans="1:36" x14ac:dyDescent="0.3">
      <c r="A1052" t="s">
        <v>33</v>
      </c>
      <c r="B1052">
        <v>48</v>
      </c>
      <c r="C1052">
        <v>107.611</v>
      </c>
      <c r="D1052">
        <v>1.718</v>
      </c>
      <c r="E1052">
        <v>26.407</v>
      </c>
      <c r="F1052">
        <f t="shared" si="65"/>
        <v>36.459469751897664</v>
      </c>
      <c r="G1052">
        <f t="shared" si="68"/>
        <v>1</v>
      </c>
      <c r="H1052" t="s">
        <v>1400</v>
      </c>
      <c r="I1052">
        <v>80.588999999999999</v>
      </c>
      <c r="J1052" t="s">
        <v>693</v>
      </c>
      <c r="K1052" s="24">
        <v>117</v>
      </c>
      <c r="L1052" s="24">
        <v>60</v>
      </c>
      <c r="M1052">
        <v>162</v>
      </c>
      <c r="N1052" t="s">
        <v>1433</v>
      </c>
      <c r="O1052">
        <v>69</v>
      </c>
      <c r="P1052">
        <v>94</v>
      </c>
      <c r="Q1052" t="s">
        <v>25</v>
      </c>
      <c r="R1052" t="s">
        <v>24</v>
      </c>
      <c r="S1052" t="s">
        <v>26</v>
      </c>
      <c r="T1052" t="s">
        <v>24</v>
      </c>
      <c r="U1052">
        <f t="shared" si="66"/>
        <v>2</v>
      </c>
      <c r="V1052">
        <v>171.8</v>
      </c>
      <c r="W1052">
        <v>0.46899999999999997</v>
      </c>
      <c r="X1052" t="s">
        <v>1406</v>
      </c>
      <c r="Y1052">
        <v>117</v>
      </c>
      <c r="Z1052">
        <v>60</v>
      </c>
      <c r="AA1052" t="s">
        <v>35</v>
      </c>
      <c r="AB1052">
        <v>63</v>
      </c>
      <c r="AC1052" s="23">
        <v>0.91</v>
      </c>
      <c r="AD1052" t="str">
        <f>IF(AND('CVD Dataset'!AA1052="Normal",'CVD Dataset'!AB1052&gt;AVERAGE('CVD Dataset'!AB:AB),'CVD Dataset'!AF1052="High"),"High Lipid Category","Normal Category")</f>
        <v>Normal Category</v>
      </c>
      <c r="AE1052">
        <v>14.371</v>
      </c>
      <c r="AF1052" t="s">
        <v>32</v>
      </c>
      <c r="AG1052">
        <v>1</v>
      </c>
      <c r="AH1052" t="s">
        <v>1379</v>
      </c>
      <c r="AI1052">
        <f t="shared" si="67"/>
        <v>1</v>
      </c>
      <c r="AJ1052" t="s">
        <v>1391</v>
      </c>
    </row>
    <row r="1053" spans="1:36" x14ac:dyDescent="0.3">
      <c r="A1053" t="s">
        <v>22</v>
      </c>
      <c r="B1053">
        <v>44</v>
      </c>
      <c r="C1053">
        <v>90.260999999999996</v>
      </c>
      <c r="D1053">
        <v>1.6359999999999999</v>
      </c>
      <c r="E1053">
        <v>26.895</v>
      </c>
      <c r="F1053">
        <f t="shared" si="65"/>
        <v>33.723569921270197</v>
      </c>
      <c r="G1053">
        <f t="shared" si="68"/>
        <v>1</v>
      </c>
      <c r="H1053" t="s">
        <v>1400</v>
      </c>
      <c r="I1053">
        <v>77.206999999999994</v>
      </c>
      <c r="J1053" t="s">
        <v>903</v>
      </c>
      <c r="K1053" s="24">
        <v>164</v>
      </c>
      <c r="L1053" s="24">
        <v>87</v>
      </c>
      <c r="M1053">
        <v>287</v>
      </c>
      <c r="N1053" t="s">
        <v>1432</v>
      </c>
      <c r="O1053">
        <v>57</v>
      </c>
      <c r="P1053">
        <v>158</v>
      </c>
      <c r="Q1053" t="s">
        <v>25</v>
      </c>
      <c r="R1053" t="s">
        <v>25</v>
      </c>
      <c r="S1053" t="s">
        <v>39</v>
      </c>
      <c r="T1053" t="s">
        <v>24</v>
      </c>
      <c r="U1053">
        <f t="shared" si="66"/>
        <v>2</v>
      </c>
      <c r="W1053">
        <v>0.47199999999999998</v>
      </c>
      <c r="X1053" t="s">
        <v>1406</v>
      </c>
      <c r="Y1053">
        <v>164</v>
      </c>
      <c r="AA1053" t="s">
        <v>31</v>
      </c>
      <c r="AB1053">
        <v>200</v>
      </c>
      <c r="AC1053" s="23">
        <v>3.51</v>
      </c>
      <c r="AD1053" t="str">
        <f>IF(AND('CVD Dataset'!AA1053="Normal",'CVD Dataset'!AB1053&gt;AVERAGE('CVD Dataset'!AB:AB),'CVD Dataset'!AF1053="High"),"High Lipid Category","Normal Category")</f>
        <v>Normal Category</v>
      </c>
      <c r="AE1053">
        <v>21.318999999999999</v>
      </c>
      <c r="AF1053" t="s">
        <v>32</v>
      </c>
      <c r="AG1053">
        <v>0</v>
      </c>
      <c r="AH1053" t="s">
        <v>1379</v>
      </c>
      <c r="AI1053">
        <f t="shared" si="67"/>
        <v>1</v>
      </c>
      <c r="AJ1053" t="s">
        <v>1391</v>
      </c>
    </row>
    <row r="1054" spans="1:36" x14ac:dyDescent="0.3">
      <c r="A1054" t="s">
        <v>22</v>
      </c>
      <c r="B1054">
        <v>48</v>
      </c>
      <c r="C1054">
        <v>81.247</v>
      </c>
      <c r="D1054">
        <v>1.9490000000000001</v>
      </c>
      <c r="E1054">
        <v>39.118000000000002</v>
      </c>
      <c r="F1054">
        <f t="shared" si="65"/>
        <v>21.388663879149192</v>
      </c>
      <c r="G1054">
        <f t="shared" si="68"/>
        <v>1</v>
      </c>
      <c r="H1054" t="s">
        <v>1399</v>
      </c>
      <c r="I1054">
        <v>77.647000000000006</v>
      </c>
      <c r="J1054" t="s">
        <v>904</v>
      </c>
      <c r="K1054" s="24">
        <v>158</v>
      </c>
      <c r="L1054" s="24">
        <v>74</v>
      </c>
      <c r="M1054">
        <v>274</v>
      </c>
      <c r="N1054" t="s">
        <v>1432</v>
      </c>
      <c r="P1054">
        <v>170</v>
      </c>
      <c r="Q1054" t="s">
        <v>24</v>
      </c>
      <c r="R1054" t="s">
        <v>25</v>
      </c>
      <c r="S1054" t="s">
        <v>30</v>
      </c>
      <c r="T1054" t="s">
        <v>24</v>
      </c>
      <c r="U1054">
        <f t="shared" si="66"/>
        <v>1</v>
      </c>
      <c r="V1054">
        <v>194.93199999999999</v>
      </c>
      <c r="W1054">
        <v>0.39800000000000002</v>
      </c>
      <c r="X1054" t="s">
        <v>1408</v>
      </c>
      <c r="Y1054">
        <v>158</v>
      </c>
      <c r="Z1054">
        <v>74</v>
      </c>
      <c r="AA1054" t="s">
        <v>40</v>
      </c>
      <c r="AB1054">
        <v>193</v>
      </c>
      <c r="AC1054" s="23" t="s">
        <v>1410</v>
      </c>
      <c r="AD1054" t="str">
        <f>IF(AND('CVD Dataset'!AA1054="Normal",'CVD Dataset'!AB1054&gt;AVERAGE('CVD Dataset'!AB:AB),'CVD Dataset'!AF1054="High"),"High Lipid Category","Normal Category")</f>
        <v>Normal Category</v>
      </c>
      <c r="AE1054">
        <v>23.204000000000001</v>
      </c>
      <c r="AF1054" t="s">
        <v>28</v>
      </c>
      <c r="AG1054">
        <v>0</v>
      </c>
      <c r="AH1054" t="s">
        <v>1380</v>
      </c>
      <c r="AI1054">
        <f t="shared" si="67"/>
        <v>0</v>
      </c>
      <c r="AJ1054" t="s">
        <v>1391</v>
      </c>
    </row>
    <row r="1055" spans="1:36" x14ac:dyDescent="0.3">
      <c r="A1055" t="s">
        <v>22</v>
      </c>
      <c r="B1055">
        <v>75</v>
      </c>
      <c r="C1055">
        <v>76.602999999999994</v>
      </c>
      <c r="D1055">
        <v>1.85</v>
      </c>
      <c r="E1055">
        <v>39.712000000000003</v>
      </c>
      <c r="F1055">
        <f t="shared" si="65"/>
        <v>22.382176771365955</v>
      </c>
      <c r="G1055">
        <f t="shared" si="68"/>
        <v>1</v>
      </c>
      <c r="H1055" t="s">
        <v>1399</v>
      </c>
      <c r="I1055">
        <v>106.93</v>
      </c>
      <c r="J1055" t="s">
        <v>905</v>
      </c>
      <c r="K1055" s="24">
        <v>90</v>
      </c>
      <c r="L1055" s="24">
        <v>87</v>
      </c>
      <c r="M1055">
        <v>179</v>
      </c>
      <c r="N1055" t="s">
        <v>1433</v>
      </c>
      <c r="O1055">
        <v>30</v>
      </c>
      <c r="P1055">
        <v>189</v>
      </c>
      <c r="Q1055" t="s">
        <v>24</v>
      </c>
      <c r="R1055" t="s">
        <v>25</v>
      </c>
      <c r="S1055" t="s">
        <v>26</v>
      </c>
      <c r="T1055" t="s">
        <v>25</v>
      </c>
      <c r="U1055">
        <f t="shared" si="66"/>
        <v>3</v>
      </c>
      <c r="V1055">
        <v>185.041</v>
      </c>
      <c r="W1055">
        <v>0.57799999999999996</v>
      </c>
      <c r="X1055" t="s">
        <v>1407</v>
      </c>
      <c r="Y1055">
        <v>90</v>
      </c>
      <c r="Z1055">
        <v>87</v>
      </c>
      <c r="AA1055" t="s">
        <v>31</v>
      </c>
      <c r="AB1055">
        <v>119</v>
      </c>
      <c r="AC1055" s="23">
        <v>3.97</v>
      </c>
      <c r="AD1055" t="str">
        <f>IF(AND('CVD Dataset'!AA1055="Normal",'CVD Dataset'!AB1055&gt;AVERAGE('CVD Dataset'!AB:AB),'CVD Dataset'!AF1055="High"),"High Lipid Category","Normal Category")</f>
        <v>Normal Category</v>
      </c>
      <c r="AF1055" t="s">
        <v>32</v>
      </c>
      <c r="AG1055">
        <v>0</v>
      </c>
      <c r="AH1055" t="s">
        <v>1379</v>
      </c>
      <c r="AI1055">
        <f t="shared" si="67"/>
        <v>1</v>
      </c>
      <c r="AJ1055" t="s">
        <v>1392</v>
      </c>
    </row>
    <row r="1056" spans="1:36" x14ac:dyDescent="0.3">
      <c r="A1056" t="s">
        <v>22</v>
      </c>
      <c r="B1056">
        <v>41</v>
      </c>
      <c r="C1056">
        <v>82.337000000000003</v>
      </c>
      <c r="D1056">
        <v>1.7270000000000001</v>
      </c>
      <c r="E1056">
        <v>18.827999999999999</v>
      </c>
      <c r="F1056">
        <f t="shared" si="65"/>
        <v>27.60643735568036</v>
      </c>
      <c r="G1056">
        <f t="shared" si="68"/>
        <v>1</v>
      </c>
      <c r="H1056" t="s">
        <v>1398</v>
      </c>
      <c r="I1056">
        <v>72.052999999999997</v>
      </c>
      <c r="J1056" t="s">
        <v>906</v>
      </c>
      <c r="K1056" s="24">
        <v>154</v>
      </c>
      <c r="L1056" s="24">
        <v>70</v>
      </c>
      <c r="M1056">
        <v>207</v>
      </c>
      <c r="N1056" t="s">
        <v>1432</v>
      </c>
      <c r="O1056">
        <v>53</v>
      </c>
      <c r="P1056">
        <v>92</v>
      </c>
      <c r="Q1056" t="s">
        <v>25</v>
      </c>
      <c r="R1056" t="s">
        <v>25</v>
      </c>
      <c r="S1056" t="s">
        <v>39</v>
      </c>
      <c r="T1056" t="s">
        <v>25</v>
      </c>
      <c r="U1056">
        <f t="shared" si="66"/>
        <v>3</v>
      </c>
      <c r="V1056">
        <v>172.71700000000001</v>
      </c>
      <c r="W1056">
        <v>0.41699999999999998</v>
      </c>
      <c r="X1056" t="s">
        <v>1408</v>
      </c>
      <c r="Y1056">
        <v>154</v>
      </c>
      <c r="Z1056">
        <v>70</v>
      </c>
      <c r="AA1056" t="s">
        <v>40</v>
      </c>
      <c r="AB1056">
        <v>124</v>
      </c>
      <c r="AC1056" s="23">
        <v>2.34</v>
      </c>
      <c r="AD1056" t="str">
        <f>IF(AND('CVD Dataset'!AA1056="Normal",'CVD Dataset'!AB1056&gt;AVERAGE('CVD Dataset'!AB:AB),'CVD Dataset'!AF1056="High"),"High Lipid Category","Normal Category")</f>
        <v>Normal Category</v>
      </c>
      <c r="AE1056">
        <v>17.606000000000002</v>
      </c>
      <c r="AF1056" t="s">
        <v>32</v>
      </c>
      <c r="AG1056">
        <v>0</v>
      </c>
      <c r="AH1056" t="s">
        <v>1379</v>
      </c>
      <c r="AI1056">
        <f t="shared" si="67"/>
        <v>1</v>
      </c>
      <c r="AJ1056" t="s">
        <v>1391</v>
      </c>
    </row>
    <row r="1057" spans="1:36" x14ac:dyDescent="0.3">
      <c r="A1057" t="s">
        <v>33</v>
      </c>
      <c r="B1057">
        <v>28</v>
      </c>
      <c r="C1057">
        <v>99.08</v>
      </c>
      <c r="D1057">
        <v>1.77</v>
      </c>
      <c r="E1057">
        <v>24.835000000000001</v>
      </c>
      <c r="F1057">
        <f t="shared" si="65"/>
        <v>31.62565035590028</v>
      </c>
      <c r="G1057">
        <f t="shared" si="68"/>
        <v>1</v>
      </c>
      <c r="H1057" t="s">
        <v>1398</v>
      </c>
      <c r="I1057">
        <v>96.245000000000005</v>
      </c>
      <c r="J1057" t="s">
        <v>907</v>
      </c>
      <c r="K1057" s="24">
        <v>103</v>
      </c>
      <c r="L1057" s="24">
        <v>107</v>
      </c>
      <c r="M1057">
        <v>147</v>
      </c>
      <c r="N1057" t="s">
        <v>1434</v>
      </c>
      <c r="O1057">
        <v>38</v>
      </c>
      <c r="P1057">
        <v>165</v>
      </c>
      <c r="Q1057" t="s">
        <v>25</v>
      </c>
      <c r="R1057" t="s">
        <v>25</v>
      </c>
      <c r="S1057" t="s">
        <v>30</v>
      </c>
      <c r="T1057" t="s">
        <v>25</v>
      </c>
      <c r="U1057">
        <f t="shared" si="66"/>
        <v>3</v>
      </c>
      <c r="V1057">
        <v>177.012</v>
      </c>
      <c r="W1057">
        <v>0.54400000000000004</v>
      </c>
      <c r="X1057" t="s">
        <v>1407</v>
      </c>
      <c r="Y1057">
        <v>103</v>
      </c>
      <c r="Z1057">
        <v>107</v>
      </c>
      <c r="AA1057" t="s">
        <v>40</v>
      </c>
      <c r="AB1057">
        <v>79</v>
      </c>
      <c r="AC1057" s="23">
        <v>2.08</v>
      </c>
      <c r="AD1057" t="str">
        <f>IF(AND('CVD Dataset'!AA1057="Normal",'CVD Dataset'!AB1057&gt;AVERAGE('CVD Dataset'!AB:AB),'CVD Dataset'!AF1057="High"),"High Lipid Category","Normal Category")</f>
        <v>Normal Category</v>
      </c>
      <c r="AE1057">
        <v>15.057</v>
      </c>
      <c r="AF1057" t="s">
        <v>32</v>
      </c>
      <c r="AG1057">
        <v>0</v>
      </c>
      <c r="AH1057" t="s">
        <v>1379</v>
      </c>
      <c r="AI1057">
        <f t="shared" si="67"/>
        <v>1</v>
      </c>
      <c r="AJ1057" t="s">
        <v>1391</v>
      </c>
    </row>
    <row r="1058" spans="1:36" x14ac:dyDescent="0.3">
      <c r="A1058" t="s">
        <v>22</v>
      </c>
      <c r="B1058">
        <v>75</v>
      </c>
      <c r="C1058">
        <v>115.384</v>
      </c>
      <c r="D1058">
        <v>1.744</v>
      </c>
      <c r="E1058">
        <v>34.636000000000003</v>
      </c>
      <c r="F1058">
        <f t="shared" si="65"/>
        <v>37.936095446511239</v>
      </c>
      <c r="G1058">
        <f t="shared" si="68"/>
        <v>1</v>
      </c>
      <c r="H1058" t="s">
        <v>1399</v>
      </c>
      <c r="I1058">
        <v>102.26</v>
      </c>
      <c r="J1058" t="s">
        <v>908</v>
      </c>
      <c r="K1058" s="24">
        <v>128</v>
      </c>
      <c r="L1058" s="24">
        <v>97</v>
      </c>
      <c r="M1058">
        <v>164</v>
      </c>
      <c r="N1058" t="s">
        <v>1433</v>
      </c>
      <c r="O1058">
        <v>31</v>
      </c>
      <c r="P1058">
        <v>122</v>
      </c>
      <c r="Q1058" t="s">
        <v>25</v>
      </c>
      <c r="R1058" t="s">
        <v>24</v>
      </c>
      <c r="S1058" t="s">
        <v>39</v>
      </c>
      <c r="T1058" t="s">
        <v>25</v>
      </c>
      <c r="U1058">
        <f t="shared" si="66"/>
        <v>2</v>
      </c>
      <c r="V1058">
        <v>174.38499999999999</v>
      </c>
      <c r="W1058">
        <v>0.58599999999999997</v>
      </c>
      <c r="X1058" t="s">
        <v>1409</v>
      </c>
      <c r="Y1058">
        <v>128</v>
      </c>
      <c r="Z1058">
        <v>97</v>
      </c>
      <c r="AA1058" t="s">
        <v>40</v>
      </c>
      <c r="AB1058">
        <v>103</v>
      </c>
      <c r="AC1058" s="23">
        <v>3.32</v>
      </c>
      <c r="AD1058" t="str">
        <f>IF(AND('CVD Dataset'!AA1058="Normal",'CVD Dataset'!AB1058&gt;AVERAGE('CVD Dataset'!AB:AB),'CVD Dataset'!AF1058="High"),"High Lipid Category","Normal Category")</f>
        <v>Normal Category</v>
      </c>
      <c r="AE1058">
        <v>16.606999999999999</v>
      </c>
      <c r="AF1058" t="s">
        <v>28</v>
      </c>
      <c r="AG1058">
        <v>0</v>
      </c>
      <c r="AH1058" t="s">
        <v>1380</v>
      </c>
      <c r="AI1058">
        <f t="shared" si="67"/>
        <v>0</v>
      </c>
      <c r="AJ1058" t="s">
        <v>1391</v>
      </c>
    </row>
    <row r="1059" spans="1:36" x14ac:dyDescent="0.3">
      <c r="A1059" t="s">
        <v>33</v>
      </c>
      <c r="B1059">
        <v>32</v>
      </c>
      <c r="D1059">
        <v>1.657</v>
      </c>
      <c r="E1059">
        <v>21.387</v>
      </c>
      <c r="F1059">
        <f t="shared" si="65"/>
        <v>0</v>
      </c>
      <c r="G1059">
        <f t="shared" si="68"/>
        <v>1</v>
      </c>
      <c r="H1059" t="s">
        <v>1398</v>
      </c>
      <c r="I1059">
        <v>75.28</v>
      </c>
      <c r="J1059" t="s">
        <v>909</v>
      </c>
      <c r="K1059" s="24">
        <v>147</v>
      </c>
      <c r="L1059" s="24">
        <v>81</v>
      </c>
      <c r="M1059">
        <v>281</v>
      </c>
      <c r="N1059" t="s">
        <v>1432</v>
      </c>
      <c r="O1059">
        <v>63</v>
      </c>
      <c r="P1059">
        <v>153</v>
      </c>
      <c r="Q1059" t="s">
        <v>25</v>
      </c>
      <c r="R1059" t="s">
        <v>25</v>
      </c>
      <c r="S1059" t="s">
        <v>26</v>
      </c>
      <c r="T1059" t="s">
        <v>24</v>
      </c>
      <c r="U1059">
        <f t="shared" si="66"/>
        <v>3</v>
      </c>
      <c r="V1059">
        <v>165.71199999999999</v>
      </c>
      <c r="W1059">
        <v>0.45400000000000001</v>
      </c>
      <c r="X1059" t="s">
        <v>1408</v>
      </c>
      <c r="Y1059">
        <v>147</v>
      </c>
      <c r="Z1059">
        <v>81</v>
      </c>
      <c r="AA1059" t="s">
        <v>31</v>
      </c>
      <c r="AB1059">
        <v>188</v>
      </c>
      <c r="AC1059" s="23">
        <v>2.98</v>
      </c>
      <c r="AD1059" t="str">
        <f>IF(AND('CVD Dataset'!AA1059="Normal",'CVD Dataset'!AB1059&gt;AVERAGE('CVD Dataset'!AB:AB),'CVD Dataset'!AF1059="High"),"High Lipid Category","Normal Category")</f>
        <v>Normal Category</v>
      </c>
      <c r="AE1059">
        <v>19.247</v>
      </c>
      <c r="AF1059" t="s">
        <v>32</v>
      </c>
      <c r="AG1059">
        <v>1</v>
      </c>
      <c r="AH1059" t="s">
        <v>1379</v>
      </c>
      <c r="AI1059">
        <f t="shared" si="67"/>
        <v>1</v>
      </c>
      <c r="AJ1059" t="s">
        <v>1391</v>
      </c>
    </row>
    <row r="1060" spans="1:36" x14ac:dyDescent="0.3">
      <c r="A1060" t="s">
        <v>33</v>
      </c>
      <c r="B1060">
        <v>43</v>
      </c>
      <c r="C1060">
        <v>80.563000000000002</v>
      </c>
      <c r="D1060">
        <v>1.7150000000000001</v>
      </c>
      <c r="E1060">
        <v>30.696000000000002</v>
      </c>
      <c r="F1060">
        <f t="shared" si="65"/>
        <v>27.39096804902719</v>
      </c>
      <c r="G1060">
        <f t="shared" si="68"/>
        <v>1</v>
      </c>
      <c r="H1060" t="s">
        <v>1399</v>
      </c>
      <c r="I1060">
        <v>111.462</v>
      </c>
      <c r="J1060" t="s">
        <v>910</v>
      </c>
      <c r="K1060" s="24">
        <v>177</v>
      </c>
      <c r="L1060" s="24">
        <v>98</v>
      </c>
      <c r="M1060">
        <v>262</v>
      </c>
      <c r="N1060" t="s">
        <v>1432</v>
      </c>
      <c r="O1060">
        <v>77</v>
      </c>
      <c r="P1060">
        <v>140</v>
      </c>
      <c r="Q1060" t="s">
        <v>25</v>
      </c>
      <c r="R1060" t="s">
        <v>24</v>
      </c>
      <c r="S1060" t="s">
        <v>30</v>
      </c>
      <c r="T1060" t="s">
        <v>25</v>
      </c>
      <c r="U1060">
        <f t="shared" si="66"/>
        <v>2</v>
      </c>
      <c r="V1060">
        <v>171.53800000000001</v>
      </c>
      <c r="W1060">
        <v>0.65</v>
      </c>
      <c r="X1060" t="s">
        <v>1409</v>
      </c>
      <c r="Y1060">
        <v>177</v>
      </c>
      <c r="Z1060">
        <v>98</v>
      </c>
      <c r="AA1060" t="s">
        <v>40</v>
      </c>
      <c r="AB1060">
        <v>155</v>
      </c>
      <c r="AC1060" s="23">
        <v>2.0099999999999998</v>
      </c>
      <c r="AD1060" t="str">
        <f>IF(AND('CVD Dataset'!AA1060="Normal",'CVD Dataset'!AB1060&gt;AVERAGE('CVD Dataset'!AB:AB),'CVD Dataset'!AF1060="High"),"High Lipid Category","Normal Category")</f>
        <v>Normal Category</v>
      </c>
      <c r="AE1060">
        <v>20.228999999999999</v>
      </c>
      <c r="AF1060" t="s">
        <v>54</v>
      </c>
      <c r="AG1060">
        <v>0</v>
      </c>
      <c r="AH1060" t="s">
        <v>1380</v>
      </c>
      <c r="AI1060">
        <f t="shared" si="67"/>
        <v>0</v>
      </c>
      <c r="AJ1060" t="s">
        <v>1391</v>
      </c>
    </row>
    <row r="1061" spans="1:36" x14ac:dyDescent="0.3">
      <c r="A1061" t="s">
        <v>22</v>
      </c>
      <c r="B1061">
        <v>71</v>
      </c>
      <c r="C1061">
        <v>105.63</v>
      </c>
      <c r="D1061">
        <v>1.6819999999999999</v>
      </c>
      <c r="E1061">
        <v>33.093000000000004</v>
      </c>
      <c r="F1061">
        <f t="shared" si="65"/>
        <v>37.336645548233307</v>
      </c>
      <c r="G1061">
        <f t="shared" si="68"/>
        <v>1</v>
      </c>
      <c r="H1061" t="s">
        <v>1399</v>
      </c>
      <c r="I1061">
        <v>105.92700000000001</v>
      </c>
      <c r="J1061" t="s">
        <v>911</v>
      </c>
      <c r="K1061" s="24">
        <v>172</v>
      </c>
      <c r="L1061" s="24">
        <v>77</v>
      </c>
      <c r="M1061">
        <v>212</v>
      </c>
      <c r="N1061" t="s">
        <v>1432</v>
      </c>
      <c r="O1061">
        <v>59</v>
      </c>
      <c r="P1061">
        <v>98</v>
      </c>
      <c r="Q1061" t="s">
        <v>24</v>
      </c>
      <c r="R1061" t="s">
        <v>24</v>
      </c>
      <c r="S1061" t="s">
        <v>26</v>
      </c>
      <c r="T1061" t="s">
        <v>25</v>
      </c>
      <c r="U1061">
        <f t="shared" si="66"/>
        <v>2</v>
      </c>
      <c r="V1061">
        <v>168.16499999999999</v>
      </c>
      <c r="W1061">
        <v>0.63</v>
      </c>
      <c r="X1061" t="s">
        <v>1409</v>
      </c>
      <c r="Y1061">
        <v>172</v>
      </c>
      <c r="Z1061">
        <v>77</v>
      </c>
      <c r="AA1061" t="s">
        <v>40</v>
      </c>
      <c r="AB1061">
        <v>123</v>
      </c>
      <c r="AC1061" s="23">
        <v>2.08</v>
      </c>
      <c r="AD1061" t="str">
        <f>IF(AND('CVD Dataset'!AA1061="Normal",'CVD Dataset'!AB1061&gt;AVERAGE('CVD Dataset'!AB:AB),'CVD Dataset'!AF1061="High"),"High Lipid Category","Normal Category")</f>
        <v>Normal Category</v>
      </c>
      <c r="AE1061">
        <v>19.459</v>
      </c>
      <c r="AF1061" t="s">
        <v>32</v>
      </c>
      <c r="AG1061">
        <v>0</v>
      </c>
      <c r="AH1061" t="s">
        <v>1379</v>
      </c>
      <c r="AI1061">
        <f t="shared" si="67"/>
        <v>1</v>
      </c>
      <c r="AJ1061" t="s">
        <v>1391</v>
      </c>
    </row>
    <row r="1062" spans="1:36" x14ac:dyDescent="0.3">
      <c r="A1062" t="s">
        <v>33</v>
      </c>
      <c r="B1062">
        <v>45</v>
      </c>
      <c r="C1062">
        <v>110.392</v>
      </c>
      <c r="D1062">
        <v>1.7050000000000001</v>
      </c>
      <c r="E1062">
        <v>34.826000000000001</v>
      </c>
      <c r="F1062">
        <f t="shared" si="65"/>
        <v>37.974217627987372</v>
      </c>
      <c r="G1062">
        <f t="shared" si="68"/>
        <v>1</v>
      </c>
      <c r="H1062" t="s">
        <v>1399</v>
      </c>
      <c r="I1062">
        <v>95.951999999999998</v>
      </c>
      <c r="J1062" t="s">
        <v>912</v>
      </c>
      <c r="K1062" s="24">
        <v>165</v>
      </c>
      <c r="L1062" s="24">
        <v>85</v>
      </c>
      <c r="M1062">
        <v>276</v>
      </c>
      <c r="N1062" t="s">
        <v>1432</v>
      </c>
      <c r="O1062">
        <v>56</v>
      </c>
      <c r="P1062">
        <v>70</v>
      </c>
      <c r="Q1062" t="s">
        <v>24</v>
      </c>
      <c r="R1062" t="s">
        <v>24</v>
      </c>
      <c r="S1062" t="s">
        <v>26</v>
      </c>
      <c r="T1062" t="s">
        <v>25</v>
      </c>
      <c r="U1062">
        <f t="shared" si="66"/>
        <v>2</v>
      </c>
      <c r="V1062">
        <v>170.547</v>
      </c>
      <c r="W1062">
        <v>0.56299999999999994</v>
      </c>
      <c r="X1062" t="s">
        <v>1407</v>
      </c>
      <c r="Y1062">
        <v>165</v>
      </c>
      <c r="Z1062">
        <v>85</v>
      </c>
      <c r="AA1062" t="s">
        <v>31</v>
      </c>
      <c r="AB1062">
        <v>190</v>
      </c>
      <c r="AC1062" s="23">
        <v>3.39</v>
      </c>
      <c r="AD1062" t="str">
        <f>IF(AND('CVD Dataset'!AA1062="Normal",'CVD Dataset'!AB1062&gt;AVERAGE('CVD Dataset'!AB:AB),'CVD Dataset'!AF1062="High"),"High Lipid Category","Normal Category")</f>
        <v>Normal Category</v>
      </c>
      <c r="AE1062">
        <v>20.734999999999999</v>
      </c>
      <c r="AF1062" t="s">
        <v>28</v>
      </c>
      <c r="AG1062">
        <v>0</v>
      </c>
      <c r="AH1062" t="s">
        <v>1380</v>
      </c>
      <c r="AI1062">
        <f t="shared" si="67"/>
        <v>0</v>
      </c>
      <c r="AJ1062" t="s">
        <v>1391</v>
      </c>
    </row>
    <row r="1063" spans="1:36" x14ac:dyDescent="0.3">
      <c r="A1063" t="s">
        <v>33</v>
      </c>
      <c r="B1063">
        <v>33</v>
      </c>
      <c r="C1063">
        <v>73.070999999999998</v>
      </c>
      <c r="D1063">
        <v>1.6459999999999999</v>
      </c>
      <c r="E1063">
        <v>27.373000000000001</v>
      </c>
      <c r="F1063">
        <f t="shared" si="65"/>
        <v>26.970275892513094</v>
      </c>
      <c r="G1063">
        <f t="shared" si="68"/>
        <v>1</v>
      </c>
      <c r="H1063" t="s">
        <v>1400</v>
      </c>
      <c r="I1063">
        <v>82.346000000000004</v>
      </c>
      <c r="J1063" t="s">
        <v>913</v>
      </c>
      <c r="K1063" s="24">
        <v>129</v>
      </c>
      <c r="L1063" s="24">
        <v>113</v>
      </c>
      <c r="N1063" t="s">
        <v>1434</v>
      </c>
      <c r="P1063">
        <v>92</v>
      </c>
      <c r="Q1063" t="s">
        <v>25</v>
      </c>
      <c r="R1063" t="s">
        <v>25</v>
      </c>
      <c r="S1063" t="s">
        <v>30</v>
      </c>
      <c r="T1063" t="s">
        <v>24</v>
      </c>
      <c r="U1063">
        <f t="shared" si="66"/>
        <v>2</v>
      </c>
      <c r="V1063">
        <v>164.61500000000001</v>
      </c>
      <c r="W1063">
        <v>0.5</v>
      </c>
      <c r="X1063" t="s">
        <v>1406</v>
      </c>
      <c r="Y1063">
        <v>129</v>
      </c>
      <c r="Z1063">
        <v>113</v>
      </c>
      <c r="AA1063" t="s">
        <v>40</v>
      </c>
      <c r="AB1063">
        <v>32</v>
      </c>
      <c r="AC1063" s="23" t="s">
        <v>1410</v>
      </c>
      <c r="AD1063" t="str">
        <f>IF(AND('CVD Dataset'!AA1063="Normal",'CVD Dataset'!AB1063&gt;AVERAGE('CVD Dataset'!AB:AB),'CVD Dataset'!AF1063="High"),"High Lipid Category","Normal Category")</f>
        <v>Normal Category</v>
      </c>
      <c r="AE1063">
        <v>16.425000000000001</v>
      </c>
      <c r="AF1063" t="s">
        <v>32</v>
      </c>
      <c r="AG1063">
        <v>0</v>
      </c>
      <c r="AH1063" t="s">
        <v>1379</v>
      </c>
      <c r="AI1063">
        <f t="shared" si="67"/>
        <v>1</v>
      </c>
      <c r="AJ1063" t="s">
        <v>1391</v>
      </c>
    </row>
    <row r="1064" spans="1:36" x14ac:dyDescent="0.3">
      <c r="A1064" t="s">
        <v>22</v>
      </c>
      <c r="B1064">
        <v>57</v>
      </c>
      <c r="C1064">
        <v>57.427999999999997</v>
      </c>
      <c r="D1064">
        <v>1.8109999999999999</v>
      </c>
      <c r="E1064">
        <v>36.299999999999997</v>
      </c>
      <c r="F1064">
        <f t="shared" si="65"/>
        <v>17.510026005260812</v>
      </c>
      <c r="G1064">
        <f t="shared" si="68"/>
        <v>1</v>
      </c>
      <c r="H1064" t="s">
        <v>1399</v>
      </c>
      <c r="I1064">
        <v>92.387</v>
      </c>
      <c r="J1064" t="s">
        <v>914</v>
      </c>
      <c r="K1064" s="24">
        <v>126</v>
      </c>
      <c r="L1064" s="24">
        <v>61</v>
      </c>
      <c r="M1064">
        <v>203</v>
      </c>
      <c r="N1064" t="s">
        <v>1432</v>
      </c>
      <c r="P1064">
        <v>161</v>
      </c>
      <c r="Q1064" t="s">
        <v>25</v>
      </c>
      <c r="R1064" t="s">
        <v>25</v>
      </c>
      <c r="S1064" t="s">
        <v>30</v>
      </c>
      <c r="T1064" t="s">
        <v>24</v>
      </c>
      <c r="U1064">
        <f t="shared" si="66"/>
        <v>2</v>
      </c>
      <c r="V1064">
        <v>181.13800000000001</v>
      </c>
      <c r="W1064">
        <v>0.51</v>
      </c>
      <c r="X1064" t="s">
        <v>1406</v>
      </c>
      <c r="Y1064">
        <v>126</v>
      </c>
      <c r="Z1064">
        <v>61</v>
      </c>
      <c r="AA1064" t="s">
        <v>27</v>
      </c>
      <c r="AC1064" s="23" t="s">
        <v>1410</v>
      </c>
      <c r="AD1064" t="str">
        <f>IF(AND('CVD Dataset'!AA1064="Normal",'CVD Dataset'!AB1064&gt;AVERAGE('CVD Dataset'!AB:AB),'CVD Dataset'!AF1064="High"),"High Lipid Category","Normal Category")</f>
        <v>Normal Category</v>
      </c>
      <c r="AE1064">
        <v>19.62</v>
      </c>
      <c r="AF1064" t="s">
        <v>32</v>
      </c>
      <c r="AG1064">
        <v>0</v>
      </c>
      <c r="AH1064" t="s">
        <v>1379</v>
      </c>
      <c r="AI1064">
        <f t="shared" si="67"/>
        <v>1</v>
      </c>
      <c r="AJ1064" t="s">
        <v>1391</v>
      </c>
    </row>
    <row r="1065" spans="1:36" x14ac:dyDescent="0.3">
      <c r="A1065" t="s">
        <v>22</v>
      </c>
      <c r="B1065">
        <v>53</v>
      </c>
      <c r="C1065">
        <v>96.331999999999994</v>
      </c>
      <c r="D1065">
        <v>1.6739999999999999</v>
      </c>
      <c r="E1065">
        <v>38.898000000000003</v>
      </c>
      <c r="F1065">
        <f t="shared" si="65"/>
        <v>34.376342658610355</v>
      </c>
      <c r="G1065">
        <f t="shared" si="68"/>
        <v>1</v>
      </c>
      <c r="H1065" t="s">
        <v>1399</v>
      </c>
      <c r="I1065">
        <v>103.991</v>
      </c>
      <c r="J1065" t="s">
        <v>915</v>
      </c>
      <c r="K1065" s="24">
        <v>179</v>
      </c>
      <c r="L1065" s="24">
        <v>90</v>
      </c>
      <c r="M1065">
        <v>212</v>
      </c>
      <c r="N1065" t="s">
        <v>1432</v>
      </c>
      <c r="O1065">
        <v>35</v>
      </c>
      <c r="P1065">
        <v>96</v>
      </c>
      <c r="Q1065" t="s">
        <v>25</v>
      </c>
      <c r="R1065" t="s">
        <v>25</v>
      </c>
      <c r="S1065" t="s">
        <v>30</v>
      </c>
      <c r="T1065" t="s">
        <v>25</v>
      </c>
      <c r="U1065">
        <f t="shared" si="66"/>
        <v>3</v>
      </c>
      <c r="V1065">
        <v>167.44499999999999</v>
      </c>
      <c r="W1065">
        <v>0.621</v>
      </c>
      <c r="X1065" t="s">
        <v>1409</v>
      </c>
      <c r="Z1065">
        <v>90</v>
      </c>
      <c r="AA1065" t="s">
        <v>40</v>
      </c>
      <c r="AB1065">
        <v>147</v>
      </c>
      <c r="AC1065" s="23">
        <v>4.2</v>
      </c>
      <c r="AD1065" t="str">
        <f>IF(AND('CVD Dataset'!AA1065="Normal",'CVD Dataset'!AB1065&gt;AVERAGE('CVD Dataset'!AB:AB),'CVD Dataset'!AF1065="High"),"High Lipid Category","Normal Category")</f>
        <v>Normal Category</v>
      </c>
      <c r="AE1065">
        <v>22.97</v>
      </c>
      <c r="AF1065" t="s">
        <v>28</v>
      </c>
      <c r="AG1065">
        <v>0</v>
      </c>
      <c r="AH1065" t="s">
        <v>1380</v>
      </c>
      <c r="AI1065">
        <f t="shared" si="67"/>
        <v>0</v>
      </c>
      <c r="AJ1065" t="s">
        <v>1392</v>
      </c>
    </row>
    <row r="1066" spans="1:36" x14ac:dyDescent="0.3">
      <c r="A1066" t="s">
        <v>22</v>
      </c>
      <c r="B1066">
        <v>47</v>
      </c>
      <c r="C1066">
        <v>83.534000000000006</v>
      </c>
      <c r="D1066">
        <v>1.89</v>
      </c>
      <c r="E1066">
        <v>38.703000000000003</v>
      </c>
      <c r="F1066">
        <f t="shared" si="65"/>
        <v>23.385123596763812</v>
      </c>
      <c r="G1066">
        <f t="shared" si="68"/>
        <v>1</v>
      </c>
      <c r="H1066" t="s">
        <v>1399</v>
      </c>
      <c r="I1066">
        <v>113.907</v>
      </c>
      <c r="J1066" t="s">
        <v>916</v>
      </c>
      <c r="K1066" s="24">
        <v>171</v>
      </c>
      <c r="L1066" s="24">
        <v>113</v>
      </c>
      <c r="M1066">
        <v>255</v>
      </c>
      <c r="N1066" t="s">
        <v>1432</v>
      </c>
      <c r="O1066">
        <v>47</v>
      </c>
      <c r="P1066">
        <v>173</v>
      </c>
      <c r="Q1066" t="s">
        <v>25</v>
      </c>
      <c r="R1066" t="s">
        <v>24</v>
      </c>
      <c r="S1066" t="s">
        <v>30</v>
      </c>
      <c r="T1066" t="s">
        <v>25</v>
      </c>
      <c r="U1066">
        <f t="shared" si="66"/>
        <v>2</v>
      </c>
      <c r="V1066">
        <v>188.965</v>
      </c>
      <c r="W1066">
        <v>0.60299999999999998</v>
      </c>
      <c r="X1066" t="s">
        <v>1409</v>
      </c>
      <c r="Y1066">
        <v>171</v>
      </c>
      <c r="Z1066">
        <v>113</v>
      </c>
      <c r="AA1066" t="s">
        <v>40</v>
      </c>
      <c r="AB1066">
        <v>178</v>
      </c>
      <c r="AC1066" s="23">
        <v>3.79</v>
      </c>
      <c r="AD1066" t="str">
        <f>IF(AND('CVD Dataset'!AA1066="Normal",'CVD Dataset'!AB1066&gt;AVERAGE('CVD Dataset'!AB:AB),'CVD Dataset'!AF1066="High"),"High Lipid Category","Normal Category")</f>
        <v>Normal Category</v>
      </c>
      <c r="AE1066">
        <v>21.390999999999998</v>
      </c>
      <c r="AF1066" t="s">
        <v>28</v>
      </c>
      <c r="AG1066">
        <v>0</v>
      </c>
      <c r="AH1066" t="s">
        <v>1380</v>
      </c>
      <c r="AI1066">
        <f t="shared" si="67"/>
        <v>0</v>
      </c>
      <c r="AJ1066" t="s">
        <v>1391</v>
      </c>
    </row>
    <row r="1067" spans="1:36" x14ac:dyDescent="0.3">
      <c r="A1067" t="s">
        <v>22</v>
      </c>
      <c r="B1067">
        <v>67</v>
      </c>
      <c r="C1067">
        <v>79.489000000000004</v>
      </c>
      <c r="D1067">
        <v>1.879</v>
      </c>
      <c r="E1067">
        <v>28.065999999999999</v>
      </c>
      <c r="F1067">
        <f t="shared" si="65"/>
        <v>22.514042067715184</v>
      </c>
      <c r="G1067">
        <f t="shared" si="68"/>
        <v>1</v>
      </c>
      <c r="H1067" t="s">
        <v>1400</v>
      </c>
      <c r="I1067">
        <v>81.173000000000002</v>
      </c>
      <c r="J1067" t="s">
        <v>917</v>
      </c>
      <c r="K1067" s="24">
        <v>162</v>
      </c>
      <c r="L1067" s="24">
        <v>117</v>
      </c>
      <c r="M1067">
        <v>229</v>
      </c>
      <c r="N1067" t="s">
        <v>1432</v>
      </c>
      <c r="O1067">
        <v>70</v>
      </c>
      <c r="P1067">
        <v>136</v>
      </c>
      <c r="Q1067" t="s">
        <v>24</v>
      </c>
      <c r="R1067" t="s">
        <v>24</v>
      </c>
      <c r="S1067" t="s">
        <v>39</v>
      </c>
      <c r="T1067" t="s">
        <v>25</v>
      </c>
      <c r="U1067">
        <f t="shared" si="66"/>
        <v>1</v>
      </c>
      <c r="V1067">
        <v>187.85900000000001</v>
      </c>
      <c r="W1067">
        <v>0.432</v>
      </c>
      <c r="X1067" t="s">
        <v>1408</v>
      </c>
      <c r="Y1067">
        <v>162</v>
      </c>
      <c r="Z1067">
        <v>117</v>
      </c>
      <c r="AA1067" t="s">
        <v>40</v>
      </c>
      <c r="AB1067">
        <v>129</v>
      </c>
      <c r="AC1067" s="23">
        <v>1.84</v>
      </c>
      <c r="AD1067" t="str">
        <f>IF(AND('CVD Dataset'!AA1067="Normal",'CVD Dataset'!AB1067&gt;AVERAGE('CVD Dataset'!AB:AB),'CVD Dataset'!AF1067="High"),"High Lipid Category","Normal Category")</f>
        <v>Normal Category</v>
      </c>
      <c r="AE1067">
        <v>18.292999999999999</v>
      </c>
      <c r="AF1067" t="s">
        <v>54</v>
      </c>
      <c r="AG1067">
        <v>0</v>
      </c>
      <c r="AH1067" t="s">
        <v>1380</v>
      </c>
      <c r="AI1067">
        <f t="shared" si="67"/>
        <v>0</v>
      </c>
      <c r="AJ1067" t="s">
        <v>1391</v>
      </c>
    </row>
    <row r="1068" spans="1:36" x14ac:dyDescent="0.3">
      <c r="A1068" t="s">
        <v>22</v>
      </c>
      <c r="B1068">
        <v>33</v>
      </c>
      <c r="C1068">
        <v>105.351</v>
      </c>
      <c r="D1068">
        <v>1.68</v>
      </c>
      <c r="E1068">
        <v>28.038</v>
      </c>
      <c r="F1068">
        <f t="shared" si="65"/>
        <v>37.326743197278915</v>
      </c>
      <c r="G1068">
        <f t="shared" si="68"/>
        <v>1</v>
      </c>
      <c r="H1068" t="s">
        <v>1400</v>
      </c>
      <c r="I1068">
        <v>109.807</v>
      </c>
      <c r="J1068" t="s">
        <v>570</v>
      </c>
      <c r="K1068" s="24">
        <v>146</v>
      </c>
      <c r="L1068" s="24">
        <v>91</v>
      </c>
      <c r="M1068">
        <v>288</v>
      </c>
      <c r="N1068" t="s">
        <v>1432</v>
      </c>
      <c r="O1068">
        <v>48</v>
      </c>
      <c r="P1068">
        <v>161</v>
      </c>
      <c r="Q1068" t="s">
        <v>25</v>
      </c>
      <c r="R1068" t="s">
        <v>25</v>
      </c>
      <c r="S1068" t="s">
        <v>30</v>
      </c>
      <c r="T1068" t="s">
        <v>25</v>
      </c>
      <c r="U1068">
        <f t="shared" si="66"/>
        <v>3</v>
      </c>
      <c r="V1068">
        <v>167.977</v>
      </c>
      <c r="W1068">
        <v>0.65400000000000003</v>
      </c>
      <c r="X1068" t="s">
        <v>1409</v>
      </c>
      <c r="Y1068">
        <v>146</v>
      </c>
      <c r="Z1068">
        <v>91</v>
      </c>
      <c r="AA1068" t="s">
        <v>40</v>
      </c>
      <c r="AB1068">
        <v>210</v>
      </c>
      <c r="AC1068" s="23">
        <v>4.38</v>
      </c>
      <c r="AD1068" t="str">
        <f>IF(AND('CVD Dataset'!AA1068="Normal",'CVD Dataset'!AB1068&gt;AVERAGE('CVD Dataset'!AB:AB),'CVD Dataset'!AF1068="High"),"High Lipid Category","Normal Category")</f>
        <v>Normal Category</v>
      </c>
      <c r="AE1068">
        <v>20.667999999999999</v>
      </c>
      <c r="AF1068" t="s">
        <v>54</v>
      </c>
      <c r="AG1068">
        <v>0</v>
      </c>
      <c r="AH1068" t="s">
        <v>1380</v>
      </c>
      <c r="AI1068">
        <f t="shared" si="67"/>
        <v>0</v>
      </c>
      <c r="AJ1068" t="s">
        <v>1391</v>
      </c>
    </row>
    <row r="1069" spans="1:36" x14ac:dyDescent="0.3">
      <c r="A1069" t="s">
        <v>22</v>
      </c>
      <c r="B1069">
        <v>64</v>
      </c>
      <c r="C1069">
        <v>67.144000000000005</v>
      </c>
      <c r="D1069">
        <v>1.532</v>
      </c>
      <c r="E1069">
        <v>22.811</v>
      </c>
      <c r="F1069">
        <f t="shared" si="65"/>
        <v>28.608143759927465</v>
      </c>
      <c r="G1069">
        <f t="shared" si="68"/>
        <v>1</v>
      </c>
      <c r="H1069" t="s">
        <v>1398</v>
      </c>
      <c r="I1069">
        <v>99.79</v>
      </c>
      <c r="J1069" t="s">
        <v>758</v>
      </c>
      <c r="K1069" s="24">
        <v>127</v>
      </c>
      <c r="L1069" s="24">
        <v>99</v>
      </c>
      <c r="M1069">
        <v>260</v>
      </c>
      <c r="N1069" t="s">
        <v>1432</v>
      </c>
      <c r="O1069">
        <v>59</v>
      </c>
      <c r="P1069">
        <v>106</v>
      </c>
      <c r="Q1069" t="s">
        <v>24</v>
      </c>
      <c r="R1069" t="s">
        <v>24</v>
      </c>
      <c r="S1069" t="s">
        <v>30</v>
      </c>
      <c r="T1069" t="s">
        <v>24</v>
      </c>
      <c r="U1069">
        <f t="shared" si="66"/>
        <v>0</v>
      </c>
      <c r="V1069">
        <v>153.17099999999999</v>
      </c>
      <c r="W1069">
        <v>0.65100000000000002</v>
      </c>
      <c r="X1069" t="s">
        <v>1409</v>
      </c>
      <c r="Y1069">
        <v>127</v>
      </c>
      <c r="Z1069">
        <v>99</v>
      </c>
      <c r="AA1069" t="s">
        <v>40</v>
      </c>
      <c r="AB1069">
        <v>171</v>
      </c>
      <c r="AC1069" s="23">
        <v>2.9</v>
      </c>
      <c r="AD1069" t="str">
        <f>IF(AND('CVD Dataset'!AA1069="Normal",'CVD Dataset'!AB1069&gt;AVERAGE('CVD Dataset'!AB:AB),'CVD Dataset'!AF1069="High"),"High Lipid Category","Normal Category")</f>
        <v>Normal Category</v>
      </c>
      <c r="AE1069">
        <v>16.111999999999998</v>
      </c>
      <c r="AF1069" t="s">
        <v>32</v>
      </c>
      <c r="AG1069">
        <v>0</v>
      </c>
      <c r="AH1069" t="s">
        <v>1379</v>
      </c>
      <c r="AI1069">
        <f t="shared" si="67"/>
        <v>1</v>
      </c>
      <c r="AJ1069" t="s">
        <v>1391</v>
      </c>
    </row>
    <row r="1070" spans="1:36" x14ac:dyDescent="0.3">
      <c r="A1070" t="s">
        <v>22</v>
      </c>
      <c r="B1070">
        <v>76</v>
      </c>
      <c r="C1070">
        <v>99.191000000000003</v>
      </c>
      <c r="D1070">
        <v>1.738</v>
      </c>
      <c r="F1070">
        <f t="shared" si="65"/>
        <v>32.837699510435527</v>
      </c>
      <c r="G1070">
        <f t="shared" si="68"/>
        <v>1</v>
      </c>
      <c r="H1070" t="s">
        <v>1401</v>
      </c>
      <c r="I1070">
        <v>80.861999999999995</v>
      </c>
      <c r="J1070" t="s">
        <v>918</v>
      </c>
      <c r="K1070" s="24">
        <v>102</v>
      </c>
      <c r="L1070" s="24">
        <v>70</v>
      </c>
      <c r="M1070">
        <v>212</v>
      </c>
      <c r="N1070" t="s">
        <v>1432</v>
      </c>
      <c r="O1070">
        <v>66</v>
      </c>
      <c r="P1070">
        <v>178</v>
      </c>
      <c r="Q1070" t="s">
        <v>24</v>
      </c>
      <c r="R1070" t="s">
        <v>25</v>
      </c>
      <c r="S1070" t="s">
        <v>26</v>
      </c>
      <c r="T1070" t="s">
        <v>24</v>
      </c>
      <c r="U1070">
        <f t="shared" si="66"/>
        <v>2</v>
      </c>
      <c r="V1070">
        <v>173.786</v>
      </c>
      <c r="W1070">
        <v>0.46500000000000002</v>
      </c>
      <c r="X1070" t="s">
        <v>1406</v>
      </c>
      <c r="Y1070">
        <v>102</v>
      </c>
      <c r="Z1070">
        <v>70</v>
      </c>
      <c r="AA1070" t="s">
        <v>35</v>
      </c>
      <c r="AB1070">
        <v>116</v>
      </c>
      <c r="AC1070" s="23">
        <v>1.76</v>
      </c>
      <c r="AD1070" t="str">
        <f>IF(AND('CVD Dataset'!AA1070="Normal",'CVD Dataset'!AB1070&gt;AVERAGE('CVD Dataset'!AB:AB),'CVD Dataset'!AF1070="High"),"High Lipid Category","Normal Category")</f>
        <v>Normal Category</v>
      </c>
      <c r="AE1070">
        <v>18.044</v>
      </c>
      <c r="AF1070" t="s">
        <v>28</v>
      </c>
      <c r="AG1070">
        <v>0</v>
      </c>
      <c r="AH1070" t="s">
        <v>1380</v>
      </c>
      <c r="AI1070">
        <f t="shared" si="67"/>
        <v>0</v>
      </c>
      <c r="AJ1070" t="s">
        <v>1391</v>
      </c>
    </row>
    <row r="1071" spans="1:36" x14ac:dyDescent="0.3">
      <c r="A1071" t="s">
        <v>33</v>
      </c>
      <c r="B1071">
        <v>44</v>
      </c>
      <c r="C1071">
        <v>104.303</v>
      </c>
      <c r="D1071">
        <v>1.8959999999999999</v>
      </c>
      <c r="E1071">
        <v>33.274000000000001</v>
      </c>
      <c r="F1071">
        <f t="shared" si="65"/>
        <v>29.014836920721397</v>
      </c>
      <c r="G1071">
        <f t="shared" si="68"/>
        <v>1</v>
      </c>
      <c r="H1071" t="s">
        <v>1399</v>
      </c>
      <c r="I1071">
        <v>90.572000000000003</v>
      </c>
      <c r="J1071" t="s">
        <v>919</v>
      </c>
      <c r="K1071" s="24">
        <v>108</v>
      </c>
      <c r="L1071" s="24">
        <v>84</v>
      </c>
      <c r="M1071">
        <v>117</v>
      </c>
      <c r="N1071" t="s">
        <v>1434</v>
      </c>
      <c r="O1071">
        <v>43</v>
      </c>
      <c r="P1071">
        <v>170</v>
      </c>
      <c r="Q1071" t="s">
        <v>25</v>
      </c>
      <c r="R1071" t="s">
        <v>24</v>
      </c>
      <c r="S1071" t="s">
        <v>30</v>
      </c>
      <c r="T1071" t="s">
        <v>24</v>
      </c>
      <c r="U1071">
        <f t="shared" si="66"/>
        <v>1</v>
      </c>
      <c r="V1071">
        <v>189.56899999999999</v>
      </c>
      <c r="W1071">
        <v>0.47799999999999998</v>
      </c>
      <c r="X1071" t="s">
        <v>1406</v>
      </c>
      <c r="Y1071">
        <v>108</v>
      </c>
      <c r="Z1071">
        <v>84</v>
      </c>
      <c r="AA1071" t="s">
        <v>31</v>
      </c>
      <c r="AB1071">
        <v>44</v>
      </c>
      <c r="AC1071" s="23">
        <v>1.02</v>
      </c>
      <c r="AD1071" t="str">
        <f>IF(AND('CVD Dataset'!AA1071="Normal",'CVD Dataset'!AB1071&gt;AVERAGE('CVD Dataset'!AB:AB),'CVD Dataset'!AF1071="High"),"High Lipid Category","Normal Category")</f>
        <v>Normal Category</v>
      </c>
      <c r="AE1071">
        <v>14.395</v>
      </c>
      <c r="AF1071" t="s">
        <v>32</v>
      </c>
      <c r="AG1071">
        <v>0</v>
      </c>
      <c r="AH1071" t="s">
        <v>1379</v>
      </c>
      <c r="AI1071">
        <f t="shared" si="67"/>
        <v>1</v>
      </c>
      <c r="AJ1071" t="s">
        <v>1391</v>
      </c>
    </row>
    <row r="1072" spans="1:36" x14ac:dyDescent="0.3">
      <c r="A1072" t="s">
        <v>22</v>
      </c>
      <c r="B1072">
        <v>30</v>
      </c>
      <c r="C1072">
        <v>74.353999999999999</v>
      </c>
      <c r="E1072">
        <v>26.4</v>
      </c>
      <c r="F1072" t="str">
        <f t="shared" si="65"/>
        <v/>
      </c>
      <c r="G1072" t="str">
        <f t="shared" si="68"/>
        <v/>
      </c>
      <c r="H1072" t="s">
        <v>1400</v>
      </c>
      <c r="I1072">
        <v>96.936000000000007</v>
      </c>
      <c r="J1072" t="s">
        <v>211</v>
      </c>
      <c r="K1072" s="24">
        <v>102</v>
      </c>
      <c r="L1072" s="24">
        <v>60</v>
      </c>
      <c r="M1072">
        <v>160</v>
      </c>
      <c r="N1072" t="s">
        <v>1433</v>
      </c>
      <c r="O1072">
        <v>37</v>
      </c>
      <c r="Q1072" t="s">
        <v>25</v>
      </c>
      <c r="R1072" t="s">
        <v>25</v>
      </c>
      <c r="S1072" t="s">
        <v>39</v>
      </c>
      <c r="T1072" t="s">
        <v>25</v>
      </c>
      <c r="U1072">
        <f t="shared" si="66"/>
        <v>3</v>
      </c>
      <c r="V1072">
        <v>178.83199999999999</v>
      </c>
      <c r="W1072">
        <v>0.54200000000000004</v>
      </c>
      <c r="X1072" t="s">
        <v>1407</v>
      </c>
      <c r="Y1072">
        <v>102</v>
      </c>
      <c r="Z1072">
        <v>60</v>
      </c>
      <c r="AA1072" t="s">
        <v>35</v>
      </c>
      <c r="AB1072">
        <v>93</v>
      </c>
      <c r="AC1072" s="23">
        <v>2.5099999999999998</v>
      </c>
      <c r="AD1072" t="str">
        <f>IF(AND('CVD Dataset'!AA1072="Normal",'CVD Dataset'!AB1072&gt;AVERAGE('CVD Dataset'!AB:AB),'CVD Dataset'!AF1072="High"),"High Lipid Category","Normal Category")</f>
        <v>Normal Category</v>
      </c>
      <c r="AE1072">
        <v>15.58</v>
      </c>
      <c r="AF1072" t="s">
        <v>54</v>
      </c>
      <c r="AG1072">
        <v>0</v>
      </c>
      <c r="AH1072" t="s">
        <v>1380</v>
      </c>
      <c r="AI1072">
        <f t="shared" si="67"/>
        <v>0</v>
      </c>
      <c r="AJ1072" t="s">
        <v>1391</v>
      </c>
    </row>
    <row r="1073" spans="1:36" x14ac:dyDescent="0.3">
      <c r="A1073" t="s">
        <v>22</v>
      </c>
      <c r="B1073">
        <v>51</v>
      </c>
      <c r="C1073">
        <v>70.213999999999999</v>
      </c>
      <c r="D1073">
        <v>1.599</v>
      </c>
      <c r="E1073">
        <v>21.675999999999998</v>
      </c>
      <c r="F1073">
        <f t="shared" si="65"/>
        <v>27.461660097911412</v>
      </c>
      <c r="G1073">
        <f t="shared" si="68"/>
        <v>1</v>
      </c>
      <c r="H1073" t="s">
        <v>1398</v>
      </c>
      <c r="I1073">
        <v>77.685000000000002</v>
      </c>
      <c r="J1073" t="s">
        <v>920</v>
      </c>
      <c r="K1073" s="24">
        <v>127</v>
      </c>
      <c r="L1073" s="24">
        <v>106</v>
      </c>
      <c r="M1073">
        <v>137</v>
      </c>
      <c r="N1073" t="s">
        <v>1434</v>
      </c>
      <c r="O1073">
        <v>75</v>
      </c>
      <c r="P1073">
        <v>79</v>
      </c>
      <c r="Q1073" t="s">
        <v>25</v>
      </c>
      <c r="R1073" t="s">
        <v>25</v>
      </c>
      <c r="S1073" t="s">
        <v>39</v>
      </c>
      <c r="T1073" t="s">
        <v>24</v>
      </c>
      <c r="U1073">
        <f t="shared" si="66"/>
        <v>2</v>
      </c>
      <c r="V1073">
        <v>159.87799999999999</v>
      </c>
      <c r="X1073" t="s">
        <v>1410</v>
      </c>
      <c r="Y1073">
        <v>127</v>
      </c>
      <c r="Z1073">
        <v>106</v>
      </c>
      <c r="AA1073" t="s">
        <v>40</v>
      </c>
      <c r="AB1073">
        <v>32</v>
      </c>
      <c r="AC1073" s="23">
        <v>0.43</v>
      </c>
      <c r="AD1073" t="str">
        <f>IF(AND('CVD Dataset'!AA1073="Normal",'CVD Dataset'!AB1073&gt;AVERAGE('CVD Dataset'!AB:AB),'CVD Dataset'!AF1073="High"),"High Lipid Category","Normal Category")</f>
        <v>Normal Category</v>
      </c>
      <c r="AE1073">
        <v>15.425000000000001</v>
      </c>
      <c r="AF1073" t="s">
        <v>28</v>
      </c>
      <c r="AG1073">
        <v>0</v>
      </c>
      <c r="AH1073" t="s">
        <v>1380</v>
      </c>
      <c r="AI1073">
        <f t="shared" si="67"/>
        <v>0</v>
      </c>
      <c r="AJ1073" t="s">
        <v>1392</v>
      </c>
    </row>
    <row r="1074" spans="1:36" x14ac:dyDescent="0.3">
      <c r="A1074" t="s">
        <v>33</v>
      </c>
      <c r="B1074">
        <v>72</v>
      </c>
      <c r="C1074">
        <v>60.783000000000001</v>
      </c>
      <c r="D1074">
        <v>1.556</v>
      </c>
      <c r="E1074">
        <v>21.14</v>
      </c>
      <c r="F1074">
        <f t="shared" si="65"/>
        <v>25.105157248498223</v>
      </c>
      <c r="G1074">
        <f t="shared" si="68"/>
        <v>1</v>
      </c>
      <c r="H1074" t="s">
        <v>1398</v>
      </c>
      <c r="I1074">
        <v>112.63</v>
      </c>
      <c r="J1074" t="s">
        <v>921</v>
      </c>
      <c r="K1074" s="24">
        <v>117</v>
      </c>
      <c r="L1074" s="24">
        <v>108</v>
      </c>
      <c r="M1074">
        <v>124</v>
      </c>
      <c r="N1074" t="s">
        <v>1434</v>
      </c>
      <c r="O1074">
        <v>37</v>
      </c>
      <c r="P1074">
        <v>82</v>
      </c>
      <c r="Q1074" t="s">
        <v>24</v>
      </c>
      <c r="R1074" t="s">
        <v>24</v>
      </c>
      <c r="S1074" t="s">
        <v>26</v>
      </c>
      <c r="T1074" t="s">
        <v>24</v>
      </c>
      <c r="U1074">
        <f t="shared" si="66"/>
        <v>1</v>
      </c>
      <c r="V1074">
        <v>155.59899999999999</v>
      </c>
      <c r="W1074">
        <v>0.72399999999999998</v>
      </c>
      <c r="X1074" t="s">
        <v>1409</v>
      </c>
      <c r="Y1074">
        <v>117</v>
      </c>
      <c r="Z1074">
        <v>108</v>
      </c>
      <c r="AA1074" t="s">
        <v>40</v>
      </c>
      <c r="AB1074">
        <v>57</v>
      </c>
      <c r="AC1074" s="23">
        <v>1.54</v>
      </c>
      <c r="AD1074" t="str">
        <f>IF(AND('CVD Dataset'!AA1074="Normal",'CVD Dataset'!AB1074&gt;AVERAGE('CVD Dataset'!AB:AB),'CVD Dataset'!AF1074="High"),"High Lipid Category","Normal Category")</f>
        <v>Normal Category</v>
      </c>
      <c r="AE1074">
        <v>12.558</v>
      </c>
      <c r="AF1074" t="s">
        <v>32</v>
      </c>
      <c r="AG1074">
        <v>0</v>
      </c>
      <c r="AH1074" t="s">
        <v>1379</v>
      </c>
      <c r="AI1074">
        <f t="shared" si="67"/>
        <v>1</v>
      </c>
      <c r="AJ1074" t="s">
        <v>1391</v>
      </c>
    </row>
    <row r="1075" spans="1:36" x14ac:dyDescent="0.3">
      <c r="A1075" t="s">
        <v>22</v>
      </c>
      <c r="B1075">
        <v>59</v>
      </c>
      <c r="C1075">
        <v>56.171999999999997</v>
      </c>
      <c r="D1075">
        <v>1.958</v>
      </c>
      <c r="E1075">
        <v>20.582000000000001</v>
      </c>
      <c r="F1075">
        <f t="shared" si="65"/>
        <v>14.651919106131729</v>
      </c>
      <c r="G1075">
        <f t="shared" si="68"/>
        <v>1</v>
      </c>
      <c r="H1075" t="s">
        <v>1398</v>
      </c>
      <c r="I1075">
        <v>79.411000000000001</v>
      </c>
      <c r="J1075" t="s">
        <v>922</v>
      </c>
      <c r="K1075" s="24">
        <v>167</v>
      </c>
      <c r="L1075" s="24">
        <v>108</v>
      </c>
      <c r="M1075">
        <v>127</v>
      </c>
      <c r="N1075" t="s">
        <v>1434</v>
      </c>
      <c r="O1075">
        <v>57</v>
      </c>
      <c r="P1075">
        <v>91</v>
      </c>
      <c r="Q1075" t="s">
        <v>25</v>
      </c>
      <c r="R1075" t="s">
        <v>24</v>
      </c>
      <c r="S1075" t="s">
        <v>39</v>
      </c>
      <c r="T1075" t="s">
        <v>25</v>
      </c>
      <c r="U1075">
        <f t="shared" si="66"/>
        <v>2</v>
      </c>
      <c r="V1075">
        <v>195.76900000000001</v>
      </c>
      <c r="W1075">
        <v>0.40600000000000003</v>
      </c>
      <c r="X1075" t="s">
        <v>1408</v>
      </c>
      <c r="Y1075">
        <v>167</v>
      </c>
      <c r="AA1075" t="s">
        <v>40</v>
      </c>
      <c r="AB1075">
        <v>40</v>
      </c>
      <c r="AC1075" s="23">
        <v>0.7</v>
      </c>
      <c r="AD1075" t="str">
        <f>IF(AND('CVD Dataset'!AA1075="Normal",'CVD Dataset'!AB1075&gt;AVERAGE('CVD Dataset'!AB:AB),'CVD Dataset'!AF1075="High"),"High Lipid Category","Normal Category")</f>
        <v>Normal Category</v>
      </c>
      <c r="AE1075">
        <v>15.006</v>
      </c>
      <c r="AF1075" t="s">
        <v>54</v>
      </c>
      <c r="AG1075">
        <v>0</v>
      </c>
      <c r="AH1075" t="s">
        <v>1380</v>
      </c>
      <c r="AI1075">
        <f t="shared" si="67"/>
        <v>0</v>
      </c>
      <c r="AJ1075" t="s">
        <v>1391</v>
      </c>
    </row>
    <row r="1076" spans="1:36" x14ac:dyDescent="0.3">
      <c r="A1076" t="s">
        <v>33</v>
      </c>
      <c r="B1076">
        <v>34</v>
      </c>
      <c r="C1076">
        <v>108.047</v>
      </c>
      <c r="D1076">
        <v>1.51</v>
      </c>
      <c r="E1076">
        <v>22.56</v>
      </c>
      <c r="F1076">
        <f t="shared" si="65"/>
        <v>47.38695671242489</v>
      </c>
      <c r="G1076">
        <f t="shared" si="68"/>
        <v>1</v>
      </c>
      <c r="H1076" t="s">
        <v>1398</v>
      </c>
      <c r="I1076">
        <v>88.790999999999997</v>
      </c>
      <c r="J1076" t="s">
        <v>923</v>
      </c>
      <c r="K1076" s="24">
        <v>109</v>
      </c>
      <c r="L1076" s="24">
        <v>86</v>
      </c>
      <c r="M1076">
        <v>194</v>
      </c>
      <c r="N1076" t="s">
        <v>1432</v>
      </c>
      <c r="O1076">
        <v>44</v>
      </c>
      <c r="P1076">
        <v>84</v>
      </c>
      <c r="Q1076" t="s">
        <v>25</v>
      </c>
      <c r="R1076" t="s">
        <v>24</v>
      </c>
      <c r="S1076" t="s">
        <v>39</v>
      </c>
      <c r="T1076" t="s">
        <v>25</v>
      </c>
      <c r="U1076">
        <f t="shared" si="66"/>
        <v>2</v>
      </c>
      <c r="V1076">
        <v>151.04300000000001</v>
      </c>
      <c r="W1076">
        <v>0.58799999999999997</v>
      </c>
      <c r="X1076" t="s">
        <v>1409</v>
      </c>
      <c r="Y1076">
        <v>109</v>
      </c>
      <c r="Z1076">
        <v>86</v>
      </c>
      <c r="AA1076" t="s">
        <v>31</v>
      </c>
      <c r="AB1076">
        <v>120</v>
      </c>
      <c r="AC1076" s="23">
        <v>2.73</v>
      </c>
      <c r="AD1076" t="str">
        <f>IF(AND('CVD Dataset'!AA1076="Normal",'CVD Dataset'!AB1076&gt;AVERAGE('CVD Dataset'!AB:AB),'CVD Dataset'!AF1076="High"),"High Lipid Category","Normal Category")</f>
        <v>Normal Category</v>
      </c>
      <c r="AE1076">
        <v>13.842000000000001</v>
      </c>
      <c r="AF1076" t="s">
        <v>28</v>
      </c>
      <c r="AG1076">
        <v>0</v>
      </c>
      <c r="AH1076" t="s">
        <v>1380</v>
      </c>
      <c r="AI1076">
        <f t="shared" si="67"/>
        <v>0</v>
      </c>
      <c r="AJ1076" t="s">
        <v>1391</v>
      </c>
    </row>
    <row r="1077" spans="1:36" x14ac:dyDescent="0.3">
      <c r="A1077" t="s">
        <v>22</v>
      </c>
      <c r="B1077">
        <v>70</v>
      </c>
      <c r="C1077">
        <v>92.343999999999994</v>
      </c>
      <c r="D1077">
        <v>1.629</v>
      </c>
      <c r="E1077">
        <v>22.933</v>
      </c>
      <c r="F1077">
        <f t="shared" si="65"/>
        <v>34.798979967523863</v>
      </c>
      <c r="G1077">
        <f t="shared" si="68"/>
        <v>1</v>
      </c>
      <c r="H1077" t="s">
        <v>1398</v>
      </c>
      <c r="I1077">
        <v>118.05800000000001</v>
      </c>
      <c r="J1077" t="s">
        <v>924</v>
      </c>
      <c r="K1077" s="24">
        <v>132</v>
      </c>
      <c r="L1077" s="24">
        <v>72</v>
      </c>
      <c r="M1077">
        <v>234</v>
      </c>
      <c r="N1077" t="s">
        <v>1432</v>
      </c>
      <c r="O1077">
        <v>66</v>
      </c>
      <c r="P1077">
        <v>197</v>
      </c>
      <c r="Q1077" t="s">
        <v>24</v>
      </c>
      <c r="R1077" t="s">
        <v>25</v>
      </c>
      <c r="S1077" t="s">
        <v>30</v>
      </c>
      <c r="T1077" t="s">
        <v>24</v>
      </c>
      <c r="U1077">
        <f t="shared" si="66"/>
        <v>1</v>
      </c>
      <c r="V1077">
        <v>162.928</v>
      </c>
      <c r="W1077">
        <v>0.72499999999999998</v>
      </c>
      <c r="X1077" t="s">
        <v>1409</v>
      </c>
      <c r="Y1077">
        <v>132</v>
      </c>
      <c r="Z1077">
        <v>72</v>
      </c>
      <c r="AA1077" t="s">
        <v>31</v>
      </c>
      <c r="AB1077">
        <v>138</v>
      </c>
      <c r="AC1077" s="23">
        <v>2.09</v>
      </c>
      <c r="AD1077" t="str">
        <f>IF(AND('CVD Dataset'!AA1077="Normal",'CVD Dataset'!AB1077&gt;AVERAGE('CVD Dataset'!AB:AB),'CVD Dataset'!AF1077="High"),"High Lipid Category","Normal Category")</f>
        <v>Normal Category</v>
      </c>
      <c r="AE1077">
        <v>17.867000000000001</v>
      </c>
      <c r="AF1077" t="s">
        <v>32</v>
      </c>
      <c r="AG1077">
        <v>1</v>
      </c>
      <c r="AH1077" t="s">
        <v>1379</v>
      </c>
      <c r="AI1077">
        <f t="shared" si="67"/>
        <v>1</v>
      </c>
      <c r="AJ1077" t="s">
        <v>1392</v>
      </c>
    </row>
    <row r="1078" spans="1:36" x14ac:dyDescent="0.3">
      <c r="A1078" t="s">
        <v>33</v>
      </c>
      <c r="B1078">
        <v>30</v>
      </c>
      <c r="C1078">
        <v>118.169</v>
      </c>
      <c r="D1078">
        <v>1.6719999999999999</v>
      </c>
      <c r="E1078">
        <v>28.821999999999999</v>
      </c>
      <c r="F1078">
        <f t="shared" si="65"/>
        <v>42.269879924910143</v>
      </c>
      <c r="G1078">
        <f t="shared" si="68"/>
        <v>1</v>
      </c>
      <c r="H1078" t="s">
        <v>1400</v>
      </c>
      <c r="J1078" t="s">
        <v>925</v>
      </c>
      <c r="K1078" s="24">
        <v>174</v>
      </c>
      <c r="L1078" s="24">
        <v>76</v>
      </c>
      <c r="M1078">
        <v>265</v>
      </c>
      <c r="N1078" t="s">
        <v>1432</v>
      </c>
      <c r="O1078">
        <v>73</v>
      </c>
      <c r="P1078">
        <v>74</v>
      </c>
      <c r="Q1078" t="s">
        <v>24</v>
      </c>
      <c r="R1078" t="s">
        <v>25</v>
      </c>
      <c r="S1078" t="s">
        <v>26</v>
      </c>
      <c r="T1078" t="s">
        <v>25</v>
      </c>
      <c r="U1078">
        <f t="shared" si="66"/>
        <v>3</v>
      </c>
      <c r="V1078">
        <v>167.19900000000001</v>
      </c>
      <c r="W1078">
        <v>0.59299999999999997</v>
      </c>
      <c r="X1078" t="s">
        <v>1409</v>
      </c>
      <c r="Y1078">
        <v>174</v>
      </c>
      <c r="Z1078">
        <v>76</v>
      </c>
      <c r="AA1078" t="s">
        <v>40</v>
      </c>
      <c r="AB1078">
        <v>162</v>
      </c>
      <c r="AC1078" s="23">
        <v>2.2200000000000002</v>
      </c>
      <c r="AD1078" t="str">
        <f>IF(AND('CVD Dataset'!AA1078="Normal",'CVD Dataset'!AB1078&gt;AVERAGE('CVD Dataset'!AB:AB),'CVD Dataset'!AF1078="High"),"High Lipid Category","Normal Category")</f>
        <v>Normal Category</v>
      </c>
      <c r="AE1078">
        <v>21.763999999999999</v>
      </c>
      <c r="AF1078" t="s">
        <v>28</v>
      </c>
      <c r="AG1078">
        <v>0</v>
      </c>
      <c r="AH1078" t="s">
        <v>1380</v>
      </c>
      <c r="AI1078">
        <f t="shared" si="67"/>
        <v>0</v>
      </c>
      <c r="AJ1078" t="s">
        <v>1391</v>
      </c>
    </row>
    <row r="1079" spans="1:36" x14ac:dyDescent="0.3">
      <c r="A1079" t="s">
        <v>33</v>
      </c>
      <c r="B1079">
        <v>33</v>
      </c>
      <c r="C1079">
        <v>66.855000000000004</v>
      </c>
      <c r="D1079">
        <v>1.93</v>
      </c>
      <c r="E1079">
        <v>29.587</v>
      </c>
      <c r="F1079">
        <f t="shared" si="65"/>
        <v>17.948132835780829</v>
      </c>
      <c r="G1079">
        <f t="shared" si="68"/>
        <v>1</v>
      </c>
      <c r="H1079" t="s">
        <v>1400</v>
      </c>
      <c r="I1079">
        <v>71.373000000000005</v>
      </c>
      <c r="J1079" t="s">
        <v>926</v>
      </c>
      <c r="K1079" s="24">
        <v>144</v>
      </c>
      <c r="L1079" s="24">
        <v>76</v>
      </c>
      <c r="M1079">
        <v>215</v>
      </c>
      <c r="N1079" t="s">
        <v>1432</v>
      </c>
      <c r="O1079">
        <v>82</v>
      </c>
      <c r="P1079">
        <v>196</v>
      </c>
      <c r="Q1079" t="s">
        <v>24</v>
      </c>
      <c r="R1079" t="s">
        <v>24</v>
      </c>
      <c r="S1079" t="s">
        <v>39</v>
      </c>
      <c r="T1079" t="s">
        <v>24</v>
      </c>
      <c r="U1079">
        <f t="shared" si="66"/>
        <v>0</v>
      </c>
      <c r="V1079">
        <v>192.983</v>
      </c>
      <c r="W1079">
        <v>0.37</v>
      </c>
      <c r="X1079" t="s">
        <v>1408</v>
      </c>
      <c r="Y1079">
        <v>144</v>
      </c>
      <c r="Z1079">
        <v>76</v>
      </c>
      <c r="AA1079" t="s">
        <v>40</v>
      </c>
      <c r="AB1079">
        <v>103</v>
      </c>
      <c r="AC1079" s="23">
        <v>1.26</v>
      </c>
      <c r="AD1079" t="str">
        <f>IF(AND('CVD Dataset'!AA1079="Normal",'CVD Dataset'!AB1079&gt;AVERAGE('CVD Dataset'!AB:AB),'CVD Dataset'!AF1079="High"),"High Lipid Category","Normal Category")</f>
        <v>Normal Category</v>
      </c>
      <c r="AE1079">
        <v>17.417000000000002</v>
      </c>
      <c r="AF1079" t="s">
        <v>54</v>
      </c>
      <c r="AG1079">
        <v>0</v>
      </c>
      <c r="AH1079" t="s">
        <v>1380</v>
      </c>
      <c r="AI1079">
        <f t="shared" si="67"/>
        <v>0</v>
      </c>
      <c r="AJ1079" t="s">
        <v>1391</v>
      </c>
    </row>
    <row r="1080" spans="1:36" x14ac:dyDescent="0.3">
      <c r="A1080" t="s">
        <v>22</v>
      </c>
      <c r="B1080">
        <v>65</v>
      </c>
      <c r="C1080">
        <v>83.355000000000004</v>
      </c>
      <c r="D1080">
        <v>1.847</v>
      </c>
      <c r="E1080">
        <v>27.68</v>
      </c>
      <c r="F1080">
        <f t="shared" si="65"/>
        <v>24.434185405502536</v>
      </c>
      <c r="G1080">
        <f t="shared" si="68"/>
        <v>1</v>
      </c>
      <c r="H1080" t="s">
        <v>1400</v>
      </c>
      <c r="I1080">
        <v>81.436000000000007</v>
      </c>
      <c r="J1080" t="s">
        <v>927</v>
      </c>
      <c r="K1080" s="24">
        <v>102</v>
      </c>
      <c r="L1080" s="24">
        <v>96</v>
      </c>
      <c r="M1080">
        <v>281</v>
      </c>
      <c r="N1080" t="s">
        <v>1432</v>
      </c>
      <c r="O1080">
        <v>83</v>
      </c>
      <c r="P1080">
        <v>162</v>
      </c>
      <c r="Q1080" t="s">
        <v>25</v>
      </c>
      <c r="R1080" t="s">
        <v>25</v>
      </c>
      <c r="S1080" t="s">
        <v>30</v>
      </c>
      <c r="T1080" t="s">
        <v>25</v>
      </c>
      <c r="U1080">
        <f t="shared" si="66"/>
        <v>3</v>
      </c>
      <c r="V1080">
        <v>184.697</v>
      </c>
      <c r="W1080">
        <v>0.441</v>
      </c>
      <c r="X1080" t="s">
        <v>1408</v>
      </c>
      <c r="Y1080">
        <v>102</v>
      </c>
      <c r="Z1080">
        <v>96</v>
      </c>
      <c r="AA1080" t="s">
        <v>40</v>
      </c>
      <c r="AB1080">
        <v>168</v>
      </c>
      <c r="AC1080" s="23">
        <v>2.02</v>
      </c>
      <c r="AD1080" t="str">
        <f>IF(AND('CVD Dataset'!AA1080="Normal",'CVD Dataset'!AB1080&gt;AVERAGE('CVD Dataset'!AB:AB),'CVD Dataset'!AF1080="High"),"High Lipid Category","Normal Category")</f>
        <v>Normal Category</v>
      </c>
      <c r="AF1080" t="s">
        <v>32</v>
      </c>
      <c r="AG1080">
        <v>1</v>
      </c>
      <c r="AH1080" t="s">
        <v>1379</v>
      </c>
      <c r="AI1080">
        <f t="shared" si="67"/>
        <v>1</v>
      </c>
      <c r="AJ1080" t="s">
        <v>1392</v>
      </c>
    </row>
    <row r="1081" spans="1:36" x14ac:dyDescent="0.3">
      <c r="A1081" t="s">
        <v>22</v>
      </c>
      <c r="B1081">
        <v>34</v>
      </c>
      <c r="D1081">
        <v>1.976</v>
      </c>
      <c r="E1081">
        <v>36.826999999999998</v>
      </c>
      <c r="F1081">
        <f t="shared" si="65"/>
        <v>0</v>
      </c>
      <c r="G1081">
        <f t="shared" si="68"/>
        <v>1</v>
      </c>
      <c r="H1081" t="s">
        <v>1399</v>
      </c>
      <c r="I1081">
        <v>109.577</v>
      </c>
      <c r="J1081" t="s">
        <v>928</v>
      </c>
      <c r="K1081" s="24">
        <v>100</v>
      </c>
      <c r="L1081" s="24">
        <v>84</v>
      </c>
      <c r="M1081">
        <v>216</v>
      </c>
      <c r="N1081" t="s">
        <v>1432</v>
      </c>
      <c r="O1081">
        <v>55</v>
      </c>
      <c r="P1081">
        <v>192</v>
      </c>
      <c r="Q1081" t="s">
        <v>25</v>
      </c>
      <c r="R1081" t="s">
        <v>24</v>
      </c>
      <c r="S1081" t="s">
        <v>30</v>
      </c>
      <c r="T1081" t="s">
        <v>24</v>
      </c>
      <c r="U1081">
        <f t="shared" si="66"/>
        <v>1</v>
      </c>
      <c r="V1081">
        <v>197.58099999999999</v>
      </c>
      <c r="W1081">
        <v>0.55500000000000005</v>
      </c>
      <c r="X1081" t="s">
        <v>1407</v>
      </c>
      <c r="Y1081">
        <v>100</v>
      </c>
      <c r="Z1081">
        <v>84</v>
      </c>
      <c r="AA1081" t="s">
        <v>31</v>
      </c>
      <c r="AB1081">
        <v>131</v>
      </c>
      <c r="AC1081" s="23">
        <v>2.38</v>
      </c>
      <c r="AD1081" t="str">
        <f>IF(AND('CVD Dataset'!AA1081="Normal",'CVD Dataset'!AB1081&gt;AVERAGE('CVD Dataset'!AB:AB),'CVD Dataset'!AF1081="High"),"High Lipid Category","Normal Category")</f>
        <v>Normal Category</v>
      </c>
      <c r="AE1081">
        <v>16.684999999999999</v>
      </c>
      <c r="AF1081" t="s">
        <v>54</v>
      </c>
      <c r="AG1081">
        <v>0</v>
      </c>
      <c r="AH1081" t="s">
        <v>1380</v>
      </c>
      <c r="AI1081">
        <f t="shared" si="67"/>
        <v>0</v>
      </c>
      <c r="AJ1081" t="s">
        <v>1391</v>
      </c>
    </row>
    <row r="1082" spans="1:36" x14ac:dyDescent="0.3">
      <c r="A1082" t="s">
        <v>22</v>
      </c>
      <c r="B1082">
        <v>35</v>
      </c>
      <c r="D1082">
        <v>1.78</v>
      </c>
      <c r="F1082">
        <f t="shared" si="65"/>
        <v>0</v>
      </c>
      <c r="G1082">
        <f t="shared" si="68"/>
        <v>0</v>
      </c>
      <c r="H1082" t="s">
        <v>1401</v>
      </c>
      <c r="I1082">
        <v>119.672</v>
      </c>
      <c r="J1082" t="s">
        <v>929</v>
      </c>
      <c r="K1082" s="24">
        <v>113</v>
      </c>
      <c r="L1082" s="24">
        <v>65</v>
      </c>
      <c r="M1082">
        <v>173</v>
      </c>
      <c r="N1082" t="s">
        <v>1433</v>
      </c>
      <c r="O1082">
        <v>60</v>
      </c>
      <c r="P1082">
        <v>187</v>
      </c>
      <c r="Q1082" t="s">
        <v>24</v>
      </c>
      <c r="R1082" t="s">
        <v>25</v>
      </c>
      <c r="S1082" t="s">
        <v>30</v>
      </c>
      <c r="T1082" t="s">
        <v>25</v>
      </c>
      <c r="U1082">
        <f t="shared" si="66"/>
        <v>2</v>
      </c>
      <c r="V1082">
        <v>177.99600000000001</v>
      </c>
      <c r="W1082">
        <v>0.67200000000000004</v>
      </c>
      <c r="X1082" t="s">
        <v>1409</v>
      </c>
      <c r="Y1082">
        <v>113</v>
      </c>
      <c r="Z1082">
        <v>65</v>
      </c>
      <c r="AA1082" t="s">
        <v>35</v>
      </c>
      <c r="AB1082">
        <v>83</v>
      </c>
      <c r="AC1082" s="23">
        <v>1.38</v>
      </c>
      <c r="AD1082" t="str">
        <f>IF(AND('CVD Dataset'!AA1082="Normal",'CVD Dataset'!AB1082&gt;AVERAGE('CVD Dataset'!AB:AB),'CVD Dataset'!AF1082="High"),"High Lipid Category","Normal Category")</f>
        <v>Normal Category</v>
      </c>
      <c r="AE1082">
        <v>18.323</v>
      </c>
      <c r="AF1082" t="s">
        <v>32</v>
      </c>
      <c r="AG1082">
        <v>1</v>
      </c>
      <c r="AH1082" t="s">
        <v>1379</v>
      </c>
      <c r="AI1082">
        <f t="shared" si="67"/>
        <v>1</v>
      </c>
      <c r="AJ1082" t="s">
        <v>1391</v>
      </c>
    </row>
    <row r="1083" spans="1:36" x14ac:dyDescent="0.3">
      <c r="A1083" t="s">
        <v>33</v>
      </c>
      <c r="B1083">
        <v>74</v>
      </c>
      <c r="C1083">
        <v>88.77</v>
      </c>
      <c r="D1083">
        <v>1.5720000000000001</v>
      </c>
      <c r="E1083">
        <v>25.428000000000001</v>
      </c>
      <c r="F1083">
        <f t="shared" si="65"/>
        <v>35.922051939475168</v>
      </c>
      <c r="G1083">
        <f t="shared" si="68"/>
        <v>1</v>
      </c>
      <c r="H1083" t="s">
        <v>1400</v>
      </c>
      <c r="I1083">
        <v>76.659000000000006</v>
      </c>
      <c r="J1083" t="s">
        <v>930</v>
      </c>
      <c r="K1083" s="24">
        <v>170</v>
      </c>
      <c r="L1083" s="24">
        <v>89</v>
      </c>
      <c r="M1083">
        <v>150</v>
      </c>
      <c r="N1083" t="s">
        <v>1433</v>
      </c>
      <c r="O1083">
        <v>38</v>
      </c>
      <c r="P1083">
        <v>164</v>
      </c>
      <c r="Q1083" t="s">
        <v>24</v>
      </c>
      <c r="R1083" t="s">
        <v>25</v>
      </c>
      <c r="S1083" t="s">
        <v>30</v>
      </c>
      <c r="T1083" t="s">
        <v>25</v>
      </c>
      <c r="U1083">
        <f t="shared" si="66"/>
        <v>2</v>
      </c>
      <c r="V1083">
        <v>157.22</v>
      </c>
      <c r="W1083">
        <v>0.48799999999999999</v>
      </c>
      <c r="X1083" t="s">
        <v>1406</v>
      </c>
      <c r="Y1083">
        <v>170</v>
      </c>
      <c r="Z1083">
        <v>89</v>
      </c>
      <c r="AA1083" t="s">
        <v>31</v>
      </c>
      <c r="AB1083">
        <v>82</v>
      </c>
      <c r="AC1083" s="23">
        <v>2.16</v>
      </c>
      <c r="AD1083" t="str">
        <f>IF(AND('CVD Dataset'!AA1083="Normal",'CVD Dataset'!AB1083&gt;AVERAGE('CVD Dataset'!AB:AB),'CVD Dataset'!AF1083="High"),"High Lipid Category","Normal Category")</f>
        <v>Normal Category</v>
      </c>
      <c r="AE1083">
        <v>18.585999999999999</v>
      </c>
      <c r="AF1083" t="s">
        <v>28</v>
      </c>
      <c r="AG1083">
        <v>0</v>
      </c>
      <c r="AH1083" t="s">
        <v>1380</v>
      </c>
      <c r="AI1083">
        <f t="shared" si="67"/>
        <v>0</v>
      </c>
      <c r="AJ1083" t="s">
        <v>1392</v>
      </c>
    </row>
    <row r="1084" spans="1:36" x14ac:dyDescent="0.3">
      <c r="A1084" t="s">
        <v>33</v>
      </c>
      <c r="B1084">
        <v>52</v>
      </c>
      <c r="C1084">
        <v>65.311000000000007</v>
      </c>
      <c r="D1084">
        <v>1.589</v>
      </c>
      <c r="E1084">
        <v>32.176000000000002</v>
      </c>
      <c r="F1084">
        <f t="shared" si="65"/>
        <v>25.866551864394967</v>
      </c>
      <c r="G1084">
        <f t="shared" si="68"/>
        <v>1</v>
      </c>
      <c r="H1084" t="s">
        <v>1399</v>
      </c>
      <c r="I1084">
        <v>99.412000000000006</v>
      </c>
      <c r="J1084" t="s">
        <v>931</v>
      </c>
      <c r="K1084" s="24">
        <v>139</v>
      </c>
      <c r="L1084" s="24">
        <v>106</v>
      </c>
      <c r="M1084">
        <v>272</v>
      </c>
      <c r="N1084" t="s">
        <v>1432</v>
      </c>
      <c r="O1084">
        <v>38</v>
      </c>
      <c r="P1084">
        <v>81</v>
      </c>
      <c r="Q1084" t="s">
        <v>25</v>
      </c>
      <c r="R1084" t="s">
        <v>24</v>
      </c>
      <c r="S1084" t="s">
        <v>30</v>
      </c>
      <c r="T1084" t="s">
        <v>24</v>
      </c>
      <c r="U1084">
        <f t="shared" si="66"/>
        <v>1</v>
      </c>
      <c r="V1084">
        <v>158.88999999999999</v>
      </c>
      <c r="W1084">
        <v>0.626</v>
      </c>
      <c r="X1084" t="s">
        <v>1409</v>
      </c>
      <c r="Y1084">
        <v>139</v>
      </c>
      <c r="Z1084">
        <v>106</v>
      </c>
      <c r="AA1084" t="s">
        <v>31</v>
      </c>
      <c r="AB1084">
        <v>204</v>
      </c>
      <c r="AC1084" s="23">
        <v>5.37</v>
      </c>
      <c r="AD1084" t="str">
        <f>IF(AND('CVD Dataset'!AA1084="Normal",'CVD Dataset'!AB1084&gt;AVERAGE('CVD Dataset'!AB:AB),'CVD Dataset'!AF1084="High"),"High Lipid Category","Normal Category")</f>
        <v>Normal Category</v>
      </c>
      <c r="AE1084">
        <v>18.824999999999999</v>
      </c>
      <c r="AF1084" t="s">
        <v>32</v>
      </c>
      <c r="AG1084">
        <v>0</v>
      </c>
      <c r="AH1084" t="s">
        <v>1379</v>
      </c>
      <c r="AI1084">
        <f t="shared" si="67"/>
        <v>1</v>
      </c>
      <c r="AJ1084" t="s">
        <v>1391</v>
      </c>
    </row>
    <row r="1085" spans="1:36" x14ac:dyDescent="0.3">
      <c r="A1085" t="s">
        <v>22</v>
      </c>
      <c r="B1085">
        <v>27</v>
      </c>
      <c r="C1085">
        <v>71.323999999999998</v>
      </c>
      <c r="D1085">
        <v>1.9450000000000001</v>
      </c>
      <c r="E1085">
        <v>37.817</v>
      </c>
      <c r="F1085">
        <f t="shared" si="65"/>
        <v>18.853695124933086</v>
      </c>
      <c r="G1085">
        <f t="shared" si="68"/>
        <v>1</v>
      </c>
      <c r="H1085" t="s">
        <v>1399</v>
      </c>
      <c r="I1085">
        <v>80.259</v>
      </c>
      <c r="J1085" t="s">
        <v>932</v>
      </c>
      <c r="K1085" s="24">
        <v>92</v>
      </c>
      <c r="L1085" s="24">
        <v>88</v>
      </c>
      <c r="M1085">
        <v>203</v>
      </c>
      <c r="N1085" t="s">
        <v>1432</v>
      </c>
      <c r="O1085">
        <v>46</v>
      </c>
      <c r="P1085">
        <v>85</v>
      </c>
      <c r="Q1085" t="s">
        <v>25</v>
      </c>
      <c r="R1085" t="s">
        <v>24</v>
      </c>
      <c r="S1085" t="s">
        <v>30</v>
      </c>
      <c r="T1085" t="s">
        <v>25</v>
      </c>
      <c r="U1085">
        <f t="shared" si="66"/>
        <v>2</v>
      </c>
      <c r="V1085">
        <v>194.48699999999999</v>
      </c>
      <c r="W1085">
        <v>0.41299999999999998</v>
      </c>
      <c r="X1085" t="s">
        <v>1408</v>
      </c>
      <c r="Y1085">
        <v>92</v>
      </c>
      <c r="Z1085">
        <v>88</v>
      </c>
      <c r="AA1085" t="s">
        <v>31</v>
      </c>
      <c r="AB1085">
        <v>127</v>
      </c>
      <c r="AC1085" s="23">
        <v>2.76</v>
      </c>
      <c r="AD1085" t="str">
        <f>IF(AND('CVD Dataset'!AA1085="Normal",'CVD Dataset'!AB1085&gt;AVERAGE('CVD Dataset'!AB:AB),'CVD Dataset'!AF1085="High"),"High Lipid Category","Normal Category")</f>
        <v>Normal Category</v>
      </c>
      <c r="AE1085">
        <v>16.222999999999999</v>
      </c>
      <c r="AF1085" t="s">
        <v>32</v>
      </c>
      <c r="AG1085">
        <v>0</v>
      </c>
      <c r="AH1085" t="s">
        <v>1379</v>
      </c>
      <c r="AI1085">
        <f t="shared" si="67"/>
        <v>1</v>
      </c>
      <c r="AJ1085" t="s">
        <v>1391</v>
      </c>
    </row>
    <row r="1086" spans="1:36" x14ac:dyDescent="0.3">
      <c r="A1086" t="s">
        <v>33</v>
      </c>
      <c r="B1086">
        <v>45</v>
      </c>
      <c r="C1086">
        <v>64.42</v>
      </c>
      <c r="D1086">
        <v>1.921</v>
      </c>
      <c r="E1086">
        <v>28.513000000000002</v>
      </c>
      <c r="F1086">
        <f t="shared" si="65"/>
        <v>17.456854443923852</v>
      </c>
      <c r="G1086">
        <f t="shared" si="68"/>
        <v>1</v>
      </c>
      <c r="H1086" t="s">
        <v>1400</v>
      </c>
      <c r="I1086">
        <v>81.260999999999996</v>
      </c>
      <c r="J1086" t="s">
        <v>933</v>
      </c>
      <c r="K1086" s="24">
        <v>131</v>
      </c>
      <c r="L1086" s="24">
        <v>115</v>
      </c>
      <c r="M1086">
        <v>219</v>
      </c>
      <c r="N1086" t="s">
        <v>1432</v>
      </c>
      <c r="O1086">
        <v>74</v>
      </c>
      <c r="P1086">
        <v>157</v>
      </c>
      <c r="Q1086" t="s">
        <v>24</v>
      </c>
      <c r="R1086" t="s">
        <v>25</v>
      </c>
      <c r="S1086" t="s">
        <v>26</v>
      </c>
      <c r="T1086" t="s">
        <v>25</v>
      </c>
      <c r="U1086">
        <f t="shared" si="66"/>
        <v>3</v>
      </c>
      <c r="V1086">
        <v>192.12200000000001</v>
      </c>
      <c r="W1086">
        <v>0.42299999999999999</v>
      </c>
      <c r="X1086" t="s">
        <v>1408</v>
      </c>
      <c r="Y1086">
        <v>131</v>
      </c>
      <c r="Z1086">
        <v>115</v>
      </c>
      <c r="AA1086" t="s">
        <v>31</v>
      </c>
      <c r="AB1086">
        <v>115</v>
      </c>
      <c r="AC1086" s="23">
        <v>1.55</v>
      </c>
      <c r="AD1086" t="str">
        <f>IF(AND('CVD Dataset'!AA1086="Normal",'CVD Dataset'!AB1086&gt;AVERAGE('CVD Dataset'!AB:AB),'CVD Dataset'!AF1086="High"),"High Lipid Category","Normal Category")</f>
        <v>Normal Category</v>
      </c>
      <c r="AE1086">
        <v>18.632999999999999</v>
      </c>
      <c r="AF1086" t="s">
        <v>28</v>
      </c>
      <c r="AG1086">
        <v>0</v>
      </c>
      <c r="AH1086" t="s">
        <v>1380</v>
      </c>
      <c r="AI1086">
        <f t="shared" si="67"/>
        <v>0</v>
      </c>
      <c r="AJ1086" t="s">
        <v>1391</v>
      </c>
    </row>
    <row r="1087" spans="1:36" x14ac:dyDescent="0.3">
      <c r="A1087" t="s">
        <v>22</v>
      </c>
      <c r="B1087">
        <v>67</v>
      </c>
      <c r="C1087">
        <v>99.691000000000003</v>
      </c>
      <c r="D1087">
        <v>1.57</v>
      </c>
      <c r="E1087">
        <v>25.021000000000001</v>
      </c>
      <c r="F1087">
        <f t="shared" si="65"/>
        <v>40.444237088725707</v>
      </c>
      <c r="G1087">
        <f t="shared" si="68"/>
        <v>1</v>
      </c>
      <c r="H1087" t="s">
        <v>1400</v>
      </c>
      <c r="I1087">
        <v>88.168999999999997</v>
      </c>
      <c r="J1087" t="s">
        <v>611</v>
      </c>
      <c r="K1087" s="24">
        <v>109</v>
      </c>
      <c r="L1087" s="24">
        <v>84</v>
      </c>
      <c r="M1087">
        <v>194</v>
      </c>
      <c r="N1087" t="s">
        <v>1432</v>
      </c>
      <c r="O1087">
        <v>31</v>
      </c>
      <c r="P1087">
        <v>196</v>
      </c>
      <c r="Q1087" t="s">
        <v>24</v>
      </c>
      <c r="R1087" t="s">
        <v>24</v>
      </c>
      <c r="S1087" t="s">
        <v>39</v>
      </c>
      <c r="T1087" t="s">
        <v>24</v>
      </c>
      <c r="U1087">
        <f t="shared" si="66"/>
        <v>0</v>
      </c>
      <c r="V1087">
        <v>157.04300000000001</v>
      </c>
      <c r="W1087">
        <v>0.56100000000000005</v>
      </c>
      <c r="X1087" t="s">
        <v>1407</v>
      </c>
      <c r="Y1087">
        <v>109</v>
      </c>
      <c r="Z1087">
        <v>84</v>
      </c>
      <c r="AA1087" t="s">
        <v>31</v>
      </c>
      <c r="AB1087">
        <v>133</v>
      </c>
      <c r="AC1087" s="23">
        <v>4.29</v>
      </c>
      <c r="AD1087" t="str">
        <f>IF(AND('CVD Dataset'!AA1087="Normal",'CVD Dataset'!AB1087&gt;AVERAGE('CVD Dataset'!AB:AB),'CVD Dataset'!AF1087="High"),"High Lipid Category","Normal Category")</f>
        <v>Normal Category</v>
      </c>
      <c r="AE1087">
        <v>14.334</v>
      </c>
      <c r="AF1087" t="s">
        <v>32</v>
      </c>
      <c r="AG1087">
        <v>0</v>
      </c>
      <c r="AH1087" t="s">
        <v>1379</v>
      </c>
      <c r="AI1087">
        <f t="shared" si="67"/>
        <v>1</v>
      </c>
      <c r="AJ1087" t="s">
        <v>1391</v>
      </c>
    </row>
    <row r="1088" spans="1:36" x14ac:dyDescent="0.3">
      <c r="A1088" t="s">
        <v>33</v>
      </c>
      <c r="B1088">
        <v>58</v>
      </c>
      <c r="C1088">
        <v>53.317</v>
      </c>
      <c r="D1088">
        <v>1.913</v>
      </c>
      <c r="E1088">
        <v>28.419</v>
      </c>
      <c r="F1088">
        <f t="shared" si="65"/>
        <v>14.569202001656478</v>
      </c>
      <c r="G1088">
        <f t="shared" si="68"/>
        <v>1</v>
      </c>
      <c r="H1088" t="s">
        <v>1400</v>
      </c>
      <c r="I1088">
        <v>110.331</v>
      </c>
      <c r="J1088" t="s">
        <v>934</v>
      </c>
      <c r="K1088" s="24">
        <v>172</v>
      </c>
      <c r="L1088" s="24">
        <v>108</v>
      </c>
      <c r="M1088">
        <v>100</v>
      </c>
      <c r="N1088" t="s">
        <v>1434</v>
      </c>
      <c r="O1088">
        <v>88</v>
      </c>
      <c r="P1088">
        <v>106</v>
      </c>
      <c r="Q1088" t="s">
        <v>25</v>
      </c>
      <c r="R1088" t="s">
        <v>24</v>
      </c>
      <c r="S1088" t="s">
        <v>39</v>
      </c>
      <c r="T1088" t="s">
        <v>24</v>
      </c>
      <c r="U1088">
        <f t="shared" si="66"/>
        <v>1</v>
      </c>
      <c r="V1088">
        <v>191.25299999999999</v>
      </c>
      <c r="W1088">
        <v>0.57699999999999996</v>
      </c>
      <c r="X1088" t="s">
        <v>1407</v>
      </c>
      <c r="Y1088">
        <v>172</v>
      </c>
      <c r="Z1088">
        <v>108</v>
      </c>
      <c r="AA1088" t="s">
        <v>40</v>
      </c>
      <c r="AB1088">
        <v>-18</v>
      </c>
      <c r="AC1088" s="23">
        <v>-0.2</v>
      </c>
      <c r="AD1088" t="str">
        <f>IF(AND('CVD Dataset'!AA1088="Normal",'CVD Dataset'!AB1088&gt;AVERAGE('CVD Dataset'!AB:AB),'CVD Dataset'!AF1088="High"),"High Lipid Category","Normal Category")</f>
        <v>Normal Category</v>
      </c>
      <c r="AE1088">
        <v>16.283999999999999</v>
      </c>
      <c r="AF1088" t="s">
        <v>32</v>
      </c>
      <c r="AG1088">
        <v>1</v>
      </c>
      <c r="AH1088" t="s">
        <v>1379</v>
      </c>
      <c r="AI1088">
        <f t="shared" si="67"/>
        <v>1</v>
      </c>
      <c r="AJ1088" t="s">
        <v>1391</v>
      </c>
    </row>
    <row r="1089" spans="1:36" x14ac:dyDescent="0.3">
      <c r="A1089" t="s">
        <v>33</v>
      </c>
      <c r="B1089">
        <v>49</v>
      </c>
      <c r="C1089">
        <v>71.372</v>
      </c>
      <c r="D1089">
        <v>1.9239999999999999</v>
      </c>
      <c r="E1089">
        <v>34.363</v>
      </c>
      <c r="F1089">
        <f t="shared" si="65"/>
        <v>19.280475101680924</v>
      </c>
      <c r="G1089">
        <f t="shared" si="68"/>
        <v>1</v>
      </c>
      <c r="H1089" t="s">
        <v>1399</v>
      </c>
      <c r="I1089">
        <v>84.581000000000003</v>
      </c>
      <c r="J1089" t="s">
        <v>882</v>
      </c>
      <c r="K1089" s="24">
        <v>108</v>
      </c>
      <c r="L1089" s="24">
        <v>115</v>
      </c>
      <c r="M1089">
        <v>178</v>
      </c>
      <c r="N1089" t="s">
        <v>1433</v>
      </c>
      <c r="O1089">
        <v>60</v>
      </c>
      <c r="P1089">
        <v>164</v>
      </c>
      <c r="Q1089" t="s">
        <v>25</v>
      </c>
      <c r="R1089" t="s">
        <v>25</v>
      </c>
      <c r="S1089" t="s">
        <v>30</v>
      </c>
      <c r="T1089" t="s">
        <v>25</v>
      </c>
      <c r="U1089">
        <f t="shared" si="66"/>
        <v>3</v>
      </c>
      <c r="W1089">
        <v>0.44</v>
      </c>
      <c r="X1089" t="s">
        <v>1408</v>
      </c>
      <c r="Y1089">
        <v>108</v>
      </c>
      <c r="Z1089">
        <v>115</v>
      </c>
      <c r="AA1089" t="s">
        <v>40</v>
      </c>
      <c r="AB1089">
        <v>88</v>
      </c>
      <c r="AC1089" s="23">
        <v>1.47</v>
      </c>
      <c r="AD1089" t="str">
        <f>IF(AND('CVD Dataset'!AA1089="Normal",'CVD Dataset'!AB1089&gt;AVERAGE('CVD Dataset'!AB:AB),'CVD Dataset'!AF1089="High"),"High Lipid Category","Normal Category")</f>
        <v>Normal Category</v>
      </c>
      <c r="AE1089">
        <v>17.832999999999998</v>
      </c>
      <c r="AF1089" t="s">
        <v>32</v>
      </c>
      <c r="AG1089">
        <v>1</v>
      </c>
      <c r="AH1089" t="s">
        <v>1379</v>
      </c>
      <c r="AI1089">
        <f t="shared" si="67"/>
        <v>1</v>
      </c>
      <c r="AJ1089" t="s">
        <v>1391</v>
      </c>
    </row>
    <row r="1090" spans="1:36" x14ac:dyDescent="0.3">
      <c r="A1090" t="s">
        <v>33</v>
      </c>
      <c r="B1090">
        <v>66</v>
      </c>
      <c r="C1090">
        <v>85.786000000000001</v>
      </c>
      <c r="D1090">
        <v>1.9610000000000001</v>
      </c>
      <c r="E1090">
        <v>19.439</v>
      </c>
      <c r="F1090">
        <f t="shared" si="65"/>
        <v>22.308030563348893</v>
      </c>
      <c r="G1090">
        <f t="shared" si="68"/>
        <v>1</v>
      </c>
      <c r="H1090" t="s">
        <v>1398</v>
      </c>
      <c r="J1090" t="s">
        <v>935</v>
      </c>
      <c r="K1090" s="24">
        <v>121</v>
      </c>
      <c r="L1090" s="24">
        <v>105</v>
      </c>
      <c r="M1090">
        <v>230</v>
      </c>
      <c r="N1090" t="s">
        <v>1432</v>
      </c>
      <c r="O1090">
        <v>76</v>
      </c>
      <c r="P1090">
        <v>103</v>
      </c>
      <c r="Q1090" t="s">
        <v>25</v>
      </c>
      <c r="R1090" t="s">
        <v>25</v>
      </c>
      <c r="S1090" t="s">
        <v>26</v>
      </c>
      <c r="T1090" t="s">
        <v>25</v>
      </c>
      <c r="U1090">
        <f t="shared" si="66"/>
        <v>4</v>
      </c>
      <c r="V1090">
        <v>196.07</v>
      </c>
      <c r="W1090">
        <v>0.439</v>
      </c>
      <c r="X1090" t="s">
        <v>1408</v>
      </c>
      <c r="Y1090">
        <v>121</v>
      </c>
      <c r="Z1090">
        <v>105</v>
      </c>
      <c r="AA1090" t="s">
        <v>40</v>
      </c>
      <c r="AB1090">
        <v>124</v>
      </c>
      <c r="AC1090" s="23">
        <v>1.63</v>
      </c>
      <c r="AD1090" t="str">
        <f>IF(AND('CVD Dataset'!AA1090="Normal",'CVD Dataset'!AB1090&gt;AVERAGE('CVD Dataset'!AB:AB),'CVD Dataset'!AF1090="High"),"High Lipid Category","Normal Category")</f>
        <v>Normal Category</v>
      </c>
      <c r="AE1090">
        <v>16.538</v>
      </c>
      <c r="AF1090" t="s">
        <v>54</v>
      </c>
      <c r="AG1090">
        <v>0</v>
      </c>
      <c r="AH1090" t="s">
        <v>1380</v>
      </c>
      <c r="AI1090">
        <f t="shared" si="67"/>
        <v>0</v>
      </c>
      <c r="AJ1090" t="s">
        <v>1392</v>
      </c>
    </row>
    <row r="1091" spans="1:36" x14ac:dyDescent="0.3">
      <c r="A1091" t="s">
        <v>33</v>
      </c>
      <c r="B1091">
        <v>63</v>
      </c>
      <c r="C1091">
        <v>54.923000000000002</v>
      </c>
      <c r="D1091">
        <v>1.8720000000000001</v>
      </c>
      <c r="E1091">
        <v>39.978999999999999</v>
      </c>
      <c r="F1091">
        <f t="shared" ref="F1091:F1154" si="69">IFERROR(C1091/POWER(D1091,2),"")</f>
        <v>15.672654594930234</v>
      </c>
      <c r="G1091">
        <f t="shared" si="68"/>
        <v>1</v>
      </c>
      <c r="H1091" t="s">
        <v>1399</v>
      </c>
      <c r="I1091">
        <v>106.94799999999999</v>
      </c>
      <c r="J1091" t="s">
        <v>936</v>
      </c>
      <c r="K1091" s="24">
        <v>179</v>
      </c>
      <c r="L1091" s="24">
        <v>79</v>
      </c>
      <c r="M1091">
        <v>100</v>
      </c>
      <c r="N1091" t="s">
        <v>1434</v>
      </c>
      <c r="O1091">
        <v>61</v>
      </c>
      <c r="P1091">
        <v>70</v>
      </c>
      <c r="Q1091" t="s">
        <v>25</v>
      </c>
      <c r="R1091" t="s">
        <v>25</v>
      </c>
      <c r="S1091" t="s">
        <v>26</v>
      </c>
      <c r="T1091" t="s">
        <v>25</v>
      </c>
      <c r="U1091">
        <f t="shared" ref="U1091:U1154" si="70">SUM(IF(Q1091="Y",1,0),IF(R1091="Y",1,0),IF(S1091="Low",1,0),IF(T1091="Y",1,0))</f>
        <v>4</v>
      </c>
      <c r="V1091">
        <v>187.16499999999999</v>
      </c>
      <c r="W1091">
        <v>0.57099999999999995</v>
      </c>
      <c r="X1091" t="s">
        <v>1407</v>
      </c>
      <c r="Y1091">
        <v>179</v>
      </c>
      <c r="Z1091">
        <v>79</v>
      </c>
      <c r="AA1091" t="s">
        <v>40</v>
      </c>
      <c r="AB1091">
        <v>9</v>
      </c>
      <c r="AC1091" s="23">
        <v>0.15</v>
      </c>
      <c r="AD1091" t="str">
        <f>IF(AND('CVD Dataset'!AA1091="Normal",'CVD Dataset'!AB1091&gt;AVERAGE('CVD Dataset'!AB:AB),'CVD Dataset'!AF1091="High"),"High Lipid Category","Normal Category")</f>
        <v>Normal Category</v>
      </c>
      <c r="AE1091">
        <v>20.946000000000002</v>
      </c>
      <c r="AF1091" t="s">
        <v>28</v>
      </c>
      <c r="AG1091">
        <v>0</v>
      </c>
      <c r="AH1091" t="s">
        <v>1380</v>
      </c>
      <c r="AI1091">
        <f t="shared" ref="AI1091:AI1154" si="71">IF(AF1091="HIGH",1,0)</f>
        <v>0</v>
      </c>
      <c r="AJ1091" t="s">
        <v>1392</v>
      </c>
    </row>
    <row r="1092" spans="1:36" x14ac:dyDescent="0.3">
      <c r="A1092" t="s">
        <v>33</v>
      </c>
      <c r="B1092">
        <v>79</v>
      </c>
      <c r="C1092">
        <v>116.72199999999999</v>
      </c>
      <c r="D1092">
        <v>1.9690000000000001</v>
      </c>
      <c r="E1092">
        <v>33.073999999999998</v>
      </c>
      <c r="F1092">
        <f t="shared" si="69"/>
        <v>30.106570584537728</v>
      </c>
      <c r="G1092">
        <f t="shared" si="68"/>
        <v>1</v>
      </c>
      <c r="H1092" t="s">
        <v>1399</v>
      </c>
      <c r="I1092">
        <v>105.557</v>
      </c>
      <c r="J1092" t="s">
        <v>937</v>
      </c>
      <c r="K1092" s="24">
        <v>94</v>
      </c>
      <c r="L1092" s="24">
        <v>117</v>
      </c>
      <c r="M1092">
        <v>118</v>
      </c>
      <c r="N1092" t="s">
        <v>1434</v>
      </c>
      <c r="O1092">
        <v>87</v>
      </c>
      <c r="Q1092" t="s">
        <v>24</v>
      </c>
      <c r="R1092" t="s">
        <v>25</v>
      </c>
      <c r="S1092" t="s">
        <v>26</v>
      </c>
      <c r="T1092" t="s">
        <v>24</v>
      </c>
      <c r="U1092">
        <f t="shared" si="70"/>
        <v>2</v>
      </c>
      <c r="V1092">
        <v>196.899</v>
      </c>
      <c r="W1092">
        <v>0.53600000000000003</v>
      </c>
      <c r="X1092" t="s">
        <v>1407</v>
      </c>
      <c r="Y1092">
        <v>94</v>
      </c>
      <c r="Z1092">
        <v>117</v>
      </c>
      <c r="AA1092" t="s">
        <v>40</v>
      </c>
      <c r="AB1092">
        <v>1</v>
      </c>
      <c r="AC1092" s="23">
        <v>0.01</v>
      </c>
      <c r="AD1092" t="str">
        <f>IF(AND('CVD Dataset'!AA1092="Normal",'CVD Dataset'!AB1092&gt;AVERAGE('CVD Dataset'!AB:AB),'CVD Dataset'!AF1092="High"),"High Lipid Category","Normal Category")</f>
        <v>Normal Category</v>
      </c>
      <c r="AE1092">
        <v>15.675000000000001</v>
      </c>
      <c r="AF1092" t="s">
        <v>54</v>
      </c>
      <c r="AG1092">
        <v>0</v>
      </c>
      <c r="AH1092" t="s">
        <v>1380</v>
      </c>
      <c r="AI1092">
        <f t="shared" si="71"/>
        <v>0</v>
      </c>
      <c r="AJ1092" t="s">
        <v>1392</v>
      </c>
    </row>
    <row r="1093" spans="1:36" x14ac:dyDescent="0.3">
      <c r="A1093" t="s">
        <v>22</v>
      </c>
      <c r="B1093">
        <v>76</v>
      </c>
      <c r="C1093">
        <v>106.884</v>
      </c>
      <c r="D1093">
        <v>1.728</v>
      </c>
      <c r="E1093">
        <v>20.629000000000001</v>
      </c>
      <c r="F1093">
        <f t="shared" si="69"/>
        <v>35.795235339506178</v>
      </c>
      <c r="G1093">
        <f t="shared" si="68"/>
        <v>1</v>
      </c>
      <c r="H1093" t="s">
        <v>1398</v>
      </c>
      <c r="I1093">
        <v>101.182</v>
      </c>
      <c r="J1093" t="s">
        <v>938</v>
      </c>
      <c r="K1093" s="24">
        <v>155</v>
      </c>
      <c r="L1093" s="24">
        <v>79</v>
      </c>
      <c r="M1093">
        <v>102</v>
      </c>
      <c r="N1093" t="s">
        <v>1434</v>
      </c>
      <c r="O1093">
        <v>54</v>
      </c>
      <c r="P1093">
        <v>192</v>
      </c>
      <c r="Q1093" t="s">
        <v>25</v>
      </c>
      <c r="R1093" t="s">
        <v>25</v>
      </c>
      <c r="S1093" t="s">
        <v>30</v>
      </c>
      <c r="T1093" t="s">
        <v>24</v>
      </c>
      <c r="U1093">
        <f t="shared" si="70"/>
        <v>2</v>
      </c>
      <c r="V1093">
        <v>172.80199999999999</v>
      </c>
      <c r="W1093">
        <v>0.58599999999999997</v>
      </c>
      <c r="X1093" t="s">
        <v>1409</v>
      </c>
      <c r="Y1093">
        <v>155</v>
      </c>
      <c r="Z1093">
        <v>79</v>
      </c>
      <c r="AA1093" t="s">
        <v>40</v>
      </c>
      <c r="AB1093">
        <v>18</v>
      </c>
      <c r="AC1093" s="23">
        <v>0.33</v>
      </c>
      <c r="AD1093" t="str">
        <f>IF(AND('CVD Dataset'!AA1093="Normal",'CVD Dataset'!AB1093&gt;AVERAGE('CVD Dataset'!AB:AB),'CVD Dataset'!AF1093="High"),"High Lipid Category","Normal Category")</f>
        <v>Normal Category</v>
      </c>
      <c r="AF1093" t="s">
        <v>28</v>
      </c>
      <c r="AG1093">
        <v>0</v>
      </c>
      <c r="AH1093" t="s">
        <v>1380</v>
      </c>
      <c r="AI1093">
        <f t="shared" si="71"/>
        <v>0</v>
      </c>
      <c r="AJ1093" t="s">
        <v>1392</v>
      </c>
    </row>
    <row r="1094" spans="1:36" x14ac:dyDescent="0.3">
      <c r="A1094" t="s">
        <v>33</v>
      </c>
      <c r="B1094">
        <v>46</v>
      </c>
      <c r="C1094">
        <v>90.77</v>
      </c>
      <c r="D1094">
        <v>1.6419999999999999</v>
      </c>
      <c r="E1094">
        <v>18.899000000000001</v>
      </c>
      <c r="F1094">
        <f t="shared" si="69"/>
        <v>33.666349673091105</v>
      </c>
      <c r="G1094">
        <f t="shared" si="68"/>
        <v>1</v>
      </c>
      <c r="H1094" t="s">
        <v>1398</v>
      </c>
      <c r="I1094">
        <v>114.08499999999999</v>
      </c>
      <c r="J1094" t="s">
        <v>939</v>
      </c>
      <c r="K1094" s="24">
        <v>130</v>
      </c>
      <c r="L1094" s="24">
        <v>109</v>
      </c>
      <c r="M1094">
        <v>199</v>
      </c>
      <c r="N1094" t="s">
        <v>1432</v>
      </c>
      <c r="O1094">
        <v>32</v>
      </c>
      <c r="P1094">
        <v>70</v>
      </c>
      <c r="Q1094" t="s">
        <v>24</v>
      </c>
      <c r="R1094" t="s">
        <v>25</v>
      </c>
      <c r="S1094" t="s">
        <v>30</v>
      </c>
      <c r="T1094" t="s">
        <v>24</v>
      </c>
      <c r="U1094">
        <f t="shared" si="70"/>
        <v>1</v>
      </c>
      <c r="V1094">
        <v>164.18299999999999</v>
      </c>
      <c r="W1094">
        <v>0.69499999999999995</v>
      </c>
      <c r="X1094" t="s">
        <v>1409</v>
      </c>
      <c r="Y1094">
        <v>130</v>
      </c>
      <c r="Z1094">
        <v>109</v>
      </c>
      <c r="AA1094" t="s">
        <v>31</v>
      </c>
      <c r="AB1094">
        <v>137</v>
      </c>
      <c r="AC1094" s="23">
        <v>4.28</v>
      </c>
      <c r="AD1094" t="str">
        <f>IF(AND('CVD Dataset'!AA1094="Normal",'CVD Dataset'!AB1094&gt;AVERAGE('CVD Dataset'!AB:AB),'CVD Dataset'!AF1094="High"),"High Lipid Category","Normal Category")</f>
        <v>Normal Category</v>
      </c>
      <c r="AE1094">
        <v>16.260000000000002</v>
      </c>
      <c r="AF1094" t="s">
        <v>28</v>
      </c>
      <c r="AG1094">
        <v>0</v>
      </c>
      <c r="AH1094" t="s">
        <v>1380</v>
      </c>
      <c r="AI1094">
        <f t="shared" si="71"/>
        <v>0</v>
      </c>
      <c r="AJ1094" t="s">
        <v>1391</v>
      </c>
    </row>
    <row r="1095" spans="1:36" x14ac:dyDescent="0.3">
      <c r="A1095" t="s">
        <v>22</v>
      </c>
      <c r="B1095">
        <v>52</v>
      </c>
      <c r="C1095">
        <v>53.542000000000002</v>
      </c>
      <c r="D1095">
        <v>1.69</v>
      </c>
      <c r="E1095">
        <v>28.713000000000001</v>
      </c>
      <c r="F1095">
        <f t="shared" si="69"/>
        <v>18.746542488008124</v>
      </c>
      <c r="G1095">
        <f t="shared" si="68"/>
        <v>1</v>
      </c>
      <c r="H1095" t="s">
        <v>1400</v>
      </c>
      <c r="I1095">
        <v>73.144999999999996</v>
      </c>
      <c r="J1095" t="s">
        <v>940</v>
      </c>
      <c r="K1095" s="24">
        <v>103</v>
      </c>
      <c r="L1095" s="24">
        <v>90</v>
      </c>
      <c r="M1095">
        <v>176</v>
      </c>
      <c r="N1095" t="s">
        <v>1433</v>
      </c>
      <c r="O1095">
        <v>79</v>
      </c>
      <c r="P1095">
        <v>111</v>
      </c>
      <c r="Q1095" t="s">
        <v>25</v>
      </c>
      <c r="R1095" t="s">
        <v>24</v>
      </c>
      <c r="S1095" t="s">
        <v>30</v>
      </c>
      <c r="T1095" t="s">
        <v>25</v>
      </c>
      <c r="U1095">
        <f t="shared" si="70"/>
        <v>2</v>
      </c>
      <c r="V1095">
        <v>168.958</v>
      </c>
      <c r="W1095">
        <v>0.433</v>
      </c>
      <c r="X1095" t="s">
        <v>1408</v>
      </c>
      <c r="Y1095">
        <v>103</v>
      </c>
      <c r="Z1095">
        <v>90</v>
      </c>
      <c r="AA1095" t="s">
        <v>40</v>
      </c>
      <c r="AB1095">
        <v>67</v>
      </c>
      <c r="AC1095" s="23">
        <v>0.85</v>
      </c>
      <c r="AD1095" t="str">
        <f>IF(AND('CVD Dataset'!AA1095="Normal",'CVD Dataset'!AB1095&gt;AVERAGE('CVD Dataset'!AB:AB),'CVD Dataset'!AF1095="High"),"High Lipid Category","Normal Category")</f>
        <v>Normal Category</v>
      </c>
      <c r="AE1095">
        <v>14.413</v>
      </c>
      <c r="AF1095" t="s">
        <v>54</v>
      </c>
      <c r="AG1095">
        <v>0</v>
      </c>
      <c r="AH1095" t="s">
        <v>1380</v>
      </c>
      <c r="AI1095">
        <f t="shared" si="71"/>
        <v>0</v>
      </c>
      <c r="AJ1095" t="s">
        <v>1391</v>
      </c>
    </row>
    <row r="1096" spans="1:36" x14ac:dyDescent="0.3">
      <c r="A1096" t="s">
        <v>22</v>
      </c>
      <c r="B1096">
        <v>74</v>
      </c>
      <c r="C1096">
        <v>63.398000000000003</v>
      </c>
      <c r="D1096">
        <v>1.7849999999999999</v>
      </c>
      <c r="E1096">
        <v>31.238</v>
      </c>
      <c r="F1096">
        <f t="shared" si="69"/>
        <v>19.897527638506386</v>
      </c>
      <c r="G1096">
        <f t="shared" si="68"/>
        <v>1</v>
      </c>
      <c r="H1096" t="s">
        <v>1399</v>
      </c>
      <c r="I1096">
        <v>83.495000000000005</v>
      </c>
      <c r="J1096" t="s">
        <v>941</v>
      </c>
      <c r="K1096" s="24">
        <v>137</v>
      </c>
      <c r="L1096" s="24">
        <v>113</v>
      </c>
      <c r="M1096">
        <v>218</v>
      </c>
      <c r="N1096" t="s">
        <v>1432</v>
      </c>
      <c r="O1096">
        <v>63</v>
      </c>
      <c r="P1096">
        <v>72</v>
      </c>
      <c r="Q1096" t="s">
        <v>25</v>
      </c>
      <c r="R1096" t="s">
        <v>25</v>
      </c>
      <c r="S1096" t="s">
        <v>30</v>
      </c>
      <c r="T1096" t="s">
        <v>24</v>
      </c>
      <c r="U1096">
        <f t="shared" si="70"/>
        <v>2</v>
      </c>
      <c r="V1096">
        <v>178.49</v>
      </c>
      <c r="W1096">
        <v>0.46800000000000003</v>
      </c>
      <c r="X1096" t="s">
        <v>1406</v>
      </c>
      <c r="Y1096">
        <v>137</v>
      </c>
      <c r="Z1096">
        <v>113</v>
      </c>
      <c r="AA1096" t="s">
        <v>31</v>
      </c>
      <c r="AB1096">
        <v>125</v>
      </c>
      <c r="AC1096" s="23">
        <v>1.98</v>
      </c>
      <c r="AD1096" t="str">
        <f>IF(AND('CVD Dataset'!AA1096="Normal",'CVD Dataset'!AB1096&gt;AVERAGE('CVD Dataset'!AB:AB),'CVD Dataset'!AF1096="High"),"High Lipid Category","Normal Category")</f>
        <v>Normal Category</v>
      </c>
      <c r="AE1096">
        <v>19.457999999999998</v>
      </c>
      <c r="AF1096" t="s">
        <v>32</v>
      </c>
      <c r="AG1096">
        <v>1</v>
      </c>
      <c r="AH1096" t="s">
        <v>1379</v>
      </c>
      <c r="AI1096">
        <f t="shared" si="71"/>
        <v>1</v>
      </c>
      <c r="AJ1096" t="s">
        <v>1392</v>
      </c>
    </row>
    <row r="1097" spans="1:36" x14ac:dyDescent="0.3">
      <c r="A1097" t="s">
        <v>22</v>
      </c>
      <c r="B1097">
        <v>60</v>
      </c>
      <c r="C1097">
        <v>94.003</v>
      </c>
      <c r="D1097">
        <v>1.5489999999999999</v>
      </c>
      <c r="E1097">
        <v>34.152999999999999</v>
      </c>
      <c r="F1097">
        <f t="shared" si="69"/>
        <v>39.177694766318766</v>
      </c>
      <c r="G1097">
        <f t="shared" si="68"/>
        <v>1</v>
      </c>
      <c r="H1097" t="s">
        <v>1399</v>
      </c>
      <c r="I1097">
        <v>77.307000000000002</v>
      </c>
      <c r="J1097" t="s">
        <v>942</v>
      </c>
      <c r="K1097" s="24">
        <v>152</v>
      </c>
      <c r="L1097" s="24">
        <v>114</v>
      </c>
      <c r="M1097">
        <v>238</v>
      </c>
      <c r="N1097" t="s">
        <v>1432</v>
      </c>
      <c r="O1097">
        <v>85</v>
      </c>
      <c r="P1097">
        <v>154</v>
      </c>
      <c r="Q1097" t="s">
        <v>24</v>
      </c>
      <c r="R1097" t="s">
        <v>25</v>
      </c>
      <c r="S1097" t="s">
        <v>39</v>
      </c>
      <c r="T1097" t="s">
        <v>25</v>
      </c>
      <c r="U1097">
        <f t="shared" si="70"/>
        <v>2</v>
      </c>
      <c r="W1097">
        <v>0.499</v>
      </c>
      <c r="X1097" t="s">
        <v>1406</v>
      </c>
      <c r="Y1097">
        <v>152</v>
      </c>
      <c r="Z1097">
        <v>114</v>
      </c>
      <c r="AA1097" t="s">
        <v>40</v>
      </c>
      <c r="AB1097">
        <v>123</v>
      </c>
      <c r="AC1097" s="23">
        <v>1.45</v>
      </c>
      <c r="AD1097" t="str">
        <f>IF(AND('CVD Dataset'!AA1097="Normal",'CVD Dataset'!AB1097&gt;AVERAGE('CVD Dataset'!AB:AB),'CVD Dataset'!AF1097="High"),"High Lipid Category","Normal Category")</f>
        <v>Normal Category</v>
      </c>
      <c r="AE1097">
        <v>21.190999999999999</v>
      </c>
      <c r="AF1097" t="s">
        <v>54</v>
      </c>
      <c r="AG1097">
        <v>0</v>
      </c>
      <c r="AH1097" t="s">
        <v>1380</v>
      </c>
      <c r="AI1097">
        <f t="shared" si="71"/>
        <v>0</v>
      </c>
      <c r="AJ1097" t="s">
        <v>1392</v>
      </c>
    </row>
    <row r="1098" spans="1:36" x14ac:dyDescent="0.3">
      <c r="A1098" t="s">
        <v>33</v>
      </c>
      <c r="B1098">
        <v>57</v>
      </c>
      <c r="C1098">
        <v>119.063</v>
      </c>
      <c r="D1098">
        <v>1.823</v>
      </c>
      <c r="E1098">
        <v>33.326000000000001</v>
      </c>
      <c r="F1098">
        <f t="shared" si="69"/>
        <v>35.826425851909342</v>
      </c>
      <c r="G1098">
        <f t="shared" si="68"/>
        <v>1</v>
      </c>
      <c r="H1098" t="s">
        <v>1399</v>
      </c>
      <c r="I1098">
        <v>76.637</v>
      </c>
      <c r="J1098" t="s">
        <v>943</v>
      </c>
      <c r="K1098" s="24">
        <v>109</v>
      </c>
      <c r="L1098" s="24">
        <v>118</v>
      </c>
      <c r="M1098">
        <v>250</v>
      </c>
      <c r="N1098" t="s">
        <v>1432</v>
      </c>
      <c r="O1098">
        <v>73</v>
      </c>
      <c r="P1098">
        <v>185</v>
      </c>
      <c r="Q1098" t="s">
        <v>24</v>
      </c>
      <c r="R1098" t="s">
        <v>25</v>
      </c>
      <c r="S1098" t="s">
        <v>30</v>
      </c>
      <c r="T1098" t="s">
        <v>24</v>
      </c>
      <c r="U1098">
        <f t="shared" si="70"/>
        <v>1</v>
      </c>
      <c r="V1098">
        <v>182.29</v>
      </c>
      <c r="W1098">
        <v>0.42</v>
      </c>
      <c r="X1098" t="s">
        <v>1408</v>
      </c>
      <c r="Y1098">
        <v>109</v>
      </c>
      <c r="Z1098">
        <v>118</v>
      </c>
      <c r="AA1098" t="s">
        <v>40</v>
      </c>
      <c r="AB1098">
        <v>147</v>
      </c>
      <c r="AC1098" s="23">
        <v>2.0099999999999998</v>
      </c>
      <c r="AD1098" t="str">
        <f>IF(AND('CVD Dataset'!AA1098="Normal",'CVD Dataset'!AB1098&gt;AVERAGE('CVD Dataset'!AB:AB),'CVD Dataset'!AF1098="High"),"High Lipid Category","Normal Category")</f>
        <v>Normal Category</v>
      </c>
      <c r="AE1098">
        <v>19.114999999999998</v>
      </c>
      <c r="AF1098" t="s">
        <v>32</v>
      </c>
      <c r="AG1098">
        <v>1</v>
      </c>
      <c r="AH1098" t="s">
        <v>1379</v>
      </c>
      <c r="AI1098">
        <f t="shared" si="71"/>
        <v>1</v>
      </c>
      <c r="AJ1098" t="s">
        <v>1392</v>
      </c>
    </row>
    <row r="1099" spans="1:36" x14ac:dyDescent="0.3">
      <c r="A1099" t="s">
        <v>33</v>
      </c>
      <c r="B1099">
        <v>43</v>
      </c>
      <c r="C1099">
        <v>93.834000000000003</v>
      </c>
      <c r="D1099">
        <v>1.8069999999999999</v>
      </c>
      <c r="E1099">
        <v>24.548999999999999</v>
      </c>
      <c r="F1099">
        <f t="shared" si="69"/>
        <v>28.737165220784082</v>
      </c>
      <c r="G1099">
        <f t="shared" si="68"/>
        <v>1</v>
      </c>
      <c r="H1099" t="s">
        <v>1398</v>
      </c>
      <c r="I1099">
        <v>97.454999999999998</v>
      </c>
      <c r="J1099" t="s">
        <v>944</v>
      </c>
      <c r="K1099" s="24">
        <v>155</v>
      </c>
      <c r="L1099" s="24">
        <v>110</v>
      </c>
      <c r="M1099">
        <v>295</v>
      </c>
      <c r="N1099" t="s">
        <v>1432</v>
      </c>
      <c r="O1099">
        <v>69</v>
      </c>
      <c r="P1099">
        <v>197</v>
      </c>
      <c r="Q1099" t="s">
        <v>24</v>
      </c>
      <c r="R1099" t="s">
        <v>25</v>
      </c>
      <c r="S1099" t="s">
        <v>26</v>
      </c>
      <c r="T1099" t="s">
        <v>24</v>
      </c>
      <c r="U1099">
        <f t="shared" si="70"/>
        <v>2</v>
      </c>
      <c r="V1099">
        <v>180.66499999999999</v>
      </c>
      <c r="X1099" t="s">
        <v>1410</v>
      </c>
      <c r="Y1099">
        <v>155</v>
      </c>
      <c r="Z1099">
        <v>110</v>
      </c>
      <c r="AA1099" t="s">
        <v>40</v>
      </c>
      <c r="AB1099">
        <v>196</v>
      </c>
      <c r="AC1099" s="23">
        <v>2.84</v>
      </c>
      <c r="AD1099" t="str">
        <f>IF(AND('CVD Dataset'!AA1099="Normal",'CVD Dataset'!AB1099&gt;AVERAGE('CVD Dataset'!AB:AB),'CVD Dataset'!AF1099="High"),"High Lipid Category","Normal Category")</f>
        <v>Normal Category</v>
      </c>
      <c r="AE1099">
        <v>20.56</v>
      </c>
      <c r="AF1099" t="s">
        <v>54</v>
      </c>
      <c r="AG1099">
        <v>0</v>
      </c>
      <c r="AH1099" t="s">
        <v>1380</v>
      </c>
      <c r="AI1099">
        <f t="shared" si="71"/>
        <v>0</v>
      </c>
      <c r="AJ1099" t="s">
        <v>1391</v>
      </c>
    </row>
    <row r="1100" spans="1:36" x14ac:dyDescent="0.3">
      <c r="A1100" t="s">
        <v>22</v>
      </c>
      <c r="B1100">
        <v>33</v>
      </c>
      <c r="C1100">
        <v>59.622999999999998</v>
      </c>
      <c r="D1100">
        <v>1.6259999999999999</v>
      </c>
      <c r="E1100">
        <v>25.751000000000001</v>
      </c>
      <c r="F1100">
        <f t="shared" si="69"/>
        <v>22.551360199948864</v>
      </c>
      <c r="G1100">
        <f t="shared" si="68"/>
        <v>1</v>
      </c>
      <c r="H1100" t="s">
        <v>1400</v>
      </c>
      <c r="I1100">
        <v>75.781999999999996</v>
      </c>
      <c r="J1100" t="s">
        <v>945</v>
      </c>
      <c r="K1100" s="24">
        <v>170</v>
      </c>
      <c r="L1100" s="24">
        <v>76</v>
      </c>
      <c r="M1100">
        <v>259</v>
      </c>
      <c r="N1100" t="s">
        <v>1432</v>
      </c>
      <c r="O1100">
        <v>80</v>
      </c>
      <c r="P1100">
        <v>82</v>
      </c>
      <c r="Q1100" t="s">
        <v>24</v>
      </c>
      <c r="R1100" t="s">
        <v>24</v>
      </c>
      <c r="S1100" t="s">
        <v>26</v>
      </c>
      <c r="T1100" t="s">
        <v>25</v>
      </c>
      <c r="U1100">
        <f t="shared" si="70"/>
        <v>2</v>
      </c>
      <c r="V1100">
        <v>162.59899999999999</v>
      </c>
      <c r="W1100">
        <v>0.46600000000000003</v>
      </c>
      <c r="X1100" t="s">
        <v>1406</v>
      </c>
      <c r="Y1100">
        <v>170</v>
      </c>
      <c r="Z1100">
        <v>76</v>
      </c>
      <c r="AA1100" t="s">
        <v>40</v>
      </c>
      <c r="AB1100">
        <v>149</v>
      </c>
      <c r="AC1100" s="23">
        <v>1.86</v>
      </c>
      <c r="AD1100" t="str">
        <f>IF(AND('CVD Dataset'!AA1100="Normal",'CVD Dataset'!AB1100&gt;AVERAGE('CVD Dataset'!AB:AB),'CVD Dataset'!AF1100="High"),"High Lipid Category","Normal Category")</f>
        <v>Normal Category</v>
      </c>
      <c r="AE1100">
        <v>18.829999999999998</v>
      </c>
      <c r="AF1100" t="s">
        <v>28</v>
      </c>
      <c r="AG1100">
        <v>0</v>
      </c>
      <c r="AH1100" t="s">
        <v>1380</v>
      </c>
      <c r="AI1100">
        <f t="shared" si="71"/>
        <v>0</v>
      </c>
      <c r="AJ1100" t="s">
        <v>1391</v>
      </c>
    </row>
    <row r="1101" spans="1:36" x14ac:dyDescent="0.3">
      <c r="A1101" t="s">
        <v>22</v>
      </c>
      <c r="B1101">
        <v>72</v>
      </c>
      <c r="D1101">
        <v>1.589</v>
      </c>
      <c r="F1101">
        <f t="shared" si="69"/>
        <v>0</v>
      </c>
      <c r="G1101">
        <f t="shared" si="68"/>
        <v>0</v>
      </c>
      <c r="H1101" t="s">
        <v>1401</v>
      </c>
      <c r="I1101">
        <v>89.795000000000002</v>
      </c>
      <c r="J1101" t="s">
        <v>583</v>
      </c>
      <c r="K1101" s="24">
        <v>134</v>
      </c>
      <c r="L1101" s="24">
        <v>85</v>
      </c>
      <c r="M1101">
        <v>183</v>
      </c>
      <c r="N1101" t="s">
        <v>1432</v>
      </c>
      <c r="O1101">
        <v>39</v>
      </c>
      <c r="P1101">
        <v>159</v>
      </c>
      <c r="Q1101" t="s">
        <v>24</v>
      </c>
      <c r="R1101" t="s">
        <v>25</v>
      </c>
      <c r="S1101" t="s">
        <v>26</v>
      </c>
      <c r="T1101" t="s">
        <v>24</v>
      </c>
      <c r="U1101">
        <f t="shared" si="70"/>
        <v>2</v>
      </c>
      <c r="V1101">
        <v>158.923</v>
      </c>
      <c r="W1101">
        <v>0.56499999999999995</v>
      </c>
      <c r="X1101" t="s">
        <v>1407</v>
      </c>
      <c r="Y1101">
        <v>134</v>
      </c>
      <c r="Z1101">
        <v>85</v>
      </c>
      <c r="AA1101" t="s">
        <v>31</v>
      </c>
      <c r="AC1101" s="23">
        <v>0</v>
      </c>
      <c r="AD1101" t="str">
        <f>IF(AND('CVD Dataset'!AA1101="Normal",'CVD Dataset'!AB1101&gt;AVERAGE('CVD Dataset'!AB:AB),'CVD Dataset'!AF1101="High"),"High Lipid Category","Normal Category")</f>
        <v>Normal Category</v>
      </c>
      <c r="AE1101">
        <v>20.323</v>
      </c>
      <c r="AF1101" t="s">
        <v>28</v>
      </c>
      <c r="AG1101">
        <v>0</v>
      </c>
      <c r="AH1101" t="s">
        <v>1380</v>
      </c>
      <c r="AI1101">
        <f t="shared" si="71"/>
        <v>0</v>
      </c>
      <c r="AJ1101" t="s">
        <v>1392</v>
      </c>
    </row>
    <row r="1102" spans="1:36" x14ac:dyDescent="0.3">
      <c r="A1102" t="s">
        <v>33</v>
      </c>
      <c r="B1102">
        <v>38</v>
      </c>
      <c r="C1102">
        <v>100.84</v>
      </c>
      <c r="D1102">
        <v>1.7689999999999999</v>
      </c>
      <c r="E1102">
        <v>25.382999999999999</v>
      </c>
      <c r="F1102">
        <f t="shared" si="69"/>
        <v>32.22383099936377</v>
      </c>
      <c r="G1102">
        <f t="shared" si="68"/>
        <v>1</v>
      </c>
      <c r="H1102" t="s">
        <v>1400</v>
      </c>
      <c r="I1102">
        <v>73.367999999999995</v>
      </c>
      <c r="J1102" t="s">
        <v>946</v>
      </c>
      <c r="K1102" s="24">
        <v>124</v>
      </c>
      <c r="L1102" s="24">
        <v>101</v>
      </c>
      <c r="M1102">
        <v>201</v>
      </c>
      <c r="N1102" t="s">
        <v>1432</v>
      </c>
      <c r="O1102">
        <v>31</v>
      </c>
      <c r="P1102">
        <v>172</v>
      </c>
      <c r="Q1102" t="s">
        <v>24</v>
      </c>
      <c r="R1102" t="s">
        <v>25</v>
      </c>
      <c r="S1102" t="s">
        <v>30</v>
      </c>
      <c r="T1102" t="s">
        <v>25</v>
      </c>
      <c r="U1102">
        <f t="shared" si="70"/>
        <v>2</v>
      </c>
      <c r="V1102">
        <v>176.911</v>
      </c>
      <c r="W1102">
        <v>0.41499999999999998</v>
      </c>
      <c r="X1102" t="s">
        <v>1408</v>
      </c>
      <c r="Z1102">
        <v>101</v>
      </c>
      <c r="AA1102" t="s">
        <v>40</v>
      </c>
      <c r="AC1102" s="23">
        <v>0</v>
      </c>
      <c r="AD1102" t="str">
        <f>IF(AND('CVD Dataset'!AA1102="Normal",'CVD Dataset'!AB1102&gt;AVERAGE('CVD Dataset'!AB:AB),'CVD Dataset'!AF1102="High"),"High Lipid Category","Normal Category")</f>
        <v>Normal Category</v>
      </c>
      <c r="AE1102">
        <v>17.297000000000001</v>
      </c>
      <c r="AF1102" t="s">
        <v>28</v>
      </c>
      <c r="AG1102">
        <v>0</v>
      </c>
      <c r="AH1102" t="s">
        <v>1380</v>
      </c>
      <c r="AI1102">
        <f t="shared" si="71"/>
        <v>0</v>
      </c>
      <c r="AJ1102" t="s">
        <v>1391</v>
      </c>
    </row>
    <row r="1103" spans="1:36" x14ac:dyDescent="0.3">
      <c r="A1103" t="s">
        <v>22</v>
      </c>
      <c r="B1103">
        <v>57</v>
      </c>
      <c r="C1103">
        <v>100.13</v>
      </c>
      <c r="D1103">
        <v>1.84</v>
      </c>
      <c r="E1103">
        <v>22.242000000000001</v>
      </c>
      <c r="F1103">
        <f t="shared" si="69"/>
        <v>29.57525992438563</v>
      </c>
      <c r="G1103">
        <f t="shared" ref="G1103:G1166" si="72">IFERROR(IF(ABS(E1103 - F1103) &lt;= 0.1, 0, 1),"")</f>
        <v>1</v>
      </c>
      <c r="H1103" t="s">
        <v>1398</v>
      </c>
      <c r="I1103">
        <v>80.813999999999993</v>
      </c>
      <c r="J1103" t="s">
        <v>947</v>
      </c>
      <c r="K1103" s="24">
        <v>165</v>
      </c>
      <c r="L1103" s="24">
        <v>99</v>
      </c>
      <c r="M1103">
        <v>123</v>
      </c>
      <c r="N1103" t="s">
        <v>1434</v>
      </c>
      <c r="O1103">
        <v>54</v>
      </c>
      <c r="P1103">
        <v>94</v>
      </c>
      <c r="Q1103" t="s">
        <v>24</v>
      </c>
      <c r="R1103" t="s">
        <v>24</v>
      </c>
      <c r="S1103" t="s">
        <v>26</v>
      </c>
      <c r="T1103" t="s">
        <v>24</v>
      </c>
      <c r="U1103">
        <f t="shared" si="70"/>
        <v>1</v>
      </c>
      <c r="V1103">
        <v>183.988</v>
      </c>
      <c r="W1103">
        <v>0.439</v>
      </c>
      <c r="X1103" t="s">
        <v>1408</v>
      </c>
      <c r="Y1103">
        <v>165</v>
      </c>
      <c r="Z1103">
        <v>99</v>
      </c>
      <c r="AA1103" t="s">
        <v>40</v>
      </c>
      <c r="AB1103">
        <v>39</v>
      </c>
      <c r="AC1103" s="23">
        <v>0.72</v>
      </c>
      <c r="AD1103" t="str">
        <f>IF(AND('CVD Dataset'!AA1103="Normal",'CVD Dataset'!AB1103&gt;AVERAGE('CVD Dataset'!AB:AB),'CVD Dataset'!AF1103="High"),"High Lipid Category","Normal Category")</f>
        <v>Normal Category</v>
      </c>
      <c r="AE1103">
        <v>15.157999999999999</v>
      </c>
      <c r="AF1103" t="s">
        <v>54</v>
      </c>
      <c r="AG1103">
        <v>0</v>
      </c>
      <c r="AH1103" t="s">
        <v>1380</v>
      </c>
      <c r="AI1103">
        <f t="shared" si="71"/>
        <v>0</v>
      </c>
      <c r="AJ1103" t="s">
        <v>1391</v>
      </c>
    </row>
    <row r="1104" spans="1:36" x14ac:dyDescent="0.3">
      <c r="A1104" t="s">
        <v>22</v>
      </c>
      <c r="C1104">
        <v>98.783000000000001</v>
      </c>
      <c r="D1104">
        <v>1.76</v>
      </c>
      <c r="E1104">
        <v>36.078000000000003</v>
      </c>
      <c r="F1104">
        <f t="shared" si="69"/>
        <v>31.890173037190085</v>
      </c>
      <c r="G1104">
        <f t="shared" si="72"/>
        <v>1</v>
      </c>
      <c r="H1104" t="s">
        <v>1399</v>
      </c>
      <c r="I1104">
        <v>74.397000000000006</v>
      </c>
      <c r="J1104" t="s">
        <v>219</v>
      </c>
      <c r="K1104" s="24">
        <v>117</v>
      </c>
      <c r="L1104" s="24">
        <v>62</v>
      </c>
      <c r="M1104">
        <v>227</v>
      </c>
      <c r="N1104" t="s">
        <v>1432</v>
      </c>
      <c r="O1104">
        <v>77</v>
      </c>
      <c r="P1104">
        <v>105</v>
      </c>
      <c r="Q1104" t="s">
        <v>24</v>
      </c>
      <c r="R1104" t="s">
        <v>24</v>
      </c>
      <c r="S1104" t="s">
        <v>30</v>
      </c>
      <c r="T1104" t="s">
        <v>25</v>
      </c>
      <c r="U1104">
        <f t="shared" si="70"/>
        <v>1</v>
      </c>
      <c r="V1104">
        <v>175.99799999999999</v>
      </c>
      <c r="W1104">
        <v>0.42299999999999999</v>
      </c>
      <c r="X1104" t="s">
        <v>1408</v>
      </c>
      <c r="Y1104">
        <v>117</v>
      </c>
      <c r="Z1104">
        <v>62</v>
      </c>
      <c r="AA1104" t="s">
        <v>35</v>
      </c>
      <c r="AB1104">
        <v>120</v>
      </c>
      <c r="AC1104" s="23">
        <v>1.56</v>
      </c>
      <c r="AD1104" t="str">
        <f>IF(AND('CVD Dataset'!AA1104="Normal",'CVD Dataset'!AB1104&gt;AVERAGE('CVD Dataset'!AB:AB),'CVD Dataset'!AF1104="High"),"High Lipid Category","Normal Category")</f>
        <v>High Lipid Category</v>
      </c>
      <c r="AE1104">
        <v>17.606000000000002</v>
      </c>
      <c r="AF1104" t="s">
        <v>32</v>
      </c>
      <c r="AG1104">
        <v>1</v>
      </c>
      <c r="AH1104" t="s">
        <v>1379</v>
      </c>
      <c r="AI1104">
        <f t="shared" si="71"/>
        <v>1</v>
      </c>
      <c r="AJ1104" t="s">
        <v>1391</v>
      </c>
    </row>
    <row r="1105" spans="1:36" x14ac:dyDescent="0.3">
      <c r="A1105" t="s">
        <v>33</v>
      </c>
      <c r="B1105">
        <v>27</v>
      </c>
      <c r="C1105">
        <v>115.739</v>
      </c>
      <c r="D1105">
        <v>1.7989999999999999</v>
      </c>
      <c r="E1105">
        <v>22.463999999999999</v>
      </c>
      <c r="F1105">
        <f t="shared" si="69"/>
        <v>35.76163769569964</v>
      </c>
      <c r="G1105">
        <f t="shared" si="72"/>
        <v>1</v>
      </c>
      <c r="H1105" t="s">
        <v>1398</v>
      </c>
      <c r="I1105">
        <v>77.691999999999993</v>
      </c>
      <c r="J1105" t="s">
        <v>948</v>
      </c>
      <c r="K1105" s="24">
        <v>173</v>
      </c>
      <c r="L1105" s="24">
        <v>96</v>
      </c>
      <c r="M1105">
        <v>151</v>
      </c>
      <c r="N1105" t="s">
        <v>1433</v>
      </c>
      <c r="O1105">
        <v>50</v>
      </c>
      <c r="P1105">
        <v>188</v>
      </c>
      <c r="Q1105" t="s">
        <v>25</v>
      </c>
      <c r="R1105" t="s">
        <v>25</v>
      </c>
      <c r="S1105" t="s">
        <v>30</v>
      </c>
      <c r="T1105" t="s">
        <v>24</v>
      </c>
      <c r="U1105">
        <f t="shared" si="70"/>
        <v>2</v>
      </c>
      <c r="V1105">
        <v>179.90799999999999</v>
      </c>
      <c r="W1105">
        <v>0.432</v>
      </c>
      <c r="X1105" t="s">
        <v>1408</v>
      </c>
      <c r="Y1105">
        <v>173</v>
      </c>
      <c r="Z1105">
        <v>96</v>
      </c>
      <c r="AA1105" t="s">
        <v>40</v>
      </c>
      <c r="AB1105">
        <v>71</v>
      </c>
      <c r="AC1105" s="23">
        <v>1.42</v>
      </c>
      <c r="AD1105" t="str">
        <f>IF(AND('CVD Dataset'!AA1105="Normal",'CVD Dataset'!AB1105&gt;AVERAGE('CVD Dataset'!AB:AB),'CVD Dataset'!AF1105="High"),"High Lipid Category","Normal Category")</f>
        <v>Normal Category</v>
      </c>
      <c r="AE1105">
        <v>18.163</v>
      </c>
      <c r="AF1105" t="s">
        <v>32</v>
      </c>
      <c r="AG1105">
        <v>0</v>
      </c>
      <c r="AH1105" t="s">
        <v>1379</v>
      </c>
      <c r="AI1105">
        <f t="shared" si="71"/>
        <v>1</v>
      </c>
      <c r="AJ1105" t="s">
        <v>1391</v>
      </c>
    </row>
    <row r="1106" spans="1:36" x14ac:dyDescent="0.3">
      <c r="A1106" t="s">
        <v>22</v>
      </c>
      <c r="B1106">
        <v>38</v>
      </c>
      <c r="C1106">
        <v>53.055999999999997</v>
      </c>
      <c r="D1106">
        <v>1.7829999999999999</v>
      </c>
      <c r="E1106">
        <v>25.81</v>
      </c>
      <c r="F1106">
        <f t="shared" si="69"/>
        <v>16.689057777243733</v>
      </c>
      <c r="G1106">
        <f t="shared" si="72"/>
        <v>1</v>
      </c>
      <c r="H1106" t="s">
        <v>1400</v>
      </c>
      <c r="I1106">
        <v>73.491</v>
      </c>
      <c r="J1106" t="s">
        <v>661</v>
      </c>
      <c r="K1106" s="24">
        <v>111</v>
      </c>
      <c r="L1106" s="24">
        <v>97</v>
      </c>
      <c r="M1106">
        <v>274</v>
      </c>
      <c r="N1106" t="s">
        <v>1432</v>
      </c>
      <c r="O1106">
        <v>61</v>
      </c>
      <c r="P1106">
        <v>160</v>
      </c>
      <c r="Q1106" t="s">
        <v>25</v>
      </c>
      <c r="R1106" t="s">
        <v>25</v>
      </c>
      <c r="S1106" t="s">
        <v>30</v>
      </c>
      <c r="T1106" t="s">
        <v>25</v>
      </c>
      <c r="U1106">
        <f t="shared" si="70"/>
        <v>3</v>
      </c>
      <c r="V1106">
        <v>178.3</v>
      </c>
      <c r="W1106">
        <v>0.41199999999999998</v>
      </c>
      <c r="X1106" t="s">
        <v>1408</v>
      </c>
      <c r="Y1106">
        <v>111</v>
      </c>
      <c r="Z1106">
        <v>97</v>
      </c>
      <c r="AA1106" t="s">
        <v>40</v>
      </c>
      <c r="AB1106">
        <v>183</v>
      </c>
      <c r="AC1106" s="23">
        <v>3</v>
      </c>
      <c r="AD1106" t="str">
        <f>IF(AND('CVD Dataset'!AA1106="Normal",'CVD Dataset'!AB1106&gt;AVERAGE('CVD Dataset'!AB:AB),'CVD Dataset'!AF1106="High"),"High Lipid Category","Normal Category")</f>
        <v>Normal Category</v>
      </c>
      <c r="AE1106">
        <v>18.192</v>
      </c>
      <c r="AF1106" t="s">
        <v>54</v>
      </c>
      <c r="AG1106">
        <v>0</v>
      </c>
      <c r="AH1106" t="s">
        <v>1380</v>
      </c>
      <c r="AI1106">
        <f t="shared" si="71"/>
        <v>0</v>
      </c>
      <c r="AJ1106" t="s">
        <v>1391</v>
      </c>
    </row>
    <row r="1107" spans="1:36" x14ac:dyDescent="0.3">
      <c r="A1107" t="s">
        <v>22</v>
      </c>
      <c r="B1107">
        <v>29</v>
      </c>
      <c r="C1107">
        <v>112.22499999999999</v>
      </c>
      <c r="D1107">
        <v>1.9339999999999999</v>
      </c>
      <c r="E1107">
        <v>23.06</v>
      </c>
      <c r="F1107">
        <f t="shared" si="69"/>
        <v>30.003828512580085</v>
      </c>
      <c r="G1107">
        <f t="shared" si="72"/>
        <v>1</v>
      </c>
      <c r="H1107" t="s">
        <v>1398</v>
      </c>
      <c r="I1107">
        <v>110.373</v>
      </c>
      <c r="J1107" t="s">
        <v>949</v>
      </c>
      <c r="K1107" s="24">
        <v>178</v>
      </c>
      <c r="L1107" s="24">
        <v>90</v>
      </c>
      <c r="M1107">
        <v>247</v>
      </c>
      <c r="N1107" t="s">
        <v>1432</v>
      </c>
      <c r="O1107">
        <v>66</v>
      </c>
      <c r="P1107">
        <v>151</v>
      </c>
      <c r="Q1107" t="s">
        <v>24</v>
      </c>
      <c r="R1107" t="s">
        <v>24</v>
      </c>
      <c r="S1107" t="s">
        <v>39</v>
      </c>
      <c r="T1107" t="s">
        <v>24</v>
      </c>
      <c r="U1107">
        <f t="shared" si="70"/>
        <v>0</v>
      </c>
      <c r="V1107">
        <v>193.41</v>
      </c>
      <c r="W1107">
        <v>0.57099999999999995</v>
      </c>
      <c r="X1107" t="s">
        <v>1407</v>
      </c>
      <c r="Y1107">
        <v>178</v>
      </c>
      <c r="Z1107">
        <v>90</v>
      </c>
      <c r="AA1107" t="s">
        <v>40</v>
      </c>
      <c r="AB1107">
        <v>151</v>
      </c>
      <c r="AC1107" s="23">
        <v>2.29</v>
      </c>
      <c r="AD1107" t="str">
        <f>IF(AND('CVD Dataset'!AA1107="Normal",'CVD Dataset'!AB1107&gt;AVERAGE('CVD Dataset'!AB:AB),'CVD Dataset'!AF1107="High"),"High Lipid Category","Normal Category")</f>
        <v>Normal Category</v>
      </c>
      <c r="AE1107">
        <v>18.452000000000002</v>
      </c>
      <c r="AF1107" t="s">
        <v>28</v>
      </c>
      <c r="AG1107">
        <v>0</v>
      </c>
      <c r="AH1107" t="s">
        <v>1380</v>
      </c>
      <c r="AI1107">
        <f t="shared" si="71"/>
        <v>0</v>
      </c>
      <c r="AJ1107" t="s">
        <v>1391</v>
      </c>
    </row>
    <row r="1108" spans="1:36" x14ac:dyDescent="0.3">
      <c r="A1108" t="s">
        <v>33</v>
      </c>
      <c r="B1108">
        <v>45</v>
      </c>
      <c r="C1108">
        <v>73.935000000000002</v>
      </c>
      <c r="D1108">
        <v>1.9279999999999999</v>
      </c>
      <c r="E1108">
        <v>38.51</v>
      </c>
      <c r="F1108">
        <f t="shared" si="69"/>
        <v>19.890056558943549</v>
      </c>
      <c r="G1108">
        <f t="shared" si="72"/>
        <v>1</v>
      </c>
      <c r="H1108" t="s">
        <v>1399</v>
      </c>
      <c r="I1108">
        <v>112.14700000000001</v>
      </c>
      <c r="J1108" t="s">
        <v>950</v>
      </c>
      <c r="K1108" s="24">
        <v>159</v>
      </c>
      <c r="L1108" s="24">
        <v>78</v>
      </c>
      <c r="M1108">
        <v>167</v>
      </c>
      <c r="N1108" t="s">
        <v>1433</v>
      </c>
      <c r="O1108">
        <v>71</v>
      </c>
      <c r="P1108">
        <v>115</v>
      </c>
      <c r="Q1108" t="s">
        <v>24</v>
      </c>
      <c r="R1108" t="s">
        <v>25</v>
      </c>
      <c r="S1108" t="s">
        <v>30</v>
      </c>
      <c r="T1108" t="s">
        <v>24</v>
      </c>
      <c r="U1108">
        <f t="shared" si="70"/>
        <v>1</v>
      </c>
      <c r="V1108">
        <v>192.751</v>
      </c>
      <c r="W1108">
        <v>0.58199999999999996</v>
      </c>
      <c r="X1108" t="s">
        <v>1407</v>
      </c>
      <c r="Y1108">
        <v>159</v>
      </c>
      <c r="Z1108">
        <v>78</v>
      </c>
      <c r="AA1108" t="s">
        <v>40</v>
      </c>
      <c r="AB1108">
        <v>66</v>
      </c>
      <c r="AC1108" s="23">
        <v>0.93</v>
      </c>
      <c r="AD1108" t="str">
        <f>IF(AND('CVD Dataset'!AA1108="Normal",'CVD Dataset'!AB1108&gt;AVERAGE('CVD Dataset'!AB:AB),'CVD Dataset'!AF1108="High"),"High Lipid Category","Normal Category")</f>
        <v>Normal Category</v>
      </c>
      <c r="AE1108">
        <v>20.992000000000001</v>
      </c>
      <c r="AF1108" t="s">
        <v>54</v>
      </c>
      <c r="AG1108">
        <v>0</v>
      </c>
      <c r="AH1108" t="s">
        <v>1380</v>
      </c>
      <c r="AI1108">
        <f t="shared" si="71"/>
        <v>0</v>
      </c>
      <c r="AJ1108" t="s">
        <v>1391</v>
      </c>
    </row>
    <row r="1109" spans="1:36" x14ac:dyDescent="0.3">
      <c r="A1109" t="s">
        <v>33</v>
      </c>
      <c r="B1109">
        <v>37</v>
      </c>
      <c r="C1109">
        <v>116.535</v>
      </c>
      <c r="D1109">
        <v>1.8120000000000001</v>
      </c>
      <c r="E1109">
        <v>28.501999999999999</v>
      </c>
      <c r="F1109">
        <f t="shared" si="69"/>
        <v>35.492778094528013</v>
      </c>
      <c r="G1109">
        <f t="shared" si="72"/>
        <v>1</v>
      </c>
      <c r="H1109" t="s">
        <v>1400</v>
      </c>
      <c r="I1109">
        <v>76.302000000000007</v>
      </c>
      <c r="J1109" t="s">
        <v>665</v>
      </c>
      <c r="K1109" s="24">
        <v>118</v>
      </c>
      <c r="L1109" s="24">
        <v>78</v>
      </c>
      <c r="M1109">
        <v>143</v>
      </c>
      <c r="N1109" t="s">
        <v>1434</v>
      </c>
      <c r="O1109">
        <v>61</v>
      </c>
      <c r="P1109">
        <v>145</v>
      </c>
      <c r="Q1109" t="s">
        <v>24</v>
      </c>
      <c r="R1109" t="s">
        <v>25</v>
      </c>
      <c r="S1109" t="s">
        <v>39</v>
      </c>
      <c r="T1109" t="s">
        <v>25</v>
      </c>
      <c r="U1109">
        <f t="shared" si="70"/>
        <v>2</v>
      </c>
      <c r="V1109">
        <v>181.19900000000001</v>
      </c>
      <c r="W1109">
        <v>0.42099999999999999</v>
      </c>
      <c r="X1109" t="s">
        <v>1408</v>
      </c>
      <c r="Y1109">
        <v>118</v>
      </c>
      <c r="Z1109">
        <v>78</v>
      </c>
      <c r="AA1109" t="s">
        <v>35</v>
      </c>
      <c r="AB1109">
        <v>52</v>
      </c>
      <c r="AC1109" s="23">
        <v>0.85</v>
      </c>
      <c r="AD1109" t="str">
        <f>IF(AND('CVD Dataset'!AA1109="Normal",'CVD Dataset'!AB1109&gt;AVERAGE('CVD Dataset'!AB:AB),'CVD Dataset'!AF1109="High"),"High Lipid Category","Normal Category")</f>
        <v>Normal Category</v>
      </c>
      <c r="AE1109">
        <v>16.46</v>
      </c>
      <c r="AF1109" t="s">
        <v>28</v>
      </c>
      <c r="AG1109">
        <v>0</v>
      </c>
      <c r="AH1109" t="s">
        <v>1380</v>
      </c>
      <c r="AI1109">
        <f t="shared" si="71"/>
        <v>0</v>
      </c>
      <c r="AJ1109" t="s">
        <v>1391</v>
      </c>
    </row>
    <row r="1110" spans="1:36" x14ac:dyDescent="0.3">
      <c r="A1110" t="s">
        <v>22</v>
      </c>
      <c r="B1110">
        <v>34</v>
      </c>
      <c r="C1110">
        <v>76.59</v>
      </c>
      <c r="D1110">
        <v>1.7270000000000001</v>
      </c>
      <c r="E1110">
        <v>22.260999999999999</v>
      </c>
      <c r="F1110">
        <f t="shared" si="69"/>
        <v>25.679549134308498</v>
      </c>
      <c r="G1110">
        <f t="shared" si="72"/>
        <v>1</v>
      </c>
      <c r="H1110" t="s">
        <v>1398</v>
      </c>
      <c r="I1110">
        <v>87.186999999999998</v>
      </c>
      <c r="J1110" t="s">
        <v>951</v>
      </c>
      <c r="K1110" s="24">
        <v>138</v>
      </c>
      <c r="L1110" s="24">
        <v>71</v>
      </c>
      <c r="M1110">
        <v>245</v>
      </c>
      <c r="N1110" t="s">
        <v>1432</v>
      </c>
      <c r="O1110">
        <v>71</v>
      </c>
      <c r="P1110">
        <v>156</v>
      </c>
      <c r="Q1110" t="s">
        <v>24</v>
      </c>
      <c r="R1110" t="s">
        <v>25</v>
      </c>
      <c r="S1110" t="s">
        <v>26</v>
      </c>
      <c r="T1110" t="s">
        <v>24</v>
      </c>
      <c r="U1110">
        <f t="shared" si="70"/>
        <v>2</v>
      </c>
      <c r="V1110">
        <v>172.655</v>
      </c>
      <c r="W1110">
        <v>0.505</v>
      </c>
      <c r="X1110" t="s">
        <v>1406</v>
      </c>
      <c r="Y1110">
        <v>138</v>
      </c>
      <c r="Z1110">
        <v>71</v>
      </c>
      <c r="AA1110" t="s">
        <v>31</v>
      </c>
      <c r="AB1110">
        <v>144</v>
      </c>
      <c r="AC1110" s="23">
        <v>2.0299999999999998</v>
      </c>
      <c r="AD1110" t="str">
        <f>IF(AND('CVD Dataset'!AA1110="Normal",'CVD Dataset'!AB1110&gt;AVERAGE('CVD Dataset'!AB:AB),'CVD Dataset'!AF1110="High"),"High Lipid Category","Normal Category")</f>
        <v>Normal Category</v>
      </c>
      <c r="AE1110">
        <v>18.251999999999999</v>
      </c>
      <c r="AF1110" t="s">
        <v>28</v>
      </c>
      <c r="AG1110">
        <v>0</v>
      </c>
      <c r="AH1110" t="s">
        <v>1380</v>
      </c>
      <c r="AI1110">
        <f t="shared" si="71"/>
        <v>0</v>
      </c>
      <c r="AJ1110" t="s">
        <v>1391</v>
      </c>
    </row>
    <row r="1111" spans="1:36" x14ac:dyDescent="0.3">
      <c r="A1111" t="s">
        <v>22</v>
      </c>
      <c r="B1111">
        <v>72</v>
      </c>
      <c r="C1111">
        <v>96.578999999999994</v>
      </c>
      <c r="D1111">
        <v>1.8640000000000001</v>
      </c>
      <c r="E1111">
        <v>35.783000000000001</v>
      </c>
      <c r="F1111">
        <f t="shared" si="69"/>
        <v>27.796549485162735</v>
      </c>
      <c r="G1111">
        <f t="shared" si="72"/>
        <v>1</v>
      </c>
      <c r="H1111" t="s">
        <v>1399</v>
      </c>
      <c r="I1111">
        <v>93.995999999999995</v>
      </c>
      <c r="J1111" t="s">
        <v>98</v>
      </c>
      <c r="K1111" s="24">
        <v>114</v>
      </c>
      <c r="L1111" s="24">
        <v>91</v>
      </c>
      <c r="M1111">
        <v>282</v>
      </c>
      <c r="N1111" t="s">
        <v>1432</v>
      </c>
      <c r="O1111">
        <v>59</v>
      </c>
      <c r="P1111">
        <v>174</v>
      </c>
      <c r="Q1111" t="s">
        <v>24</v>
      </c>
      <c r="R1111" t="s">
        <v>24</v>
      </c>
      <c r="S1111" t="s">
        <v>39</v>
      </c>
      <c r="T1111" t="s">
        <v>25</v>
      </c>
      <c r="U1111">
        <f t="shared" si="70"/>
        <v>1</v>
      </c>
      <c r="V1111">
        <v>186.374</v>
      </c>
      <c r="W1111">
        <v>0.504</v>
      </c>
      <c r="X1111" t="s">
        <v>1406</v>
      </c>
      <c r="Y1111">
        <v>114</v>
      </c>
      <c r="Z1111">
        <v>91</v>
      </c>
      <c r="AA1111" t="s">
        <v>40</v>
      </c>
      <c r="AB1111">
        <v>193</v>
      </c>
      <c r="AC1111" s="23">
        <v>3.27</v>
      </c>
      <c r="AD1111" t="str">
        <f>IF(AND('CVD Dataset'!AA1111="Normal",'CVD Dataset'!AB1111&gt;AVERAGE('CVD Dataset'!AB:AB),'CVD Dataset'!AF1111="High"),"High Lipid Category","Normal Category")</f>
        <v>Normal Category</v>
      </c>
      <c r="AE1111">
        <v>18.497</v>
      </c>
      <c r="AF1111" t="s">
        <v>54</v>
      </c>
      <c r="AG1111">
        <v>0</v>
      </c>
      <c r="AH1111" t="s">
        <v>1380</v>
      </c>
      <c r="AI1111">
        <f t="shared" si="71"/>
        <v>0</v>
      </c>
      <c r="AJ1111" t="s">
        <v>1391</v>
      </c>
    </row>
    <row r="1112" spans="1:36" x14ac:dyDescent="0.3">
      <c r="A1112" t="s">
        <v>33</v>
      </c>
      <c r="B1112">
        <v>75</v>
      </c>
      <c r="C1112">
        <v>61.744999999999997</v>
      </c>
      <c r="D1112">
        <v>1.8149999999999999</v>
      </c>
      <c r="E1112">
        <v>33.881</v>
      </c>
      <c r="F1112">
        <f t="shared" si="69"/>
        <v>18.743407022896129</v>
      </c>
      <c r="G1112">
        <f t="shared" si="72"/>
        <v>1</v>
      </c>
      <c r="H1112" t="s">
        <v>1399</v>
      </c>
      <c r="I1112">
        <v>81.766000000000005</v>
      </c>
      <c r="J1112" t="s">
        <v>952</v>
      </c>
      <c r="K1112" s="24">
        <v>161</v>
      </c>
      <c r="L1112" s="24">
        <v>97</v>
      </c>
      <c r="M1112">
        <v>277</v>
      </c>
      <c r="N1112" t="s">
        <v>1432</v>
      </c>
      <c r="O1112">
        <v>53</v>
      </c>
      <c r="P1112">
        <v>100</v>
      </c>
      <c r="Q1112" t="s">
        <v>25</v>
      </c>
      <c r="R1112" t="s">
        <v>25</v>
      </c>
      <c r="S1112" t="s">
        <v>30</v>
      </c>
      <c r="T1112" t="s">
        <v>25</v>
      </c>
      <c r="U1112">
        <f t="shared" si="70"/>
        <v>3</v>
      </c>
      <c r="V1112">
        <v>181.476</v>
      </c>
      <c r="X1112" t="s">
        <v>1410</v>
      </c>
      <c r="Y1112">
        <v>161</v>
      </c>
      <c r="Z1112">
        <v>97</v>
      </c>
      <c r="AA1112" t="s">
        <v>40</v>
      </c>
      <c r="AB1112">
        <v>194</v>
      </c>
      <c r="AC1112" s="23">
        <v>3.66</v>
      </c>
      <c r="AD1112" t="str">
        <f>IF(AND('CVD Dataset'!AA1112="Normal",'CVD Dataset'!AB1112&gt;AVERAGE('CVD Dataset'!AB:AB),'CVD Dataset'!AF1112="High"),"High Lipid Category","Normal Category")</f>
        <v>Normal Category</v>
      </c>
      <c r="AE1112">
        <v>22.366</v>
      </c>
      <c r="AF1112" t="s">
        <v>54</v>
      </c>
      <c r="AG1112">
        <v>0</v>
      </c>
      <c r="AH1112" t="s">
        <v>1380</v>
      </c>
      <c r="AI1112">
        <f t="shared" si="71"/>
        <v>0</v>
      </c>
      <c r="AJ1112" t="s">
        <v>1392</v>
      </c>
    </row>
    <row r="1113" spans="1:36" x14ac:dyDescent="0.3">
      <c r="A1113" t="s">
        <v>33</v>
      </c>
      <c r="B1113">
        <v>27</v>
      </c>
      <c r="C1113">
        <v>104.574</v>
      </c>
      <c r="D1113">
        <v>1.6519999999999999</v>
      </c>
      <c r="E1113">
        <v>36.427</v>
      </c>
      <c r="F1113">
        <f t="shared" si="69"/>
        <v>38.318070692798813</v>
      </c>
      <c r="G1113">
        <f t="shared" si="72"/>
        <v>1</v>
      </c>
      <c r="H1113" t="s">
        <v>1399</v>
      </c>
      <c r="I1113">
        <v>102.483</v>
      </c>
      <c r="J1113" t="s">
        <v>953</v>
      </c>
      <c r="K1113" s="24">
        <v>179</v>
      </c>
      <c r="L1113" s="24">
        <v>97</v>
      </c>
      <c r="M1113">
        <v>179</v>
      </c>
      <c r="N1113" t="s">
        <v>1433</v>
      </c>
      <c r="O1113">
        <v>62</v>
      </c>
      <c r="P1113">
        <v>154</v>
      </c>
      <c r="Q1113" t="s">
        <v>25</v>
      </c>
      <c r="R1113" t="s">
        <v>25</v>
      </c>
      <c r="S1113" t="s">
        <v>26</v>
      </c>
      <c r="T1113" t="s">
        <v>24</v>
      </c>
      <c r="U1113">
        <f t="shared" si="70"/>
        <v>3</v>
      </c>
      <c r="V1113">
        <v>165.154</v>
      </c>
      <c r="W1113">
        <v>0.621</v>
      </c>
      <c r="X1113" t="s">
        <v>1409</v>
      </c>
      <c r="Y1113">
        <v>179</v>
      </c>
      <c r="Z1113">
        <v>97</v>
      </c>
      <c r="AA1113" t="s">
        <v>40</v>
      </c>
      <c r="AB1113">
        <v>87</v>
      </c>
      <c r="AC1113" s="23">
        <v>1.4</v>
      </c>
      <c r="AD1113" t="str">
        <f>IF(AND('CVD Dataset'!AA1113="Normal",'CVD Dataset'!AB1113&gt;AVERAGE('CVD Dataset'!AB:AB),'CVD Dataset'!AF1113="High"),"High Lipid Category","Normal Category")</f>
        <v>Normal Category</v>
      </c>
      <c r="AE1113">
        <v>21.815000000000001</v>
      </c>
      <c r="AF1113" t="s">
        <v>28</v>
      </c>
      <c r="AG1113">
        <v>0</v>
      </c>
      <c r="AH1113" t="s">
        <v>1380</v>
      </c>
      <c r="AI1113">
        <f t="shared" si="71"/>
        <v>0</v>
      </c>
      <c r="AJ1113" t="s">
        <v>1391</v>
      </c>
    </row>
    <row r="1114" spans="1:36" x14ac:dyDescent="0.3">
      <c r="A1114" t="s">
        <v>33</v>
      </c>
      <c r="B1114">
        <v>60</v>
      </c>
      <c r="C1114">
        <v>113.801</v>
      </c>
      <c r="D1114">
        <v>2</v>
      </c>
      <c r="E1114">
        <v>26.901</v>
      </c>
      <c r="F1114">
        <f t="shared" si="69"/>
        <v>28.45025</v>
      </c>
      <c r="G1114">
        <f t="shared" si="72"/>
        <v>1</v>
      </c>
      <c r="H1114" t="s">
        <v>1400</v>
      </c>
      <c r="I1114">
        <v>96.6</v>
      </c>
      <c r="J1114" t="s">
        <v>954</v>
      </c>
      <c r="K1114" s="24">
        <v>125</v>
      </c>
      <c r="L1114" s="24">
        <v>116</v>
      </c>
      <c r="M1114">
        <v>273</v>
      </c>
      <c r="N1114" t="s">
        <v>1432</v>
      </c>
      <c r="O1114">
        <v>70</v>
      </c>
      <c r="P1114">
        <v>125</v>
      </c>
      <c r="Q1114" t="s">
        <v>25</v>
      </c>
      <c r="R1114" t="s">
        <v>25</v>
      </c>
      <c r="S1114" t="s">
        <v>39</v>
      </c>
      <c r="T1114" t="s">
        <v>24</v>
      </c>
      <c r="U1114">
        <f t="shared" si="70"/>
        <v>2</v>
      </c>
      <c r="V1114">
        <v>199.96</v>
      </c>
      <c r="W1114">
        <v>0.48299999999999998</v>
      </c>
      <c r="X1114" t="s">
        <v>1406</v>
      </c>
      <c r="Y1114">
        <v>125</v>
      </c>
      <c r="Z1114">
        <v>116</v>
      </c>
      <c r="AA1114" t="s">
        <v>40</v>
      </c>
      <c r="AB1114">
        <v>173</v>
      </c>
      <c r="AC1114" s="23">
        <v>2.4700000000000002</v>
      </c>
      <c r="AD1114" t="str">
        <f>IF(AND('CVD Dataset'!AA1114="Normal",'CVD Dataset'!AB1114&gt;AVERAGE('CVD Dataset'!AB:AB),'CVD Dataset'!AF1114="High"),"High Lipid Category","Normal Category")</f>
        <v>Normal Category</v>
      </c>
      <c r="AE1114">
        <v>19.09</v>
      </c>
      <c r="AF1114" t="s">
        <v>28</v>
      </c>
      <c r="AG1114">
        <v>0</v>
      </c>
      <c r="AH1114" t="s">
        <v>1380</v>
      </c>
      <c r="AI1114">
        <f t="shared" si="71"/>
        <v>0</v>
      </c>
      <c r="AJ1114" t="s">
        <v>1392</v>
      </c>
    </row>
    <row r="1115" spans="1:36" x14ac:dyDescent="0.3">
      <c r="A1115" t="s">
        <v>22</v>
      </c>
      <c r="B1115">
        <v>70</v>
      </c>
      <c r="C1115">
        <v>85.24</v>
      </c>
      <c r="D1115">
        <v>1.7969999999999999</v>
      </c>
      <c r="E1115">
        <v>23.600999999999999</v>
      </c>
      <c r="F1115">
        <f t="shared" si="69"/>
        <v>26.396557175456902</v>
      </c>
      <c r="G1115">
        <f t="shared" si="72"/>
        <v>1</v>
      </c>
      <c r="H1115" t="s">
        <v>1398</v>
      </c>
      <c r="I1115">
        <v>82.224000000000004</v>
      </c>
      <c r="J1115" t="s">
        <v>955</v>
      </c>
      <c r="K1115" s="24">
        <v>125</v>
      </c>
      <c r="L1115" s="24">
        <v>72</v>
      </c>
      <c r="M1115">
        <v>224</v>
      </c>
      <c r="N1115" t="s">
        <v>1432</v>
      </c>
      <c r="O1115">
        <v>67</v>
      </c>
      <c r="P1115">
        <v>171</v>
      </c>
      <c r="Q1115" t="s">
        <v>25</v>
      </c>
      <c r="R1115" t="s">
        <v>24</v>
      </c>
      <c r="S1115" t="s">
        <v>30</v>
      </c>
      <c r="T1115" t="s">
        <v>25</v>
      </c>
      <c r="U1115">
        <f t="shared" si="70"/>
        <v>2</v>
      </c>
      <c r="V1115">
        <v>179.73599999999999</v>
      </c>
      <c r="W1115">
        <v>0.45700000000000002</v>
      </c>
      <c r="X1115" t="s">
        <v>1408</v>
      </c>
      <c r="Y1115">
        <v>125</v>
      </c>
      <c r="Z1115">
        <v>72</v>
      </c>
      <c r="AA1115" t="s">
        <v>27</v>
      </c>
      <c r="AB1115">
        <v>127</v>
      </c>
      <c r="AC1115" s="23">
        <v>1.9</v>
      </c>
      <c r="AD1115" t="str">
        <f>IF(AND('CVD Dataset'!AA1115="Normal",'CVD Dataset'!AB1115&gt;AVERAGE('CVD Dataset'!AB:AB),'CVD Dataset'!AF1115="High"),"High Lipid Category","Normal Category")</f>
        <v>Normal Category</v>
      </c>
      <c r="AE1115">
        <v>15.45</v>
      </c>
      <c r="AF1115" t="s">
        <v>54</v>
      </c>
      <c r="AG1115">
        <v>0</v>
      </c>
      <c r="AH1115" t="s">
        <v>1380</v>
      </c>
      <c r="AI1115">
        <f t="shared" si="71"/>
        <v>0</v>
      </c>
      <c r="AJ1115" t="s">
        <v>1391</v>
      </c>
    </row>
    <row r="1116" spans="1:36" x14ac:dyDescent="0.3">
      <c r="A1116" t="s">
        <v>33</v>
      </c>
      <c r="B1116">
        <v>55</v>
      </c>
      <c r="D1116">
        <v>1.847</v>
      </c>
      <c r="E1116">
        <v>35.527999999999999</v>
      </c>
      <c r="F1116">
        <f t="shared" si="69"/>
        <v>0</v>
      </c>
      <c r="G1116">
        <f t="shared" si="72"/>
        <v>1</v>
      </c>
      <c r="H1116" t="s">
        <v>1399</v>
      </c>
      <c r="I1116">
        <v>114.91200000000001</v>
      </c>
      <c r="J1116" t="s">
        <v>956</v>
      </c>
      <c r="K1116" s="24">
        <v>112</v>
      </c>
      <c r="L1116" s="24">
        <v>113</v>
      </c>
      <c r="M1116">
        <v>296</v>
      </c>
      <c r="N1116" t="s">
        <v>1432</v>
      </c>
      <c r="O1116">
        <v>36</v>
      </c>
      <c r="P1116">
        <v>73</v>
      </c>
      <c r="Q1116" t="s">
        <v>24</v>
      </c>
      <c r="R1116" t="s">
        <v>25</v>
      </c>
      <c r="S1116" t="s">
        <v>26</v>
      </c>
      <c r="T1116" t="s">
        <v>25</v>
      </c>
      <c r="U1116">
        <f t="shared" si="70"/>
        <v>3</v>
      </c>
      <c r="V1116">
        <v>184.69399999999999</v>
      </c>
      <c r="W1116">
        <v>0.622</v>
      </c>
      <c r="X1116" t="s">
        <v>1409</v>
      </c>
      <c r="Y1116">
        <v>112</v>
      </c>
      <c r="Z1116">
        <v>113</v>
      </c>
      <c r="AA1116" t="s">
        <v>40</v>
      </c>
      <c r="AB1116">
        <v>230</v>
      </c>
      <c r="AC1116" s="23">
        <v>6.39</v>
      </c>
      <c r="AD1116" t="str">
        <f>IF(AND('CVD Dataset'!AA1116="Normal",'CVD Dataset'!AB1116&gt;AVERAGE('CVD Dataset'!AB:AB),'CVD Dataset'!AF1116="High"),"High Lipid Category","Normal Category")</f>
        <v>Normal Category</v>
      </c>
      <c r="AE1116">
        <v>20.626000000000001</v>
      </c>
      <c r="AF1116" t="s">
        <v>32</v>
      </c>
      <c r="AG1116">
        <v>0</v>
      </c>
      <c r="AH1116" t="s">
        <v>1379</v>
      </c>
      <c r="AI1116">
        <f t="shared" si="71"/>
        <v>1</v>
      </c>
      <c r="AJ1116" t="s">
        <v>1392</v>
      </c>
    </row>
    <row r="1117" spans="1:36" x14ac:dyDescent="0.3">
      <c r="A1117" t="s">
        <v>22</v>
      </c>
      <c r="B1117">
        <v>79</v>
      </c>
      <c r="C1117">
        <v>106.143</v>
      </c>
      <c r="D1117">
        <v>1.8480000000000001</v>
      </c>
      <c r="E1117">
        <v>37.142000000000003</v>
      </c>
      <c r="F1117">
        <f t="shared" si="69"/>
        <v>31.080459043121376</v>
      </c>
      <c r="G1117">
        <f t="shared" si="72"/>
        <v>1</v>
      </c>
      <c r="H1117" t="s">
        <v>1399</v>
      </c>
      <c r="I1117">
        <v>82.367999999999995</v>
      </c>
      <c r="J1117" t="s">
        <v>957</v>
      </c>
      <c r="K1117" s="24">
        <v>100</v>
      </c>
      <c r="L1117" s="24">
        <v>67</v>
      </c>
      <c r="N1117" t="s">
        <v>1434</v>
      </c>
      <c r="P1117">
        <v>187</v>
      </c>
      <c r="Q1117" t="s">
        <v>25</v>
      </c>
      <c r="R1117" t="s">
        <v>25</v>
      </c>
      <c r="S1117" t="s">
        <v>39</v>
      </c>
      <c r="T1117" t="s">
        <v>25</v>
      </c>
      <c r="U1117">
        <f t="shared" si="70"/>
        <v>3</v>
      </c>
      <c r="V1117">
        <v>184.828</v>
      </c>
      <c r="W1117">
        <v>0.44600000000000001</v>
      </c>
      <c r="X1117" t="s">
        <v>1408</v>
      </c>
      <c r="Y1117">
        <v>100</v>
      </c>
      <c r="Z1117">
        <v>67</v>
      </c>
      <c r="AA1117" t="s">
        <v>35</v>
      </c>
      <c r="AB1117">
        <v>127</v>
      </c>
      <c r="AC1117" s="23" t="s">
        <v>1410</v>
      </c>
      <c r="AD1117" t="str">
        <f>IF(AND('CVD Dataset'!AA1117="Normal",'CVD Dataset'!AB1117&gt;AVERAGE('CVD Dataset'!AB:AB),'CVD Dataset'!AF1117="High"),"High Lipid Category","Normal Category")</f>
        <v>Normal Category</v>
      </c>
      <c r="AE1117">
        <v>18.908000000000001</v>
      </c>
      <c r="AF1117" t="s">
        <v>28</v>
      </c>
      <c r="AG1117">
        <v>0</v>
      </c>
      <c r="AH1117" t="s">
        <v>1380</v>
      </c>
      <c r="AI1117">
        <f t="shared" si="71"/>
        <v>0</v>
      </c>
      <c r="AJ1117" t="s">
        <v>1391</v>
      </c>
    </row>
    <row r="1118" spans="1:36" x14ac:dyDescent="0.3">
      <c r="A1118" t="s">
        <v>33</v>
      </c>
      <c r="B1118">
        <v>51</v>
      </c>
      <c r="C1118">
        <v>59.35</v>
      </c>
      <c r="D1118">
        <v>1.87</v>
      </c>
      <c r="E1118">
        <v>37.003999999999998</v>
      </c>
      <c r="F1118">
        <f t="shared" si="69"/>
        <v>16.972175355314704</v>
      </c>
      <c r="G1118">
        <f t="shared" si="72"/>
        <v>1</v>
      </c>
      <c r="H1118" t="s">
        <v>1399</v>
      </c>
      <c r="I1118">
        <v>97.067999999999998</v>
      </c>
      <c r="J1118" t="s">
        <v>958</v>
      </c>
      <c r="K1118" s="24">
        <v>113</v>
      </c>
      <c r="L1118" s="24">
        <v>67</v>
      </c>
      <c r="M1118">
        <v>250</v>
      </c>
      <c r="N1118" t="s">
        <v>1432</v>
      </c>
      <c r="P1118">
        <v>76</v>
      </c>
      <c r="Q1118" t="s">
        <v>24</v>
      </c>
      <c r="R1118" t="s">
        <v>24</v>
      </c>
      <c r="S1118" t="s">
        <v>39</v>
      </c>
      <c r="T1118" t="s">
        <v>25</v>
      </c>
      <c r="U1118">
        <f t="shared" si="70"/>
        <v>1</v>
      </c>
      <c r="V1118">
        <v>187.03100000000001</v>
      </c>
      <c r="W1118">
        <v>0.51900000000000002</v>
      </c>
      <c r="X1118" t="s">
        <v>1406</v>
      </c>
      <c r="Y1118">
        <v>113</v>
      </c>
      <c r="Z1118">
        <v>67</v>
      </c>
      <c r="AA1118" t="s">
        <v>35</v>
      </c>
      <c r="AB1118">
        <v>159</v>
      </c>
      <c r="AC1118" s="23" t="s">
        <v>1410</v>
      </c>
      <c r="AD1118" t="str">
        <f>IF(AND('CVD Dataset'!AA1118="Normal",'CVD Dataset'!AB1118&gt;AVERAGE('CVD Dataset'!AB:AB),'CVD Dataset'!AF1118="High"),"High Lipid Category","Normal Category")</f>
        <v>Normal Category</v>
      </c>
      <c r="AE1118">
        <v>18.050999999999998</v>
      </c>
      <c r="AF1118" t="s">
        <v>28</v>
      </c>
      <c r="AG1118">
        <v>0</v>
      </c>
      <c r="AH1118" t="s">
        <v>1380</v>
      </c>
      <c r="AI1118">
        <f t="shared" si="71"/>
        <v>0</v>
      </c>
      <c r="AJ1118" t="s">
        <v>1391</v>
      </c>
    </row>
    <row r="1119" spans="1:36" x14ac:dyDescent="0.3">
      <c r="A1119" t="s">
        <v>33</v>
      </c>
      <c r="B1119">
        <v>61</v>
      </c>
      <c r="C1119">
        <v>61.982999999999997</v>
      </c>
      <c r="D1119">
        <v>1.7869999999999999</v>
      </c>
      <c r="E1119">
        <v>19.673999999999999</v>
      </c>
      <c r="F1119">
        <f t="shared" si="69"/>
        <v>19.409908469707073</v>
      </c>
      <c r="G1119">
        <f t="shared" si="72"/>
        <v>1</v>
      </c>
      <c r="H1119" t="s">
        <v>1398</v>
      </c>
      <c r="J1119" t="s">
        <v>959</v>
      </c>
      <c r="K1119" s="24">
        <v>92</v>
      </c>
      <c r="L1119" s="24">
        <v>93</v>
      </c>
      <c r="M1119">
        <v>104</v>
      </c>
      <c r="N1119" t="s">
        <v>1434</v>
      </c>
      <c r="O1119">
        <v>76</v>
      </c>
      <c r="P1119">
        <v>137</v>
      </c>
      <c r="Q1119" t="s">
        <v>25</v>
      </c>
      <c r="R1119" t="s">
        <v>24</v>
      </c>
      <c r="S1119" t="s">
        <v>30</v>
      </c>
      <c r="T1119" t="s">
        <v>25</v>
      </c>
      <c r="U1119">
        <f t="shared" si="70"/>
        <v>2</v>
      </c>
      <c r="V1119">
        <v>178.65199999999999</v>
      </c>
      <c r="W1119">
        <v>0.53200000000000003</v>
      </c>
      <c r="X1119" t="s">
        <v>1407</v>
      </c>
      <c r="Y1119">
        <v>92</v>
      </c>
      <c r="Z1119">
        <v>93</v>
      </c>
      <c r="AA1119" t="s">
        <v>40</v>
      </c>
      <c r="AB1119">
        <v>-2</v>
      </c>
      <c r="AC1119" s="23">
        <v>-0.03</v>
      </c>
      <c r="AD1119" t="str">
        <f>IF(AND('CVD Dataset'!AA1119="Normal",'CVD Dataset'!AB1119&gt;AVERAGE('CVD Dataset'!AB:AB),'CVD Dataset'!AF1119="High"),"High Lipid Category","Normal Category")</f>
        <v>Normal Category</v>
      </c>
      <c r="AF1119" t="s">
        <v>54</v>
      </c>
      <c r="AG1119">
        <v>0</v>
      </c>
      <c r="AH1119" t="s">
        <v>1380</v>
      </c>
      <c r="AI1119">
        <f t="shared" si="71"/>
        <v>0</v>
      </c>
      <c r="AJ1119" t="s">
        <v>1391</v>
      </c>
    </row>
    <row r="1120" spans="1:36" x14ac:dyDescent="0.3">
      <c r="A1120" t="s">
        <v>33</v>
      </c>
      <c r="B1120">
        <v>30</v>
      </c>
      <c r="C1120">
        <v>70.296999999999997</v>
      </c>
      <c r="E1120">
        <v>23.539000000000001</v>
      </c>
      <c r="F1120" t="str">
        <f t="shared" si="69"/>
        <v/>
      </c>
      <c r="G1120" t="str">
        <f t="shared" si="72"/>
        <v/>
      </c>
      <c r="H1120" t="s">
        <v>1398</v>
      </c>
      <c r="I1120">
        <v>92.822999999999993</v>
      </c>
      <c r="J1120" t="s">
        <v>960</v>
      </c>
      <c r="K1120" s="24">
        <v>172</v>
      </c>
      <c r="L1120" s="24">
        <v>66</v>
      </c>
      <c r="M1120">
        <v>135</v>
      </c>
      <c r="N1120" t="s">
        <v>1434</v>
      </c>
      <c r="O1120">
        <v>78</v>
      </c>
      <c r="P1120">
        <v>99</v>
      </c>
      <c r="Q1120" t="s">
        <v>25</v>
      </c>
      <c r="R1120" t="s">
        <v>25</v>
      </c>
      <c r="S1120" t="s">
        <v>39</v>
      </c>
      <c r="T1120" t="s">
        <v>25</v>
      </c>
      <c r="U1120">
        <f t="shared" si="70"/>
        <v>3</v>
      </c>
      <c r="V1120">
        <v>185.23400000000001</v>
      </c>
      <c r="W1120">
        <v>0.501</v>
      </c>
      <c r="X1120" t="s">
        <v>1406</v>
      </c>
      <c r="Y1120">
        <v>172</v>
      </c>
      <c r="Z1120">
        <v>66</v>
      </c>
      <c r="AA1120" t="s">
        <v>40</v>
      </c>
      <c r="AB1120">
        <v>27</v>
      </c>
      <c r="AC1120" s="23">
        <v>0.35</v>
      </c>
      <c r="AD1120" t="str">
        <f>IF(AND('CVD Dataset'!AA1120="Normal",'CVD Dataset'!AB1120&gt;AVERAGE('CVD Dataset'!AB:AB),'CVD Dataset'!AF1120="High"),"High Lipid Category","Normal Category")</f>
        <v>Normal Category</v>
      </c>
      <c r="AE1120">
        <v>18.007999999999999</v>
      </c>
      <c r="AF1120" t="s">
        <v>54</v>
      </c>
      <c r="AG1120">
        <v>0</v>
      </c>
      <c r="AH1120" t="s">
        <v>1380</v>
      </c>
      <c r="AI1120">
        <f t="shared" si="71"/>
        <v>0</v>
      </c>
      <c r="AJ1120" t="s">
        <v>1391</v>
      </c>
    </row>
    <row r="1121" spans="1:36" x14ac:dyDescent="0.3">
      <c r="A1121" t="s">
        <v>22</v>
      </c>
      <c r="B1121">
        <v>67</v>
      </c>
      <c r="C1121">
        <v>115.768</v>
      </c>
      <c r="D1121">
        <v>1.64</v>
      </c>
      <c r="E1121">
        <v>28.486000000000001</v>
      </c>
      <c r="F1121">
        <f t="shared" si="69"/>
        <v>43.042831647828677</v>
      </c>
      <c r="G1121">
        <f t="shared" si="72"/>
        <v>1</v>
      </c>
      <c r="H1121" t="s">
        <v>1400</v>
      </c>
      <c r="I1121">
        <v>107.307</v>
      </c>
      <c r="J1121" t="s">
        <v>961</v>
      </c>
      <c r="K1121" s="24">
        <v>162</v>
      </c>
      <c r="L1121" s="24">
        <v>95</v>
      </c>
      <c r="M1121">
        <v>260</v>
      </c>
      <c r="N1121" t="s">
        <v>1432</v>
      </c>
      <c r="O1121">
        <v>46</v>
      </c>
      <c r="P1121">
        <v>131</v>
      </c>
      <c r="Q1121" t="s">
        <v>25</v>
      </c>
      <c r="R1121" t="s">
        <v>24</v>
      </c>
      <c r="S1121" t="s">
        <v>30</v>
      </c>
      <c r="T1121" t="s">
        <v>24</v>
      </c>
      <c r="U1121">
        <f t="shared" si="70"/>
        <v>1</v>
      </c>
      <c r="V1121">
        <v>163.97800000000001</v>
      </c>
      <c r="W1121">
        <v>0.65400000000000003</v>
      </c>
      <c r="X1121" t="s">
        <v>1409</v>
      </c>
      <c r="Y1121">
        <v>162</v>
      </c>
      <c r="Z1121">
        <v>95</v>
      </c>
      <c r="AA1121" t="s">
        <v>40</v>
      </c>
      <c r="AB1121">
        <v>184</v>
      </c>
      <c r="AC1121" s="23">
        <v>4</v>
      </c>
      <c r="AD1121" t="str">
        <f>IF(AND('CVD Dataset'!AA1121="Normal",'CVD Dataset'!AB1121&gt;AVERAGE('CVD Dataset'!AB:AB),'CVD Dataset'!AF1121="High"),"High Lipid Category","Normal Category")</f>
        <v>Normal Category</v>
      </c>
      <c r="AE1121">
        <v>18.997</v>
      </c>
      <c r="AF1121" t="s">
        <v>54</v>
      </c>
      <c r="AG1121">
        <v>0</v>
      </c>
      <c r="AH1121" t="s">
        <v>1380</v>
      </c>
      <c r="AI1121">
        <f t="shared" si="71"/>
        <v>0</v>
      </c>
      <c r="AJ1121" t="s">
        <v>1391</v>
      </c>
    </row>
    <row r="1122" spans="1:36" x14ac:dyDescent="0.3">
      <c r="A1122" t="s">
        <v>33</v>
      </c>
      <c r="B1122">
        <v>55</v>
      </c>
      <c r="C1122">
        <v>114.033</v>
      </c>
      <c r="D1122">
        <v>1.907</v>
      </c>
      <c r="E1122">
        <v>38.616999999999997</v>
      </c>
      <c r="F1122">
        <f t="shared" si="69"/>
        <v>31.356614289693614</v>
      </c>
      <c r="G1122">
        <f t="shared" si="72"/>
        <v>1</v>
      </c>
      <c r="H1122" t="s">
        <v>1399</v>
      </c>
      <c r="I1122">
        <v>115.36199999999999</v>
      </c>
      <c r="J1122" t="s">
        <v>962</v>
      </c>
      <c r="K1122" s="24">
        <v>179</v>
      </c>
      <c r="L1122" s="24">
        <v>71</v>
      </c>
      <c r="M1122">
        <v>117</v>
      </c>
      <c r="N1122" t="s">
        <v>1434</v>
      </c>
      <c r="O1122">
        <v>59</v>
      </c>
      <c r="P1122">
        <v>89</v>
      </c>
      <c r="Q1122" t="s">
        <v>25</v>
      </c>
      <c r="R1122" t="s">
        <v>24</v>
      </c>
      <c r="S1122" t="s">
        <v>39</v>
      </c>
      <c r="T1122" t="s">
        <v>25</v>
      </c>
      <c r="U1122">
        <f t="shared" si="70"/>
        <v>2</v>
      </c>
      <c r="V1122">
        <v>190.72900000000001</v>
      </c>
      <c r="W1122">
        <v>0.60499999999999998</v>
      </c>
      <c r="X1122" t="s">
        <v>1409</v>
      </c>
      <c r="Y1122">
        <v>179</v>
      </c>
      <c r="AA1122" t="s">
        <v>40</v>
      </c>
      <c r="AB1122">
        <v>28</v>
      </c>
      <c r="AC1122" s="23">
        <v>0.47</v>
      </c>
      <c r="AD1122" t="str">
        <f>IF(AND('CVD Dataset'!AA1122="Normal",'CVD Dataset'!AB1122&gt;AVERAGE('CVD Dataset'!AB:AB),'CVD Dataset'!AF1122="High"),"High Lipid Category","Normal Category")</f>
        <v>Normal Category</v>
      </c>
      <c r="AE1122">
        <v>19.013000000000002</v>
      </c>
      <c r="AF1122" t="s">
        <v>54</v>
      </c>
      <c r="AG1122">
        <v>0</v>
      </c>
      <c r="AH1122" t="s">
        <v>1380</v>
      </c>
      <c r="AI1122">
        <f t="shared" si="71"/>
        <v>0</v>
      </c>
      <c r="AJ1122" t="s">
        <v>1391</v>
      </c>
    </row>
    <row r="1123" spans="1:36" x14ac:dyDescent="0.3">
      <c r="A1123" t="s">
        <v>33</v>
      </c>
      <c r="B1123">
        <v>47</v>
      </c>
      <c r="C1123">
        <v>79.057000000000002</v>
      </c>
      <c r="D1123">
        <v>1.6379999999999999</v>
      </c>
      <c r="E1123">
        <v>33.725999999999999</v>
      </c>
      <c r="F1123">
        <f t="shared" si="69"/>
        <v>29.465413165046868</v>
      </c>
      <c r="G1123">
        <f t="shared" si="72"/>
        <v>1</v>
      </c>
      <c r="H1123" t="s">
        <v>1399</v>
      </c>
      <c r="I1123">
        <v>112.245</v>
      </c>
      <c r="J1123" t="s">
        <v>963</v>
      </c>
      <c r="K1123" s="24">
        <v>93</v>
      </c>
      <c r="L1123" s="24">
        <v>117</v>
      </c>
      <c r="M1123">
        <v>197</v>
      </c>
      <c r="N1123" t="s">
        <v>1432</v>
      </c>
      <c r="O1123">
        <v>82</v>
      </c>
      <c r="P1123">
        <v>109</v>
      </c>
      <c r="Q1123" t="s">
        <v>24</v>
      </c>
      <c r="R1123" t="s">
        <v>25</v>
      </c>
      <c r="S1123" t="s">
        <v>26</v>
      </c>
      <c r="T1123" t="s">
        <v>24</v>
      </c>
      <c r="U1123">
        <f t="shared" si="70"/>
        <v>2</v>
      </c>
      <c r="V1123">
        <v>163.815</v>
      </c>
      <c r="W1123">
        <v>0.68500000000000005</v>
      </c>
      <c r="X1123" t="s">
        <v>1409</v>
      </c>
      <c r="Y1123">
        <v>93</v>
      </c>
      <c r="Z1123">
        <v>117</v>
      </c>
      <c r="AA1123" t="s">
        <v>40</v>
      </c>
      <c r="AB1123">
        <v>85</v>
      </c>
      <c r="AC1123" s="23">
        <v>1.04</v>
      </c>
      <c r="AD1123" t="str">
        <f>IF(AND('CVD Dataset'!AA1123="Normal",'CVD Dataset'!AB1123&gt;AVERAGE('CVD Dataset'!AB:AB),'CVD Dataset'!AF1123="High"),"High Lipid Category","Normal Category")</f>
        <v>Normal Category</v>
      </c>
      <c r="AE1123">
        <v>17.335000000000001</v>
      </c>
      <c r="AF1123" t="s">
        <v>28</v>
      </c>
      <c r="AG1123">
        <v>0</v>
      </c>
      <c r="AH1123" t="s">
        <v>1380</v>
      </c>
      <c r="AI1123">
        <f t="shared" si="71"/>
        <v>0</v>
      </c>
      <c r="AJ1123" t="s">
        <v>1391</v>
      </c>
    </row>
    <row r="1124" spans="1:36" x14ac:dyDescent="0.3">
      <c r="A1124" t="s">
        <v>33</v>
      </c>
      <c r="B1124">
        <v>78</v>
      </c>
      <c r="C1124">
        <v>61.345999999999997</v>
      </c>
      <c r="D1124">
        <v>1.9690000000000001</v>
      </c>
      <c r="E1124">
        <v>27.276</v>
      </c>
      <c r="F1124">
        <f t="shared" si="69"/>
        <v>15.823218237170812</v>
      </c>
      <c r="G1124">
        <f t="shared" si="72"/>
        <v>1</v>
      </c>
      <c r="H1124" t="s">
        <v>1400</v>
      </c>
      <c r="I1124">
        <v>114.44199999999999</v>
      </c>
      <c r="J1124" t="s">
        <v>612</v>
      </c>
      <c r="K1124" s="24">
        <v>126</v>
      </c>
      <c r="L1124" s="24">
        <v>91</v>
      </c>
      <c r="M1124">
        <v>223</v>
      </c>
      <c r="N1124" t="s">
        <v>1432</v>
      </c>
      <c r="O1124">
        <v>82</v>
      </c>
      <c r="P1124">
        <v>108</v>
      </c>
      <c r="Q1124" t="s">
        <v>25</v>
      </c>
      <c r="R1124" t="s">
        <v>24</v>
      </c>
      <c r="S1124" t="s">
        <v>39</v>
      </c>
      <c r="T1124" t="s">
        <v>25</v>
      </c>
      <c r="U1124">
        <f t="shared" si="70"/>
        <v>2</v>
      </c>
      <c r="V1124">
        <v>196.93700000000001</v>
      </c>
      <c r="W1124">
        <v>0.58099999999999996</v>
      </c>
      <c r="X1124" t="s">
        <v>1407</v>
      </c>
      <c r="Y1124">
        <v>126</v>
      </c>
      <c r="Z1124">
        <v>91</v>
      </c>
      <c r="AA1124" t="s">
        <v>40</v>
      </c>
      <c r="AC1124" s="23">
        <v>0</v>
      </c>
      <c r="AD1124" t="str">
        <f>IF(AND('CVD Dataset'!AA1124="Normal",'CVD Dataset'!AB1124&gt;AVERAGE('CVD Dataset'!AB:AB),'CVD Dataset'!AF1124="High"),"High Lipid Category","Normal Category")</f>
        <v>Normal Category</v>
      </c>
      <c r="AE1124">
        <v>16.215</v>
      </c>
      <c r="AF1124" t="s">
        <v>32</v>
      </c>
      <c r="AG1124">
        <v>1</v>
      </c>
      <c r="AH1124" t="s">
        <v>1379</v>
      </c>
      <c r="AI1124">
        <f t="shared" si="71"/>
        <v>1</v>
      </c>
      <c r="AJ1124" t="s">
        <v>1391</v>
      </c>
    </row>
    <row r="1125" spans="1:36" x14ac:dyDescent="0.3">
      <c r="A1125" t="s">
        <v>22</v>
      </c>
      <c r="B1125">
        <v>78</v>
      </c>
      <c r="C1125">
        <v>54.046999999999997</v>
      </c>
      <c r="D1125">
        <v>1.794</v>
      </c>
      <c r="E1125">
        <v>33.164000000000001</v>
      </c>
      <c r="F1125">
        <f t="shared" si="69"/>
        <v>16.792939179154097</v>
      </c>
      <c r="G1125">
        <f t="shared" si="72"/>
        <v>1</v>
      </c>
      <c r="H1125" t="s">
        <v>1399</v>
      </c>
      <c r="I1125">
        <v>119.48399999999999</v>
      </c>
      <c r="J1125" t="s">
        <v>964</v>
      </c>
      <c r="K1125" s="24">
        <v>93</v>
      </c>
      <c r="L1125" s="24">
        <v>93</v>
      </c>
      <c r="M1125">
        <v>178</v>
      </c>
      <c r="N1125" t="s">
        <v>1433</v>
      </c>
      <c r="O1125">
        <v>57</v>
      </c>
      <c r="P1125">
        <v>96</v>
      </c>
      <c r="Q1125" t="s">
        <v>24</v>
      </c>
      <c r="R1125" t="s">
        <v>25</v>
      </c>
      <c r="S1125" t="s">
        <v>26</v>
      </c>
      <c r="T1125" t="s">
        <v>24</v>
      </c>
      <c r="U1125">
        <f t="shared" si="70"/>
        <v>2</v>
      </c>
      <c r="V1125">
        <v>179.40899999999999</v>
      </c>
      <c r="W1125">
        <v>0.66600000000000004</v>
      </c>
      <c r="X1125" t="s">
        <v>1409</v>
      </c>
      <c r="Y1125">
        <v>93</v>
      </c>
      <c r="Z1125">
        <v>93</v>
      </c>
      <c r="AA1125" t="s">
        <v>40</v>
      </c>
      <c r="AB1125">
        <v>91</v>
      </c>
      <c r="AC1125" s="23">
        <v>1.6</v>
      </c>
      <c r="AD1125" t="str">
        <f>IF(AND('CVD Dataset'!AA1125="Normal",'CVD Dataset'!AB1125&gt;AVERAGE('CVD Dataset'!AB:AB),'CVD Dataset'!AF1125="High"),"High Lipid Category","Normal Category")</f>
        <v>Normal Category</v>
      </c>
      <c r="AE1125">
        <v>16.843</v>
      </c>
      <c r="AF1125" t="s">
        <v>54</v>
      </c>
      <c r="AG1125">
        <v>0</v>
      </c>
      <c r="AH1125" t="s">
        <v>1380</v>
      </c>
      <c r="AI1125">
        <f t="shared" si="71"/>
        <v>0</v>
      </c>
      <c r="AJ1125" t="s">
        <v>1392</v>
      </c>
    </row>
    <row r="1126" spans="1:36" x14ac:dyDescent="0.3">
      <c r="A1126" t="s">
        <v>22</v>
      </c>
      <c r="B1126">
        <v>72</v>
      </c>
      <c r="C1126">
        <v>109.136</v>
      </c>
      <c r="D1126">
        <v>1.905</v>
      </c>
      <c r="E1126">
        <v>31.61</v>
      </c>
      <c r="F1126">
        <f t="shared" si="69"/>
        <v>30.073091257293626</v>
      </c>
      <c r="G1126">
        <f t="shared" si="72"/>
        <v>1</v>
      </c>
      <c r="H1126" t="s">
        <v>1399</v>
      </c>
      <c r="I1126">
        <v>74.462000000000003</v>
      </c>
      <c r="J1126" t="s">
        <v>965</v>
      </c>
      <c r="K1126" s="24">
        <v>99</v>
      </c>
      <c r="L1126" s="24">
        <v>71</v>
      </c>
      <c r="M1126">
        <v>109</v>
      </c>
      <c r="N1126" t="s">
        <v>1434</v>
      </c>
      <c r="O1126">
        <v>60</v>
      </c>
      <c r="P1126">
        <v>104</v>
      </c>
      <c r="Q1126" t="s">
        <v>25</v>
      </c>
      <c r="R1126" t="s">
        <v>24</v>
      </c>
      <c r="S1126" t="s">
        <v>39</v>
      </c>
      <c r="T1126" t="s">
        <v>24</v>
      </c>
      <c r="U1126">
        <f t="shared" si="70"/>
        <v>1</v>
      </c>
      <c r="V1126">
        <v>190.47300000000001</v>
      </c>
      <c r="W1126">
        <v>0.39100000000000001</v>
      </c>
      <c r="X1126" t="s">
        <v>1408</v>
      </c>
      <c r="Y1126">
        <v>99</v>
      </c>
      <c r="Z1126">
        <v>71</v>
      </c>
      <c r="AA1126" t="s">
        <v>35</v>
      </c>
      <c r="AB1126">
        <v>19</v>
      </c>
      <c r="AC1126" s="23">
        <v>0.32</v>
      </c>
      <c r="AD1126" t="str">
        <f>IF(AND('CVD Dataset'!AA1126="Normal",'CVD Dataset'!AB1126&gt;AVERAGE('CVD Dataset'!AB:AB),'CVD Dataset'!AF1126="High"),"High Lipid Category","Normal Category")</f>
        <v>Normal Category</v>
      </c>
      <c r="AE1126">
        <v>13.452</v>
      </c>
      <c r="AF1126" t="s">
        <v>32</v>
      </c>
      <c r="AG1126">
        <v>1</v>
      </c>
      <c r="AH1126" t="s">
        <v>1379</v>
      </c>
      <c r="AI1126">
        <f t="shared" si="71"/>
        <v>1</v>
      </c>
      <c r="AJ1126" t="s">
        <v>1391</v>
      </c>
    </row>
    <row r="1127" spans="1:36" x14ac:dyDescent="0.3">
      <c r="A1127" t="s">
        <v>33</v>
      </c>
      <c r="B1127">
        <v>56</v>
      </c>
      <c r="C1127">
        <v>94.117999999999995</v>
      </c>
      <c r="D1127">
        <v>1.7729999999999999</v>
      </c>
      <c r="E1127">
        <v>27.082999999999998</v>
      </c>
      <c r="F1127">
        <f t="shared" si="69"/>
        <v>29.940235957740491</v>
      </c>
      <c r="G1127">
        <f t="shared" si="72"/>
        <v>1</v>
      </c>
      <c r="H1127" t="s">
        <v>1400</v>
      </c>
      <c r="I1127">
        <v>77.094999999999999</v>
      </c>
      <c r="J1127" t="s">
        <v>966</v>
      </c>
      <c r="K1127" s="24">
        <v>174</v>
      </c>
      <c r="L1127" s="24">
        <v>78</v>
      </c>
      <c r="M1127">
        <v>160</v>
      </c>
      <c r="N1127" t="s">
        <v>1433</v>
      </c>
      <c r="O1127">
        <v>44</v>
      </c>
      <c r="P1127">
        <v>179</v>
      </c>
      <c r="Q1127" t="s">
        <v>25</v>
      </c>
      <c r="R1127" t="s">
        <v>24</v>
      </c>
      <c r="S1127" t="s">
        <v>39</v>
      </c>
      <c r="T1127" t="s">
        <v>24</v>
      </c>
      <c r="U1127">
        <f t="shared" si="70"/>
        <v>1</v>
      </c>
      <c r="V1127">
        <v>177.31899999999999</v>
      </c>
      <c r="W1127">
        <v>0.435</v>
      </c>
      <c r="X1127" t="s">
        <v>1408</v>
      </c>
      <c r="Y1127">
        <v>174</v>
      </c>
      <c r="Z1127">
        <v>78</v>
      </c>
      <c r="AA1127" t="s">
        <v>40</v>
      </c>
      <c r="AB1127">
        <v>86</v>
      </c>
      <c r="AC1127" s="23">
        <v>1.95</v>
      </c>
      <c r="AD1127" t="str">
        <f>IF(AND('CVD Dataset'!AA1127="Normal",'CVD Dataset'!AB1127&gt;AVERAGE('CVD Dataset'!AB:AB),'CVD Dataset'!AF1127="High"),"High Lipid Category","Normal Category")</f>
        <v>Normal Category</v>
      </c>
      <c r="AE1127">
        <v>17.317</v>
      </c>
      <c r="AF1127" t="s">
        <v>28</v>
      </c>
      <c r="AG1127">
        <v>0</v>
      </c>
      <c r="AH1127" t="s">
        <v>1380</v>
      </c>
      <c r="AI1127">
        <f t="shared" si="71"/>
        <v>0</v>
      </c>
      <c r="AJ1127" t="s">
        <v>1391</v>
      </c>
    </row>
    <row r="1128" spans="1:36" x14ac:dyDescent="0.3">
      <c r="A1128" t="s">
        <v>22</v>
      </c>
      <c r="B1128">
        <v>60</v>
      </c>
      <c r="C1128">
        <v>51.871000000000002</v>
      </c>
      <c r="D1128">
        <v>1.8939999999999999</v>
      </c>
      <c r="E1128">
        <v>30.558</v>
      </c>
      <c r="F1128">
        <f t="shared" si="69"/>
        <v>14.459879416910404</v>
      </c>
      <c r="G1128">
        <f t="shared" si="72"/>
        <v>1</v>
      </c>
      <c r="H1128" t="s">
        <v>1399</v>
      </c>
      <c r="I1128">
        <v>83.375</v>
      </c>
      <c r="J1128" t="s">
        <v>967</v>
      </c>
      <c r="K1128" s="24">
        <v>99</v>
      </c>
      <c r="L1128" s="24">
        <v>108</v>
      </c>
      <c r="M1128">
        <v>261</v>
      </c>
      <c r="N1128" t="s">
        <v>1432</v>
      </c>
      <c r="O1128">
        <v>36</v>
      </c>
      <c r="Q1128" t="s">
        <v>24</v>
      </c>
      <c r="R1128" t="s">
        <v>25</v>
      </c>
      <c r="S1128" t="s">
        <v>30</v>
      </c>
      <c r="T1128" t="s">
        <v>24</v>
      </c>
      <c r="U1128">
        <f t="shared" si="70"/>
        <v>1</v>
      </c>
      <c r="V1128">
        <v>189.36799999999999</v>
      </c>
      <c r="W1128">
        <v>0.44</v>
      </c>
      <c r="X1128" t="s">
        <v>1408</v>
      </c>
      <c r="Y1128">
        <v>99</v>
      </c>
      <c r="Z1128">
        <v>108</v>
      </c>
      <c r="AA1128" t="s">
        <v>40</v>
      </c>
      <c r="AB1128">
        <v>195</v>
      </c>
      <c r="AC1128" s="23">
        <v>5.42</v>
      </c>
      <c r="AD1128" t="str">
        <f>IF(AND('CVD Dataset'!AA1128="Normal",'CVD Dataset'!AB1128&gt;AVERAGE('CVD Dataset'!AB:AB),'CVD Dataset'!AF1128="High"),"High Lipid Category","Normal Category")</f>
        <v>Normal Category</v>
      </c>
      <c r="AE1128">
        <v>18.282</v>
      </c>
      <c r="AF1128" t="s">
        <v>32</v>
      </c>
      <c r="AG1128">
        <v>0</v>
      </c>
      <c r="AH1128" t="s">
        <v>1379</v>
      </c>
      <c r="AI1128">
        <f t="shared" si="71"/>
        <v>1</v>
      </c>
      <c r="AJ1128" t="s">
        <v>1392</v>
      </c>
    </row>
    <row r="1129" spans="1:36" x14ac:dyDescent="0.3">
      <c r="A1129" t="s">
        <v>22</v>
      </c>
      <c r="B1129">
        <v>41</v>
      </c>
      <c r="C1129">
        <v>117.726</v>
      </c>
      <c r="E1129">
        <v>24.768000000000001</v>
      </c>
      <c r="F1129" t="str">
        <f t="shared" si="69"/>
        <v/>
      </c>
      <c r="G1129" t="str">
        <f t="shared" si="72"/>
        <v/>
      </c>
      <c r="H1129" t="s">
        <v>1398</v>
      </c>
      <c r="I1129">
        <v>92.332999999999998</v>
      </c>
      <c r="J1129" t="s">
        <v>968</v>
      </c>
      <c r="K1129" s="24">
        <v>166</v>
      </c>
      <c r="L1129" s="24">
        <v>77</v>
      </c>
      <c r="M1129">
        <v>139</v>
      </c>
      <c r="N1129" t="s">
        <v>1434</v>
      </c>
      <c r="P1129">
        <v>139</v>
      </c>
      <c r="Q1129" t="s">
        <v>24</v>
      </c>
      <c r="R1129" t="s">
        <v>24</v>
      </c>
      <c r="S1129" t="s">
        <v>39</v>
      </c>
      <c r="T1129" t="s">
        <v>24</v>
      </c>
      <c r="U1129">
        <f t="shared" si="70"/>
        <v>0</v>
      </c>
      <c r="V1129">
        <v>185.18899999999999</v>
      </c>
      <c r="W1129">
        <v>0.499</v>
      </c>
      <c r="X1129" t="s">
        <v>1406</v>
      </c>
      <c r="Y1129">
        <v>166</v>
      </c>
      <c r="Z1129">
        <v>77</v>
      </c>
      <c r="AA1129" t="s">
        <v>40</v>
      </c>
      <c r="AB1129">
        <v>53</v>
      </c>
      <c r="AC1129" s="23" t="s">
        <v>1410</v>
      </c>
      <c r="AD1129" t="str">
        <f>IF(AND('CVD Dataset'!AA1129="Normal",'CVD Dataset'!AB1129&gt;AVERAGE('CVD Dataset'!AB:AB),'CVD Dataset'!AF1129="High"),"High Lipid Category","Normal Category")</f>
        <v>Normal Category</v>
      </c>
      <c r="AE1129">
        <v>16.033999999999999</v>
      </c>
      <c r="AF1129" t="s">
        <v>32</v>
      </c>
      <c r="AG1129">
        <v>0</v>
      </c>
      <c r="AH1129" t="s">
        <v>1379</v>
      </c>
      <c r="AI1129">
        <f t="shared" si="71"/>
        <v>1</v>
      </c>
      <c r="AJ1129" t="s">
        <v>1391</v>
      </c>
    </row>
    <row r="1130" spans="1:36" x14ac:dyDescent="0.3">
      <c r="A1130" t="s">
        <v>33</v>
      </c>
      <c r="B1130">
        <v>66</v>
      </c>
      <c r="C1130">
        <v>86.933000000000007</v>
      </c>
      <c r="D1130">
        <v>1.5169999999999999</v>
      </c>
      <c r="E1130">
        <v>39.320999999999998</v>
      </c>
      <c r="F1130">
        <f t="shared" si="69"/>
        <v>37.775785657516295</v>
      </c>
      <c r="G1130">
        <f t="shared" si="72"/>
        <v>1</v>
      </c>
      <c r="H1130" t="s">
        <v>1399</v>
      </c>
      <c r="I1130">
        <v>79.563999999999993</v>
      </c>
      <c r="J1130" t="s">
        <v>969</v>
      </c>
      <c r="K1130" s="24">
        <v>105</v>
      </c>
      <c r="L1130" s="24">
        <v>68</v>
      </c>
      <c r="M1130">
        <v>257</v>
      </c>
      <c r="N1130" t="s">
        <v>1432</v>
      </c>
      <c r="O1130">
        <v>36</v>
      </c>
      <c r="P1130">
        <v>105</v>
      </c>
      <c r="Q1130" t="s">
        <v>24</v>
      </c>
      <c r="R1130" t="s">
        <v>24</v>
      </c>
      <c r="S1130" t="s">
        <v>39</v>
      </c>
      <c r="T1130" t="s">
        <v>24</v>
      </c>
      <c r="U1130">
        <f t="shared" si="70"/>
        <v>0</v>
      </c>
      <c r="V1130">
        <v>151.73699999999999</v>
      </c>
      <c r="W1130">
        <v>0.52400000000000002</v>
      </c>
      <c r="X1130" t="s">
        <v>1407</v>
      </c>
      <c r="Y1130">
        <v>105</v>
      </c>
      <c r="Z1130">
        <v>68</v>
      </c>
      <c r="AA1130" t="s">
        <v>35</v>
      </c>
      <c r="AB1130">
        <v>191</v>
      </c>
      <c r="AC1130" s="23">
        <v>5.31</v>
      </c>
      <c r="AD1130" t="str">
        <f>IF(AND('CVD Dataset'!AA1130="Normal",'CVD Dataset'!AB1130&gt;AVERAGE('CVD Dataset'!AB:AB),'CVD Dataset'!AF1130="High"),"High Lipid Category","Normal Category")</f>
        <v>Normal Category</v>
      </c>
      <c r="AE1130">
        <v>18.254000000000001</v>
      </c>
      <c r="AF1130" t="s">
        <v>54</v>
      </c>
      <c r="AG1130">
        <v>0</v>
      </c>
      <c r="AH1130" t="s">
        <v>1380</v>
      </c>
      <c r="AI1130">
        <f t="shared" si="71"/>
        <v>0</v>
      </c>
      <c r="AJ1130" t="s">
        <v>1391</v>
      </c>
    </row>
    <row r="1131" spans="1:36" x14ac:dyDescent="0.3">
      <c r="A1131" t="s">
        <v>33</v>
      </c>
      <c r="B1131">
        <v>48</v>
      </c>
      <c r="C1131">
        <v>101.761</v>
      </c>
      <c r="D1131">
        <v>1.51</v>
      </c>
      <c r="E1131">
        <v>27.321999999999999</v>
      </c>
      <c r="F1131">
        <f t="shared" si="69"/>
        <v>44.630060085083983</v>
      </c>
      <c r="G1131">
        <f t="shared" si="72"/>
        <v>1</v>
      </c>
      <c r="H1131" t="s">
        <v>1400</v>
      </c>
      <c r="J1131" t="s">
        <v>970</v>
      </c>
      <c r="K1131" s="24">
        <v>136</v>
      </c>
      <c r="L1131" s="24">
        <v>101</v>
      </c>
      <c r="M1131">
        <v>278</v>
      </c>
      <c r="N1131" t="s">
        <v>1432</v>
      </c>
      <c r="O1131">
        <v>83</v>
      </c>
      <c r="P1131">
        <v>168</v>
      </c>
      <c r="Q1131" t="s">
        <v>25</v>
      </c>
      <c r="R1131" t="s">
        <v>24</v>
      </c>
      <c r="S1131" t="s">
        <v>30</v>
      </c>
      <c r="T1131" t="s">
        <v>24</v>
      </c>
      <c r="U1131">
        <f t="shared" si="70"/>
        <v>1</v>
      </c>
      <c r="V1131">
        <v>151.02199999999999</v>
      </c>
      <c r="W1131">
        <v>0.70799999999999996</v>
      </c>
      <c r="X1131" t="s">
        <v>1409</v>
      </c>
      <c r="Y1131">
        <v>136</v>
      </c>
      <c r="Z1131">
        <v>101</v>
      </c>
      <c r="AA1131" t="s">
        <v>31</v>
      </c>
      <c r="AB1131">
        <v>165</v>
      </c>
      <c r="AC1131" s="23">
        <v>1.99</v>
      </c>
      <c r="AD1131" t="str">
        <f>IF(AND('CVD Dataset'!AA1131="Normal",'CVD Dataset'!AB1131&gt;AVERAGE('CVD Dataset'!AB:AB),'CVD Dataset'!AF1131="High"),"High Lipid Category","Normal Category")</f>
        <v>Normal Category</v>
      </c>
      <c r="AE1131">
        <v>17.824000000000002</v>
      </c>
      <c r="AF1131" t="s">
        <v>54</v>
      </c>
      <c r="AG1131">
        <v>0</v>
      </c>
      <c r="AH1131" t="s">
        <v>1380</v>
      </c>
      <c r="AI1131">
        <f t="shared" si="71"/>
        <v>0</v>
      </c>
      <c r="AJ1131" t="s">
        <v>1391</v>
      </c>
    </row>
    <row r="1132" spans="1:36" x14ac:dyDescent="0.3">
      <c r="A1132" t="s">
        <v>33</v>
      </c>
      <c r="B1132">
        <v>38</v>
      </c>
      <c r="C1132">
        <v>76.971000000000004</v>
      </c>
      <c r="D1132">
        <v>1.921</v>
      </c>
      <c r="E1132">
        <v>39.555</v>
      </c>
      <c r="F1132">
        <f t="shared" si="69"/>
        <v>20.857987323863128</v>
      </c>
      <c r="G1132">
        <f t="shared" si="72"/>
        <v>1</v>
      </c>
      <c r="H1132" t="s">
        <v>1399</v>
      </c>
      <c r="I1132">
        <v>85.308000000000007</v>
      </c>
      <c r="J1132" t="s">
        <v>971</v>
      </c>
      <c r="K1132" s="24">
        <v>112</v>
      </c>
      <c r="L1132" s="24">
        <v>119</v>
      </c>
      <c r="M1132">
        <v>148</v>
      </c>
      <c r="N1132" t="s">
        <v>1434</v>
      </c>
      <c r="O1132">
        <v>31</v>
      </c>
      <c r="P1132">
        <v>117</v>
      </c>
      <c r="Q1132" t="s">
        <v>25</v>
      </c>
      <c r="R1132" t="s">
        <v>25</v>
      </c>
      <c r="S1132" t="s">
        <v>39</v>
      </c>
      <c r="T1132" t="s">
        <v>25</v>
      </c>
      <c r="U1132">
        <f t="shared" si="70"/>
        <v>3</v>
      </c>
      <c r="V1132">
        <v>192.06299999999999</v>
      </c>
      <c r="W1132">
        <v>0.44400000000000001</v>
      </c>
      <c r="X1132" t="s">
        <v>1408</v>
      </c>
      <c r="Y1132">
        <v>112</v>
      </c>
      <c r="Z1132">
        <v>119</v>
      </c>
      <c r="AA1132" t="s">
        <v>40</v>
      </c>
      <c r="AB1132">
        <v>87</v>
      </c>
      <c r="AC1132" s="23">
        <v>2.81</v>
      </c>
      <c r="AD1132" t="str">
        <f>IF(AND('CVD Dataset'!AA1132="Normal",'CVD Dataset'!AB1132&gt;AVERAGE('CVD Dataset'!AB:AB),'CVD Dataset'!AF1132="High"),"High Lipid Category","Normal Category")</f>
        <v>Normal Category</v>
      </c>
      <c r="AE1132">
        <v>18.471</v>
      </c>
      <c r="AF1132" t="s">
        <v>32</v>
      </c>
      <c r="AG1132">
        <v>0</v>
      </c>
      <c r="AH1132" t="s">
        <v>1379</v>
      </c>
      <c r="AI1132">
        <f t="shared" si="71"/>
        <v>1</v>
      </c>
      <c r="AJ1132" t="s">
        <v>1391</v>
      </c>
    </row>
    <row r="1133" spans="1:36" x14ac:dyDescent="0.3">
      <c r="A1133" t="s">
        <v>33</v>
      </c>
      <c r="C1133">
        <v>115.322</v>
      </c>
      <c r="D1133">
        <v>1.589</v>
      </c>
      <c r="E1133">
        <v>27.756</v>
      </c>
      <c r="F1133">
        <f t="shared" si="69"/>
        <v>45.673508200850641</v>
      </c>
      <c r="G1133">
        <f t="shared" si="72"/>
        <v>1</v>
      </c>
      <c r="H1133" t="s">
        <v>1400</v>
      </c>
      <c r="I1133">
        <v>75.941000000000003</v>
      </c>
      <c r="J1133" t="s">
        <v>972</v>
      </c>
      <c r="K1133" s="24">
        <v>159</v>
      </c>
      <c r="L1133" s="24">
        <v>89</v>
      </c>
      <c r="M1133">
        <v>121</v>
      </c>
      <c r="N1133" t="s">
        <v>1434</v>
      </c>
      <c r="O1133">
        <v>53</v>
      </c>
      <c r="P1133">
        <v>103</v>
      </c>
      <c r="Q1133" t="s">
        <v>24</v>
      </c>
      <c r="R1133" t="s">
        <v>24</v>
      </c>
      <c r="S1133" t="s">
        <v>39</v>
      </c>
      <c r="T1133" t="s">
        <v>25</v>
      </c>
      <c r="U1133">
        <f t="shared" si="70"/>
        <v>1</v>
      </c>
      <c r="V1133">
        <v>158.85599999999999</v>
      </c>
      <c r="W1133">
        <v>0.47799999999999998</v>
      </c>
      <c r="X1133" t="s">
        <v>1406</v>
      </c>
      <c r="Y1133">
        <v>159</v>
      </c>
      <c r="Z1133">
        <v>89</v>
      </c>
      <c r="AA1133" t="s">
        <v>31</v>
      </c>
      <c r="AB1133">
        <v>38</v>
      </c>
      <c r="AC1133" s="23">
        <v>0.72</v>
      </c>
      <c r="AD1133" t="str">
        <f>IF(AND('CVD Dataset'!AA1133="Normal",'CVD Dataset'!AB1133&gt;AVERAGE('CVD Dataset'!AB:AB),'CVD Dataset'!AF1133="High"),"High Lipid Category","Normal Category")</f>
        <v>Normal Category</v>
      </c>
      <c r="AE1133">
        <v>15.920999999999999</v>
      </c>
      <c r="AF1133" t="s">
        <v>54</v>
      </c>
      <c r="AG1133">
        <v>0</v>
      </c>
      <c r="AH1133" t="s">
        <v>1380</v>
      </c>
      <c r="AI1133">
        <f t="shared" si="71"/>
        <v>0</v>
      </c>
      <c r="AJ1133" t="s">
        <v>1391</v>
      </c>
    </row>
    <row r="1134" spans="1:36" x14ac:dyDescent="0.3">
      <c r="A1134" t="s">
        <v>33</v>
      </c>
      <c r="B1134">
        <v>49</v>
      </c>
      <c r="C1134">
        <v>83.064999999999998</v>
      </c>
      <c r="D1134">
        <v>1.9710000000000001</v>
      </c>
      <c r="E1134">
        <v>28.154</v>
      </c>
      <c r="F1134">
        <f t="shared" si="69"/>
        <v>21.38182746732749</v>
      </c>
      <c r="G1134">
        <f t="shared" si="72"/>
        <v>1</v>
      </c>
      <c r="H1134" t="s">
        <v>1400</v>
      </c>
      <c r="I1134">
        <v>92.423000000000002</v>
      </c>
      <c r="J1134" t="s">
        <v>135</v>
      </c>
      <c r="K1134" s="24">
        <v>103</v>
      </c>
      <c r="L1134" s="24">
        <v>81</v>
      </c>
      <c r="M1134">
        <v>104</v>
      </c>
      <c r="N1134" t="s">
        <v>1434</v>
      </c>
      <c r="O1134">
        <v>89</v>
      </c>
      <c r="P1134">
        <v>71</v>
      </c>
      <c r="Q1134" t="s">
        <v>24</v>
      </c>
      <c r="R1134" t="s">
        <v>24</v>
      </c>
      <c r="S1134" t="s">
        <v>26</v>
      </c>
      <c r="T1134" t="s">
        <v>25</v>
      </c>
      <c r="U1134">
        <f t="shared" si="70"/>
        <v>2</v>
      </c>
      <c r="V1134">
        <v>197.12700000000001</v>
      </c>
      <c r="W1134">
        <v>0.46899999999999997</v>
      </c>
      <c r="X1134" t="s">
        <v>1406</v>
      </c>
      <c r="Y1134">
        <v>103</v>
      </c>
      <c r="Z1134">
        <v>81</v>
      </c>
      <c r="AA1134" t="s">
        <v>31</v>
      </c>
      <c r="AB1134">
        <v>-15</v>
      </c>
      <c r="AC1134" s="23">
        <v>-0.17</v>
      </c>
      <c r="AD1134" t="str">
        <f>IF(AND('CVD Dataset'!AA1134="Normal",'CVD Dataset'!AB1134&gt;AVERAGE('CVD Dataset'!AB:AB),'CVD Dataset'!AF1134="High"),"High Lipid Category","Normal Category")</f>
        <v>Normal Category</v>
      </c>
      <c r="AE1134">
        <v>12.861000000000001</v>
      </c>
      <c r="AF1134" t="s">
        <v>28</v>
      </c>
      <c r="AG1134">
        <v>0</v>
      </c>
      <c r="AH1134" t="s">
        <v>1380</v>
      </c>
      <c r="AI1134">
        <f t="shared" si="71"/>
        <v>0</v>
      </c>
      <c r="AJ1134" t="s">
        <v>1391</v>
      </c>
    </row>
    <row r="1135" spans="1:36" x14ac:dyDescent="0.3">
      <c r="A1135" t="s">
        <v>33</v>
      </c>
      <c r="B1135">
        <v>59</v>
      </c>
      <c r="C1135">
        <v>108.125</v>
      </c>
      <c r="D1135">
        <v>1.5680000000000001</v>
      </c>
      <c r="E1135">
        <v>25.887</v>
      </c>
      <c r="F1135">
        <f t="shared" si="69"/>
        <v>43.977851025614321</v>
      </c>
      <c r="G1135">
        <f t="shared" si="72"/>
        <v>1</v>
      </c>
      <c r="H1135" t="s">
        <v>1400</v>
      </c>
      <c r="I1135">
        <v>103.05500000000001</v>
      </c>
      <c r="J1135" t="s">
        <v>973</v>
      </c>
      <c r="K1135" s="24">
        <v>157</v>
      </c>
      <c r="L1135" s="24">
        <v>61</v>
      </c>
      <c r="M1135">
        <v>255</v>
      </c>
      <c r="N1135" t="s">
        <v>1432</v>
      </c>
      <c r="P1135">
        <v>137</v>
      </c>
      <c r="Q1135" t="s">
        <v>25</v>
      </c>
      <c r="R1135" t="s">
        <v>25</v>
      </c>
      <c r="S1135" t="s">
        <v>30</v>
      </c>
      <c r="T1135" t="s">
        <v>24</v>
      </c>
      <c r="U1135">
        <f t="shared" si="70"/>
        <v>2</v>
      </c>
      <c r="V1135">
        <v>156.839</v>
      </c>
      <c r="W1135">
        <v>0.65700000000000003</v>
      </c>
      <c r="X1135" t="s">
        <v>1409</v>
      </c>
      <c r="Y1135">
        <v>157</v>
      </c>
      <c r="Z1135">
        <v>61</v>
      </c>
      <c r="AA1135" t="s">
        <v>40</v>
      </c>
      <c r="AB1135">
        <v>180</v>
      </c>
      <c r="AC1135" s="23" t="s">
        <v>1410</v>
      </c>
      <c r="AD1135" t="str">
        <f>IF(AND('CVD Dataset'!AA1135="Normal",'CVD Dataset'!AB1135&gt;AVERAGE('CVD Dataset'!AB:AB),'CVD Dataset'!AF1135="High"),"High Lipid Category","Normal Category")</f>
        <v>Normal Category</v>
      </c>
      <c r="AE1135">
        <v>20.126999999999999</v>
      </c>
      <c r="AF1135" t="s">
        <v>54</v>
      </c>
      <c r="AG1135">
        <v>0</v>
      </c>
      <c r="AH1135" t="s">
        <v>1380</v>
      </c>
      <c r="AI1135">
        <f t="shared" si="71"/>
        <v>0</v>
      </c>
      <c r="AJ1135" t="s">
        <v>1392</v>
      </c>
    </row>
    <row r="1136" spans="1:36" x14ac:dyDescent="0.3">
      <c r="A1136" t="s">
        <v>33</v>
      </c>
      <c r="C1136">
        <v>95.772000000000006</v>
      </c>
      <c r="D1136">
        <v>1.6890000000000001</v>
      </c>
      <c r="E1136">
        <v>21.716999999999999</v>
      </c>
      <c r="F1136">
        <f t="shared" si="69"/>
        <v>33.572157950251707</v>
      </c>
      <c r="G1136">
        <f t="shared" si="72"/>
        <v>1</v>
      </c>
      <c r="H1136" t="s">
        <v>1398</v>
      </c>
      <c r="I1136">
        <v>79.183999999999997</v>
      </c>
      <c r="J1136" t="s">
        <v>142</v>
      </c>
      <c r="K1136" s="24">
        <v>113</v>
      </c>
      <c r="L1136" s="24">
        <v>99</v>
      </c>
      <c r="M1136">
        <v>163</v>
      </c>
      <c r="N1136" t="s">
        <v>1433</v>
      </c>
      <c r="O1136">
        <v>83</v>
      </c>
      <c r="P1136">
        <v>154</v>
      </c>
      <c r="Q1136" t="s">
        <v>24</v>
      </c>
      <c r="R1136" t="s">
        <v>25</v>
      </c>
      <c r="S1136" t="s">
        <v>30</v>
      </c>
      <c r="T1136" t="s">
        <v>25</v>
      </c>
      <c r="U1136">
        <f t="shared" si="70"/>
        <v>2</v>
      </c>
      <c r="V1136">
        <v>168.88399999999999</v>
      </c>
      <c r="W1136">
        <v>0.46899999999999997</v>
      </c>
      <c r="X1136" t="s">
        <v>1406</v>
      </c>
      <c r="Y1136">
        <v>113</v>
      </c>
      <c r="Z1136">
        <v>99</v>
      </c>
      <c r="AA1136" t="s">
        <v>40</v>
      </c>
      <c r="AB1136">
        <v>50</v>
      </c>
      <c r="AC1136" s="23">
        <v>0.6</v>
      </c>
      <c r="AD1136" t="str">
        <f>IF(AND('CVD Dataset'!AA1136="Normal",'CVD Dataset'!AB1136&gt;AVERAGE('CVD Dataset'!AB:AB),'CVD Dataset'!AF1136="High"),"High Lipid Category","Normal Category")</f>
        <v>Normal Category</v>
      </c>
      <c r="AE1136">
        <v>15.253</v>
      </c>
      <c r="AF1136" t="s">
        <v>32</v>
      </c>
      <c r="AG1136">
        <v>1</v>
      </c>
      <c r="AH1136" t="s">
        <v>1379</v>
      </c>
      <c r="AI1136">
        <f t="shared" si="71"/>
        <v>1</v>
      </c>
      <c r="AJ1136" t="s">
        <v>1391</v>
      </c>
    </row>
    <row r="1137" spans="1:36" x14ac:dyDescent="0.3">
      <c r="A1137" t="s">
        <v>33</v>
      </c>
      <c r="B1137">
        <v>30</v>
      </c>
      <c r="C1137">
        <v>102.828</v>
      </c>
      <c r="D1137">
        <v>1.9770000000000001</v>
      </c>
      <c r="E1137">
        <v>38.314999999999998</v>
      </c>
      <c r="F1137">
        <f t="shared" si="69"/>
        <v>26.308618920315034</v>
      </c>
      <c r="G1137">
        <f t="shared" si="72"/>
        <v>1</v>
      </c>
      <c r="H1137" t="s">
        <v>1399</v>
      </c>
      <c r="I1137">
        <v>100.4</v>
      </c>
      <c r="J1137" t="s">
        <v>974</v>
      </c>
      <c r="K1137" s="24">
        <v>151</v>
      </c>
      <c r="L1137" s="24">
        <v>77</v>
      </c>
      <c r="M1137">
        <v>294</v>
      </c>
      <c r="N1137" t="s">
        <v>1432</v>
      </c>
      <c r="O1137">
        <v>30</v>
      </c>
      <c r="P1137">
        <v>88</v>
      </c>
      <c r="Q1137" t="s">
        <v>25</v>
      </c>
      <c r="R1137" t="s">
        <v>25</v>
      </c>
      <c r="S1137" t="s">
        <v>30</v>
      </c>
      <c r="T1137" t="s">
        <v>25</v>
      </c>
      <c r="U1137">
        <f t="shared" si="70"/>
        <v>3</v>
      </c>
      <c r="V1137">
        <v>197.715</v>
      </c>
      <c r="W1137">
        <v>0.50800000000000001</v>
      </c>
      <c r="X1137" t="s">
        <v>1406</v>
      </c>
      <c r="Y1137">
        <v>151</v>
      </c>
      <c r="Z1137">
        <v>77</v>
      </c>
      <c r="AA1137" t="s">
        <v>40</v>
      </c>
      <c r="AB1137">
        <v>234</v>
      </c>
      <c r="AC1137" s="23">
        <v>7.8</v>
      </c>
      <c r="AD1137" t="str">
        <f>IF(AND('CVD Dataset'!AA1137="Normal",'CVD Dataset'!AB1137&gt;AVERAGE('CVD Dataset'!AB:AB),'CVD Dataset'!AF1137="High"),"High Lipid Category","Normal Category")</f>
        <v>Normal Category</v>
      </c>
      <c r="AE1137">
        <v>23.093</v>
      </c>
      <c r="AF1137" t="s">
        <v>54</v>
      </c>
      <c r="AG1137">
        <v>0</v>
      </c>
      <c r="AH1137" t="s">
        <v>1380</v>
      </c>
      <c r="AI1137">
        <f t="shared" si="71"/>
        <v>0</v>
      </c>
      <c r="AJ1137" t="s">
        <v>1391</v>
      </c>
    </row>
    <row r="1138" spans="1:36" x14ac:dyDescent="0.3">
      <c r="A1138" t="s">
        <v>33</v>
      </c>
      <c r="B1138">
        <v>26</v>
      </c>
      <c r="C1138">
        <v>58.953000000000003</v>
      </c>
      <c r="D1138">
        <v>1.6879999999999999</v>
      </c>
      <c r="E1138">
        <v>25.286000000000001</v>
      </c>
      <c r="F1138">
        <f t="shared" si="69"/>
        <v>20.690025493587299</v>
      </c>
      <c r="G1138">
        <f t="shared" si="72"/>
        <v>1</v>
      </c>
      <c r="H1138" t="s">
        <v>1400</v>
      </c>
      <c r="J1138" t="s">
        <v>975</v>
      </c>
      <c r="K1138" s="24">
        <v>110</v>
      </c>
      <c r="L1138" s="24">
        <v>114</v>
      </c>
      <c r="M1138">
        <v>258</v>
      </c>
      <c r="N1138" t="s">
        <v>1432</v>
      </c>
      <c r="O1138">
        <v>58</v>
      </c>
      <c r="P1138">
        <v>146</v>
      </c>
      <c r="Q1138" t="s">
        <v>24</v>
      </c>
      <c r="R1138" t="s">
        <v>24</v>
      </c>
      <c r="S1138" t="s">
        <v>30</v>
      </c>
      <c r="T1138" t="s">
        <v>25</v>
      </c>
      <c r="U1138">
        <f t="shared" si="70"/>
        <v>1</v>
      </c>
      <c r="V1138">
        <v>168.76300000000001</v>
      </c>
      <c r="W1138">
        <v>0.45500000000000002</v>
      </c>
      <c r="X1138" t="s">
        <v>1408</v>
      </c>
      <c r="Y1138">
        <v>110</v>
      </c>
      <c r="Z1138">
        <v>114</v>
      </c>
      <c r="AA1138" t="s">
        <v>40</v>
      </c>
      <c r="AB1138">
        <v>170</v>
      </c>
      <c r="AC1138" s="23">
        <v>2.93</v>
      </c>
      <c r="AD1138" t="str">
        <f>IF(AND('CVD Dataset'!AA1138="Normal",'CVD Dataset'!AB1138&gt;AVERAGE('CVD Dataset'!AB:AB),'CVD Dataset'!AF1138="High"),"High Lipid Category","Normal Category")</f>
        <v>Normal Category</v>
      </c>
      <c r="AE1138">
        <v>15.717000000000001</v>
      </c>
      <c r="AF1138" t="s">
        <v>32</v>
      </c>
      <c r="AG1138">
        <v>0</v>
      </c>
      <c r="AH1138" t="s">
        <v>1379</v>
      </c>
      <c r="AI1138">
        <f t="shared" si="71"/>
        <v>1</v>
      </c>
      <c r="AJ1138" t="s">
        <v>1391</v>
      </c>
    </row>
    <row r="1139" spans="1:36" x14ac:dyDescent="0.3">
      <c r="A1139" t="s">
        <v>33</v>
      </c>
      <c r="B1139">
        <v>76</v>
      </c>
      <c r="C1139">
        <v>99.585999999999999</v>
      </c>
      <c r="D1139">
        <v>1.8979999999999999</v>
      </c>
      <c r="E1139">
        <v>39.517000000000003</v>
      </c>
      <c r="F1139">
        <f t="shared" si="69"/>
        <v>27.644317516858191</v>
      </c>
      <c r="G1139">
        <f t="shared" si="72"/>
        <v>1</v>
      </c>
      <c r="H1139" t="s">
        <v>1399</v>
      </c>
      <c r="I1139">
        <v>107.48099999999999</v>
      </c>
      <c r="J1139" t="s">
        <v>976</v>
      </c>
      <c r="K1139" s="24">
        <v>171</v>
      </c>
      <c r="L1139" s="24">
        <v>80</v>
      </c>
      <c r="M1139">
        <v>125</v>
      </c>
      <c r="N1139" t="s">
        <v>1434</v>
      </c>
      <c r="O1139">
        <v>45</v>
      </c>
      <c r="P1139">
        <v>101</v>
      </c>
      <c r="Q1139" t="s">
        <v>25</v>
      </c>
      <c r="R1139" t="s">
        <v>25</v>
      </c>
      <c r="S1139" t="s">
        <v>30</v>
      </c>
      <c r="T1139" t="s">
        <v>24</v>
      </c>
      <c r="U1139">
        <f t="shared" si="70"/>
        <v>2</v>
      </c>
      <c r="V1139">
        <v>189.82</v>
      </c>
      <c r="W1139">
        <v>0.56599999999999995</v>
      </c>
      <c r="X1139" t="s">
        <v>1407</v>
      </c>
      <c r="Y1139">
        <v>171</v>
      </c>
      <c r="Z1139">
        <v>80</v>
      </c>
      <c r="AA1139" t="s">
        <v>31</v>
      </c>
      <c r="AB1139">
        <v>50</v>
      </c>
      <c r="AC1139" s="23">
        <v>1.1100000000000001</v>
      </c>
      <c r="AD1139" t="str">
        <f>IF(AND('CVD Dataset'!AA1139="Normal",'CVD Dataset'!AB1139&gt;AVERAGE('CVD Dataset'!AB:AB),'CVD Dataset'!AF1139="High"),"High Lipid Category","Normal Category")</f>
        <v>Normal Category</v>
      </c>
      <c r="AE1139">
        <v>20.952999999999999</v>
      </c>
      <c r="AF1139" t="s">
        <v>54</v>
      </c>
      <c r="AG1139">
        <v>0</v>
      </c>
      <c r="AH1139" t="s">
        <v>1380</v>
      </c>
      <c r="AI1139">
        <f t="shared" si="71"/>
        <v>0</v>
      </c>
      <c r="AJ1139" t="s">
        <v>1392</v>
      </c>
    </row>
    <row r="1140" spans="1:36" x14ac:dyDescent="0.3">
      <c r="A1140" t="s">
        <v>33</v>
      </c>
      <c r="B1140">
        <v>75</v>
      </c>
      <c r="C1140">
        <v>96.063000000000002</v>
      </c>
      <c r="D1140">
        <v>1.986</v>
      </c>
      <c r="E1140">
        <v>27.821000000000002</v>
      </c>
      <c r="F1140">
        <f t="shared" si="69"/>
        <v>24.355534055609816</v>
      </c>
      <c r="G1140">
        <f t="shared" si="72"/>
        <v>1</v>
      </c>
      <c r="H1140" t="s">
        <v>1400</v>
      </c>
      <c r="I1140">
        <v>72.712999999999994</v>
      </c>
      <c r="J1140" t="s">
        <v>904</v>
      </c>
      <c r="K1140" s="24">
        <v>158</v>
      </c>
      <c r="L1140" s="24">
        <v>74</v>
      </c>
      <c r="M1140">
        <v>211</v>
      </c>
      <c r="N1140" t="s">
        <v>1432</v>
      </c>
      <c r="O1140">
        <v>74</v>
      </c>
      <c r="P1140">
        <v>75</v>
      </c>
      <c r="Q1140" t="s">
        <v>25</v>
      </c>
      <c r="R1140" t="s">
        <v>25</v>
      </c>
      <c r="S1140" t="s">
        <v>26</v>
      </c>
      <c r="T1140" t="s">
        <v>24</v>
      </c>
      <c r="U1140">
        <f t="shared" si="70"/>
        <v>3</v>
      </c>
      <c r="V1140">
        <v>198.64699999999999</v>
      </c>
      <c r="W1140">
        <v>0.36599999999999999</v>
      </c>
      <c r="X1140" t="s">
        <v>1408</v>
      </c>
      <c r="Y1140">
        <v>158</v>
      </c>
      <c r="Z1140">
        <v>74</v>
      </c>
      <c r="AA1140" t="s">
        <v>40</v>
      </c>
      <c r="AB1140">
        <v>107</v>
      </c>
      <c r="AC1140" s="23">
        <v>1.45</v>
      </c>
      <c r="AD1140" t="str">
        <f>IF(AND('CVD Dataset'!AA1140="Normal",'CVD Dataset'!AB1140&gt;AVERAGE('CVD Dataset'!AB:AB),'CVD Dataset'!AF1140="High"),"High Lipid Category","Normal Category")</f>
        <v>Normal Category</v>
      </c>
      <c r="AE1140">
        <v>19.684000000000001</v>
      </c>
      <c r="AF1140" t="s">
        <v>54</v>
      </c>
      <c r="AG1140">
        <v>0</v>
      </c>
      <c r="AH1140" t="s">
        <v>1380</v>
      </c>
      <c r="AI1140">
        <f t="shared" si="71"/>
        <v>0</v>
      </c>
      <c r="AJ1140" t="s">
        <v>1392</v>
      </c>
    </row>
    <row r="1141" spans="1:36" x14ac:dyDescent="0.3">
      <c r="A1141" t="s">
        <v>22</v>
      </c>
      <c r="B1141">
        <v>76</v>
      </c>
      <c r="C1141">
        <v>60.206000000000003</v>
      </c>
      <c r="D1141">
        <v>1.857</v>
      </c>
      <c r="E1141">
        <v>21.033000000000001</v>
      </c>
      <c r="F1141">
        <f t="shared" si="69"/>
        <v>17.458863390469165</v>
      </c>
      <c r="G1141">
        <f t="shared" si="72"/>
        <v>1</v>
      </c>
      <c r="H1141" t="s">
        <v>1398</v>
      </c>
      <c r="I1141">
        <v>78.745000000000005</v>
      </c>
      <c r="J1141" t="s">
        <v>977</v>
      </c>
      <c r="K1141" s="24">
        <v>140</v>
      </c>
      <c r="L1141" s="24">
        <v>61</v>
      </c>
      <c r="M1141">
        <v>123</v>
      </c>
      <c r="N1141" t="s">
        <v>1434</v>
      </c>
      <c r="O1141">
        <v>76</v>
      </c>
      <c r="P1141">
        <v>109</v>
      </c>
      <c r="Q1141" t="s">
        <v>24</v>
      </c>
      <c r="R1141" t="s">
        <v>24</v>
      </c>
      <c r="S1141" t="s">
        <v>26</v>
      </c>
      <c r="T1141" t="s">
        <v>24</v>
      </c>
      <c r="U1141">
        <f t="shared" si="70"/>
        <v>1</v>
      </c>
      <c r="V1141">
        <v>185.68100000000001</v>
      </c>
      <c r="W1141">
        <v>0.42399999999999999</v>
      </c>
      <c r="X1141" t="s">
        <v>1408</v>
      </c>
      <c r="Y1141">
        <v>140</v>
      </c>
      <c r="Z1141">
        <v>61</v>
      </c>
      <c r="AA1141" t="s">
        <v>40</v>
      </c>
      <c r="AB1141">
        <v>17</v>
      </c>
      <c r="AC1141" s="23">
        <v>0.22</v>
      </c>
      <c r="AD1141" t="str">
        <f>IF(AND('CVD Dataset'!AA1141="Normal",'CVD Dataset'!AB1141&gt;AVERAGE('CVD Dataset'!AB:AB),'CVD Dataset'!AF1141="High"),"High Lipid Category","Normal Category")</f>
        <v>Normal Category</v>
      </c>
      <c r="AE1141">
        <v>13.667</v>
      </c>
      <c r="AF1141" t="s">
        <v>54</v>
      </c>
      <c r="AG1141">
        <v>0</v>
      </c>
      <c r="AH1141" t="s">
        <v>1380</v>
      </c>
      <c r="AI1141">
        <f t="shared" si="71"/>
        <v>0</v>
      </c>
      <c r="AJ1141" t="s">
        <v>1391</v>
      </c>
    </row>
    <row r="1142" spans="1:36" x14ac:dyDescent="0.3">
      <c r="A1142" t="s">
        <v>22</v>
      </c>
      <c r="C1142">
        <v>59.238</v>
      </c>
      <c r="D1142">
        <v>1.623</v>
      </c>
      <c r="E1142">
        <v>26.465</v>
      </c>
      <c r="F1142">
        <f t="shared" si="69"/>
        <v>22.488648050266331</v>
      </c>
      <c r="G1142">
        <f t="shared" si="72"/>
        <v>1</v>
      </c>
      <c r="H1142" t="s">
        <v>1400</v>
      </c>
      <c r="I1142">
        <v>98.698999999999998</v>
      </c>
      <c r="J1142" t="s">
        <v>978</v>
      </c>
      <c r="K1142" s="24">
        <v>113</v>
      </c>
      <c r="L1142" s="24">
        <v>66</v>
      </c>
      <c r="M1142">
        <v>247</v>
      </c>
      <c r="N1142" t="s">
        <v>1432</v>
      </c>
      <c r="O1142">
        <v>41</v>
      </c>
      <c r="P1142">
        <v>71</v>
      </c>
      <c r="Q1142" t="s">
        <v>24</v>
      </c>
      <c r="R1142" t="s">
        <v>25</v>
      </c>
      <c r="S1142" t="s">
        <v>39</v>
      </c>
      <c r="T1142" t="s">
        <v>25</v>
      </c>
      <c r="U1142">
        <f t="shared" si="70"/>
        <v>2</v>
      </c>
      <c r="V1142">
        <v>162.27799999999999</v>
      </c>
      <c r="W1142">
        <v>0.60799999999999998</v>
      </c>
      <c r="X1142" t="s">
        <v>1409</v>
      </c>
      <c r="Y1142">
        <v>113</v>
      </c>
      <c r="Z1142">
        <v>66</v>
      </c>
      <c r="AA1142" t="s">
        <v>35</v>
      </c>
      <c r="AB1142">
        <v>176</v>
      </c>
      <c r="AC1142" s="23">
        <v>4.29</v>
      </c>
      <c r="AD1142" t="str">
        <f>IF(AND('CVD Dataset'!AA1142="Normal",'CVD Dataset'!AB1142&gt;AVERAGE('CVD Dataset'!AB:AB),'CVD Dataset'!AF1142="High"),"High Lipid Category","Normal Category")</f>
        <v>Normal Category</v>
      </c>
      <c r="AE1142">
        <v>17.882999999999999</v>
      </c>
      <c r="AF1142" t="s">
        <v>28</v>
      </c>
      <c r="AG1142">
        <v>0</v>
      </c>
      <c r="AH1142" t="s">
        <v>1380</v>
      </c>
      <c r="AI1142">
        <f t="shared" si="71"/>
        <v>0</v>
      </c>
      <c r="AJ1142" t="s">
        <v>1391</v>
      </c>
    </row>
    <row r="1143" spans="1:36" x14ac:dyDescent="0.3">
      <c r="A1143" t="s">
        <v>33</v>
      </c>
      <c r="B1143">
        <v>33</v>
      </c>
      <c r="C1143">
        <v>116.375</v>
      </c>
      <c r="D1143">
        <v>1.91</v>
      </c>
      <c r="E1143">
        <v>33.597000000000001</v>
      </c>
      <c r="F1143">
        <f t="shared" si="69"/>
        <v>31.900167210328664</v>
      </c>
      <c r="G1143">
        <f t="shared" si="72"/>
        <v>1</v>
      </c>
      <c r="H1143" t="s">
        <v>1399</v>
      </c>
      <c r="J1143" t="s">
        <v>979</v>
      </c>
      <c r="K1143" s="24">
        <v>98</v>
      </c>
      <c r="L1143" s="24">
        <v>91</v>
      </c>
      <c r="M1143">
        <v>240</v>
      </c>
      <c r="N1143" t="s">
        <v>1432</v>
      </c>
      <c r="O1143">
        <v>60</v>
      </c>
      <c r="P1143">
        <v>180</v>
      </c>
      <c r="Q1143" t="s">
        <v>24</v>
      </c>
      <c r="R1143" t="s">
        <v>25</v>
      </c>
      <c r="S1143" t="s">
        <v>30</v>
      </c>
      <c r="T1143" t="s">
        <v>25</v>
      </c>
      <c r="U1143">
        <f t="shared" si="70"/>
        <v>2</v>
      </c>
      <c r="V1143">
        <v>191.024</v>
      </c>
      <c r="W1143">
        <v>0.42599999999999999</v>
      </c>
      <c r="X1143" t="s">
        <v>1408</v>
      </c>
      <c r="Y1143">
        <v>98</v>
      </c>
      <c r="Z1143">
        <v>91</v>
      </c>
      <c r="AA1143" t="s">
        <v>40</v>
      </c>
      <c r="AB1143">
        <v>150</v>
      </c>
      <c r="AC1143" s="23">
        <v>2.5</v>
      </c>
      <c r="AD1143" t="str">
        <f>IF(AND('CVD Dataset'!AA1143="Normal",'CVD Dataset'!AB1143&gt;AVERAGE('CVD Dataset'!AB:AB),'CVD Dataset'!AF1143="High"),"High Lipid Category","Normal Category")</f>
        <v>Normal Category</v>
      </c>
      <c r="AE1143">
        <v>18.419</v>
      </c>
      <c r="AF1143" t="s">
        <v>28</v>
      </c>
      <c r="AG1143">
        <v>0</v>
      </c>
      <c r="AH1143" t="s">
        <v>1380</v>
      </c>
      <c r="AI1143">
        <f t="shared" si="71"/>
        <v>0</v>
      </c>
      <c r="AJ1143" t="s">
        <v>1391</v>
      </c>
    </row>
    <row r="1144" spans="1:36" x14ac:dyDescent="0.3">
      <c r="A1144" t="s">
        <v>33</v>
      </c>
      <c r="B1144">
        <v>64</v>
      </c>
      <c r="C1144">
        <v>92.384</v>
      </c>
      <c r="D1144">
        <v>1.5640000000000001</v>
      </c>
      <c r="E1144">
        <v>33.505000000000003</v>
      </c>
      <c r="F1144">
        <f t="shared" si="69"/>
        <v>37.767937153733946</v>
      </c>
      <c r="G1144">
        <f t="shared" si="72"/>
        <v>1</v>
      </c>
      <c r="H1144" t="s">
        <v>1399</v>
      </c>
      <c r="I1144">
        <v>82.86</v>
      </c>
      <c r="J1144" t="s">
        <v>980</v>
      </c>
      <c r="K1144" s="24">
        <v>146</v>
      </c>
      <c r="L1144" s="24">
        <v>72</v>
      </c>
      <c r="M1144">
        <v>146</v>
      </c>
      <c r="N1144" t="s">
        <v>1434</v>
      </c>
      <c r="O1144">
        <v>84</v>
      </c>
      <c r="P1144">
        <v>117</v>
      </c>
      <c r="Q1144" t="s">
        <v>25</v>
      </c>
      <c r="R1144" t="s">
        <v>24</v>
      </c>
      <c r="S1144" t="s">
        <v>26</v>
      </c>
      <c r="T1144" t="s">
        <v>24</v>
      </c>
      <c r="U1144">
        <f t="shared" si="70"/>
        <v>2</v>
      </c>
      <c r="W1144">
        <v>0.53</v>
      </c>
      <c r="X1144" t="s">
        <v>1407</v>
      </c>
      <c r="Y1144">
        <v>146</v>
      </c>
      <c r="Z1144">
        <v>72</v>
      </c>
      <c r="AA1144" t="s">
        <v>40</v>
      </c>
      <c r="AB1144">
        <v>32</v>
      </c>
      <c r="AC1144" s="23">
        <v>0.38</v>
      </c>
      <c r="AD1144" t="str">
        <f>IF(AND('CVD Dataset'!AA1144="Normal",'CVD Dataset'!AB1144&gt;AVERAGE('CVD Dataset'!AB:AB),'CVD Dataset'!AF1144="High"),"High Lipid Category","Normal Category")</f>
        <v>Normal Category</v>
      </c>
      <c r="AE1144">
        <v>16.920999999999999</v>
      </c>
      <c r="AF1144" t="s">
        <v>54</v>
      </c>
      <c r="AG1144">
        <v>0</v>
      </c>
      <c r="AH1144" t="s">
        <v>1380</v>
      </c>
      <c r="AI1144">
        <f t="shared" si="71"/>
        <v>0</v>
      </c>
      <c r="AJ1144" t="s">
        <v>1391</v>
      </c>
    </row>
    <row r="1145" spans="1:36" x14ac:dyDescent="0.3">
      <c r="A1145" t="s">
        <v>33</v>
      </c>
      <c r="B1145">
        <v>31</v>
      </c>
      <c r="C1145">
        <v>112.709</v>
      </c>
      <c r="D1145">
        <v>1.8420000000000001</v>
      </c>
      <c r="E1145">
        <v>26.524000000000001</v>
      </c>
      <c r="F1145">
        <f t="shared" si="69"/>
        <v>33.218448530547334</v>
      </c>
      <c r="G1145">
        <f t="shared" si="72"/>
        <v>1</v>
      </c>
      <c r="H1145" t="s">
        <v>1400</v>
      </c>
      <c r="I1145">
        <v>107.197</v>
      </c>
      <c r="J1145" t="s">
        <v>981</v>
      </c>
      <c r="K1145" s="24">
        <v>112</v>
      </c>
      <c r="L1145" s="24">
        <v>77</v>
      </c>
      <c r="M1145">
        <v>155</v>
      </c>
      <c r="N1145" t="s">
        <v>1433</v>
      </c>
      <c r="O1145">
        <v>64</v>
      </c>
      <c r="P1145">
        <v>160</v>
      </c>
      <c r="Q1145" t="s">
        <v>25</v>
      </c>
      <c r="R1145" t="s">
        <v>24</v>
      </c>
      <c r="S1145" t="s">
        <v>39</v>
      </c>
      <c r="T1145" t="s">
        <v>25</v>
      </c>
      <c r="U1145">
        <f t="shared" si="70"/>
        <v>2</v>
      </c>
      <c r="V1145">
        <v>184.20699999999999</v>
      </c>
      <c r="W1145">
        <v>0.58199999999999996</v>
      </c>
      <c r="X1145" t="s">
        <v>1407</v>
      </c>
      <c r="Y1145">
        <v>112</v>
      </c>
      <c r="Z1145">
        <v>77</v>
      </c>
      <c r="AA1145" t="s">
        <v>35</v>
      </c>
      <c r="AB1145">
        <v>61</v>
      </c>
      <c r="AC1145" s="23">
        <v>0.95</v>
      </c>
      <c r="AD1145" t="str">
        <f>IF(AND('CVD Dataset'!AA1145="Normal",'CVD Dataset'!AB1145&gt;AVERAGE('CVD Dataset'!AB:AB),'CVD Dataset'!AF1145="High"),"High Lipid Category","Normal Category")</f>
        <v>Normal Category</v>
      </c>
      <c r="AE1145">
        <v>14.005000000000001</v>
      </c>
      <c r="AF1145" t="s">
        <v>32</v>
      </c>
      <c r="AG1145">
        <v>1</v>
      </c>
      <c r="AH1145" t="s">
        <v>1379</v>
      </c>
      <c r="AI1145">
        <f t="shared" si="71"/>
        <v>1</v>
      </c>
      <c r="AJ1145" t="s">
        <v>1391</v>
      </c>
    </row>
    <row r="1146" spans="1:36" x14ac:dyDescent="0.3">
      <c r="A1146" t="s">
        <v>33</v>
      </c>
      <c r="B1146">
        <v>79</v>
      </c>
      <c r="C1146">
        <v>71.227999999999994</v>
      </c>
      <c r="D1146">
        <v>1.7969999999999999</v>
      </c>
      <c r="E1146">
        <v>19.484999999999999</v>
      </c>
      <c r="F1146">
        <f t="shared" si="69"/>
        <v>22.057414060223419</v>
      </c>
      <c r="G1146">
        <f t="shared" si="72"/>
        <v>1</v>
      </c>
      <c r="H1146" t="s">
        <v>1398</v>
      </c>
      <c r="I1146">
        <v>109.94199999999999</v>
      </c>
      <c r="J1146" t="s">
        <v>982</v>
      </c>
      <c r="K1146" s="24">
        <v>132</v>
      </c>
      <c r="L1146" s="24">
        <v>60</v>
      </c>
      <c r="M1146">
        <v>150</v>
      </c>
      <c r="N1146" t="s">
        <v>1433</v>
      </c>
      <c r="O1146">
        <v>75</v>
      </c>
      <c r="P1146">
        <v>97</v>
      </c>
      <c r="Q1146" t="s">
        <v>24</v>
      </c>
      <c r="R1146" t="s">
        <v>25</v>
      </c>
      <c r="S1146" t="s">
        <v>30</v>
      </c>
      <c r="T1146" t="s">
        <v>24</v>
      </c>
      <c r="U1146">
        <f t="shared" si="70"/>
        <v>1</v>
      </c>
      <c r="V1146">
        <v>179.69900000000001</v>
      </c>
      <c r="W1146">
        <v>0.61199999999999999</v>
      </c>
      <c r="X1146" t="s">
        <v>1409</v>
      </c>
      <c r="Y1146">
        <v>132</v>
      </c>
      <c r="Z1146">
        <v>60</v>
      </c>
      <c r="AA1146" t="s">
        <v>31</v>
      </c>
      <c r="AB1146">
        <v>45</v>
      </c>
      <c r="AC1146" s="23">
        <v>0.6</v>
      </c>
      <c r="AD1146" t="str">
        <f>IF(AND('CVD Dataset'!AA1146="Normal",'CVD Dataset'!AB1146&gt;AVERAGE('CVD Dataset'!AB:AB),'CVD Dataset'!AF1146="High"),"High Lipid Category","Normal Category")</f>
        <v>Normal Category</v>
      </c>
      <c r="AE1146">
        <v>15.497</v>
      </c>
      <c r="AF1146" t="s">
        <v>54</v>
      </c>
      <c r="AG1146">
        <v>0</v>
      </c>
      <c r="AH1146" t="s">
        <v>1380</v>
      </c>
      <c r="AI1146">
        <f t="shared" si="71"/>
        <v>0</v>
      </c>
      <c r="AJ1146" t="s">
        <v>1392</v>
      </c>
    </row>
    <row r="1147" spans="1:36" x14ac:dyDescent="0.3">
      <c r="A1147" t="s">
        <v>22</v>
      </c>
      <c r="B1147">
        <v>58</v>
      </c>
      <c r="C1147">
        <v>69.87</v>
      </c>
      <c r="D1147">
        <v>1.944</v>
      </c>
      <c r="E1147">
        <v>20.785</v>
      </c>
      <c r="F1147">
        <f t="shared" si="69"/>
        <v>18.488352893359753</v>
      </c>
      <c r="G1147">
        <f t="shared" si="72"/>
        <v>1</v>
      </c>
      <c r="H1147" t="s">
        <v>1398</v>
      </c>
      <c r="I1147">
        <v>86.259</v>
      </c>
      <c r="J1147" t="s">
        <v>983</v>
      </c>
      <c r="K1147" s="24">
        <v>162</v>
      </c>
      <c r="L1147" s="24">
        <v>106</v>
      </c>
      <c r="M1147">
        <v>151</v>
      </c>
      <c r="N1147" t="s">
        <v>1433</v>
      </c>
      <c r="P1147">
        <v>139</v>
      </c>
      <c r="Q1147" t="s">
        <v>25</v>
      </c>
      <c r="R1147" t="s">
        <v>24</v>
      </c>
      <c r="S1147" t="s">
        <v>39</v>
      </c>
      <c r="T1147" t="s">
        <v>24</v>
      </c>
      <c r="U1147">
        <f t="shared" si="70"/>
        <v>1</v>
      </c>
      <c r="V1147">
        <v>194.45</v>
      </c>
      <c r="W1147">
        <v>0.44400000000000001</v>
      </c>
      <c r="X1147" t="s">
        <v>1408</v>
      </c>
      <c r="Y1147">
        <v>162</v>
      </c>
      <c r="Z1147">
        <v>106</v>
      </c>
      <c r="AA1147" t="s">
        <v>40</v>
      </c>
      <c r="AB1147">
        <v>44</v>
      </c>
      <c r="AC1147" s="23" t="s">
        <v>1410</v>
      </c>
      <c r="AD1147" t="str">
        <f>IF(AND('CVD Dataset'!AA1147="Normal",'CVD Dataset'!AB1147&gt;AVERAGE('CVD Dataset'!AB:AB),'CVD Dataset'!AF1147="High"),"High Lipid Category","Normal Category")</f>
        <v>Normal Category</v>
      </c>
      <c r="AE1147">
        <v>15.276999999999999</v>
      </c>
      <c r="AF1147" t="s">
        <v>32</v>
      </c>
      <c r="AG1147">
        <v>0</v>
      </c>
      <c r="AH1147" t="s">
        <v>1379</v>
      </c>
      <c r="AI1147">
        <f t="shared" si="71"/>
        <v>1</v>
      </c>
      <c r="AJ1147" t="s">
        <v>1391</v>
      </c>
    </row>
    <row r="1148" spans="1:36" x14ac:dyDescent="0.3">
      <c r="A1148" t="s">
        <v>22</v>
      </c>
      <c r="C1148">
        <v>68.159000000000006</v>
      </c>
      <c r="D1148">
        <v>1.655</v>
      </c>
      <c r="E1148">
        <v>31.213999999999999</v>
      </c>
      <c r="F1148">
        <f t="shared" si="69"/>
        <v>24.884402296437599</v>
      </c>
      <c r="G1148">
        <f t="shared" si="72"/>
        <v>1</v>
      </c>
      <c r="H1148" t="s">
        <v>1399</v>
      </c>
      <c r="I1148">
        <v>92.111000000000004</v>
      </c>
      <c r="J1148" t="s">
        <v>802</v>
      </c>
      <c r="K1148" s="24">
        <v>113</v>
      </c>
      <c r="L1148" s="24">
        <v>70</v>
      </c>
      <c r="M1148">
        <v>123</v>
      </c>
      <c r="N1148" t="s">
        <v>1434</v>
      </c>
      <c r="O1148">
        <v>34</v>
      </c>
      <c r="P1148">
        <v>118</v>
      </c>
      <c r="Q1148" t="s">
        <v>25</v>
      </c>
      <c r="R1148" t="s">
        <v>24</v>
      </c>
      <c r="S1148" t="s">
        <v>30</v>
      </c>
      <c r="T1148" t="s">
        <v>24</v>
      </c>
      <c r="U1148">
        <f t="shared" si="70"/>
        <v>1</v>
      </c>
      <c r="V1148">
        <v>165.53800000000001</v>
      </c>
      <c r="W1148">
        <v>0.55600000000000005</v>
      </c>
      <c r="X1148" t="s">
        <v>1407</v>
      </c>
      <c r="Y1148">
        <v>113</v>
      </c>
      <c r="Z1148">
        <v>70</v>
      </c>
      <c r="AA1148" t="s">
        <v>35</v>
      </c>
      <c r="AC1148" s="23">
        <v>0</v>
      </c>
      <c r="AD1148" t="str">
        <f>IF(AND('CVD Dataset'!AA1148="Normal",'CVD Dataset'!AB1148&gt;AVERAGE('CVD Dataset'!AB:AB),'CVD Dataset'!AF1148="High"),"High Lipid Category","Normal Category")</f>
        <v>Normal Category</v>
      </c>
      <c r="AE1148">
        <v>14.353</v>
      </c>
      <c r="AF1148" t="s">
        <v>54</v>
      </c>
      <c r="AG1148">
        <v>0</v>
      </c>
      <c r="AH1148" t="s">
        <v>1380</v>
      </c>
      <c r="AI1148">
        <f t="shared" si="71"/>
        <v>0</v>
      </c>
      <c r="AJ1148" t="s">
        <v>1391</v>
      </c>
    </row>
    <row r="1149" spans="1:36" x14ac:dyDescent="0.3">
      <c r="A1149" t="s">
        <v>22</v>
      </c>
      <c r="C1149">
        <v>104.46899999999999</v>
      </c>
      <c r="D1149">
        <v>1.9950000000000001</v>
      </c>
      <c r="E1149">
        <v>25.39</v>
      </c>
      <c r="F1149">
        <f t="shared" si="69"/>
        <v>26.248327585881995</v>
      </c>
      <c r="G1149">
        <f t="shared" si="72"/>
        <v>1</v>
      </c>
      <c r="H1149" t="s">
        <v>1400</v>
      </c>
      <c r="I1149">
        <v>86.894000000000005</v>
      </c>
      <c r="J1149" t="s">
        <v>984</v>
      </c>
      <c r="K1149" s="24">
        <v>164</v>
      </c>
      <c r="L1149" s="24">
        <v>90</v>
      </c>
      <c r="N1149" t="s">
        <v>1434</v>
      </c>
      <c r="O1149">
        <v>82</v>
      </c>
      <c r="P1149">
        <v>175</v>
      </c>
      <c r="Q1149" t="s">
        <v>24</v>
      </c>
      <c r="R1149" t="s">
        <v>24</v>
      </c>
      <c r="S1149" t="s">
        <v>26</v>
      </c>
      <c r="T1149" t="s">
        <v>25</v>
      </c>
      <c r="U1149">
        <f t="shared" si="70"/>
        <v>2</v>
      </c>
      <c r="V1149">
        <v>199.458</v>
      </c>
      <c r="W1149">
        <v>0.436</v>
      </c>
      <c r="X1149" t="s">
        <v>1408</v>
      </c>
      <c r="Y1149">
        <v>164</v>
      </c>
      <c r="Z1149">
        <v>90</v>
      </c>
      <c r="AA1149" t="s">
        <v>40</v>
      </c>
      <c r="AB1149">
        <v>147</v>
      </c>
      <c r="AC1149" s="23">
        <v>1.79</v>
      </c>
      <c r="AD1149" t="str">
        <f>IF(AND('CVD Dataset'!AA1149="Normal",'CVD Dataset'!AB1149&gt;AVERAGE('CVD Dataset'!AB:AB),'CVD Dataset'!AF1149="High"),"High Lipid Category","Normal Category")</f>
        <v>Normal Category</v>
      </c>
      <c r="AE1149">
        <v>18.457999999999998</v>
      </c>
      <c r="AF1149" t="s">
        <v>32</v>
      </c>
      <c r="AG1149">
        <v>1</v>
      </c>
      <c r="AH1149" t="s">
        <v>1379</v>
      </c>
      <c r="AI1149">
        <f t="shared" si="71"/>
        <v>1</v>
      </c>
      <c r="AJ1149" t="s">
        <v>1391</v>
      </c>
    </row>
    <row r="1150" spans="1:36" x14ac:dyDescent="0.3">
      <c r="A1150" t="s">
        <v>22</v>
      </c>
      <c r="B1150">
        <v>36</v>
      </c>
      <c r="C1150">
        <v>113.298</v>
      </c>
      <c r="D1150">
        <v>1.5089999999999999</v>
      </c>
      <c r="E1150">
        <v>22.850999999999999</v>
      </c>
      <c r="F1150">
        <f t="shared" si="69"/>
        <v>49.755805788199893</v>
      </c>
      <c r="G1150">
        <f t="shared" si="72"/>
        <v>1</v>
      </c>
      <c r="H1150" t="s">
        <v>1398</v>
      </c>
      <c r="I1150">
        <v>113.07</v>
      </c>
      <c r="J1150" t="s">
        <v>985</v>
      </c>
      <c r="K1150" s="24">
        <v>133</v>
      </c>
      <c r="L1150" s="24">
        <v>115</v>
      </c>
      <c r="M1150">
        <v>241</v>
      </c>
      <c r="N1150" t="s">
        <v>1432</v>
      </c>
      <c r="O1150">
        <v>77</v>
      </c>
      <c r="P1150">
        <v>95</v>
      </c>
      <c r="Q1150" t="s">
        <v>25</v>
      </c>
      <c r="R1150" t="s">
        <v>24</v>
      </c>
      <c r="S1150" t="s">
        <v>26</v>
      </c>
      <c r="T1150" t="s">
        <v>25</v>
      </c>
      <c r="U1150">
        <f t="shared" si="70"/>
        <v>3</v>
      </c>
      <c r="V1150">
        <v>150.86799999999999</v>
      </c>
      <c r="W1150">
        <v>0.749</v>
      </c>
      <c r="X1150" t="s">
        <v>1409</v>
      </c>
      <c r="Y1150">
        <v>133</v>
      </c>
      <c r="Z1150">
        <v>115</v>
      </c>
      <c r="AA1150" t="s">
        <v>31</v>
      </c>
      <c r="AB1150">
        <v>134</v>
      </c>
      <c r="AC1150" s="23">
        <v>1.74</v>
      </c>
      <c r="AD1150" t="str">
        <f>IF(AND('CVD Dataset'!AA1150="Normal",'CVD Dataset'!AB1150&gt;AVERAGE('CVD Dataset'!AB:AB),'CVD Dataset'!AF1150="High"),"High Lipid Category","Normal Category")</f>
        <v>Normal Category</v>
      </c>
      <c r="AE1150">
        <v>16.04</v>
      </c>
      <c r="AF1150" t="s">
        <v>54</v>
      </c>
      <c r="AG1150">
        <v>0</v>
      </c>
      <c r="AH1150" t="s">
        <v>1380</v>
      </c>
      <c r="AI1150">
        <f t="shared" si="71"/>
        <v>0</v>
      </c>
      <c r="AJ1150" t="s">
        <v>1391</v>
      </c>
    </row>
    <row r="1151" spans="1:36" x14ac:dyDescent="0.3">
      <c r="A1151" t="s">
        <v>33</v>
      </c>
      <c r="B1151">
        <v>43</v>
      </c>
      <c r="C1151">
        <v>53.326999999999998</v>
      </c>
      <c r="D1151">
        <v>1.7050000000000001</v>
      </c>
      <c r="E1151">
        <v>34.231999999999999</v>
      </c>
      <c r="F1151">
        <f t="shared" si="69"/>
        <v>18.344183486554119</v>
      </c>
      <c r="G1151">
        <f t="shared" si="72"/>
        <v>1</v>
      </c>
      <c r="H1151" t="s">
        <v>1399</v>
      </c>
      <c r="I1151">
        <v>111.739</v>
      </c>
      <c r="J1151" t="s">
        <v>986</v>
      </c>
      <c r="K1151" s="24">
        <v>117</v>
      </c>
      <c r="L1151" s="24">
        <v>116</v>
      </c>
      <c r="M1151">
        <v>287</v>
      </c>
      <c r="N1151" t="s">
        <v>1432</v>
      </c>
      <c r="O1151">
        <v>82</v>
      </c>
      <c r="P1151">
        <v>140</v>
      </c>
      <c r="Q1151" t="s">
        <v>25</v>
      </c>
      <c r="R1151" t="s">
        <v>24</v>
      </c>
      <c r="S1151" t="s">
        <v>30</v>
      </c>
      <c r="T1151" t="s">
        <v>24</v>
      </c>
      <c r="U1151">
        <f t="shared" si="70"/>
        <v>1</v>
      </c>
      <c r="V1151">
        <v>170.45699999999999</v>
      </c>
      <c r="W1151">
        <v>0.65600000000000003</v>
      </c>
      <c r="X1151" t="s">
        <v>1409</v>
      </c>
      <c r="Y1151">
        <v>117</v>
      </c>
      <c r="Z1151">
        <v>116</v>
      </c>
      <c r="AA1151" t="s">
        <v>40</v>
      </c>
      <c r="AB1151">
        <v>175</v>
      </c>
      <c r="AC1151" s="23">
        <v>2.13</v>
      </c>
      <c r="AD1151" t="str">
        <f>IF(AND('CVD Dataset'!AA1151="Normal",'CVD Dataset'!AB1151&gt;AVERAGE('CVD Dataset'!AB:AB),'CVD Dataset'!AF1151="High"),"High Lipid Category","Normal Category")</f>
        <v>Normal Category</v>
      </c>
      <c r="AE1151">
        <v>18.436</v>
      </c>
      <c r="AF1151" t="s">
        <v>32</v>
      </c>
      <c r="AG1151">
        <v>1</v>
      </c>
      <c r="AH1151" t="s">
        <v>1379</v>
      </c>
      <c r="AI1151">
        <f t="shared" si="71"/>
        <v>1</v>
      </c>
      <c r="AJ1151" t="s">
        <v>1391</v>
      </c>
    </row>
    <row r="1152" spans="1:36" x14ac:dyDescent="0.3">
      <c r="A1152" t="s">
        <v>33</v>
      </c>
      <c r="B1152">
        <v>30</v>
      </c>
      <c r="C1152">
        <v>58.401000000000003</v>
      </c>
      <c r="D1152">
        <v>1.998</v>
      </c>
      <c r="E1152">
        <v>30.402999999999999</v>
      </c>
      <c r="F1152">
        <f t="shared" si="69"/>
        <v>14.62949435922409</v>
      </c>
      <c r="G1152">
        <f t="shared" si="72"/>
        <v>1</v>
      </c>
      <c r="H1152" t="s">
        <v>1399</v>
      </c>
      <c r="I1152">
        <v>105.896</v>
      </c>
      <c r="J1152" t="s">
        <v>987</v>
      </c>
      <c r="K1152" s="24">
        <v>154</v>
      </c>
      <c r="L1152" s="24">
        <v>97</v>
      </c>
      <c r="M1152">
        <v>173</v>
      </c>
      <c r="N1152" t="s">
        <v>1433</v>
      </c>
      <c r="O1152">
        <v>60</v>
      </c>
      <c r="P1152">
        <v>141</v>
      </c>
      <c r="Q1152" t="s">
        <v>25</v>
      </c>
      <c r="R1152" t="s">
        <v>25</v>
      </c>
      <c r="S1152" t="s">
        <v>26</v>
      </c>
      <c r="T1152" t="s">
        <v>25</v>
      </c>
      <c r="U1152">
        <f t="shared" si="70"/>
        <v>4</v>
      </c>
      <c r="V1152">
        <v>199.821</v>
      </c>
      <c r="W1152">
        <v>0.53</v>
      </c>
      <c r="X1152" t="s">
        <v>1407</v>
      </c>
      <c r="Y1152">
        <v>154</v>
      </c>
      <c r="Z1152">
        <v>97</v>
      </c>
      <c r="AA1152" t="s">
        <v>40</v>
      </c>
      <c r="AB1152">
        <v>83</v>
      </c>
      <c r="AC1152" s="23">
        <v>1.38</v>
      </c>
      <c r="AD1152" t="str">
        <f>IF(AND('CVD Dataset'!AA1152="Normal",'CVD Dataset'!AB1152&gt;AVERAGE('CVD Dataset'!AB:AB),'CVD Dataset'!AF1152="High"),"High Lipid Category","Normal Category")</f>
        <v>Normal Category</v>
      </c>
      <c r="AE1152">
        <v>19.241</v>
      </c>
      <c r="AF1152" t="s">
        <v>28</v>
      </c>
      <c r="AG1152">
        <v>0</v>
      </c>
      <c r="AH1152" t="s">
        <v>1380</v>
      </c>
      <c r="AI1152">
        <f t="shared" si="71"/>
        <v>0</v>
      </c>
      <c r="AJ1152" t="s">
        <v>1391</v>
      </c>
    </row>
    <row r="1153" spans="1:36" x14ac:dyDescent="0.3">
      <c r="A1153" t="s">
        <v>33</v>
      </c>
      <c r="B1153">
        <v>58</v>
      </c>
      <c r="C1153">
        <v>50.863999999999997</v>
      </c>
      <c r="D1153">
        <v>1.782</v>
      </c>
      <c r="E1153">
        <v>25.684999999999999</v>
      </c>
      <c r="F1153">
        <f t="shared" si="69"/>
        <v>16.017513959900789</v>
      </c>
      <c r="G1153">
        <f t="shared" si="72"/>
        <v>1</v>
      </c>
      <c r="H1153" t="s">
        <v>1400</v>
      </c>
      <c r="I1153">
        <v>119.736</v>
      </c>
      <c r="J1153" t="s">
        <v>921</v>
      </c>
      <c r="K1153" s="24">
        <v>117</v>
      </c>
      <c r="L1153" s="24">
        <v>108</v>
      </c>
      <c r="M1153">
        <v>273</v>
      </c>
      <c r="N1153" t="s">
        <v>1432</v>
      </c>
      <c r="O1153">
        <v>37</v>
      </c>
      <c r="P1153">
        <v>108</v>
      </c>
      <c r="Q1153" t="s">
        <v>24</v>
      </c>
      <c r="R1153" t="s">
        <v>25</v>
      </c>
      <c r="S1153" t="s">
        <v>30</v>
      </c>
      <c r="T1153" t="s">
        <v>24</v>
      </c>
      <c r="U1153">
        <f t="shared" si="70"/>
        <v>1</v>
      </c>
      <c r="V1153">
        <v>178.178</v>
      </c>
      <c r="W1153">
        <v>0.67200000000000004</v>
      </c>
      <c r="X1153" t="s">
        <v>1409</v>
      </c>
      <c r="Y1153">
        <v>117</v>
      </c>
      <c r="Z1153">
        <v>108</v>
      </c>
      <c r="AA1153" t="s">
        <v>40</v>
      </c>
      <c r="AB1153">
        <v>206</v>
      </c>
      <c r="AC1153" s="23">
        <v>5.57</v>
      </c>
      <c r="AD1153" t="str">
        <f>IF(AND('CVD Dataset'!AA1153="Normal",'CVD Dataset'!AB1153&gt;AVERAGE('CVD Dataset'!AB:AB),'CVD Dataset'!AF1153="High"),"High Lipid Category","Normal Category")</f>
        <v>Normal Category</v>
      </c>
      <c r="AE1153">
        <v>18.446999999999999</v>
      </c>
      <c r="AF1153" t="s">
        <v>32</v>
      </c>
      <c r="AG1153">
        <v>0</v>
      </c>
      <c r="AH1153" t="s">
        <v>1379</v>
      </c>
      <c r="AI1153">
        <f t="shared" si="71"/>
        <v>1</v>
      </c>
      <c r="AJ1153" t="s">
        <v>1392</v>
      </c>
    </row>
    <row r="1154" spans="1:36" x14ac:dyDescent="0.3">
      <c r="A1154" t="s">
        <v>33</v>
      </c>
      <c r="B1154">
        <v>76</v>
      </c>
      <c r="C1154">
        <v>56.93</v>
      </c>
      <c r="D1154">
        <v>1.95</v>
      </c>
      <c r="E1154">
        <v>25.27</v>
      </c>
      <c r="F1154">
        <f t="shared" si="69"/>
        <v>14.97172912557528</v>
      </c>
      <c r="G1154">
        <f t="shared" si="72"/>
        <v>1</v>
      </c>
      <c r="H1154" t="s">
        <v>1400</v>
      </c>
      <c r="I1154">
        <v>88.361000000000004</v>
      </c>
      <c r="J1154" t="s">
        <v>988</v>
      </c>
      <c r="K1154" s="24">
        <v>110</v>
      </c>
      <c r="L1154" s="24">
        <v>67</v>
      </c>
      <c r="N1154" t="s">
        <v>1434</v>
      </c>
      <c r="O1154">
        <v>44</v>
      </c>
      <c r="P1154">
        <v>115</v>
      </c>
      <c r="Q1154" t="s">
        <v>24</v>
      </c>
      <c r="R1154" t="s">
        <v>25</v>
      </c>
      <c r="S1154" t="s">
        <v>26</v>
      </c>
      <c r="T1154" t="s">
        <v>25</v>
      </c>
      <c r="U1154">
        <f t="shared" si="70"/>
        <v>3</v>
      </c>
      <c r="V1154">
        <v>195.01300000000001</v>
      </c>
      <c r="W1154">
        <v>0.45300000000000001</v>
      </c>
      <c r="X1154" t="s">
        <v>1408</v>
      </c>
      <c r="Y1154">
        <v>110</v>
      </c>
      <c r="Z1154">
        <v>67</v>
      </c>
      <c r="AA1154" t="s">
        <v>35</v>
      </c>
      <c r="AB1154">
        <v>113</v>
      </c>
      <c r="AC1154" s="23">
        <v>2.57</v>
      </c>
      <c r="AD1154" t="str">
        <f>IF(AND('CVD Dataset'!AA1154="Normal",'CVD Dataset'!AB1154&gt;AVERAGE('CVD Dataset'!AB:AB),'CVD Dataset'!AF1154="High"),"High Lipid Category","Normal Category")</f>
        <v>Normal Category</v>
      </c>
      <c r="AE1154">
        <v>16.294</v>
      </c>
      <c r="AF1154" t="s">
        <v>28</v>
      </c>
      <c r="AG1154">
        <v>0</v>
      </c>
      <c r="AH1154" t="s">
        <v>1380</v>
      </c>
      <c r="AI1154">
        <f t="shared" si="71"/>
        <v>0</v>
      </c>
      <c r="AJ1154" t="s">
        <v>1391</v>
      </c>
    </row>
    <row r="1155" spans="1:36" x14ac:dyDescent="0.3">
      <c r="A1155" t="s">
        <v>22</v>
      </c>
      <c r="B1155">
        <v>50</v>
      </c>
      <c r="C1155">
        <v>69.123000000000005</v>
      </c>
      <c r="D1155">
        <v>1.5820000000000001</v>
      </c>
      <c r="E1155">
        <v>35.716000000000001</v>
      </c>
      <c r="F1155">
        <f t="shared" ref="F1155:F1218" si="73">IFERROR(C1155/POWER(D1155,2),"")</f>
        <v>27.619106221860662</v>
      </c>
      <c r="G1155">
        <f t="shared" si="72"/>
        <v>1</v>
      </c>
      <c r="H1155" t="s">
        <v>1399</v>
      </c>
      <c r="I1155">
        <v>82.75</v>
      </c>
      <c r="J1155" t="s">
        <v>989</v>
      </c>
      <c r="K1155" s="24">
        <v>175</v>
      </c>
      <c r="L1155" s="24">
        <v>98</v>
      </c>
      <c r="M1155">
        <v>251</v>
      </c>
      <c r="N1155" t="s">
        <v>1432</v>
      </c>
      <c r="O1155">
        <v>75</v>
      </c>
      <c r="Q1155" t="s">
        <v>25</v>
      </c>
      <c r="R1155" t="s">
        <v>24</v>
      </c>
      <c r="S1155" t="s">
        <v>30</v>
      </c>
      <c r="T1155" t="s">
        <v>24</v>
      </c>
      <c r="U1155">
        <f t="shared" ref="U1155:U1218" si="74">SUM(IF(Q1155="Y",1,0),IF(R1155="Y",1,0),IF(S1155="Low",1,0),IF(T1155="Y",1,0))</f>
        <v>1</v>
      </c>
      <c r="V1155">
        <v>158.19</v>
      </c>
      <c r="W1155">
        <v>0.52300000000000002</v>
      </c>
      <c r="X1155" t="s">
        <v>1407</v>
      </c>
      <c r="Y1155">
        <v>175</v>
      </c>
      <c r="Z1155">
        <v>98</v>
      </c>
      <c r="AA1155" t="s">
        <v>40</v>
      </c>
      <c r="AB1155">
        <v>146</v>
      </c>
      <c r="AC1155" s="23">
        <v>1.95</v>
      </c>
      <c r="AD1155" t="str">
        <f>IF(AND('CVD Dataset'!AA1155="Normal",'CVD Dataset'!AB1155&gt;AVERAGE('CVD Dataset'!AB:AB),'CVD Dataset'!AF1155="High"),"High Lipid Category","Normal Category")</f>
        <v>Normal Category</v>
      </c>
      <c r="AE1155">
        <v>20.913</v>
      </c>
      <c r="AF1155" t="s">
        <v>32</v>
      </c>
      <c r="AG1155">
        <v>1</v>
      </c>
      <c r="AH1155" t="s">
        <v>1379</v>
      </c>
      <c r="AI1155">
        <f t="shared" ref="AI1155:AI1218" si="75">IF(AF1155="HIGH",1,0)</f>
        <v>1</v>
      </c>
      <c r="AJ1155" t="s">
        <v>1391</v>
      </c>
    </row>
    <row r="1156" spans="1:36" x14ac:dyDescent="0.3">
      <c r="A1156" t="s">
        <v>33</v>
      </c>
      <c r="B1156">
        <v>50</v>
      </c>
      <c r="C1156">
        <v>110.31699999999999</v>
      </c>
      <c r="D1156">
        <v>1.8520000000000001</v>
      </c>
      <c r="E1156">
        <v>33.401000000000003</v>
      </c>
      <c r="F1156">
        <f t="shared" si="73"/>
        <v>32.163290867616112</v>
      </c>
      <c r="G1156">
        <f t="shared" si="72"/>
        <v>1</v>
      </c>
      <c r="H1156" t="s">
        <v>1399</v>
      </c>
      <c r="I1156">
        <v>100.033</v>
      </c>
      <c r="J1156" t="s">
        <v>990</v>
      </c>
      <c r="K1156" s="24">
        <v>110</v>
      </c>
      <c r="L1156" s="24">
        <v>90</v>
      </c>
      <c r="N1156" t="s">
        <v>1434</v>
      </c>
      <c r="O1156">
        <v>87</v>
      </c>
      <c r="P1156">
        <v>180</v>
      </c>
      <c r="Q1156" t="s">
        <v>24</v>
      </c>
      <c r="R1156" t="s">
        <v>25</v>
      </c>
      <c r="S1156" t="s">
        <v>30</v>
      </c>
      <c r="T1156" t="s">
        <v>25</v>
      </c>
      <c r="U1156">
        <f t="shared" si="74"/>
        <v>2</v>
      </c>
      <c r="V1156">
        <v>185.16800000000001</v>
      </c>
      <c r="W1156">
        <v>0.54</v>
      </c>
      <c r="X1156" t="s">
        <v>1407</v>
      </c>
      <c r="Y1156">
        <v>110</v>
      </c>
      <c r="Z1156">
        <v>90</v>
      </c>
      <c r="AA1156" t="s">
        <v>40</v>
      </c>
      <c r="AB1156">
        <v>158</v>
      </c>
      <c r="AC1156" s="23">
        <v>1.82</v>
      </c>
      <c r="AD1156" t="str">
        <f>IF(AND('CVD Dataset'!AA1156="Normal",'CVD Dataset'!AB1156&gt;AVERAGE('CVD Dataset'!AB:AB),'CVD Dataset'!AF1156="High"),"High Lipid Category","Normal Category")</f>
        <v>Normal Category</v>
      </c>
      <c r="AE1156">
        <v>19.68</v>
      </c>
      <c r="AF1156" t="s">
        <v>28</v>
      </c>
      <c r="AG1156">
        <v>0</v>
      </c>
      <c r="AH1156" t="s">
        <v>1380</v>
      </c>
      <c r="AI1156">
        <f t="shared" si="75"/>
        <v>0</v>
      </c>
      <c r="AJ1156" t="s">
        <v>1391</v>
      </c>
    </row>
    <row r="1157" spans="1:36" x14ac:dyDescent="0.3">
      <c r="A1157" t="s">
        <v>22</v>
      </c>
      <c r="B1157">
        <v>29</v>
      </c>
      <c r="C1157">
        <v>64.171999999999997</v>
      </c>
      <c r="D1157">
        <v>1.6779999999999999</v>
      </c>
      <c r="E1157">
        <v>20.372</v>
      </c>
      <c r="F1157">
        <f t="shared" si="73"/>
        <v>22.79090977538673</v>
      </c>
      <c r="G1157">
        <f t="shared" si="72"/>
        <v>1</v>
      </c>
      <c r="H1157" t="s">
        <v>1398</v>
      </c>
      <c r="I1157">
        <v>100.568</v>
      </c>
      <c r="J1157" t="s">
        <v>991</v>
      </c>
      <c r="K1157" s="24">
        <v>146</v>
      </c>
      <c r="L1157" s="24">
        <v>96</v>
      </c>
      <c r="M1157">
        <v>225</v>
      </c>
      <c r="N1157" t="s">
        <v>1432</v>
      </c>
      <c r="O1157">
        <v>78</v>
      </c>
      <c r="P1157">
        <v>140</v>
      </c>
      <c r="Q1157" t="s">
        <v>25</v>
      </c>
      <c r="R1157" t="s">
        <v>24</v>
      </c>
      <c r="S1157" t="s">
        <v>30</v>
      </c>
      <c r="T1157" t="s">
        <v>25</v>
      </c>
      <c r="U1157">
        <f t="shared" si="74"/>
        <v>2</v>
      </c>
      <c r="V1157">
        <v>167.80600000000001</v>
      </c>
      <c r="W1157">
        <v>0.59899999999999998</v>
      </c>
      <c r="X1157" t="s">
        <v>1409</v>
      </c>
      <c r="Y1157">
        <v>146</v>
      </c>
      <c r="Z1157">
        <v>96</v>
      </c>
      <c r="AA1157" t="s">
        <v>40</v>
      </c>
      <c r="AC1157" s="23">
        <v>0</v>
      </c>
      <c r="AD1157" t="str">
        <f>IF(AND('CVD Dataset'!AA1157="Normal",'CVD Dataset'!AB1157&gt;AVERAGE('CVD Dataset'!AB:AB),'CVD Dataset'!AF1157="High"),"High Lipid Category","Normal Category")</f>
        <v>Normal Category</v>
      </c>
      <c r="AE1157">
        <v>15.874000000000001</v>
      </c>
      <c r="AF1157" t="s">
        <v>54</v>
      </c>
      <c r="AG1157">
        <v>0</v>
      </c>
      <c r="AH1157" t="s">
        <v>1380</v>
      </c>
      <c r="AI1157">
        <f t="shared" si="75"/>
        <v>0</v>
      </c>
      <c r="AJ1157" t="s">
        <v>1391</v>
      </c>
    </row>
    <row r="1158" spans="1:36" x14ac:dyDescent="0.3">
      <c r="A1158" t="s">
        <v>33</v>
      </c>
      <c r="B1158">
        <v>46</v>
      </c>
      <c r="C1158">
        <v>113.143</v>
      </c>
      <c r="D1158">
        <v>1.518</v>
      </c>
      <c r="E1158">
        <v>25.745000000000001</v>
      </c>
      <c r="F1158">
        <f t="shared" si="73"/>
        <v>49.100300131405128</v>
      </c>
      <c r="G1158">
        <f t="shared" si="72"/>
        <v>1</v>
      </c>
      <c r="H1158" t="s">
        <v>1400</v>
      </c>
      <c r="I1158">
        <v>97.483000000000004</v>
      </c>
      <c r="J1158" t="s">
        <v>805</v>
      </c>
      <c r="K1158" s="24">
        <v>133</v>
      </c>
      <c r="L1158" s="24">
        <v>95</v>
      </c>
      <c r="M1158">
        <v>150</v>
      </c>
      <c r="N1158" t="s">
        <v>1433</v>
      </c>
      <c r="O1158">
        <v>54</v>
      </c>
      <c r="P1158">
        <v>133</v>
      </c>
      <c r="Q1158" t="s">
        <v>25</v>
      </c>
      <c r="R1158" t="s">
        <v>25</v>
      </c>
      <c r="S1158" t="s">
        <v>26</v>
      </c>
      <c r="T1158" t="s">
        <v>25</v>
      </c>
      <c r="U1158">
        <f t="shared" si="74"/>
        <v>4</v>
      </c>
      <c r="V1158">
        <v>151.80500000000001</v>
      </c>
      <c r="W1158">
        <v>0.64200000000000002</v>
      </c>
      <c r="X1158" t="s">
        <v>1409</v>
      </c>
      <c r="Y1158">
        <v>133</v>
      </c>
      <c r="Z1158">
        <v>95</v>
      </c>
      <c r="AA1158" t="s">
        <v>31</v>
      </c>
      <c r="AB1158">
        <v>66</v>
      </c>
      <c r="AC1158" s="23">
        <v>1.22</v>
      </c>
      <c r="AD1158" t="str">
        <f>IF(AND('CVD Dataset'!AA1158="Normal",'CVD Dataset'!AB1158&gt;AVERAGE('CVD Dataset'!AB:AB),'CVD Dataset'!AF1158="High"),"High Lipid Category","Normal Category")</f>
        <v>Normal Category</v>
      </c>
      <c r="AE1158">
        <v>16.798999999999999</v>
      </c>
      <c r="AF1158" t="s">
        <v>32</v>
      </c>
      <c r="AG1158">
        <v>0</v>
      </c>
      <c r="AH1158" t="s">
        <v>1379</v>
      </c>
      <c r="AI1158">
        <f t="shared" si="75"/>
        <v>1</v>
      </c>
      <c r="AJ1158" t="s">
        <v>1391</v>
      </c>
    </row>
    <row r="1159" spans="1:36" x14ac:dyDescent="0.3">
      <c r="A1159" t="s">
        <v>33</v>
      </c>
      <c r="B1159">
        <v>53</v>
      </c>
      <c r="C1159">
        <v>68.763999999999996</v>
      </c>
      <c r="D1159">
        <v>1.742</v>
      </c>
      <c r="E1159">
        <v>34.994</v>
      </c>
      <c r="F1159">
        <f t="shared" si="73"/>
        <v>22.66025695948413</v>
      </c>
      <c r="G1159">
        <f t="shared" si="72"/>
        <v>1</v>
      </c>
      <c r="H1159" t="s">
        <v>1399</v>
      </c>
      <c r="I1159">
        <v>94.353999999999999</v>
      </c>
      <c r="J1159" t="s">
        <v>992</v>
      </c>
      <c r="K1159" s="24">
        <v>156</v>
      </c>
      <c r="L1159" s="24">
        <v>64</v>
      </c>
      <c r="M1159">
        <v>261</v>
      </c>
      <c r="N1159" t="s">
        <v>1432</v>
      </c>
      <c r="O1159">
        <v>43</v>
      </c>
      <c r="P1159">
        <v>78</v>
      </c>
      <c r="Q1159" t="s">
        <v>24</v>
      </c>
      <c r="R1159" t="s">
        <v>24</v>
      </c>
      <c r="S1159" t="s">
        <v>39</v>
      </c>
      <c r="T1159" t="s">
        <v>25</v>
      </c>
      <c r="U1159">
        <f t="shared" si="74"/>
        <v>1</v>
      </c>
      <c r="V1159">
        <v>174.197</v>
      </c>
      <c r="W1159">
        <v>0.54200000000000004</v>
      </c>
      <c r="X1159" t="s">
        <v>1407</v>
      </c>
      <c r="Y1159">
        <v>156</v>
      </c>
      <c r="Z1159">
        <v>64</v>
      </c>
      <c r="AA1159" t="s">
        <v>40</v>
      </c>
      <c r="AB1159">
        <v>188</v>
      </c>
      <c r="AC1159" s="23">
        <v>4.37</v>
      </c>
      <c r="AD1159" t="str">
        <f>IF(AND('CVD Dataset'!AA1159="Normal",'CVD Dataset'!AB1159&gt;AVERAGE('CVD Dataset'!AB:AB),'CVD Dataset'!AF1159="High"),"High Lipid Category","Normal Category")</f>
        <v>Normal Category</v>
      </c>
      <c r="AE1159">
        <v>20.018999999999998</v>
      </c>
      <c r="AF1159" t="s">
        <v>54</v>
      </c>
      <c r="AG1159">
        <v>0</v>
      </c>
      <c r="AH1159" t="s">
        <v>1380</v>
      </c>
      <c r="AI1159">
        <f t="shared" si="75"/>
        <v>0</v>
      </c>
      <c r="AJ1159" t="s">
        <v>1391</v>
      </c>
    </row>
    <row r="1160" spans="1:36" x14ac:dyDescent="0.3">
      <c r="A1160" t="s">
        <v>33</v>
      </c>
      <c r="B1160">
        <v>74</v>
      </c>
      <c r="C1160">
        <v>51.857999999999997</v>
      </c>
      <c r="D1160">
        <v>1.6080000000000001</v>
      </c>
      <c r="E1160">
        <v>33.293999999999997</v>
      </c>
      <c r="F1160">
        <f t="shared" si="73"/>
        <v>20.055970149253728</v>
      </c>
      <c r="G1160">
        <f t="shared" si="72"/>
        <v>1</v>
      </c>
      <c r="H1160" t="s">
        <v>1399</v>
      </c>
      <c r="I1160">
        <v>71.58</v>
      </c>
      <c r="J1160" t="s">
        <v>993</v>
      </c>
      <c r="K1160" s="24">
        <v>99</v>
      </c>
      <c r="L1160" s="24">
        <v>78</v>
      </c>
      <c r="M1160">
        <v>124</v>
      </c>
      <c r="N1160" t="s">
        <v>1434</v>
      </c>
      <c r="O1160">
        <v>60</v>
      </c>
      <c r="P1160">
        <v>135</v>
      </c>
      <c r="Q1160" t="s">
        <v>25</v>
      </c>
      <c r="R1160" t="s">
        <v>25</v>
      </c>
      <c r="S1160" t="s">
        <v>39</v>
      </c>
      <c r="T1160" t="s">
        <v>25</v>
      </c>
      <c r="U1160">
        <f t="shared" si="74"/>
        <v>3</v>
      </c>
      <c r="V1160">
        <v>160.768</v>
      </c>
      <c r="W1160">
        <v>0.44500000000000001</v>
      </c>
      <c r="X1160" t="s">
        <v>1408</v>
      </c>
      <c r="Y1160">
        <v>99</v>
      </c>
      <c r="AA1160" t="s">
        <v>35</v>
      </c>
      <c r="AB1160">
        <v>34</v>
      </c>
      <c r="AC1160" s="23">
        <v>0.56999999999999995</v>
      </c>
      <c r="AD1160" t="str">
        <f>IF(AND('CVD Dataset'!AA1160="Normal",'CVD Dataset'!AB1160&gt;AVERAGE('CVD Dataset'!AB:AB),'CVD Dataset'!AF1160="High"),"High Lipid Category","Normal Category")</f>
        <v>Normal Category</v>
      </c>
      <c r="AE1160">
        <v>16.088999999999999</v>
      </c>
      <c r="AF1160" t="s">
        <v>54</v>
      </c>
      <c r="AG1160">
        <v>0</v>
      </c>
      <c r="AH1160" t="s">
        <v>1380</v>
      </c>
      <c r="AI1160">
        <f t="shared" si="75"/>
        <v>0</v>
      </c>
      <c r="AJ1160" t="s">
        <v>1391</v>
      </c>
    </row>
    <row r="1161" spans="1:36" x14ac:dyDescent="0.3">
      <c r="A1161" t="s">
        <v>33</v>
      </c>
      <c r="B1161">
        <v>63</v>
      </c>
      <c r="C1161">
        <v>72.349999999999994</v>
      </c>
      <c r="D1161">
        <v>1.738</v>
      </c>
      <c r="E1161">
        <v>37.643999999999998</v>
      </c>
      <c r="F1161">
        <f t="shared" si="73"/>
        <v>23.951846030184292</v>
      </c>
      <c r="G1161">
        <f t="shared" si="72"/>
        <v>1</v>
      </c>
      <c r="H1161" t="s">
        <v>1399</v>
      </c>
      <c r="I1161">
        <v>73.531000000000006</v>
      </c>
      <c r="J1161" t="s">
        <v>994</v>
      </c>
      <c r="K1161" s="24">
        <v>145</v>
      </c>
      <c r="L1161" s="24">
        <v>103</v>
      </c>
      <c r="N1161" t="s">
        <v>1434</v>
      </c>
      <c r="O1161">
        <v>41</v>
      </c>
      <c r="P1161">
        <v>76</v>
      </c>
      <c r="Q1161" t="s">
        <v>25</v>
      </c>
      <c r="R1161" t="s">
        <v>24</v>
      </c>
      <c r="S1161" t="s">
        <v>39</v>
      </c>
      <c r="T1161" t="s">
        <v>25</v>
      </c>
      <c r="U1161">
        <f t="shared" si="74"/>
        <v>2</v>
      </c>
      <c r="V1161">
        <v>173.84200000000001</v>
      </c>
      <c r="W1161">
        <v>0.42299999999999999</v>
      </c>
      <c r="X1161" t="s">
        <v>1408</v>
      </c>
      <c r="Y1161">
        <v>145</v>
      </c>
      <c r="Z1161">
        <v>103</v>
      </c>
      <c r="AA1161" t="s">
        <v>40</v>
      </c>
      <c r="AB1161">
        <v>96</v>
      </c>
      <c r="AC1161" s="23">
        <v>2.34</v>
      </c>
      <c r="AD1161" t="str">
        <f>IF(AND('CVD Dataset'!AA1161="Normal",'CVD Dataset'!AB1161&gt;AVERAGE('CVD Dataset'!AB:AB),'CVD Dataset'!AF1161="High"),"High Lipid Category","Normal Category")</f>
        <v>Normal Category</v>
      </c>
      <c r="AE1161">
        <v>18.119</v>
      </c>
      <c r="AF1161" t="s">
        <v>28</v>
      </c>
      <c r="AG1161">
        <v>0</v>
      </c>
      <c r="AH1161" t="s">
        <v>1380</v>
      </c>
      <c r="AI1161">
        <f t="shared" si="75"/>
        <v>0</v>
      </c>
      <c r="AJ1161" t="s">
        <v>1391</v>
      </c>
    </row>
    <row r="1162" spans="1:36" x14ac:dyDescent="0.3">
      <c r="A1162" t="s">
        <v>33</v>
      </c>
      <c r="B1162">
        <v>76</v>
      </c>
      <c r="C1162">
        <v>100.935</v>
      </c>
      <c r="D1162">
        <v>1.512</v>
      </c>
      <c r="E1162">
        <v>32.673000000000002</v>
      </c>
      <c r="F1162">
        <f t="shared" si="73"/>
        <v>44.150762156714535</v>
      </c>
      <c r="G1162">
        <f t="shared" si="72"/>
        <v>1</v>
      </c>
      <c r="H1162" t="s">
        <v>1399</v>
      </c>
      <c r="I1162">
        <v>80.738</v>
      </c>
      <c r="J1162" t="s">
        <v>995</v>
      </c>
      <c r="K1162" s="24">
        <v>151</v>
      </c>
      <c r="L1162" s="24">
        <v>78</v>
      </c>
      <c r="M1162">
        <v>106</v>
      </c>
      <c r="N1162" t="s">
        <v>1434</v>
      </c>
      <c r="O1162">
        <v>30</v>
      </c>
      <c r="P1162">
        <v>191</v>
      </c>
      <c r="Q1162" t="s">
        <v>25</v>
      </c>
      <c r="R1162" t="s">
        <v>25</v>
      </c>
      <c r="S1162" t="s">
        <v>39</v>
      </c>
      <c r="T1162" t="s">
        <v>24</v>
      </c>
      <c r="U1162">
        <f t="shared" si="74"/>
        <v>2</v>
      </c>
      <c r="V1162">
        <v>151.18700000000001</v>
      </c>
      <c r="W1162">
        <v>0.53400000000000003</v>
      </c>
      <c r="X1162" t="s">
        <v>1407</v>
      </c>
      <c r="Y1162">
        <v>151</v>
      </c>
      <c r="Z1162">
        <v>78</v>
      </c>
      <c r="AA1162" t="s">
        <v>40</v>
      </c>
      <c r="AB1162">
        <v>46</v>
      </c>
      <c r="AC1162" s="23">
        <v>1.53</v>
      </c>
      <c r="AD1162" t="str">
        <f>IF(AND('CVD Dataset'!AA1162="Normal",'CVD Dataset'!AB1162&gt;AVERAGE('CVD Dataset'!AB:AB),'CVD Dataset'!AF1162="High"),"High Lipid Category","Normal Category")</f>
        <v>Normal Category</v>
      </c>
      <c r="AE1162">
        <v>18.204999999999998</v>
      </c>
      <c r="AF1162" t="s">
        <v>54</v>
      </c>
      <c r="AG1162">
        <v>0</v>
      </c>
      <c r="AH1162" t="s">
        <v>1380</v>
      </c>
      <c r="AI1162">
        <f t="shared" si="75"/>
        <v>0</v>
      </c>
      <c r="AJ1162" t="s">
        <v>1392</v>
      </c>
    </row>
    <row r="1163" spans="1:36" x14ac:dyDescent="0.3">
      <c r="A1163" t="s">
        <v>33</v>
      </c>
      <c r="B1163">
        <v>31</v>
      </c>
      <c r="C1163">
        <v>60.392000000000003</v>
      </c>
      <c r="D1163">
        <v>1.589</v>
      </c>
      <c r="E1163">
        <v>35.881</v>
      </c>
      <c r="F1163">
        <f t="shared" si="73"/>
        <v>23.91837209956272</v>
      </c>
      <c r="G1163">
        <f t="shared" si="72"/>
        <v>1</v>
      </c>
      <c r="H1163" t="s">
        <v>1399</v>
      </c>
      <c r="I1163">
        <v>106.985</v>
      </c>
      <c r="J1163" t="s">
        <v>996</v>
      </c>
      <c r="K1163" s="24">
        <v>155</v>
      </c>
      <c r="L1163" s="24">
        <v>81</v>
      </c>
      <c r="M1163">
        <v>154</v>
      </c>
      <c r="N1163" t="s">
        <v>1433</v>
      </c>
      <c r="O1163">
        <v>87</v>
      </c>
      <c r="P1163">
        <v>124</v>
      </c>
      <c r="Q1163" t="s">
        <v>24</v>
      </c>
      <c r="R1163" t="s">
        <v>25</v>
      </c>
      <c r="S1163" t="s">
        <v>30</v>
      </c>
      <c r="T1163" t="s">
        <v>24</v>
      </c>
      <c r="U1163">
        <f t="shared" si="74"/>
        <v>1</v>
      </c>
      <c r="W1163">
        <v>0.67300000000000004</v>
      </c>
      <c r="X1163" t="s">
        <v>1409</v>
      </c>
      <c r="Y1163">
        <v>155</v>
      </c>
      <c r="Z1163">
        <v>81</v>
      </c>
      <c r="AA1163" t="s">
        <v>31</v>
      </c>
      <c r="AB1163">
        <v>37</v>
      </c>
      <c r="AC1163" s="23">
        <v>0.43</v>
      </c>
      <c r="AD1163" t="str">
        <f>IF(AND('CVD Dataset'!AA1163="Normal",'CVD Dataset'!AB1163&gt;AVERAGE('CVD Dataset'!AB:AB),'CVD Dataset'!AF1163="High"),"High Lipid Category","Normal Category")</f>
        <v>Normal Category</v>
      </c>
      <c r="AE1163">
        <v>20.006</v>
      </c>
      <c r="AF1163" t="s">
        <v>28</v>
      </c>
      <c r="AG1163">
        <v>0</v>
      </c>
      <c r="AH1163" t="s">
        <v>1380</v>
      </c>
      <c r="AI1163">
        <f t="shared" si="75"/>
        <v>0</v>
      </c>
      <c r="AJ1163" t="s">
        <v>1391</v>
      </c>
    </row>
    <row r="1164" spans="1:36" x14ac:dyDescent="0.3">
      <c r="A1164" t="s">
        <v>22</v>
      </c>
      <c r="B1164">
        <v>59</v>
      </c>
      <c r="C1164">
        <v>86.528999999999996</v>
      </c>
      <c r="D1164">
        <v>1.8140000000000001</v>
      </c>
      <c r="E1164">
        <v>27.254000000000001</v>
      </c>
      <c r="F1164">
        <f t="shared" si="73"/>
        <v>26.295844278665623</v>
      </c>
      <c r="G1164">
        <f t="shared" si="72"/>
        <v>1</v>
      </c>
      <c r="H1164" t="s">
        <v>1400</v>
      </c>
      <c r="I1164">
        <v>110.922</v>
      </c>
      <c r="J1164" t="s">
        <v>997</v>
      </c>
      <c r="K1164" s="24">
        <v>151</v>
      </c>
      <c r="L1164" s="24">
        <v>90</v>
      </c>
      <c r="M1164">
        <v>287</v>
      </c>
      <c r="N1164" t="s">
        <v>1432</v>
      </c>
      <c r="O1164">
        <v>37</v>
      </c>
      <c r="Q1164" t="s">
        <v>25</v>
      </c>
      <c r="R1164" t="s">
        <v>24</v>
      </c>
      <c r="S1164" t="s">
        <v>30</v>
      </c>
      <c r="T1164" t="s">
        <v>24</v>
      </c>
      <c r="U1164">
        <f t="shared" si="74"/>
        <v>1</v>
      </c>
      <c r="V1164">
        <v>181.41900000000001</v>
      </c>
      <c r="W1164">
        <v>0.61099999999999999</v>
      </c>
      <c r="X1164" t="s">
        <v>1409</v>
      </c>
      <c r="Y1164">
        <v>151</v>
      </c>
      <c r="Z1164">
        <v>90</v>
      </c>
      <c r="AA1164" t="s">
        <v>40</v>
      </c>
      <c r="AB1164">
        <v>220</v>
      </c>
      <c r="AC1164" s="23">
        <v>5.95</v>
      </c>
      <c r="AD1164" t="str">
        <f>IF(AND('CVD Dataset'!AA1164="Normal",'CVD Dataset'!AB1164&gt;AVERAGE('CVD Dataset'!AB:AB),'CVD Dataset'!AF1164="High"),"High Lipid Category","Normal Category")</f>
        <v>Normal Category</v>
      </c>
      <c r="AE1164">
        <v>18.741</v>
      </c>
      <c r="AF1164" t="s">
        <v>54</v>
      </c>
      <c r="AG1164">
        <v>0</v>
      </c>
      <c r="AH1164" t="s">
        <v>1380</v>
      </c>
      <c r="AI1164">
        <f t="shared" si="75"/>
        <v>0</v>
      </c>
      <c r="AJ1164" t="s">
        <v>1391</v>
      </c>
    </row>
    <row r="1165" spans="1:36" x14ac:dyDescent="0.3">
      <c r="A1165" t="s">
        <v>33</v>
      </c>
      <c r="B1165">
        <v>48</v>
      </c>
      <c r="C1165">
        <v>56.454000000000001</v>
      </c>
      <c r="D1165">
        <v>1.9319999999999999</v>
      </c>
      <c r="E1165">
        <v>18.731000000000002</v>
      </c>
      <c r="F1165">
        <f t="shared" si="73"/>
        <v>15.124480794208043</v>
      </c>
      <c r="G1165">
        <f t="shared" si="72"/>
        <v>1</v>
      </c>
      <c r="H1165" t="s">
        <v>1398</v>
      </c>
      <c r="J1165" t="s">
        <v>998</v>
      </c>
      <c r="K1165" s="24">
        <v>173</v>
      </c>
      <c r="L1165" s="24">
        <v>109</v>
      </c>
      <c r="M1165">
        <v>278</v>
      </c>
      <c r="N1165" t="s">
        <v>1432</v>
      </c>
      <c r="O1165">
        <v>39</v>
      </c>
      <c r="Q1165" t="s">
        <v>25</v>
      </c>
      <c r="R1165" t="s">
        <v>24</v>
      </c>
      <c r="S1165" t="s">
        <v>39</v>
      </c>
      <c r="T1165" t="s">
        <v>25</v>
      </c>
      <c r="U1165">
        <f t="shared" si="74"/>
        <v>2</v>
      </c>
      <c r="V1165">
        <v>193.20500000000001</v>
      </c>
      <c r="W1165">
        <v>0.376</v>
      </c>
      <c r="X1165" t="s">
        <v>1408</v>
      </c>
      <c r="Y1165">
        <v>173</v>
      </c>
      <c r="Z1165">
        <v>109</v>
      </c>
      <c r="AA1165" t="s">
        <v>40</v>
      </c>
      <c r="AC1165" s="23">
        <v>0</v>
      </c>
      <c r="AD1165" t="str">
        <f>IF(AND('CVD Dataset'!AA1165="Normal",'CVD Dataset'!AB1165&gt;AVERAGE('CVD Dataset'!AB:AB),'CVD Dataset'!AF1165="High"),"High Lipid Category","Normal Category")</f>
        <v>Normal Category</v>
      </c>
      <c r="AE1165">
        <v>17.956</v>
      </c>
      <c r="AF1165" t="s">
        <v>28</v>
      </c>
      <c r="AG1165">
        <v>0</v>
      </c>
      <c r="AH1165" t="s">
        <v>1380</v>
      </c>
      <c r="AI1165">
        <f t="shared" si="75"/>
        <v>0</v>
      </c>
      <c r="AJ1165" t="s">
        <v>1391</v>
      </c>
    </row>
    <row r="1166" spans="1:36" x14ac:dyDescent="0.3">
      <c r="A1166" t="s">
        <v>33</v>
      </c>
      <c r="B1166">
        <v>25</v>
      </c>
      <c r="C1166">
        <v>114.988</v>
      </c>
      <c r="D1166">
        <v>1.978</v>
      </c>
      <c r="E1166">
        <v>25.492000000000001</v>
      </c>
      <c r="F1166">
        <f t="shared" si="73"/>
        <v>29.390024342591559</v>
      </c>
      <c r="G1166">
        <f t="shared" si="72"/>
        <v>1</v>
      </c>
      <c r="H1166" t="s">
        <v>1400</v>
      </c>
      <c r="I1166">
        <v>119.996</v>
      </c>
      <c r="J1166" t="s">
        <v>999</v>
      </c>
      <c r="K1166" s="24">
        <v>136</v>
      </c>
      <c r="L1166" s="24">
        <v>72</v>
      </c>
      <c r="M1166">
        <v>132</v>
      </c>
      <c r="N1166" t="s">
        <v>1434</v>
      </c>
      <c r="O1166">
        <v>67</v>
      </c>
      <c r="P1166">
        <v>148</v>
      </c>
      <c r="Q1166" t="s">
        <v>25</v>
      </c>
      <c r="R1166" t="s">
        <v>24</v>
      </c>
      <c r="S1166" t="s">
        <v>26</v>
      </c>
      <c r="T1166" t="s">
        <v>25</v>
      </c>
      <c r="U1166">
        <f t="shared" si="74"/>
        <v>3</v>
      </c>
      <c r="V1166">
        <v>197.809</v>
      </c>
      <c r="X1166" t="s">
        <v>1410</v>
      </c>
      <c r="Y1166">
        <v>136</v>
      </c>
      <c r="Z1166">
        <v>72</v>
      </c>
      <c r="AA1166" t="s">
        <v>31</v>
      </c>
      <c r="AB1166">
        <v>35</v>
      </c>
      <c r="AC1166" s="23">
        <v>0.52</v>
      </c>
      <c r="AD1166" t="str">
        <f>IF(AND('CVD Dataset'!AA1166="Normal",'CVD Dataset'!AB1166&gt;AVERAGE('CVD Dataset'!AB:AB),'CVD Dataset'!AF1166="High"),"High Lipid Category","Normal Category")</f>
        <v>Normal Category</v>
      </c>
      <c r="AE1166">
        <v>14.538</v>
      </c>
      <c r="AF1166" t="s">
        <v>32</v>
      </c>
      <c r="AG1166">
        <v>1</v>
      </c>
      <c r="AH1166" t="s">
        <v>1379</v>
      </c>
      <c r="AI1166">
        <f t="shared" si="75"/>
        <v>1</v>
      </c>
      <c r="AJ1166" t="s">
        <v>1391</v>
      </c>
    </row>
    <row r="1167" spans="1:36" x14ac:dyDescent="0.3">
      <c r="A1167" t="s">
        <v>33</v>
      </c>
      <c r="B1167">
        <v>67</v>
      </c>
      <c r="C1167">
        <v>103.637</v>
      </c>
      <c r="D1167">
        <v>1.7170000000000001</v>
      </c>
      <c r="E1167">
        <v>34.828000000000003</v>
      </c>
      <c r="F1167">
        <f t="shared" si="73"/>
        <v>35.153959056188597</v>
      </c>
      <c r="G1167">
        <f t="shared" ref="G1167:G1230" si="76">IFERROR(IF(ABS(E1167 - F1167) &lt;= 0.1, 0, 1),"")</f>
        <v>1</v>
      </c>
      <c r="H1167" t="s">
        <v>1399</v>
      </c>
      <c r="I1167">
        <v>99.754999999999995</v>
      </c>
      <c r="J1167" t="s">
        <v>1000</v>
      </c>
      <c r="K1167" s="24">
        <v>128</v>
      </c>
      <c r="L1167" s="24">
        <v>61</v>
      </c>
      <c r="N1167" t="s">
        <v>1434</v>
      </c>
      <c r="O1167">
        <v>42</v>
      </c>
      <c r="P1167">
        <v>175</v>
      </c>
      <c r="Q1167" t="s">
        <v>25</v>
      </c>
      <c r="R1167" t="s">
        <v>25</v>
      </c>
      <c r="S1167" t="s">
        <v>39</v>
      </c>
      <c r="T1167" t="s">
        <v>25</v>
      </c>
      <c r="U1167">
        <f t="shared" si="74"/>
        <v>3</v>
      </c>
      <c r="V1167">
        <v>171.65899999999999</v>
      </c>
      <c r="W1167">
        <v>0.58099999999999996</v>
      </c>
      <c r="X1167" t="s">
        <v>1407</v>
      </c>
      <c r="Y1167">
        <v>128</v>
      </c>
      <c r="Z1167">
        <v>61</v>
      </c>
      <c r="AA1167" t="s">
        <v>27</v>
      </c>
      <c r="AB1167">
        <v>148</v>
      </c>
      <c r="AC1167" s="23">
        <v>3.52</v>
      </c>
      <c r="AD1167" t="str">
        <f>IF(AND('CVD Dataset'!AA1167="Normal",'CVD Dataset'!AB1167&gt;AVERAGE('CVD Dataset'!AB:AB),'CVD Dataset'!AF1167="High"),"High Lipid Category","Normal Category")</f>
        <v>Normal Category</v>
      </c>
      <c r="AE1167">
        <v>19.765999999999998</v>
      </c>
      <c r="AF1167" t="s">
        <v>32</v>
      </c>
      <c r="AG1167">
        <v>0</v>
      </c>
      <c r="AH1167" t="s">
        <v>1379</v>
      </c>
      <c r="AI1167">
        <f t="shared" si="75"/>
        <v>1</v>
      </c>
      <c r="AJ1167" t="s">
        <v>1391</v>
      </c>
    </row>
    <row r="1168" spans="1:36" x14ac:dyDescent="0.3">
      <c r="A1168" t="s">
        <v>22</v>
      </c>
      <c r="B1168">
        <v>29</v>
      </c>
      <c r="C1168">
        <v>115.58199999999999</v>
      </c>
      <c r="D1168">
        <v>1.972</v>
      </c>
      <c r="E1168">
        <v>25.184999999999999</v>
      </c>
      <c r="F1168">
        <f t="shared" si="73"/>
        <v>29.721887356047546</v>
      </c>
      <c r="G1168">
        <f t="shared" si="76"/>
        <v>1</v>
      </c>
      <c r="H1168" t="s">
        <v>1400</v>
      </c>
      <c r="I1168">
        <v>110.35899999999999</v>
      </c>
      <c r="J1168" t="s">
        <v>1001</v>
      </c>
      <c r="K1168" s="24">
        <v>158</v>
      </c>
      <c r="L1168" s="24">
        <v>84</v>
      </c>
      <c r="M1168">
        <v>122</v>
      </c>
      <c r="N1168" t="s">
        <v>1434</v>
      </c>
      <c r="O1168">
        <v>44</v>
      </c>
      <c r="P1168">
        <v>137</v>
      </c>
      <c r="Q1168" t="s">
        <v>25</v>
      </c>
      <c r="R1168" t="s">
        <v>25</v>
      </c>
      <c r="S1168" t="s">
        <v>30</v>
      </c>
      <c r="T1168" t="s">
        <v>25</v>
      </c>
      <c r="U1168">
        <f t="shared" si="74"/>
        <v>3</v>
      </c>
      <c r="V1168">
        <v>197.233</v>
      </c>
      <c r="W1168">
        <v>0.56000000000000005</v>
      </c>
      <c r="X1168" t="s">
        <v>1407</v>
      </c>
      <c r="Z1168">
        <v>84</v>
      </c>
      <c r="AA1168" t="s">
        <v>31</v>
      </c>
      <c r="AB1168">
        <v>48</v>
      </c>
      <c r="AC1168" s="23">
        <v>1.0900000000000001</v>
      </c>
      <c r="AD1168" t="str">
        <f>IF(AND('CVD Dataset'!AA1168="Normal",'CVD Dataset'!AB1168&gt;AVERAGE('CVD Dataset'!AB:AB),'CVD Dataset'!AF1168="High"),"High Lipid Category","Normal Category")</f>
        <v>Normal Category</v>
      </c>
      <c r="AE1168">
        <v>17.376999999999999</v>
      </c>
      <c r="AF1168" t="s">
        <v>28</v>
      </c>
      <c r="AG1168">
        <v>0</v>
      </c>
      <c r="AH1168" t="s">
        <v>1380</v>
      </c>
      <c r="AI1168">
        <f t="shared" si="75"/>
        <v>0</v>
      </c>
      <c r="AJ1168" t="s">
        <v>1391</v>
      </c>
    </row>
    <row r="1169" spans="1:36" x14ac:dyDescent="0.3">
      <c r="A1169" t="s">
        <v>22</v>
      </c>
      <c r="C1169">
        <v>102.002</v>
      </c>
      <c r="D1169">
        <v>1.9470000000000001</v>
      </c>
      <c r="E1169">
        <v>31.382999999999999</v>
      </c>
      <c r="F1169">
        <f t="shared" si="73"/>
        <v>26.907712839132753</v>
      </c>
      <c r="G1169">
        <f t="shared" si="76"/>
        <v>1</v>
      </c>
      <c r="H1169" t="s">
        <v>1399</v>
      </c>
      <c r="I1169">
        <v>110.059</v>
      </c>
      <c r="J1169" t="s">
        <v>1002</v>
      </c>
      <c r="K1169" s="24">
        <v>136</v>
      </c>
      <c r="L1169" s="24">
        <v>112</v>
      </c>
      <c r="M1169">
        <v>161</v>
      </c>
      <c r="N1169" t="s">
        <v>1433</v>
      </c>
      <c r="O1169">
        <v>76</v>
      </c>
      <c r="P1169">
        <v>100</v>
      </c>
      <c r="Q1169" t="s">
        <v>24</v>
      </c>
      <c r="R1169" t="s">
        <v>24</v>
      </c>
      <c r="S1169" t="s">
        <v>26</v>
      </c>
      <c r="T1169" t="s">
        <v>25</v>
      </c>
      <c r="U1169">
        <f t="shared" si="74"/>
        <v>2</v>
      </c>
      <c r="V1169">
        <v>194.733</v>
      </c>
      <c r="W1169">
        <v>0.56499999999999995</v>
      </c>
      <c r="X1169" t="s">
        <v>1407</v>
      </c>
      <c r="Y1169">
        <v>136</v>
      </c>
      <c r="Z1169">
        <v>112</v>
      </c>
      <c r="AA1169" t="s">
        <v>31</v>
      </c>
      <c r="AB1169">
        <v>55</v>
      </c>
      <c r="AC1169" s="23">
        <v>0.72</v>
      </c>
      <c r="AD1169" t="str">
        <f>IF(AND('CVD Dataset'!AA1169="Normal",'CVD Dataset'!AB1169&gt;AVERAGE('CVD Dataset'!AB:AB),'CVD Dataset'!AF1169="High"),"High Lipid Category","Normal Category")</f>
        <v>Normal Category</v>
      </c>
      <c r="AE1169">
        <v>16.297000000000001</v>
      </c>
      <c r="AF1169" t="s">
        <v>28</v>
      </c>
      <c r="AG1169">
        <v>0</v>
      </c>
      <c r="AH1169" t="s">
        <v>1380</v>
      </c>
      <c r="AI1169">
        <f t="shared" si="75"/>
        <v>0</v>
      </c>
      <c r="AJ1169" t="s">
        <v>1391</v>
      </c>
    </row>
    <row r="1170" spans="1:36" x14ac:dyDescent="0.3">
      <c r="A1170" t="s">
        <v>33</v>
      </c>
      <c r="B1170">
        <v>66</v>
      </c>
      <c r="C1170">
        <v>101.774</v>
      </c>
      <c r="D1170">
        <v>1.5760000000000001</v>
      </c>
      <c r="E1170">
        <v>24.568000000000001</v>
      </c>
      <c r="F1170">
        <f t="shared" si="73"/>
        <v>40.975514700198403</v>
      </c>
      <c r="G1170">
        <f t="shared" si="76"/>
        <v>1</v>
      </c>
      <c r="H1170" t="s">
        <v>1398</v>
      </c>
      <c r="I1170">
        <v>88.424999999999997</v>
      </c>
      <c r="J1170" t="s">
        <v>1003</v>
      </c>
      <c r="K1170" s="24">
        <v>95</v>
      </c>
      <c r="L1170" s="24">
        <v>105</v>
      </c>
      <c r="M1170">
        <v>254</v>
      </c>
      <c r="N1170" t="s">
        <v>1432</v>
      </c>
      <c r="O1170">
        <v>58</v>
      </c>
      <c r="P1170">
        <v>150</v>
      </c>
      <c r="Q1170" t="s">
        <v>24</v>
      </c>
      <c r="R1170" t="s">
        <v>25</v>
      </c>
      <c r="S1170" t="s">
        <v>39</v>
      </c>
      <c r="T1170" t="s">
        <v>25</v>
      </c>
      <c r="U1170">
        <f t="shared" si="74"/>
        <v>2</v>
      </c>
      <c r="V1170">
        <v>157.6</v>
      </c>
      <c r="W1170">
        <v>0.56100000000000005</v>
      </c>
      <c r="X1170" t="s">
        <v>1407</v>
      </c>
      <c r="Y1170">
        <v>95</v>
      </c>
      <c r="Z1170">
        <v>105</v>
      </c>
      <c r="AA1170" t="s">
        <v>40</v>
      </c>
      <c r="AB1170">
        <v>166</v>
      </c>
      <c r="AC1170" s="23">
        <v>2.86</v>
      </c>
      <c r="AD1170" t="str">
        <f>IF(AND('CVD Dataset'!AA1170="Normal",'CVD Dataset'!AB1170&gt;AVERAGE('CVD Dataset'!AB:AB),'CVD Dataset'!AF1170="High"),"High Lipid Category","Normal Category")</f>
        <v>Normal Category</v>
      </c>
      <c r="AE1170">
        <v>16.744</v>
      </c>
      <c r="AF1170" t="s">
        <v>28</v>
      </c>
      <c r="AG1170">
        <v>0</v>
      </c>
      <c r="AH1170" t="s">
        <v>1380</v>
      </c>
      <c r="AI1170">
        <f t="shared" si="75"/>
        <v>0</v>
      </c>
      <c r="AJ1170" t="s">
        <v>1392</v>
      </c>
    </row>
    <row r="1171" spans="1:36" x14ac:dyDescent="0.3">
      <c r="A1171" t="s">
        <v>22</v>
      </c>
      <c r="B1171">
        <v>79</v>
      </c>
      <c r="C1171">
        <v>105.30200000000001</v>
      </c>
      <c r="D1171">
        <v>1.5429999999999999</v>
      </c>
      <c r="E1171">
        <v>34.625</v>
      </c>
      <c r="F1171">
        <f t="shared" si="73"/>
        <v>44.228760412777127</v>
      </c>
      <c r="G1171">
        <f t="shared" si="76"/>
        <v>1</v>
      </c>
      <c r="H1171" t="s">
        <v>1399</v>
      </c>
      <c r="I1171">
        <v>113.675</v>
      </c>
      <c r="J1171" t="s">
        <v>1004</v>
      </c>
      <c r="K1171" s="24">
        <v>141</v>
      </c>
      <c r="L1171" s="24">
        <v>87</v>
      </c>
      <c r="M1171">
        <v>272</v>
      </c>
      <c r="N1171" t="s">
        <v>1432</v>
      </c>
      <c r="O1171">
        <v>55</v>
      </c>
      <c r="P1171">
        <v>117</v>
      </c>
      <c r="Q1171" t="s">
        <v>24</v>
      </c>
      <c r="R1171" t="s">
        <v>24</v>
      </c>
      <c r="S1171" t="s">
        <v>39</v>
      </c>
      <c r="T1171" t="s">
        <v>24</v>
      </c>
      <c r="U1171">
        <f t="shared" si="74"/>
        <v>0</v>
      </c>
      <c r="V1171">
        <v>154.33099999999999</v>
      </c>
      <c r="W1171">
        <v>0.73699999999999999</v>
      </c>
      <c r="X1171" t="s">
        <v>1409</v>
      </c>
      <c r="Y1171">
        <v>141</v>
      </c>
      <c r="Z1171">
        <v>87</v>
      </c>
      <c r="AA1171" t="s">
        <v>31</v>
      </c>
      <c r="AC1171" s="23">
        <v>0</v>
      </c>
      <c r="AD1171" t="str">
        <f>IF(AND('CVD Dataset'!AA1171="Normal",'CVD Dataset'!AB1171&gt;AVERAGE('CVD Dataset'!AB:AB),'CVD Dataset'!AF1171="High"),"High Lipid Category","Normal Category")</f>
        <v>Normal Category</v>
      </c>
      <c r="AE1171">
        <v>19.414999999999999</v>
      </c>
      <c r="AF1171" t="s">
        <v>28</v>
      </c>
      <c r="AG1171">
        <v>0</v>
      </c>
      <c r="AH1171" t="s">
        <v>1380</v>
      </c>
      <c r="AI1171">
        <f t="shared" si="75"/>
        <v>0</v>
      </c>
      <c r="AJ1171" t="s">
        <v>1391</v>
      </c>
    </row>
    <row r="1172" spans="1:36" x14ac:dyDescent="0.3">
      <c r="A1172" t="s">
        <v>33</v>
      </c>
      <c r="B1172">
        <v>42</v>
      </c>
      <c r="C1172">
        <v>100.479</v>
      </c>
      <c r="D1172">
        <v>1.9690000000000001</v>
      </c>
      <c r="E1172">
        <v>33.57</v>
      </c>
      <c r="F1172">
        <f t="shared" si="73"/>
        <v>25.916948867940633</v>
      </c>
      <c r="G1172">
        <f t="shared" si="76"/>
        <v>1</v>
      </c>
      <c r="H1172" t="s">
        <v>1399</v>
      </c>
      <c r="I1172">
        <v>85.733999999999995</v>
      </c>
      <c r="J1172" t="s">
        <v>1005</v>
      </c>
      <c r="K1172" s="24">
        <v>103</v>
      </c>
      <c r="L1172" s="24">
        <v>119</v>
      </c>
      <c r="M1172">
        <v>293</v>
      </c>
      <c r="N1172" t="s">
        <v>1432</v>
      </c>
      <c r="O1172">
        <v>89</v>
      </c>
      <c r="P1172">
        <v>95</v>
      </c>
      <c r="Q1172" t="s">
        <v>25</v>
      </c>
      <c r="R1172" t="s">
        <v>25</v>
      </c>
      <c r="S1172" t="s">
        <v>30</v>
      </c>
      <c r="T1172" t="s">
        <v>25</v>
      </c>
      <c r="U1172">
        <f t="shared" si="74"/>
        <v>3</v>
      </c>
      <c r="V1172">
        <v>196.88</v>
      </c>
      <c r="W1172">
        <v>0.435</v>
      </c>
      <c r="X1172" t="s">
        <v>1408</v>
      </c>
      <c r="Y1172">
        <v>103</v>
      </c>
      <c r="Z1172">
        <v>119</v>
      </c>
      <c r="AA1172" t="s">
        <v>40</v>
      </c>
      <c r="AB1172">
        <v>174</v>
      </c>
      <c r="AC1172" s="23">
        <v>1.96</v>
      </c>
      <c r="AD1172" t="str">
        <f>IF(AND('CVD Dataset'!AA1172="Normal",'CVD Dataset'!AB1172&gt;AVERAGE('CVD Dataset'!AB:AB),'CVD Dataset'!AF1172="High"),"High Lipid Category","Normal Category")</f>
        <v>Normal Category</v>
      </c>
      <c r="AE1172">
        <v>19.724</v>
      </c>
      <c r="AF1172" t="s">
        <v>28</v>
      </c>
      <c r="AG1172">
        <v>0</v>
      </c>
      <c r="AH1172" t="s">
        <v>1380</v>
      </c>
      <c r="AI1172">
        <f t="shared" si="75"/>
        <v>0</v>
      </c>
      <c r="AJ1172" t="s">
        <v>1391</v>
      </c>
    </row>
    <row r="1173" spans="1:36" x14ac:dyDescent="0.3">
      <c r="A1173" t="s">
        <v>33</v>
      </c>
      <c r="B1173">
        <v>43</v>
      </c>
      <c r="C1173">
        <v>57.829000000000001</v>
      </c>
      <c r="D1173">
        <v>1.526</v>
      </c>
      <c r="E1173">
        <v>19.004999999999999</v>
      </c>
      <c r="F1173">
        <f t="shared" si="73"/>
        <v>24.833424658475458</v>
      </c>
      <c r="G1173">
        <f t="shared" si="76"/>
        <v>1</v>
      </c>
      <c r="H1173" t="s">
        <v>1398</v>
      </c>
      <c r="I1173">
        <v>90.872</v>
      </c>
      <c r="J1173" t="s">
        <v>1006</v>
      </c>
      <c r="K1173" s="24">
        <v>177</v>
      </c>
      <c r="L1173" s="24">
        <v>72</v>
      </c>
      <c r="M1173">
        <v>163</v>
      </c>
      <c r="N1173" t="s">
        <v>1433</v>
      </c>
      <c r="O1173">
        <v>59</v>
      </c>
      <c r="P1173">
        <v>95</v>
      </c>
      <c r="Q1173" t="s">
        <v>24</v>
      </c>
      <c r="R1173" t="s">
        <v>25</v>
      </c>
      <c r="S1173" t="s">
        <v>30</v>
      </c>
      <c r="T1173" t="s">
        <v>25</v>
      </c>
      <c r="U1173">
        <f t="shared" si="74"/>
        <v>2</v>
      </c>
      <c r="V1173">
        <v>152.624</v>
      </c>
      <c r="W1173">
        <v>0.59499999999999997</v>
      </c>
      <c r="X1173" t="s">
        <v>1409</v>
      </c>
      <c r="Y1173">
        <v>177</v>
      </c>
      <c r="Z1173">
        <v>72</v>
      </c>
      <c r="AA1173" t="s">
        <v>40</v>
      </c>
      <c r="AB1173">
        <v>74</v>
      </c>
      <c r="AC1173" s="23">
        <v>1.25</v>
      </c>
      <c r="AD1173" t="str">
        <f>IF(AND('CVD Dataset'!AA1173="Normal",'CVD Dataset'!AB1173&gt;AVERAGE('CVD Dataset'!AB:AB),'CVD Dataset'!AF1173="High"),"High Lipid Category","Normal Category")</f>
        <v>Normal Category</v>
      </c>
      <c r="AE1173">
        <v>17.911000000000001</v>
      </c>
      <c r="AF1173" t="s">
        <v>54</v>
      </c>
      <c r="AG1173">
        <v>0</v>
      </c>
      <c r="AH1173" t="s">
        <v>1380</v>
      </c>
      <c r="AI1173">
        <f t="shared" si="75"/>
        <v>0</v>
      </c>
      <c r="AJ1173" t="s">
        <v>1391</v>
      </c>
    </row>
    <row r="1174" spans="1:36" x14ac:dyDescent="0.3">
      <c r="A1174" t="s">
        <v>33</v>
      </c>
      <c r="B1174">
        <v>79</v>
      </c>
      <c r="E1174">
        <v>38.81</v>
      </c>
      <c r="F1174" t="str">
        <f t="shared" si="73"/>
        <v/>
      </c>
      <c r="G1174" t="str">
        <f t="shared" si="76"/>
        <v/>
      </c>
      <c r="H1174" t="s">
        <v>1399</v>
      </c>
      <c r="J1174" t="s">
        <v>1007</v>
      </c>
      <c r="K1174" s="24">
        <v>166</v>
      </c>
      <c r="L1174" s="24">
        <v>115</v>
      </c>
      <c r="M1174">
        <v>183</v>
      </c>
      <c r="N1174" t="s">
        <v>1432</v>
      </c>
      <c r="O1174">
        <v>78</v>
      </c>
      <c r="P1174">
        <v>94</v>
      </c>
      <c r="Q1174" t="s">
        <v>24</v>
      </c>
      <c r="R1174" t="s">
        <v>25</v>
      </c>
      <c r="S1174" t="s">
        <v>30</v>
      </c>
      <c r="T1174" t="s">
        <v>25</v>
      </c>
      <c r="U1174">
        <f t="shared" si="74"/>
        <v>2</v>
      </c>
      <c r="V1174">
        <v>150</v>
      </c>
      <c r="W1174">
        <v>0.46700000000000003</v>
      </c>
      <c r="X1174" t="s">
        <v>1406</v>
      </c>
      <c r="Y1174">
        <v>166</v>
      </c>
      <c r="Z1174">
        <v>115</v>
      </c>
      <c r="AA1174" t="s">
        <v>40</v>
      </c>
      <c r="AB1174">
        <v>75</v>
      </c>
      <c r="AC1174" s="23">
        <v>0.96</v>
      </c>
      <c r="AD1174" t="str">
        <f>IF(AND('CVD Dataset'!AA1174="Normal",'CVD Dataset'!AB1174&gt;AVERAGE('CVD Dataset'!AB:AB),'CVD Dataset'!AF1174="High"),"High Lipid Category","Normal Category")</f>
        <v>Normal Category</v>
      </c>
      <c r="AE1174">
        <v>21.722000000000001</v>
      </c>
      <c r="AF1174" t="s">
        <v>32</v>
      </c>
      <c r="AG1174">
        <v>1</v>
      </c>
      <c r="AH1174" t="s">
        <v>1379</v>
      </c>
      <c r="AI1174">
        <f t="shared" si="75"/>
        <v>1</v>
      </c>
      <c r="AJ1174" t="s">
        <v>1392</v>
      </c>
    </row>
    <row r="1175" spans="1:36" x14ac:dyDescent="0.3">
      <c r="A1175" t="s">
        <v>22</v>
      </c>
      <c r="B1175">
        <v>64</v>
      </c>
      <c r="C1175">
        <v>93.953999999999994</v>
      </c>
      <c r="D1175">
        <v>1.587</v>
      </c>
      <c r="E1175">
        <v>31.268999999999998</v>
      </c>
      <c r="F1175">
        <f t="shared" si="73"/>
        <v>37.304516969755447</v>
      </c>
      <c r="G1175">
        <f t="shared" si="76"/>
        <v>1</v>
      </c>
      <c r="H1175" t="s">
        <v>1399</v>
      </c>
      <c r="I1175">
        <v>109.312</v>
      </c>
      <c r="J1175" t="s">
        <v>1008</v>
      </c>
      <c r="K1175" s="24">
        <v>138</v>
      </c>
      <c r="L1175" s="24">
        <v>89</v>
      </c>
      <c r="M1175">
        <v>127</v>
      </c>
      <c r="N1175" t="s">
        <v>1434</v>
      </c>
      <c r="O1175">
        <v>76</v>
      </c>
      <c r="P1175">
        <v>97</v>
      </c>
      <c r="Q1175" t="s">
        <v>24</v>
      </c>
      <c r="R1175" t="s">
        <v>25</v>
      </c>
      <c r="S1175" t="s">
        <v>26</v>
      </c>
      <c r="T1175" t="s">
        <v>24</v>
      </c>
      <c r="U1175">
        <f t="shared" si="74"/>
        <v>2</v>
      </c>
      <c r="V1175">
        <v>158.666</v>
      </c>
      <c r="W1175">
        <v>0.68899999999999995</v>
      </c>
      <c r="X1175" t="s">
        <v>1409</v>
      </c>
      <c r="Y1175">
        <v>138</v>
      </c>
      <c r="Z1175">
        <v>89</v>
      </c>
      <c r="AA1175" t="s">
        <v>31</v>
      </c>
      <c r="AC1175" s="23">
        <v>0</v>
      </c>
      <c r="AD1175" t="str">
        <f>IF(AND('CVD Dataset'!AA1175="Normal",'CVD Dataset'!AB1175&gt;AVERAGE('CVD Dataset'!AB:AB),'CVD Dataset'!AF1175="High"),"High Lipid Category","Normal Category")</f>
        <v>Normal Category</v>
      </c>
      <c r="AE1175">
        <v>17.693999999999999</v>
      </c>
      <c r="AF1175" t="s">
        <v>54</v>
      </c>
      <c r="AG1175">
        <v>0</v>
      </c>
      <c r="AH1175" t="s">
        <v>1380</v>
      </c>
      <c r="AI1175">
        <f t="shared" si="75"/>
        <v>0</v>
      </c>
      <c r="AJ1175" t="s">
        <v>1392</v>
      </c>
    </row>
    <row r="1176" spans="1:36" x14ac:dyDescent="0.3">
      <c r="A1176" t="s">
        <v>33</v>
      </c>
      <c r="B1176">
        <v>33</v>
      </c>
      <c r="C1176">
        <v>69.347999999999999</v>
      </c>
      <c r="D1176">
        <v>1.621</v>
      </c>
      <c r="E1176">
        <v>23.952999999999999</v>
      </c>
      <c r="F1176">
        <f t="shared" si="73"/>
        <v>26.391733117271347</v>
      </c>
      <c r="G1176">
        <f t="shared" si="76"/>
        <v>1</v>
      </c>
      <c r="H1176" t="s">
        <v>1398</v>
      </c>
      <c r="J1176" t="s">
        <v>1009</v>
      </c>
      <c r="K1176" s="24">
        <v>147</v>
      </c>
      <c r="L1176" s="24">
        <v>119</v>
      </c>
      <c r="M1176">
        <v>293</v>
      </c>
      <c r="N1176" t="s">
        <v>1432</v>
      </c>
      <c r="O1176">
        <v>66</v>
      </c>
      <c r="P1176">
        <v>135</v>
      </c>
      <c r="Q1176" t="s">
        <v>24</v>
      </c>
      <c r="R1176" t="s">
        <v>24</v>
      </c>
      <c r="S1176" t="s">
        <v>39</v>
      </c>
      <c r="T1176" t="s">
        <v>25</v>
      </c>
      <c r="U1176">
        <f t="shared" si="74"/>
        <v>1</v>
      </c>
      <c r="V1176">
        <v>162.14500000000001</v>
      </c>
      <c r="W1176">
        <v>0.58799999999999997</v>
      </c>
      <c r="X1176" t="s">
        <v>1409</v>
      </c>
      <c r="Y1176">
        <v>147</v>
      </c>
      <c r="Z1176">
        <v>119</v>
      </c>
      <c r="AA1176" t="s">
        <v>40</v>
      </c>
      <c r="AB1176">
        <v>197</v>
      </c>
      <c r="AC1176" s="23">
        <v>2.98</v>
      </c>
      <c r="AD1176" t="str">
        <f>IF(AND('CVD Dataset'!AA1176="Normal",'CVD Dataset'!AB1176&gt;AVERAGE('CVD Dataset'!AB:AB),'CVD Dataset'!AF1176="High"),"High Lipid Category","Normal Category")</f>
        <v>Normal Category</v>
      </c>
      <c r="AE1176">
        <v>18.001000000000001</v>
      </c>
      <c r="AF1176" t="s">
        <v>32</v>
      </c>
      <c r="AG1176">
        <v>1</v>
      </c>
      <c r="AH1176" t="s">
        <v>1379</v>
      </c>
      <c r="AI1176">
        <f t="shared" si="75"/>
        <v>1</v>
      </c>
      <c r="AJ1176" t="s">
        <v>1391</v>
      </c>
    </row>
    <row r="1177" spans="1:36" x14ac:dyDescent="0.3">
      <c r="A1177" t="s">
        <v>22</v>
      </c>
      <c r="B1177">
        <v>51</v>
      </c>
      <c r="C1177">
        <v>82.313000000000002</v>
      </c>
      <c r="D1177">
        <v>1.518</v>
      </c>
      <c r="E1177">
        <v>35.055</v>
      </c>
      <c r="F1177">
        <f t="shared" si="73"/>
        <v>35.721105191804625</v>
      </c>
      <c r="G1177">
        <f t="shared" si="76"/>
        <v>1</v>
      </c>
      <c r="H1177" t="s">
        <v>1399</v>
      </c>
      <c r="I1177">
        <v>95.308000000000007</v>
      </c>
      <c r="J1177" t="s">
        <v>1010</v>
      </c>
      <c r="K1177" s="24">
        <v>144</v>
      </c>
      <c r="L1177" s="24">
        <v>90</v>
      </c>
      <c r="M1177">
        <v>156</v>
      </c>
      <c r="N1177" t="s">
        <v>1433</v>
      </c>
      <c r="O1177">
        <v>35</v>
      </c>
      <c r="P1177">
        <v>139</v>
      </c>
      <c r="Q1177" t="s">
        <v>24</v>
      </c>
      <c r="R1177" t="s">
        <v>25</v>
      </c>
      <c r="S1177" t="s">
        <v>26</v>
      </c>
      <c r="T1177" t="s">
        <v>25</v>
      </c>
      <c r="U1177">
        <f t="shared" si="74"/>
        <v>3</v>
      </c>
      <c r="V1177">
        <v>151.81100000000001</v>
      </c>
      <c r="W1177">
        <v>0.628</v>
      </c>
      <c r="X1177" t="s">
        <v>1409</v>
      </c>
      <c r="Y1177">
        <v>144</v>
      </c>
      <c r="Z1177">
        <v>90</v>
      </c>
      <c r="AA1177" t="s">
        <v>40</v>
      </c>
      <c r="AB1177">
        <v>91</v>
      </c>
      <c r="AC1177" s="23">
        <v>2.6</v>
      </c>
      <c r="AD1177" t="str">
        <f>IF(AND('CVD Dataset'!AA1177="Normal",'CVD Dataset'!AB1177&gt;AVERAGE('CVD Dataset'!AB:AB),'CVD Dataset'!AF1177="High"),"High Lipid Category","Normal Category")</f>
        <v>Normal Category</v>
      </c>
      <c r="AE1177">
        <v>19.331</v>
      </c>
      <c r="AF1177" t="s">
        <v>32</v>
      </c>
      <c r="AG1177">
        <v>0</v>
      </c>
      <c r="AH1177" t="s">
        <v>1379</v>
      </c>
      <c r="AI1177">
        <f t="shared" si="75"/>
        <v>1</v>
      </c>
      <c r="AJ1177" t="s">
        <v>1392</v>
      </c>
    </row>
    <row r="1178" spans="1:36" x14ac:dyDescent="0.3">
      <c r="A1178" t="s">
        <v>22</v>
      </c>
      <c r="B1178">
        <v>43</v>
      </c>
      <c r="C1178">
        <v>89.83</v>
      </c>
      <c r="D1178">
        <v>1.857</v>
      </c>
      <c r="E1178">
        <v>28.135000000000002</v>
      </c>
      <c r="F1178">
        <f t="shared" si="73"/>
        <v>26.049392060024665</v>
      </c>
      <c r="G1178">
        <f t="shared" si="76"/>
        <v>1</v>
      </c>
      <c r="H1178" t="s">
        <v>1400</v>
      </c>
      <c r="I1178">
        <v>117.79600000000001</v>
      </c>
      <c r="J1178" t="s">
        <v>718</v>
      </c>
      <c r="K1178" s="24">
        <v>110</v>
      </c>
      <c r="L1178" s="24">
        <v>64</v>
      </c>
      <c r="M1178">
        <v>250</v>
      </c>
      <c r="N1178" t="s">
        <v>1432</v>
      </c>
      <c r="O1178">
        <v>33</v>
      </c>
      <c r="P1178">
        <v>92</v>
      </c>
      <c r="Q1178" t="s">
        <v>25</v>
      </c>
      <c r="R1178" t="s">
        <v>25</v>
      </c>
      <c r="S1178" t="s">
        <v>39</v>
      </c>
      <c r="T1178" t="s">
        <v>24</v>
      </c>
      <c r="U1178">
        <f t="shared" si="74"/>
        <v>2</v>
      </c>
      <c r="W1178">
        <v>0.63400000000000001</v>
      </c>
      <c r="X1178" t="s">
        <v>1409</v>
      </c>
      <c r="Y1178">
        <v>110</v>
      </c>
      <c r="Z1178">
        <v>64</v>
      </c>
      <c r="AA1178" t="s">
        <v>35</v>
      </c>
      <c r="AB1178">
        <v>187</v>
      </c>
      <c r="AC1178" s="23">
        <v>5.67</v>
      </c>
      <c r="AD1178" t="str">
        <f>IF(AND('CVD Dataset'!AA1178="Normal",'CVD Dataset'!AB1178&gt;AVERAGE('CVD Dataset'!AB:AB),'CVD Dataset'!AF1178="High"),"High Lipid Category","Normal Category")</f>
        <v>Normal Category</v>
      </c>
      <c r="AE1178">
        <v>18.126999999999999</v>
      </c>
      <c r="AF1178" t="s">
        <v>28</v>
      </c>
      <c r="AG1178">
        <v>0</v>
      </c>
      <c r="AH1178" t="s">
        <v>1380</v>
      </c>
      <c r="AI1178">
        <f t="shared" si="75"/>
        <v>0</v>
      </c>
      <c r="AJ1178" t="s">
        <v>1391</v>
      </c>
    </row>
    <row r="1179" spans="1:36" x14ac:dyDescent="0.3">
      <c r="A1179" t="s">
        <v>22</v>
      </c>
      <c r="B1179">
        <v>54</v>
      </c>
      <c r="C1179">
        <v>83.558000000000007</v>
      </c>
      <c r="D1179">
        <v>1.784</v>
      </c>
      <c r="E1179">
        <v>26.809000000000001</v>
      </c>
      <c r="F1179">
        <f t="shared" si="73"/>
        <v>26.254172615576426</v>
      </c>
      <c r="G1179">
        <f t="shared" si="76"/>
        <v>1</v>
      </c>
      <c r="H1179" t="s">
        <v>1400</v>
      </c>
      <c r="I1179">
        <v>103.006</v>
      </c>
      <c r="J1179" t="s">
        <v>1011</v>
      </c>
      <c r="K1179" s="24">
        <v>168</v>
      </c>
      <c r="L1179" s="24">
        <v>110</v>
      </c>
      <c r="M1179">
        <v>137</v>
      </c>
      <c r="N1179" t="s">
        <v>1434</v>
      </c>
      <c r="O1179">
        <v>72</v>
      </c>
      <c r="P1179">
        <v>147</v>
      </c>
      <c r="Q1179" t="s">
        <v>25</v>
      </c>
      <c r="R1179" t="s">
        <v>25</v>
      </c>
      <c r="S1179" t="s">
        <v>30</v>
      </c>
      <c r="T1179" t="s">
        <v>25</v>
      </c>
      <c r="U1179">
        <f t="shared" si="74"/>
        <v>3</v>
      </c>
      <c r="V1179">
        <v>178.36500000000001</v>
      </c>
      <c r="W1179">
        <v>0.57799999999999996</v>
      </c>
      <c r="X1179" t="s">
        <v>1407</v>
      </c>
      <c r="Y1179">
        <v>168</v>
      </c>
      <c r="Z1179">
        <v>110</v>
      </c>
      <c r="AA1179" t="s">
        <v>40</v>
      </c>
      <c r="AB1179">
        <v>35</v>
      </c>
      <c r="AC1179" s="23">
        <v>0.49</v>
      </c>
      <c r="AD1179" t="str">
        <f>IF(AND('CVD Dataset'!AA1179="Normal",'CVD Dataset'!AB1179&gt;AVERAGE('CVD Dataset'!AB:AB),'CVD Dataset'!AF1179="High"),"High Lipid Category","Normal Category")</f>
        <v>Normal Category</v>
      </c>
      <c r="AE1179">
        <v>18.501999999999999</v>
      </c>
      <c r="AF1179" t="s">
        <v>32</v>
      </c>
      <c r="AG1179">
        <v>1</v>
      </c>
      <c r="AH1179" t="s">
        <v>1379</v>
      </c>
      <c r="AI1179">
        <f t="shared" si="75"/>
        <v>1</v>
      </c>
      <c r="AJ1179" t="s">
        <v>1392</v>
      </c>
    </row>
    <row r="1180" spans="1:36" x14ac:dyDescent="0.3">
      <c r="A1180" t="s">
        <v>33</v>
      </c>
      <c r="B1180">
        <v>49</v>
      </c>
      <c r="C1180">
        <v>70.563000000000002</v>
      </c>
      <c r="D1180">
        <v>1.901</v>
      </c>
      <c r="E1180">
        <v>31.814</v>
      </c>
      <c r="F1180">
        <f t="shared" si="73"/>
        <v>19.525978325867971</v>
      </c>
      <c r="G1180">
        <f t="shared" si="76"/>
        <v>1</v>
      </c>
      <c r="H1180" t="s">
        <v>1399</v>
      </c>
      <c r="I1180">
        <v>102.616</v>
      </c>
      <c r="J1180" t="s">
        <v>1012</v>
      </c>
      <c r="K1180" s="24">
        <v>123</v>
      </c>
      <c r="L1180" s="24">
        <v>91</v>
      </c>
      <c r="M1180">
        <v>197</v>
      </c>
      <c r="N1180" t="s">
        <v>1432</v>
      </c>
      <c r="O1180">
        <v>68</v>
      </c>
      <c r="Q1180" t="s">
        <v>25</v>
      </c>
      <c r="R1180" t="s">
        <v>24</v>
      </c>
      <c r="S1180" t="s">
        <v>30</v>
      </c>
      <c r="T1180" t="s">
        <v>24</v>
      </c>
      <c r="U1180">
        <f t="shared" si="74"/>
        <v>1</v>
      </c>
      <c r="V1180">
        <v>190.14400000000001</v>
      </c>
      <c r="W1180">
        <v>0.54</v>
      </c>
      <c r="X1180" t="s">
        <v>1407</v>
      </c>
      <c r="Y1180">
        <v>123</v>
      </c>
      <c r="Z1180">
        <v>91</v>
      </c>
      <c r="AA1180" t="s">
        <v>40</v>
      </c>
      <c r="AB1180">
        <v>99</v>
      </c>
      <c r="AC1180" s="23">
        <v>1.46</v>
      </c>
      <c r="AD1180" t="str">
        <f>IF(AND('CVD Dataset'!AA1180="Normal",'CVD Dataset'!AB1180&gt;AVERAGE('CVD Dataset'!AB:AB),'CVD Dataset'!AF1180="High"),"High Lipid Category","Normal Category")</f>
        <v>Normal Category</v>
      </c>
      <c r="AE1180">
        <v>16.452999999999999</v>
      </c>
      <c r="AF1180" t="s">
        <v>54</v>
      </c>
      <c r="AG1180">
        <v>0</v>
      </c>
      <c r="AH1180" t="s">
        <v>1380</v>
      </c>
      <c r="AI1180">
        <f t="shared" si="75"/>
        <v>0</v>
      </c>
      <c r="AJ1180" t="s">
        <v>1391</v>
      </c>
    </row>
    <row r="1181" spans="1:36" x14ac:dyDescent="0.3">
      <c r="A1181" t="s">
        <v>22</v>
      </c>
      <c r="B1181">
        <v>72</v>
      </c>
      <c r="C1181">
        <v>92.602000000000004</v>
      </c>
      <c r="D1181">
        <v>1.9359999999999999</v>
      </c>
      <c r="E1181">
        <v>31.960999999999999</v>
      </c>
      <c r="F1181">
        <f t="shared" si="73"/>
        <v>24.706410935045422</v>
      </c>
      <c r="G1181">
        <f t="shared" si="76"/>
        <v>1</v>
      </c>
      <c r="H1181" t="s">
        <v>1399</v>
      </c>
      <c r="I1181">
        <v>108.304</v>
      </c>
      <c r="J1181" t="s">
        <v>1013</v>
      </c>
      <c r="K1181" s="24">
        <v>91</v>
      </c>
      <c r="L1181" s="24">
        <v>105</v>
      </c>
      <c r="M1181">
        <v>298</v>
      </c>
      <c r="N1181" t="s">
        <v>1432</v>
      </c>
      <c r="O1181">
        <v>69</v>
      </c>
      <c r="P1181">
        <v>107</v>
      </c>
      <c r="Q1181" t="s">
        <v>24</v>
      </c>
      <c r="R1181" t="s">
        <v>24</v>
      </c>
      <c r="S1181" t="s">
        <v>39</v>
      </c>
      <c r="T1181" t="s">
        <v>24</v>
      </c>
      <c r="U1181">
        <f t="shared" si="74"/>
        <v>0</v>
      </c>
      <c r="V1181">
        <v>193.59100000000001</v>
      </c>
      <c r="W1181">
        <v>0.55900000000000005</v>
      </c>
      <c r="X1181" t="s">
        <v>1407</v>
      </c>
      <c r="Y1181">
        <v>91</v>
      </c>
      <c r="Z1181">
        <v>105</v>
      </c>
      <c r="AA1181" t="s">
        <v>40</v>
      </c>
      <c r="AB1181">
        <v>199</v>
      </c>
      <c r="AC1181" s="23">
        <v>2.88</v>
      </c>
      <c r="AD1181" t="str">
        <f>IF(AND('CVD Dataset'!AA1181="Normal",'CVD Dataset'!AB1181&gt;AVERAGE('CVD Dataset'!AB:AB),'CVD Dataset'!AF1181="High"),"High Lipid Category","Normal Category")</f>
        <v>Normal Category</v>
      </c>
      <c r="AE1181">
        <v>16.902000000000001</v>
      </c>
      <c r="AF1181" t="s">
        <v>28</v>
      </c>
      <c r="AG1181">
        <v>0</v>
      </c>
      <c r="AH1181" t="s">
        <v>1380</v>
      </c>
      <c r="AI1181">
        <f t="shared" si="75"/>
        <v>0</v>
      </c>
      <c r="AJ1181" t="s">
        <v>1391</v>
      </c>
    </row>
    <row r="1182" spans="1:36" x14ac:dyDescent="0.3">
      <c r="A1182" t="s">
        <v>33</v>
      </c>
      <c r="B1182">
        <v>39</v>
      </c>
      <c r="C1182">
        <v>88.135000000000005</v>
      </c>
      <c r="D1182">
        <v>1.984</v>
      </c>
      <c r="E1182">
        <v>37.984000000000002</v>
      </c>
      <c r="F1182">
        <f t="shared" si="73"/>
        <v>22.390566060744021</v>
      </c>
      <c r="G1182">
        <f t="shared" si="76"/>
        <v>1</v>
      </c>
      <c r="H1182" t="s">
        <v>1399</v>
      </c>
      <c r="I1182">
        <v>92.120999999999995</v>
      </c>
      <c r="J1182" t="s">
        <v>1014</v>
      </c>
      <c r="K1182" s="24">
        <v>154</v>
      </c>
      <c r="L1182" s="24">
        <v>71</v>
      </c>
      <c r="N1182" t="s">
        <v>1434</v>
      </c>
      <c r="O1182">
        <v>72</v>
      </c>
      <c r="P1182">
        <v>195</v>
      </c>
      <c r="Q1182" t="s">
        <v>25</v>
      </c>
      <c r="R1182" t="s">
        <v>24</v>
      </c>
      <c r="S1182" t="s">
        <v>26</v>
      </c>
      <c r="T1182" t="s">
        <v>24</v>
      </c>
      <c r="U1182">
        <f t="shared" si="74"/>
        <v>2</v>
      </c>
      <c r="V1182">
        <v>198.43</v>
      </c>
      <c r="W1182">
        <v>0.46400000000000002</v>
      </c>
      <c r="X1182" t="s">
        <v>1406</v>
      </c>
      <c r="Y1182">
        <v>154</v>
      </c>
      <c r="Z1182">
        <v>71</v>
      </c>
      <c r="AA1182" t="s">
        <v>40</v>
      </c>
      <c r="AB1182">
        <v>60</v>
      </c>
      <c r="AC1182" s="23">
        <v>0.83</v>
      </c>
      <c r="AD1182" t="str">
        <f>IF(AND('CVD Dataset'!AA1182="Normal",'CVD Dataset'!AB1182&gt;AVERAGE('CVD Dataset'!AB:AB),'CVD Dataset'!AF1182="High"),"High Lipid Category","Normal Category")</f>
        <v>Normal Category</v>
      </c>
      <c r="AE1182">
        <v>18.536999999999999</v>
      </c>
      <c r="AF1182" t="s">
        <v>54</v>
      </c>
      <c r="AG1182">
        <v>0</v>
      </c>
      <c r="AH1182" t="s">
        <v>1380</v>
      </c>
      <c r="AI1182">
        <f t="shared" si="75"/>
        <v>0</v>
      </c>
      <c r="AJ1182" t="s">
        <v>1391</v>
      </c>
    </row>
    <row r="1183" spans="1:36" x14ac:dyDescent="0.3">
      <c r="A1183" t="s">
        <v>33</v>
      </c>
      <c r="B1183">
        <v>32</v>
      </c>
      <c r="C1183">
        <v>97.001999999999995</v>
      </c>
      <c r="D1183">
        <v>1.6419999999999999</v>
      </c>
      <c r="E1183">
        <v>25.102</v>
      </c>
      <c r="F1183">
        <f t="shared" si="73"/>
        <v>35.977781766984506</v>
      </c>
      <c r="G1183">
        <f t="shared" si="76"/>
        <v>1</v>
      </c>
      <c r="H1183" t="s">
        <v>1400</v>
      </c>
      <c r="I1183">
        <v>109.869</v>
      </c>
      <c r="J1183" t="s">
        <v>615</v>
      </c>
      <c r="K1183" s="24">
        <v>105</v>
      </c>
      <c r="L1183" s="24">
        <v>72</v>
      </c>
      <c r="M1183">
        <v>160</v>
      </c>
      <c r="N1183" t="s">
        <v>1433</v>
      </c>
      <c r="O1183">
        <v>44</v>
      </c>
      <c r="P1183">
        <v>86</v>
      </c>
      <c r="Q1183" t="s">
        <v>24</v>
      </c>
      <c r="R1183" t="s">
        <v>25</v>
      </c>
      <c r="S1183" t="s">
        <v>39</v>
      </c>
      <c r="T1183" t="s">
        <v>24</v>
      </c>
      <c r="U1183">
        <f t="shared" si="74"/>
        <v>1</v>
      </c>
      <c r="V1183">
        <v>164.15299999999999</v>
      </c>
      <c r="W1183">
        <v>0.66900000000000004</v>
      </c>
      <c r="X1183" t="s">
        <v>1409</v>
      </c>
      <c r="Y1183">
        <v>105</v>
      </c>
      <c r="Z1183">
        <v>72</v>
      </c>
      <c r="AA1183" t="s">
        <v>35</v>
      </c>
      <c r="AB1183">
        <v>86</v>
      </c>
      <c r="AC1183" s="23">
        <v>1.95</v>
      </c>
      <c r="AD1183" t="str">
        <f>IF(AND('CVD Dataset'!AA1183="Normal",'CVD Dataset'!AB1183&gt;AVERAGE('CVD Dataset'!AB:AB),'CVD Dataset'!AF1183="High"),"High Lipid Category","Normal Category")</f>
        <v>Normal Category</v>
      </c>
      <c r="AE1183">
        <v>15.47</v>
      </c>
      <c r="AF1183" t="s">
        <v>54</v>
      </c>
      <c r="AG1183">
        <v>0</v>
      </c>
      <c r="AH1183" t="s">
        <v>1380</v>
      </c>
      <c r="AI1183">
        <f t="shared" si="75"/>
        <v>0</v>
      </c>
      <c r="AJ1183" t="s">
        <v>1391</v>
      </c>
    </row>
    <row r="1184" spans="1:36" x14ac:dyDescent="0.3">
      <c r="A1184" t="s">
        <v>22</v>
      </c>
      <c r="B1184">
        <v>31</v>
      </c>
      <c r="C1184">
        <v>90.448999999999998</v>
      </c>
      <c r="D1184">
        <v>1.9810000000000001</v>
      </c>
      <c r="E1184">
        <v>26.614000000000001</v>
      </c>
      <c r="F1184">
        <f t="shared" si="73"/>
        <v>23.048083496905608</v>
      </c>
      <c r="G1184">
        <f t="shared" si="76"/>
        <v>1</v>
      </c>
      <c r="H1184" t="s">
        <v>1400</v>
      </c>
      <c r="I1184">
        <v>87.471999999999994</v>
      </c>
      <c r="J1184" t="s">
        <v>1015</v>
      </c>
      <c r="K1184" s="24">
        <v>164</v>
      </c>
      <c r="L1184" s="24">
        <v>63</v>
      </c>
      <c r="M1184">
        <v>208</v>
      </c>
      <c r="N1184" t="s">
        <v>1432</v>
      </c>
      <c r="O1184">
        <v>43</v>
      </c>
      <c r="P1184">
        <v>73</v>
      </c>
      <c r="Q1184" t="s">
        <v>25</v>
      </c>
      <c r="R1184" t="s">
        <v>24</v>
      </c>
      <c r="S1184" t="s">
        <v>26</v>
      </c>
      <c r="T1184" t="s">
        <v>25</v>
      </c>
      <c r="U1184">
        <f t="shared" si="74"/>
        <v>3</v>
      </c>
      <c r="V1184">
        <v>198.143</v>
      </c>
      <c r="W1184">
        <v>0.441</v>
      </c>
      <c r="X1184" t="s">
        <v>1408</v>
      </c>
      <c r="Y1184">
        <v>164</v>
      </c>
      <c r="Z1184">
        <v>63</v>
      </c>
      <c r="AA1184" t="s">
        <v>40</v>
      </c>
      <c r="AB1184">
        <v>135</v>
      </c>
      <c r="AC1184" s="23">
        <v>3.14</v>
      </c>
      <c r="AD1184" t="str">
        <f>IF(AND('CVD Dataset'!AA1184="Normal",'CVD Dataset'!AB1184&gt;AVERAGE('CVD Dataset'!AB:AB),'CVD Dataset'!AF1184="High"),"High Lipid Category","Normal Category")</f>
        <v>Normal Category</v>
      </c>
      <c r="AE1184">
        <v>17.683</v>
      </c>
      <c r="AF1184" t="s">
        <v>28</v>
      </c>
      <c r="AG1184">
        <v>0</v>
      </c>
      <c r="AH1184" t="s">
        <v>1380</v>
      </c>
      <c r="AI1184">
        <f t="shared" si="75"/>
        <v>0</v>
      </c>
      <c r="AJ1184" t="s">
        <v>1391</v>
      </c>
    </row>
    <row r="1185" spans="1:36" x14ac:dyDescent="0.3">
      <c r="A1185" t="s">
        <v>33</v>
      </c>
      <c r="B1185">
        <v>31</v>
      </c>
      <c r="D1185">
        <v>1.58</v>
      </c>
      <c r="E1185">
        <v>20.565999999999999</v>
      </c>
      <c r="F1185">
        <f t="shared" si="73"/>
        <v>0</v>
      </c>
      <c r="G1185">
        <f t="shared" si="76"/>
        <v>1</v>
      </c>
      <c r="H1185" t="s">
        <v>1398</v>
      </c>
      <c r="I1185">
        <v>86.876000000000005</v>
      </c>
      <c r="J1185" t="s">
        <v>1016</v>
      </c>
      <c r="K1185" s="24">
        <v>142</v>
      </c>
      <c r="L1185" s="24">
        <v>74</v>
      </c>
      <c r="M1185">
        <v>213</v>
      </c>
      <c r="N1185" t="s">
        <v>1432</v>
      </c>
      <c r="O1185">
        <v>76</v>
      </c>
      <c r="P1185">
        <v>182</v>
      </c>
      <c r="Q1185" t="s">
        <v>25</v>
      </c>
      <c r="R1185" t="s">
        <v>24</v>
      </c>
      <c r="S1185" t="s">
        <v>30</v>
      </c>
      <c r="T1185" t="s">
        <v>24</v>
      </c>
      <c r="U1185">
        <f t="shared" si="74"/>
        <v>1</v>
      </c>
      <c r="V1185">
        <v>158.02500000000001</v>
      </c>
      <c r="W1185">
        <v>0.55000000000000004</v>
      </c>
      <c r="X1185" t="s">
        <v>1407</v>
      </c>
      <c r="Y1185">
        <v>142</v>
      </c>
      <c r="Z1185">
        <v>74</v>
      </c>
      <c r="AA1185" t="s">
        <v>40</v>
      </c>
      <c r="AB1185">
        <v>107</v>
      </c>
      <c r="AC1185" s="23">
        <v>1.41</v>
      </c>
      <c r="AD1185" t="str">
        <f>IF(AND('CVD Dataset'!AA1185="Normal",'CVD Dataset'!AB1185&gt;AVERAGE('CVD Dataset'!AB:AB),'CVD Dataset'!AF1185="High"),"High Lipid Category","Normal Category")</f>
        <v>Normal Category</v>
      </c>
      <c r="AE1185">
        <v>15.473000000000001</v>
      </c>
      <c r="AF1185" t="s">
        <v>32</v>
      </c>
      <c r="AG1185">
        <v>1</v>
      </c>
      <c r="AH1185" t="s">
        <v>1379</v>
      </c>
      <c r="AI1185">
        <f t="shared" si="75"/>
        <v>1</v>
      </c>
      <c r="AJ1185" t="s">
        <v>1391</v>
      </c>
    </row>
    <row r="1186" spans="1:36" x14ac:dyDescent="0.3">
      <c r="A1186" t="s">
        <v>33</v>
      </c>
      <c r="B1186">
        <v>64</v>
      </c>
      <c r="C1186">
        <v>105.461</v>
      </c>
      <c r="D1186">
        <v>1.5620000000000001</v>
      </c>
      <c r="E1186">
        <v>26.538</v>
      </c>
      <c r="F1186">
        <f t="shared" si="73"/>
        <v>43.224484844112979</v>
      </c>
      <c r="G1186">
        <f t="shared" si="76"/>
        <v>1</v>
      </c>
      <c r="H1186" t="s">
        <v>1400</v>
      </c>
      <c r="I1186">
        <v>109.05</v>
      </c>
      <c r="J1186" t="s">
        <v>1017</v>
      </c>
      <c r="K1186" s="24">
        <v>147</v>
      </c>
      <c r="L1186" s="24">
        <v>73</v>
      </c>
      <c r="M1186">
        <v>295</v>
      </c>
      <c r="N1186" t="s">
        <v>1432</v>
      </c>
      <c r="O1186">
        <v>73</v>
      </c>
      <c r="P1186">
        <v>157</v>
      </c>
      <c r="Q1186" t="s">
        <v>25</v>
      </c>
      <c r="R1186" t="s">
        <v>25</v>
      </c>
      <c r="S1186" t="s">
        <v>30</v>
      </c>
      <c r="T1186" t="s">
        <v>24</v>
      </c>
      <c r="U1186">
        <f t="shared" si="74"/>
        <v>2</v>
      </c>
      <c r="V1186">
        <v>156.185</v>
      </c>
      <c r="W1186">
        <v>0.69799999999999995</v>
      </c>
      <c r="X1186" t="s">
        <v>1409</v>
      </c>
      <c r="Y1186">
        <v>147</v>
      </c>
      <c r="Z1186">
        <v>73</v>
      </c>
      <c r="AA1186" t="s">
        <v>40</v>
      </c>
      <c r="AB1186">
        <v>192</v>
      </c>
      <c r="AC1186" s="23">
        <v>2.63</v>
      </c>
      <c r="AD1186" t="str">
        <f>IF(AND('CVD Dataset'!AA1186="Normal",'CVD Dataset'!AB1186&gt;AVERAGE('CVD Dataset'!AB:AB),'CVD Dataset'!AF1186="High"),"High Lipid Category","Normal Category")</f>
        <v>Normal Category</v>
      </c>
      <c r="AE1186">
        <v>20.558</v>
      </c>
      <c r="AF1186" t="s">
        <v>28</v>
      </c>
      <c r="AG1186">
        <v>0</v>
      </c>
      <c r="AH1186" t="s">
        <v>1380</v>
      </c>
      <c r="AI1186">
        <f t="shared" si="75"/>
        <v>0</v>
      </c>
      <c r="AJ1186" t="s">
        <v>1392</v>
      </c>
    </row>
    <row r="1187" spans="1:36" x14ac:dyDescent="0.3">
      <c r="A1187" t="s">
        <v>22</v>
      </c>
      <c r="B1187">
        <v>33</v>
      </c>
      <c r="C1187">
        <v>112.497</v>
      </c>
      <c r="D1187">
        <v>1.657</v>
      </c>
      <c r="E1187">
        <v>34.683</v>
      </c>
      <c r="F1187">
        <f t="shared" si="73"/>
        <v>40.972826461066212</v>
      </c>
      <c r="G1187">
        <f t="shared" si="76"/>
        <v>1</v>
      </c>
      <c r="H1187" t="s">
        <v>1399</v>
      </c>
      <c r="I1187">
        <v>77.507999999999996</v>
      </c>
      <c r="J1187" t="s">
        <v>1018</v>
      </c>
      <c r="K1187" s="24">
        <v>121</v>
      </c>
      <c r="L1187" s="24">
        <v>73</v>
      </c>
      <c r="M1187">
        <v>130</v>
      </c>
      <c r="N1187" t="s">
        <v>1434</v>
      </c>
      <c r="O1187">
        <v>87</v>
      </c>
      <c r="P1187">
        <v>81</v>
      </c>
      <c r="Q1187" t="s">
        <v>25</v>
      </c>
      <c r="R1187" t="s">
        <v>25</v>
      </c>
      <c r="S1187" t="s">
        <v>39</v>
      </c>
      <c r="T1187" t="s">
        <v>24</v>
      </c>
      <c r="U1187">
        <f t="shared" si="74"/>
        <v>2</v>
      </c>
      <c r="V1187">
        <v>165.65</v>
      </c>
      <c r="W1187">
        <v>0.46800000000000003</v>
      </c>
      <c r="X1187" t="s">
        <v>1406</v>
      </c>
      <c r="Y1187">
        <v>121</v>
      </c>
      <c r="AA1187" t="s">
        <v>27</v>
      </c>
      <c r="AB1187">
        <v>13</v>
      </c>
      <c r="AC1187" s="23">
        <v>0.15</v>
      </c>
      <c r="AD1187" t="str">
        <f>IF(AND('CVD Dataset'!AA1187="Normal",'CVD Dataset'!AB1187&gt;AVERAGE('CVD Dataset'!AB:AB),'CVD Dataset'!AF1187="High"),"High Lipid Category","Normal Category")</f>
        <v>Normal Category</v>
      </c>
      <c r="AE1187">
        <v>17.587</v>
      </c>
      <c r="AF1187" t="s">
        <v>54</v>
      </c>
      <c r="AG1187">
        <v>0</v>
      </c>
      <c r="AH1187" t="s">
        <v>1380</v>
      </c>
      <c r="AI1187">
        <f t="shared" si="75"/>
        <v>0</v>
      </c>
      <c r="AJ1187" t="s">
        <v>1391</v>
      </c>
    </row>
    <row r="1188" spans="1:36" x14ac:dyDescent="0.3">
      <c r="A1188" t="s">
        <v>22</v>
      </c>
      <c r="B1188">
        <v>70</v>
      </c>
      <c r="C1188">
        <v>99.48</v>
      </c>
      <c r="D1188">
        <v>1.9750000000000001</v>
      </c>
      <c r="E1188">
        <v>38.491</v>
      </c>
      <c r="F1188">
        <f t="shared" si="73"/>
        <v>25.503605191475724</v>
      </c>
      <c r="G1188">
        <f t="shared" si="76"/>
        <v>1</v>
      </c>
      <c r="H1188" t="s">
        <v>1399</v>
      </c>
      <c r="I1188">
        <v>71.545000000000002</v>
      </c>
      <c r="J1188" t="s">
        <v>1019</v>
      </c>
      <c r="K1188" s="24">
        <v>129</v>
      </c>
      <c r="L1188" s="24">
        <v>65</v>
      </c>
      <c r="M1188">
        <v>161</v>
      </c>
      <c r="N1188" t="s">
        <v>1433</v>
      </c>
      <c r="O1188">
        <v>76</v>
      </c>
      <c r="P1188">
        <v>130</v>
      </c>
      <c r="Q1188" t="s">
        <v>24</v>
      </c>
      <c r="R1188" t="s">
        <v>24</v>
      </c>
      <c r="S1188" t="s">
        <v>39</v>
      </c>
      <c r="T1188" t="s">
        <v>25</v>
      </c>
      <c r="U1188">
        <f t="shared" si="74"/>
        <v>1</v>
      </c>
      <c r="V1188">
        <v>197.48400000000001</v>
      </c>
      <c r="W1188">
        <v>0.36199999999999999</v>
      </c>
      <c r="X1188" t="s">
        <v>1408</v>
      </c>
      <c r="Y1188">
        <v>129</v>
      </c>
      <c r="Z1188">
        <v>65</v>
      </c>
      <c r="AA1188" t="s">
        <v>27</v>
      </c>
      <c r="AB1188">
        <v>55</v>
      </c>
      <c r="AC1188" s="23">
        <v>0.72</v>
      </c>
      <c r="AD1188" t="str">
        <f>IF(AND('CVD Dataset'!AA1188="Normal",'CVD Dataset'!AB1188&gt;AVERAGE('CVD Dataset'!AB:AB),'CVD Dataset'!AF1188="High"),"High Lipid Category","Normal Category")</f>
        <v>Normal Category</v>
      </c>
      <c r="AE1188">
        <v>17.367999999999999</v>
      </c>
      <c r="AF1188" t="s">
        <v>32</v>
      </c>
      <c r="AG1188">
        <v>1</v>
      </c>
      <c r="AH1188" t="s">
        <v>1379</v>
      </c>
      <c r="AI1188">
        <f t="shared" si="75"/>
        <v>1</v>
      </c>
      <c r="AJ1188" t="s">
        <v>1391</v>
      </c>
    </row>
    <row r="1189" spans="1:36" x14ac:dyDescent="0.3">
      <c r="A1189" t="s">
        <v>22</v>
      </c>
      <c r="B1189">
        <v>75</v>
      </c>
      <c r="C1189">
        <v>59.262999999999998</v>
      </c>
      <c r="D1189">
        <v>1.583</v>
      </c>
      <c r="E1189">
        <v>31.780999999999999</v>
      </c>
      <c r="F1189">
        <f t="shared" si="73"/>
        <v>23.649491258391734</v>
      </c>
      <c r="G1189">
        <f t="shared" si="76"/>
        <v>1</v>
      </c>
      <c r="H1189" t="s">
        <v>1399</v>
      </c>
      <c r="I1189">
        <v>104.872</v>
      </c>
      <c r="J1189" t="s">
        <v>1020</v>
      </c>
      <c r="K1189" s="24">
        <v>92</v>
      </c>
      <c r="L1189" s="24">
        <v>86</v>
      </c>
      <c r="M1189">
        <v>219</v>
      </c>
      <c r="N1189" t="s">
        <v>1432</v>
      </c>
      <c r="O1189">
        <v>70</v>
      </c>
      <c r="P1189">
        <v>105</v>
      </c>
      <c r="Q1189" t="s">
        <v>24</v>
      </c>
      <c r="R1189" t="s">
        <v>25</v>
      </c>
      <c r="S1189" t="s">
        <v>26</v>
      </c>
      <c r="T1189" t="s">
        <v>24</v>
      </c>
      <c r="U1189">
        <f t="shared" si="74"/>
        <v>2</v>
      </c>
      <c r="V1189">
        <v>158.25899999999999</v>
      </c>
      <c r="W1189">
        <v>0.66300000000000003</v>
      </c>
      <c r="X1189" t="s">
        <v>1409</v>
      </c>
      <c r="Z1189">
        <v>86</v>
      </c>
      <c r="AA1189" t="s">
        <v>31</v>
      </c>
      <c r="AB1189">
        <v>119</v>
      </c>
      <c r="AC1189" s="23">
        <v>1.7</v>
      </c>
      <c r="AD1189" t="str">
        <f>IF(AND('CVD Dataset'!AA1189="Normal",'CVD Dataset'!AB1189&gt;AVERAGE('CVD Dataset'!AB:AB),'CVD Dataset'!AF1189="High"),"High Lipid Category","Normal Category")</f>
        <v>Normal Category</v>
      </c>
      <c r="AE1189">
        <v>17.335999999999999</v>
      </c>
      <c r="AF1189" t="s">
        <v>32</v>
      </c>
      <c r="AG1189">
        <v>1</v>
      </c>
      <c r="AH1189" t="s">
        <v>1379</v>
      </c>
      <c r="AI1189">
        <f t="shared" si="75"/>
        <v>1</v>
      </c>
      <c r="AJ1189" t="s">
        <v>1392</v>
      </c>
    </row>
    <row r="1190" spans="1:36" x14ac:dyDescent="0.3">
      <c r="A1190" t="s">
        <v>33</v>
      </c>
      <c r="B1190">
        <v>64</v>
      </c>
      <c r="C1190">
        <v>73.349000000000004</v>
      </c>
      <c r="D1190">
        <v>1.966</v>
      </c>
      <c r="E1190">
        <v>31.843</v>
      </c>
      <c r="F1190">
        <f t="shared" si="73"/>
        <v>18.97698307649161</v>
      </c>
      <c r="G1190">
        <f t="shared" si="76"/>
        <v>1</v>
      </c>
      <c r="H1190" t="s">
        <v>1399</v>
      </c>
      <c r="I1190">
        <v>104.876</v>
      </c>
      <c r="J1190" t="s">
        <v>1021</v>
      </c>
      <c r="K1190" s="24">
        <v>116</v>
      </c>
      <c r="L1190" s="24">
        <v>82</v>
      </c>
      <c r="M1190">
        <v>299</v>
      </c>
      <c r="N1190" t="s">
        <v>1432</v>
      </c>
      <c r="O1190">
        <v>86</v>
      </c>
      <c r="P1190">
        <v>139</v>
      </c>
      <c r="Q1190" t="s">
        <v>25</v>
      </c>
      <c r="R1190" t="s">
        <v>25</v>
      </c>
      <c r="S1190" t="s">
        <v>30</v>
      </c>
      <c r="T1190" t="s">
        <v>24</v>
      </c>
      <c r="U1190">
        <f t="shared" si="74"/>
        <v>2</v>
      </c>
      <c r="V1190">
        <v>196.565</v>
      </c>
      <c r="W1190">
        <v>0.53400000000000003</v>
      </c>
      <c r="X1190" t="s">
        <v>1407</v>
      </c>
      <c r="Y1190">
        <v>116</v>
      </c>
      <c r="Z1190">
        <v>82</v>
      </c>
      <c r="AA1190" t="s">
        <v>31</v>
      </c>
      <c r="AB1190">
        <v>183</v>
      </c>
      <c r="AC1190" s="23">
        <v>2.13</v>
      </c>
      <c r="AD1190" t="str">
        <f>IF(AND('CVD Dataset'!AA1190="Normal",'CVD Dataset'!AB1190&gt;AVERAGE('CVD Dataset'!AB:AB),'CVD Dataset'!AF1190="High"),"High Lipid Category","Normal Category")</f>
        <v>Normal Category</v>
      </c>
      <c r="AE1190">
        <v>20.149000000000001</v>
      </c>
      <c r="AF1190" t="s">
        <v>32</v>
      </c>
      <c r="AG1190">
        <v>1</v>
      </c>
      <c r="AH1190" t="s">
        <v>1379</v>
      </c>
      <c r="AI1190">
        <f t="shared" si="75"/>
        <v>1</v>
      </c>
      <c r="AJ1190" t="s">
        <v>1392</v>
      </c>
    </row>
    <row r="1191" spans="1:36" x14ac:dyDescent="0.3">
      <c r="A1191" t="s">
        <v>33</v>
      </c>
      <c r="B1191">
        <v>36</v>
      </c>
      <c r="C1191">
        <v>89.56</v>
      </c>
      <c r="D1191">
        <v>1.5960000000000001</v>
      </c>
      <c r="E1191">
        <v>31.536999999999999</v>
      </c>
      <c r="F1191">
        <f t="shared" si="73"/>
        <v>35.159955025408131</v>
      </c>
      <c r="G1191">
        <f t="shared" si="76"/>
        <v>1</v>
      </c>
      <c r="H1191" t="s">
        <v>1399</v>
      </c>
      <c r="I1191">
        <v>84.117999999999995</v>
      </c>
      <c r="J1191" t="s">
        <v>1022</v>
      </c>
      <c r="K1191" s="24">
        <v>91</v>
      </c>
      <c r="L1191" s="24">
        <v>92</v>
      </c>
      <c r="M1191">
        <v>289</v>
      </c>
      <c r="N1191" t="s">
        <v>1432</v>
      </c>
      <c r="O1191">
        <v>72</v>
      </c>
      <c r="P1191">
        <v>70</v>
      </c>
      <c r="Q1191" t="s">
        <v>24</v>
      </c>
      <c r="R1191" t="s">
        <v>24</v>
      </c>
      <c r="S1191" t="s">
        <v>39</v>
      </c>
      <c r="T1191" t="s">
        <v>25</v>
      </c>
      <c r="U1191">
        <f t="shared" si="74"/>
        <v>1</v>
      </c>
      <c r="V1191">
        <v>159.55500000000001</v>
      </c>
      <c r="W1191">
        <v>0.52700000000000002</v>
      </c>
      <c r="X1191" t="s">
        <v>1407</v>
      </c>
      <c r="Y1191">
        <v>91</v>
      </c>
      <c r="Z1191">
        <v>92</v>
      </c>
      <c r="AA1191" t="s">
        <v>40</v>
      </c>
      <c r="AB1191">
        <v>187</v>
      </c>
      <c r="AC1191" s="23">
        <v>2.6</v>
      </c>
      <c r="AD1191" t="str">
        <f>IF(AND('CVD Dataset'!AA1191="Normal",'CVD Dataset'!AB1191&gt;AVERAGE('CVD Dataset'!AB:AB),'CVD Dataset'!AF1191="High"),"High Lipid Category","Normal Category")</f>
        <v>Normal Category</v>
      </c>
      <c r="AE1191">
        <v>16.637</v>
      </c>
      <c r="AF1191" t="s">
        <v>54</v>
      </c>
      <c r="AG1191">
        <v>0</v>
      </c>
      <c r="AH1191" t="s">
        <v>1380</v>
      </c>
      <c r="AI1191">
        <f t="shared" si="75"/>
        <v>0</v>
      </c>
      <c r="AJ1191" t="s">
        <v>1391</v>
      </c>
    </row>
    <row r="1192" spans="1:36" x14ac:dyDescent="0.3">
      <c r="A1192" t="s">
        <v>33</v>
      </c>
      <c r="B1192">
        <v>73</v>
      </c>
      <c r="C1192">
        <v>118.88800000000001</v>
      </c>
      <c r="E1192">
        <v>35.128999999999998</v>
      </c>
      <c r="F1192" t="str">
        <f t="shared" si="73"/>
        <v/>
      </c>
      <c r="G1192" t="str">
        <f t="shared" si="76"/>
        <v/>
      </c>
      <c r="H1192" t="s">
        <v>1399</v>
      </c>
      <c r="I1192">
        <v>97.39</v>
      </c>
      <c r="J1192" t="s">
        <v>1023</v>
      </c>
      <c r="K1192" s="24">
        <v>101</v>
      </c>
      <c r="L1192" s="24">
        <v>95</v>
      </c>
      <c r="M1192">
        <v>147</v>
      </c>
      <c r="N1192" t="s">
        <v>1434</v>
      </c>
      <c r="O1192">
        <v>43</v>
      </c>
      <c r="P1192">
        <v>135</v>
      </c>
      <c r="Q1192" t="s">
        <v>25</v>
      </c>
      <c r="R1192" t="s">
        <v>25</v>
      </c>
      <c r="S1192" t="s">
        <v>39</v>
      </c>
      <c r="T1192" t="s">
        <v>24</v>
      </c>
      <c r="U1192">
        <f t="shared" si="74"/>
        <v>2</v>
      </c>
      <c r="V1192">
        <v>179.435</v>
      </c>
      <c r="W1192">
        <v>0.54300000000000004</v>
      </c>
      <c r="X1192" t="s">
        <v>1407</v>
      </c>
      <c r="Y1192">
        <v>101</v>
      </c>
      <c r="Z1192">
        <v>95</v>
      </c>
      <c r="AA1192" t="s">
        <v>40</v>
      </c>
      <c r="AB1192">
        <v>74</v>
      </c>
      <c r="AC1192" s="23">
        <v>1.72</v>
      </c>
      <c r="AD1192" t="str">
        <f>IF(AND('CVD Dataset'!AA1192="Normal",'CVD Dataset'!AB1192&gt;AVERAGE('CVD Dataset'!AB:AB),'CVD Dataset'!AF1192="High"),"High Lipid Category","Normal Category")</f>
        <v>Normal Category</v>
      </c>
      <c r="AE1192">
        <v>17.015999999999998</v>
      </c>
      <c r="AF1192" t="s">
        <v>54</v>
      </c>
      <c r="AG1192">
        <v>0</v>
      </c>
      <c r="AH1192" t="s">
        <v>1380</v>
      </c>
      <c r="AI1192">
        <f t="shared" si="75"/>
        <v>0</v>
      </c>
      <c r="AJ1192" t="s">
        <v>1392</v>
      </c>
    </row>
    <row r="1193" spans="1:36" x14ac:dyDescent="0.3">
      <c r="A1193" t="s">
        <v>22</v>
      </c>
      <c r="B1193">
        <v>59</v>
      </c>
      <c r="C1193">
        <v>117.124</v>
      </c>
      <c r="D1193">
        <v>1.8029999999999999</v>
      </c>
      <c r="E1193">
        <v>31.814</v>
      </c>
      <c r="F1193">
        <f t="shared" si="73"/>
        <v>36.029185350477377</v>
      </c>
      <c r="G1193">
        <f t="shared" si="76"/>
        <v>1</v>
      </c>
      <c r="H1193" t="s">
        <v>1399</v>
      </c>
      <c r="I1193">
        <v>116.892</v>
      </c>
      <c r="J1193" t="s">
        <v>1024</v>
      </c>
      <c r="K1193" s="24">
        <v>161</v>
      </c>
      <c r="L1193" s="24">
        <v>99</v>
      </c>
      <c r="M1193">
        <v>207</v>
      </c>
      <c r="N1193" t="s">
        <v>1432</v>
      </c>
      <c r="O1193">
        <v>64</v>
      </c>
      <c r="P1193">
        <v>127</v>
      </c>
      <c r="Q1193" t="s">
        <v>25</v>
      </c>
      <c r="R1193" t="s">
        <v>25</v>
      </c>
      <c r="S1193" t="s">
        <v>30</v>
      </c>
      <c r="T1193" t="s">
        <v>25</v>
      </c>
      <c r="U1193">
        <f t="shared" si="74"/>
        <v>3</v>
      </c>
      <c r="V1193">
        <v>180.31700000000001</v>
      </c>
      <c r="W1193">
        <v>0.64800000000000002</v>
      </c>
      <c r="X1193" t="s">
        <v>1409</v>
      </c>
      <c r="Y1193">
        <v>161</v>
      </c>
      <c r="Z1193">
        <v>99</v>
      </c>
      <c r="AA1193" t="s">
        <v>40</v>
      </c>
      <c r="AB1193">
        <v>113</v>
      </c>
      <c r="AC1193" s="23">
        <v>1.77</v>
      </c>
      <c r="AD1193" t="str">
        <f>IF(AND('CVD Dataset'!AA1193="Normal",'CVD Dataset'!AB1193&gt;AVERAGE('CVD Dataset'!AB:AB),'CVD Dataset'!AF1193="High"),"High Lipid Category","Normal Category")</f>
        <v>Normal Category</v>
      </c>
      <c r="AE1193">
        <v>20.553000000000001</v>
      </c>
      <c r="AF1193" t="s">
        <v>54</v>
      </c>
      <c r="AG1193">
        <v>0</v>
      </c>
      <c r="AH1193" t="s">
        <v>1380</v>
      </c>
      <c r="AI1193">
        <f t="shared" si="75"/>
        <v>0</v>
      </c>
      <c r="AJ1193" t="s">
        <v>1392</v>
      </c>
    </row>
    <row r="1194" spans="1:36" x14ac:dyDescent="0.3">
      <c r="A1194" t="s">
        <v>33</v>
      </c>
      <c r="B1194">
        <v>75</v>
      </c>
      <c r="C1194">
        <v>54.893000000000001</v>
      </c>
      <c r="D1194">
        <v>1.9139999999999999</v>
      </c>
      <c r="E1194">
        <v>30.824999999999999</v>
      </c>
      <c r="F1194">
        <f t="shared" si="73"/>
        <v>14.984184074012202</v>
      </c>
      <c r="G1194">
        <f t="shared" si="76"/>
        <v>1</v>
      </c>
      <c r="H1194" t="s">
        <v>1399</v>
      </c>
      <c r="I1194">
        <v>78.863</v>
      </c>
      <c r="J1194" t="s">
        <v>131</v>
      </c>
      <c r="K1194" s="24">
        <v>124</v>
      </c>
      <c r="L1194" s="24">
        <v>72</v>
      </c>
      <c r="M1194">
        <v>211</v>
      </c>
      <c r="N1194" t="s">
        <v>1432</v>
      </c>
      <c r="O1194">
        <v>64</v>
      </c>
      <c r="Q1194" t="s">
        <v>24</v>
      </c>
      <c r="R1194" t="s">
        <v>24</v>
      </c>
      <c r="S1194" t="s">
        <v>30</v>
      </c>
      <c r="T1194" t="s">
        <v>25</v>
      </c>
      <c r="U1194">
        <f t="shared" si="74"/>
        <v>1</v>
      </c>
      <c r="V1194">
        <v>191.42</v>
      </c>
      <c r="X1194" t="s">
        <v>1410</v>
      </c>
      <c r="Y1194">
        <v>124</v>
      </c>
      <c r="Z1194">
        <v>72</v>
      </c>
      <c r="AA1194" t="s">
        <v>27</v>
      </c>
      <c r="AB1194">
        <v>117</v>
      </c>
      <c r="AC1194" s="23">
        <v>1.83</v>
      </c>
      <c r="AD1194" t="str">
        <f>IF(AND('CVD Dataset'!AA1194="Normal",'CVD Dataset'!AB1194&gt;AVERAGE('CVD Dataset'!AB:AB),'CVD Dataset'!AF1194="High"),"High Lipid Category","Normal Category")</f>
        <v>Normal Category</v>
      </c>
      <c r="AE1194">
        <v>16.585000000000001</v>
      </c>
      <c r="AF1194" t="s">
        <v>32</v>
      </c>
      <c r="AG1194">
        <v>1</v>
      </c>
      <c r="AH1194" t="s">
        <v>1379</v>
      </c>
      <c r="AI1194">
        <f t="shared" si="75"/>
        <v>1</v>
      </c>
      <c r="AJ1194" t="s">
        <v>1391</v>
      </c>
    </row>
    <row r="1195" spans="1:36" x14ac:dyDescent="0.3">
      <c r="A1195" t="s">
        <v>33</v>
      </c>
      <c r="B1195">
        <v>39</v>
      </c>
      <c r="C1195">
        <v>111.4</v>
      </c>
      <c r="D1195">
        <v>1.8620000000000001</v>
      </c>
      <c r="E1195">
        <v>24.745000000000001</v>
      </c>
      <c r="F1195">
        <f t="shared" si="73"/>
        <v>32.131118035998384</v>
      </c>
      <c r="G1195">
        <f t="shared" si="76"/>
        <v>1</v>
      </c>
      <c r="H1195" t="s">
        <v>1398</v>
      </c>
      <c r="I1195">
        <v>93.126999999999995</v>
      </c>
      <c r="J1195" t="s">
        <v>1025</v>
      </c>
      <c r="K1195" s="24">
        <v>157</v>
      </c>
      <c r="L1195" s="24">
        <v>109</v>
      </c>
      <c r="M1195">
        <v>181</v>
      </c>
      <c r="N1195" t="s">
        <v>1432</v>
      </c>
      <c r="O1195">
        <v>61</v>
      </c>
      <c r="P1195">
        <v>123</v>
      </c>
      <c r="Q1195" t="s">
        <v>24</v>
      </c>
      <c r="R1195" t="s">
        <v>25</v>
      </c>
      <c r="S1195" t="s">
        <v>30</v>
      </c>
      <c r="T1195" t="s">
        <v>25</v>
      </c>
      <c r="U1195">
        <f t="shared" si="74"/>
        <v>2</v>
      </c>
      <c r="V1195">
        <v>186.22399999999999</v>
      </c>
      <c r="W1195">
        <v>0.5</v>
      </c>
      <c r="X1195" t="s">
        <v>1406</v>
      </c>
      <c r="Y1195">
        <v>157</v>
      </c>
      <c r="Z1195">
        <v>109</v>
      </c>
      <c r="AA1195" t="s">
        <v>40</v>
      </c>
      <c r="AB1195">
        <v>90</v>
      </c>
      <c r="AC1195" s="23">
        <v>1.48</v>
      </c>
      <c r="AD1195" t="str">
        <f>IF(AND('CVD Dataset'!AA1195="Normal",'CVD Dataset'!AB1195&gt;AVERAGE('CVD Dataset'!AB:AB),'CVD Dataset'!AF1195="High"),"High Lipid Category","Normal Category")</f>
        <v>Normal Category</v>
      </c>
      <c r="AE1195">
        <v>18.419</v>
      </c>
      <c r="AF1195" t="s">
        <v>28</v>
      </c>
      <c r="AG1195">
        <v>0</v>
      </c>
      <c r="AH1195" t="s">
        <v>1380</v>
      </c>
      <c r="AI1195">
        <f t="shared" si="75"/>
        <v>0</v>
      </c>
      <c r="AJ1195" t="s">
        <v>1391</v>
      </c>
    </row>
    <row r="1196" spans="1:36" x14ac:dyDescent="0.3">
      <c r="A1196" t="s">
        <v>33</v>
      </c>
      <c r="B1196">
        <v>55</v>
      </c>
      <c r="C1196">
        <v>63.582999999999998</v>
      </c>
      <c r="D1196">
        <v>1.9810000000000001</v>
      </c>
      <c r="E1196">
        <v>30.974</v>
      </c>
      <c r="F1196">
        <f t="shared" si="73"/>
        <v>16.202128193609099</v>
      </c>
      <c r="G1196">
        <f t="shared" si="76"/>
        <v>1</v>
      </c>
      <c r="H1196" t="s">
        <v>1399</v>
      </c>
      <c r="I1196">
        <v>82.141999999999996</v>
      </c>
      <c r="J1196" t="s">
        <v>1026</v>
      </c>
      <c r="K1196" s="24">
        <v>172</v>
      </c>
      <c r="L1196" s="24">
        <v>79</v>
      </c>
      <c r="M1196">
        <v>194</v>
      </c>
      <c r="N1196" t="s">
        <v>1432</v>
      </c>
      <c r="O1196">
        <v>75</v>
      </c>
      <c r="P1196">
        <v>150</v>
      </c>
      <c r="Q1196" t="s">
        <v>25</v>
      </c>
      <c r="R1196" t="s">
        <v>24</v>
      </c>
      <c r="S1196" t="s">
        <v>39</v>
      </c>
      <c r="T1196" t="s">
        <v>24</v>
      </c>
      <c r="U1196">
        <f t="shared" si="74"/>
        <v>1</v>
      </c>
      <c r="W1196">
        <v>0.41499999999999998</v>
      </c>
      <c r="X1196" t="s">
        <v>1408</v>
      </c>
      <c r="Y1196">
        <v>172</v>
      </c>
      <c r="Z1196">
        <v>79</v>
      </c>
      <c r="AA1196" t="s">
        <v>40</v>
      </c>
      <c r="AB1196">
        <v>89</v>
      </c>
      <c r="AC1196" s="23">
        <v>1.19</v>
      </c>
      <c r="AD1196" t="str">
        <f>IF(AND('CVD Dataset'!AA1196="Normal",'CVD Dataset'!AB1196&gt;AVERAGE('CVD Dataset'!AB:AB),'CVD Dataset'!AF1196="High"),"High Lipid Category","Normal Category")</f>
        <v>Normal Category</v>
      </c>
      <c r="AE1196">
        <v>18.675000000000001</v>
      </c>
      <c r="AF1196" t="s">
        <v>54</v>
      </c>
      <c r="AG1196">
        <v>0</v>
      </c>
      <c r="AH1196" t="s">
        <v>1380</v>
      </c>
      <c r="AI1196">
        <f t="shared" si="75"/>
        <v>0</v>
      </c>
      <c r="AJ1196" t="s">
        <v>1391</v>
      </c>
    </row>
    <row r="1197" spans="1:36" x14ac:dyDescent="0.3">
      <c r="A1197" t="s">
        <v>22</v>
      </c>
      <c r="B1197">
        <v>30</v>
      </c>
      <c r="C1197">
        <v>71.600999999999999</v>
      </c>
      <c r="D1197">
        <v>1.782</v>
      </c>
      <c r="E1197">
        <v>19.030999999999999</v>
      </c>
      <c r="F1197">
        <f t="shared" si="73"/>
        <v>22.5477747924437</v>
      </c>
      <c r="G1197">
        <f t="shared" si="76"/>
        <v>1</v>
      </c>
      <c r="H1197" t="s">
        <v>1398</v>
      </c>
      <c r="I1197">
        <v>72.418999999999997</v>
      </c>
      <c r="J1197" t="s">
        <v>1027</v>
      </c>
      <c r="K1197" s="24">
        <v>126</v>
      </c>
      <c r="L1197" s="24">
        <v>106</v>
      </c>
      <c r="M1197">
        <v>264</v>
      </c>
      <c r="N1197" t="s">
        <v>1432</v>
      </c>
      <c r="O1197">
        <v>44</v>
      </c>
      <c r="P1197">
        <v>189</v>
      </c>
      <c r="Q1197" t="s">
        <v>25</v>
      </c>
      <c r="R1197" t="s">
        <v>24</v>
      </c>
      <c r="S1197" t="s">
        <v>26</v>
      </c>
      <c r="T1197" t="s">
        <v>24</v>
      </c>
      <c r="U1197">
        <f t="shared" si="74"/>
        <v>2</v>
      </c>
      <c r="V1197">
        <v>178.21700000000001</v>
      </c>
      <c r="W1197">
        <v>0.40600000000000003</v>
      </c>
      <c r="X1197" t="s">
        <v>1408</v>
      </c>
      <c r="Y1197">
        <v>126</v>
      </c>
      <c r="Z1197">
        <v>106</v>
      </c>
      <c r="AA1197" t="s">
        <v>40</v>
      </c>
      <c r="AB1197">
        <v>190</v>
      </c>
      <c r="AC1197" s="23">
        <v>4.32</v>
      </c>
      <c r="AD1197" t="str">
        <f>IF(AND('CVD Dataset'!AA1197="Normal",'CVD Dataset'!AB1197&gt;AVERAGE('CVD Dataset'!AB:AB),'CVD Dataset'!AF1197="High"),"High Lipid Category","Normal Category")</f>
        <v>Normal Category</v>
      </c>
      <c r="AE1197">
        <v>15.385999999999999</v>
      </c>
      <c r="AF1197" t="s">
        <v>54</v>
      </c>
      <c r="AG1197">
        <v>0</v>
      </c>
      <c r="AH1197" t="s">
        <v>1380</v>
      </c>
      <c r="AI1197">
        <f t="shared" si="75"/>
        <v>0</v>
      </c>
      <c r="AJ1197" t="s">
        <v>1391</v>
      </c>
    </row>
    <row r="1198" spans="1:36" x14ac:dyDescent="0.3">
      <c r="A1198" t="s">
        <v>22</v>
      </c>
      <c r="B1198">
        <v>37</v>
      </c>
      <c r="C1198">
        <v>113.34099999999999</v>
      </c>
      <c r="D1198">
        <v>1.7869999999999999</v>
      </c>
      <c r="E1198">
        <v>29.344999999999999</v>
      </c>
      <c r="F1198">
        <f t="shared" si="73"/>
        <v>35.492609842457917</v>
      </c>
      <c r="G1198">
        <f t="shared" si="76"/>
        <v>1</v>
      </c>
      <c r="H1198" t="s">
        <v>1400</v>
      </c>
      <c r="I1198">
        <v>80.006</v>
      </c>
      <c r="J1198" t="s">
        <v>319</v>
      </c>
      <c r="K1198" s="24">
        <v>129</v>
      </c>
      <c r="L1198" s="24">
        <v>63</v>
      </c>
      <c r="M1198">
        <v>266</v>
      </c>
      <c r="N1198" t="s">
        <v>1432</v>
      </c>
      <c r="O1198">
        <v>85</v>
      </c>
      <c r="P1198">
        <v>185</v>
      </c>
      <c r="Q1198" t="s">
        <v>25</v>
      </c>
      <c r="R1198" t="s">
        <v>25</v>
      </c>
      <c r="S1198" t="s">
        <v>30</v>
      </c>
      <c r="T1198" t="s">
        <v>25</v>
      </c>
      <c r="U1198">
        <f t="shared" si="74"/>
        <v>3</v>
      </c>
      <c r="V1198">
        <v>178.697</v>
      </c>
      <c r="W1198">
        <v>0.44800000000000001</v>
      </c>
      <c r="X1198" t="s">
        <v>1408</v>
      </c>
      <c r="Y1198">
        <v>129</v>
      </c>
      <c r="Z1198">
        <v>63</v>
      </c>
      <c r="AA1198" t="s">
        <v>27</v>
      </c>
      <c r="AB1198">
        <v>151</v>
      </c>
      <c r="AC1198" s="23">
        <v>1.78</v>
      </c>
      <c r="AD1198" t="str">
        <f>IF(AND('CVD Dataset'!AA1198="Normal",'CVD Dataset'!AB1198&gt;AVERAGE('CVD Dataset'!AB:AB),'CVD Dataset'!AF1198="High"),"High Lipid Category","Normal Category")</f>
        <v>Normal Category</v>
      </c>
      <c r="AE1198">
        <v>19.638999999999999</v>
      </c>
      <c r="AF1198" t="s">
        <v>32</v>
      </c>
      <c r="AG1198">
        <v>1</v>
      </c>
      <c r="AH1198" t="s">
        <v>1379</v>
      </c>
      <c r="AI1198">
        <f t="shared" si="75"/>
        <v>1</v>
      </c>
      <c r="AJ1198" t="s">
        <v>1391</v>
      </c>
    </row>
    <row r="1199" spans="1:36" x14ac:dyDescent="0.3">
      <c r="A1199" t="s">
        <v>22</v>
      </c>
      <c r="B1199">
        <v>68</v>
      </c>
      <c r="C1199">
        <v>78.561000000000007</v>
      </c>
      <c r="E1199">
        <v>32.466000000000001</v>
      </c>
      <c r="F1199" t="str">
        <f t="shared" si="73"/>
        <v/>
      </c>
      <c r="G1199" t="str">
        <f t="shared" si="76"/>
        <v/>
      </c>
      <c r="H1199" t="s">
        <v>1399</v>
      </c>
      <c r="I1199">
        <v>77.183999999999997</v>
      </c>
      <c r="J1199" t="s">
        <v>436</v>
      </c>
      <c r="K1199" s="24">
        <v>141</v>
      </c>
      <c r="L1199" s="24">
        <v>76</v>
      </c>
      <c r="M1199">
        <v>178</v>
      </c>
      <c r="N1199" t="s">
        <v>1433</v>
      </c>
      <c r="O1199">
        <v>73</v>
      </c>
      <c r="P1199">
        <v>143</v>
      </c>
      <c r="Q1199" t="s">
        <v>25</v>
      </c>
      <c r="R1199" t="s">
        <v>25</v>
      </c>
      <c r="S1199" t="s">
        <v>30</v>
      </c>
      <c r="T1199" t="s">
        <v>25</v>
      </c>
      <c r="U1199">
        <f t="shared" si="74"/>
        <v>3</v>
      </c>
      <c r="V1199">
        <v>170.589</v>
      </c>
      <c r="W1199">
        <v>0.45200000000000001</v>
      </c>
      <c r="X1199" t="s">
        <v>1408</v>
      </c>
      <c r="Y1199">
        <v>141</v>
      </c>
      <c r="Z1199">
        <v>76</v>
      </c>
      <c r="AA1199" t="s">
        <v>40</v>
      </c>
      <c r="AB1199">
        <v>75</v>
      </c>
      <c r="AC1199" s="23">
        <v>1.03</v>
      </c>
      <c r="AD1199" t="str">
        <f>IF(AND('CVD Dataset'!AA1199="Normal",'CVD Dataset'!AB1199&gt;AVERAGE('CVD Dataset'!AB:AB),'CVD Dataset'!AF1199="High"),"High Lipid Category","Normal Category")</f>
        <v>Normal Category</v>
      </c>
      <c r="AE1199">
        <v>19.103000000000002</v>
      </c>
      <c r="AF1199" t="s">
        <v>32</v>
      </c>
      <c r="AG1199">
        <v>1</v>
      </c>
      <c r="AH1199" t="s">
        <v>1379</v>
      </c>
      <c r="AI1199">
        <f t="shared" si="75"/>
        <v>1</v>
      </c>
      <c r="AJ1199" t="s">
        <v>1392</v>
      </c>
    </row>
    <row r="1200" spans="1:36" x14ac:dyDescent="0.3">
      <c r="A1200" t="s">
        <v>33</v>
      </c>
      <c r="B1200">
        <v>39</v>
      </c>
      <c r="C1200">
        <v>54.08</v>
      </c>
      <c r="D1200">
        <v>1.56</v>
      </c>
      <c r="E1200">
        <v>19.771999999999998</v>
      </c>
      <c r="F1200">
        <f t="shared" si="73"/>
        <v>22.222222222222218</v>
      </c>
      <c r="G1200">
        <f t="shared" si="76"/>
        <v>1</v>
      </c>
      <c r="H1200" t="s">
        <v>1398</v>
      </c>
      <c r="I1200">
        <v>107.995</v>
      </c>
      <c r="J1200" t="s">
        <v>1028</v>
      </c>
      <c r="K1200" s="24">
        <v>116</v>
      </c>
      <c r="L1200" s="24">
        <v>71</v>
      </c>
      <c r="M1200">
        <v>287</v>
      </c>
      <c r="N1200" t="s">
        <v>1432</v>
      </c>
      <c r="O1200">
        <v>56</v>
      </c>
      <c r="P1200">
        <v>176</v>
      </c>
      <c r="Q1200" t="s">
        <v>25</v>
      </c>
      <c r="R1200" t="s">
        <v>25</v>
      </c>
      <c r="S1200" t="s">
        <v>39</v>
      </c>
      <c r="T1200" t="s">
        <v>24</v>
      </c>
      <c r="U1200">
        <f t="shared" si="74"/>
        <v>2</v>
      </c>
      <c r="V1200">
        <v>155.96100000000001</v>
      </c>
      <c r="W1200">
        <v>0.69199999999999995</v>
      </c>
      <c r="X1200" t="s">
        <v>1409</v>
      </c>
      <c r="Z1200">
        <v>71</v>
      </c>
      <c r="AA1200" t="s">
        <v>35</v>
      </c>
      <c r="AB1200">
        <v>201</v>
      </c>
      <c r="AC1200" s="23">
        <v>3.59</v>
      </c>
      <c r="AD1200" t="str">
        <f>IF(AND('CVD Dataset'!AA1200="Normal",'CVD Dataset'!AB1200&gt;AVERAGE('CVD Dataset'!AB:AB),'CVD Dataset'!AF1200="High"),"High Lipid Category","Normal Category")</f>
        <v>Normal Category</v>
      </c>
      <c r="AE1200">
        <v>17.494</v>
      </c>
      <c r="AF1200" t="s">
        <v>28</v>
      </c>
      <c r="AG1200">
        <v>0</v>
      </c>
      <c r="AH1200" t="s">
        <v>1380</v>
      </c>
      <c r="AI1200">
        <f t="shared" si="75"/>
        <v>0</v>
      </c>
      <c r="AJ1200" t="s">
        <v>1391</v>
      </c>
    </row>
    <row r="1201" spans="1:36" x14ac:dyDescent="0.3">
      <c r="A1201" t="s">
        <v>33</v>
      </c>
      <c r="B1201">
        <v>38</v>
      </c>
      <c r="C1201">
        <v>60.436</v>
      </c>
      <c r="D1201">
        <v>1.506</v>
      </c>
      <c r="E1201">
        <v>20.268999999999998</v>
      </c>
      <c r="F1201">
        <f t="shared" si="73"/>
        <v>26.64684334816555</v>
      </c>
      <c r="G1201">
        <f t="shared" si="76"/>
        <v>1</v>
      </c>
      <c r="H1201" t="s">
        <v>1398</v>
      </c>
      <c r="I1201">
        <v>79.7</v>
      </c>
      <c r="J1201" t="s">
        <v>1029</v>
      </c>
      <c r="K1201" s="24">
        <v>168</v>
      </c>
      <c r="L1201" s="24">
        <v>63</v>
      </c>
      <c r="M1201">
        <v>119</v>
      </c>
      <c r="N1201" t="s">
        <v>1434</v>
      </c>
      <c r="O1201">
        <v>46</v>
      </c>
      <c r="P1201">
        <v>190</v>
      </c>
      <c r="Q1201" t="s">
        <v>24</v>
      </c>
      <c r="R1201" t="s">
        <v>24</v>
      </c>
      <c r="S1201" t="s">
        <v>30</v>
      </c>
      <c r="T1201" t="s">
        <v>24</v>
      </c>
      <c r="U1201">
        <f t="shared" si="74"/>
        <v>0</v>
      </c>
      <c r="V1201">
        <v>150.61600000000001</v>
      </c>
      <c r="W1201">
        <v>0.52900000000000003</v>
      </c>
      <c r="X1201" t="s">
        <v>1407</v>
      </c>
      <c r="Y1201">
        <v>168</v>
      </c>
      <c r="Z1201">
        <v>63</v>
      </c>
      <c r="AA1201" t="s">
        <v>40</v>
      </c>
      <c r="AB1201">
        <v>43</v>
      </c>
      <c r="AC1201" s="23">
        <v>0.93</v>
      </c>
      <c r="AD1201" t="str">
        <f>IF(AND('CVD Dataset'!AA1201="Normal",'CVD Dataset'!AB1201&gt;AVERAGE('CVD Dataset'!AB:AB),'CVD Dataset'!AF1201="High"),"High Lipid Category","Normal Category")</f>
        <v>Normal Category</v>
      </c>
      <c r="AE1201">
        <v>14.834</v>
      </c>
      <c r="AF1201" t="s">
        <v>32</v>
      </c>
      <c r="AG1201">
        <v>0</v>
      </c>
      <c r="AH1201" t="s">
        <v>1379</v>
      </c>
      <c r="AI1201">
        <f t="shared" si="75"/>
        <v>1</v>
      </c>
      <c r="AJ1201" t="s">
        <v>1391</v>
      </c>
    </row>
    <row r="1202" spans="1:36" x14ac:dyDescent="0.3">
      <c r="A1202" t="s">
        <v>33</v>
      </c>
      <c r="B1202">
        <v>53</v>
      </c>
      <c r="C1202">
        <v>108.15900000000001</v>
      </c>
      <c r="D1202">
        <v>1.925</v>
      </c>
      <c r="E1202">
        <v>24.081</v>
      </c>
      <c r="F1202">
        <f t="shared" si="73"/>
        <v>29.187788834542079</v>
      </c>
      <c r="G1202">
        <f t="shared" si="76"/>
        <v>1</v>
      </c>
      <c r="H1202" t="s">
        <v>1398</v>
      </c>
      <c r="J1202" t="s">
        <v>1030</v>
      </c>
      <c r="K1202" s="24">
        <v>162</v>
      </c>
      <c r="L1202" s="24">
        <v>94</v>
      </c>
      <c r="M1202">
        <v>141</v>
      </c>
      <c r="N1202" t="s">
        <v>1434</v>
      </c>
      <c r="P1202">
        <v>178</v>
      </c>
      <c r="Q1202" t="s">
        <v>25</v>
      </c>
      <c r="R1202" t="s">
        <v>25</v>
      </c>
      <c r="S1202" t="s">
        <v>39</v>
      </c>
      <c r="T1202" t="s">
        <v>24</v>
      </c>
      <c r="U1202">
        <f t="shared" si="74"/>
        <v>2</v>
      </c>
      <c r="W1202">
        <v>0.41099999999999998</v>
      </c>
      <c r="X1202" t="s">
        <v>1408</v>
      </c>
      <c r="Y1202">
        <v>162</v>
      </c>
      <c r="Z1202">
        <v>94</v>
      </c>
      <c r="AA1202" t="s">
        <v>40</v>
      </c>
      <c r="AB1202">
        <v>63</v>
      </c>
      <c r="AC1202" s="23" t="s">
        <v>1410</v>
      </c>
      <c r="AD1202" t="str">
        <f>IF(AND('CVD Dataset'!AA1202="Normal",'CVD Dataset'!AB1202&gt;AVERAGE('CVD Dataset'!AB:AB),'CVD Dataset'!AF1202="High"),"High Lipid Category","Normal Category")</f>
        <v>Normal Category</v>
      </c>
      <c r="AE1202">
        <v>17.736000000000001</v>
      </c>
      <c r="AF1202" t="s">
        <v>32</v>
      </c>
      <c r="AG1202">
        <v>0</v>
      </c>
      <c r="AH1202" t="s">
        <v>1379</v>
      </c>
      <c r="AI1202">
        <f t="shared" si="75"/>
        <v>1</v>
      </c>
      <c r="AJ1202" t="s">
        <v>1392</v>
      </c>
    </row>
    <row r="1203" spans="1:36" x14ac:dyDescent="0.3">
      <c r="A1203" t="s">
        <v>33</v>
      </c>
      <c r="C1203">
        <v>119.806</v>
      </c>
      <c r="D1203">
        <v>1.6080000000000001</v>
      </c>
      <c r="E1203">
        <v>31.884</v>
      </c>
      <c r="F1203">
        <f t="shared" si="73"/>
        <v>46.334713249672028</v>
      </c>
      <c r="G1203">
        <f t="shared" si="76"/>
        <v>1</v>
      </c>
      <c r="H1203" t="s">
        <v>1399</v>
      </c>
      <c r="I1203">
        <v>80.539000000000001</v>
      </c>
      <c r="J1203" t="s">
        <v>1031</v>
      </c>
      <c r="K1203" s="24">
        <v>124</v>
      </c>
      <c r="L1203" s="24">
        <v>100</v>
      </c>
      <c r="M1203">
        <v>242</v>
      </c>
      <c r="N1203" t="s">
        <v>1432</v>
      </c>
      <c r="O1203">
        <v>78</v>
      </c>
      <c r="P1203">
        <v>116</v>
      </c>
      <c r="Q1203" t="s">
        <v>25</v>
      </c>
      <c r="R1203" t="s">
        <v>24</v>
      </c>
      <c r="S1203" t="s">
        <v>39</v>
      </c>
      <c r="T1203" t="s">
        <v>25</v>
      </c>
      <c r="U1203">
        <f t="shared" si="74"/>
        <v>2</v>
      </c>
      <c r="W1203">
        <v>0.501</v>
      </c>
      <c r="X1203" t="s">
        <v>1406</v>
      </c>
      <c r="Y1203">
        <v>124</v>
      </c>
      <c r="Z1203">
        <v>100</v>
      </c>
      <c r="AA1203" t="s">
        <v>40</v>
      </c>
      <c r="AB1203">
        <v>134</v>
      </c>
      <c r="AC1203" s="23">
        <v>1.72</v>
      </c>
      <c r="AD1203" t="str">
        <f>IF(AND('CVD Dataset'!AA1203="Normal",'CVD Dataset'!AB1203&gt;AVERAGE('CVD Dataset'!AB:AB),'CVD Dataset'!AF1203="High"),"High Lipid Category","Normal Category")</f>
        <v>Normal Category</v>
      </c>
      <c r="AF1203" t="s">
        <v>32</v>
      </c>
      <c r="AG1203">
        <v>1</v>
      </c>
      <c r="AH1203" t="s">
        <v>1379</v>
      </c>
      <c r="AI1203">
        <f t="shared" si="75"/>
        <v>1</v>
      </c>
      <c r="AJ1203" t="s">
        <v>1391</v>
      </c>
    </row>
    <row r="1204" spans="1:36" x14ac:dyDescent="0.3">
      <c r="A1204" t="s">
        <v>22</v>
      </c>
      <c r="B1204">
        <v>46</v>
      </c>
      <c r="C1204">
        <v>103.504</v>
      </c>
      <c r="D1204">
        <v>1.5389999999999999</v>
      </c>
      <c r="E1204">
        <v>27.606000000000002</v>
      </c>
      <c r="F1204">
        <f t="shared" si="73"/>
        <v>43.699844755440211</v>
      </c>
      <c r="G1204">
        <f t="shared" si="76"/>
        <v>1</v>
      </c>
      <c r="H1204" t="s">
        <v>1400</v>
      </c>
      <c r="I1204">
        <v>93.716999999999999</v>
      </c>
      <c r="J1204" t="s">
        <v>1032</v>
      </c>
      <c r="K1204" s="24">
        <v>156</v>
      </c>
      <c r="L1204" s="24">
        <v>103</v>
      </c>
      <c r="M1204">
        <v>238</v>
      </c>
      <c r="N1204" t="s">
        <v>1432</v>
      </c>
      <c r="O1204">
        <v>87</v>
      </c>
      <c r="Q1204" t="s">
        <v>24</v>
      </c>
      <c r="R1204" t="s">
        <v>24</v>
      </c>
      <c r="S1204" t="s">
        <v>30</v>
      </c>
      <c r="T1204" t="s">
        <v>25</v>
      </c>
      <c r="U1204">
        <f t="shared" si="74"/>
        <v>1</v>
      </c>
      <c r="V1204">
        <v>153.91800000000001</v>
      </c>
      <c r="W1204">
        <v>0.60899999999999999</v>
      </c>
      <c r="X1204" t="s">
        <v>1409</v>
      </c>
      <c r="Y1204">
        <v>156</v>
      </c>
      <c r="Z1204">
        <v>103</v>
      </c>
      <c r="AA1204" t="s">
        <v>40</v>
      </c>
      <c r="AB1204">
        <v>121</v>
      </c>
      <c r="AC1204" s="23">
        <v>1.39</v>
      </c>
      <c r="AD1204" t="str">
        <f>IF(AND('CVD Dataset'!AA1204="Normal",'CVD Dataset'!AB1204&gt;AVERAGE('CVD Dataset'!AB:AB),'CVD Dataset'!AF1204="High"),"High Lipid Category","Normal Category")</f>
        <v>Normal Category</v>
      </c>
      <c r="AE1204">
        <v>18.081</v>
      </c>
      <c r="AF1204" t="s">
        <v>28</v>
      </c>
      <c r="AG1204">
        <v>0</v>
      </c>
      <c r="AH1204" t="s">
        <v>1380</v>
      </c>
      <c r="AI1204">
        <f t="shared" si="75"/>
        <v>0</v>
      </c>
      <c r="AJ1204" t="s">
        <v>1391</v>
      </c>
    </row>
    <row r="1205" spans="1:36" x14ac:dyDescent="0.3">
      <c r="A1205" t="s">
        <v>33</v>
      </c>
      <c r="B1205">
        <v>33</v>
      </c>
      <c r="C1205">
        <v>74.183999999999997</v>
      </c>
      <c r="D1205">
        <v>1.966</v>
      </c>
      <c r="E1205">
        <v>32.116</v>
      </c>
      <c r="F1205">
        <f t="shared" si="73"/>
        <v>19.193015754085994</v>
      </c>
      <c r="G1205">
        <f t="shared" si="76"/>
        <v>1</v>
      </c>
      <c r="H1205" t="s">
        <v>1399</v>
      </c>
      <c r="I1205">
        <v>88.628</v>
      </c>
      <c r="J1205" t="s">
        <v>1033</v>
      </c>
      <c r="K1205" s="24">
        <v>171</v>
      </c>
      <c r="L1205" s="24">
        <v>76</v>
      </c>
      <c r="M1205">
        <v>242</v>
      </c>
      <c r="N1205" t="s">
        <v>1432</v>
      </c>
      <c r="O1205">
        <v>77</v>
      </c>
      <c r="P1205">
        <v>112</v>
      </c>
      <c r="Q1205" t="s">
        <v>25</v>
      </c>
      <c r="R1205" t="s">
        <v>25</v>
      </c>
      <c r="S1205" t="s">
        <v>26</v>
      </c>
      <c r="T1205" t="s">
        <v>24</v>
      </c>
      <c r="U1205">
        <f t="shared" si="74"/>
        <v>3</v>
      </c>
      <c r="V1205">
        <v>196.58099999999999</v>
      </c>
      <c r="W1205">
        <v>0.45100000000000001</v>
      </c>
      <c r="X1205" t="s">
        <v>1408</v>
      </c>
      <c r="Y1205">
        <v>171</v>
      </c>
      <c r="Z1205">
        <v>76</v>
      </c>
      <c r="AA1205" t="s">
        <v>40</v>
      </c>
      <c r="AB1205">
        <v>135</v>
      </c>
      <c r="AC1205" s="23">
        <v>1.75</v>
      </c>
      <c r="AD1205" t="str">
        <f>IF(AND('CVD Dataset'!AA1205="Normal",'CVD Dataset'!AB1205&gt;AVERAGE('CVD Dataset'!AB:AB),'CVD Dataset'!AF1205="High"),"High Lipid Category","Normal Category")</f>
        <v>Normal Category</v>
      </c>
      <c r="AE1205">
        <v>21.812999999999999</v>
      </c>
      <c r="AF1205" t="s">
        <v>32</v>
      </c>
      <c r="AG1205">
        <v>1</v>
      </c>
      <c r="AH1205" t="s">
        <v>1379</v>
      </c>
      <c r="AI1205">
        <f t="shared" si="75"/>
        <v>1</v>
      </c>
      <c r="AJ1205" t="s">
        <v>1391</v>
      </c>
    </row>
    <row r="1206" spans="1:36" x14ac:dyDescent="0.3">
      <c r="A1206" t="s">
        <v>22</v>
      </c>
      <c r="B1206">
        <v>55</v>
      </c>
      <c r="C1206">
        <v>63.18</v>
      </c>
      <c r="D1206">
        <v>1.954</v>
      </c>
      <c r="F1206">
        <f t="shared" si="73"/>
        <v>16.547428103284449</v>
      </c>
      <c r="G1206">
        <f t="shared" si="76"/>
        <v>1</v>
      </c>
      <c r="H1206" t="s">
        <v>1401</v>
      </c>
      <c r="I1206">
        <v>74.63</v>
      </c>
      <c r="J1206" t="s">
        <v>1034</v>
      </c>
      <c r="K1206" s="24">
        <v>152</v>
      </c>
      <c r="L1206" s="24">
        <v>61</v>
      </c>
      <c r="M1206">
        <v>246</v>
      </c>
      <c r="N1206" t="s">
        <v>1432</v>
      </c>
      <c r="O1206">
        <v>73</v>
      </c>
      <c r="P1206">
        <v>122</v>
      </c>
      <c r="Q1206" t="s">
        <v>24</v>
      </c>
      <c r="R1206" t="s">
        <v>25</v>
      </c>
      <c r="S1206" t="s">
        <v>26</v>
      </c>
      <c r="T1206" t="s">
        <v>24</v>
      </c>
      <c r="U1206">
        <f t="shared" si="74"/>
        <v>2</v>
      </c>
      <c r="V1206">
        <v>195.43700000000001</v>
      </c>
      <c r="X1206" t="s">
        <v>1410</v>
      </c>
      <c r="Y1206">
        <v>152</v>
      </c>
      <c r="Z1206">
        <v>61</v>
      </c>
      <c r="AA1206" t="s">
        <v>40</v>
      </c>
      <c r="AB1206">
        <v>143</v>
      </c>
      <c r="AC1206" s="23">
        <v>1.96</v>
      </c>
      <c r="AD1206" t="str">
        <f>IF(AND('CVD Dataset'!AA1206="Normal",'CVD Dataset'!AB1206&gt;AVERAGE('CVD Dataset'!AB:AB),'CVD Dataset'!AF1206="High"),"High Lipid Category","Normal Category")</f>
        <v>Normal Category</v>
      </c>
      <c r="AE1206">
        <v>19.07</v>
      </c>
      <c r="AF1206" t="s">
        <v>28</v>
      </c>
      <c r="AG1206">
        <v>0</v>
      </c>
      <c r="AH1206" t="s">
        <v>1380</v>
      </c>
      <c r="AI1206">
        <f t="shared" si="75"/>
        <v>0</v>
      </c>
      <c r="AJ1206" t="s">
        <v>1392</v>
      </c>
    </row>
    <row r="1207" spans="1:36" x14ac:dyDescent="0.3">
      <c r="A1207" t="s">
        <v>22</v>
      </c>
      <c r="B1207">
        <v>51</v>
      </c>
      <c r="C1207">
        <v>81.921999999999997</v>
      </c>
      <c r="D1207">
        <v>1.5660000000000001</v>
      </c>
      <c r="E1207">
        <v>29.849</v>
      </c>
      <c r="F1207">
        <f t="shared" si="73"/>
        <v>33.405427270755141</v>
      </c>
      <c r="G1207">
        <f t="shared" si="76"/>
        <v>1</v>
      </c>
      <c r="H1207" t="s">
        <v>1400</v>
      </c>
      <c r="I1207">
        <v>89.554000000000002</v>
      </c>
      <c r="J1207" t="s">
        <v>1035</v>
      </c>
      <c r="K1207" s="24">
        <v>95</v>
      </c>
      <c r="L1207" s="24">
        <v>115</v>
      </c>
      <c r="M1207">
        <v>195</v>
      </c>
      <c r="N1207" t="s">
        <v>1432</v>
      </c>
      <c r="O1207">
        <v>87</v>
      </c>
      <c r="P1207">
        <v>112</v>
      </c>
      <c r="Q1207" t="s">
        <v>24</v>
      </c>
      <c r="R1207" t="s">
        <v>25</v>
      </c>
      <c r="S1207" t="s">
        <v>39</v>
      </c>
      <c r="T1207" t="s">
        <v>24</v>
      </c>
      <c r="U1207">
        <f t="shared" si="74"/>
        <v>1</v>
      </c>
      <c r="V1207">
        <v>156.60300000000001</v>
      </c>
      <c r="W1207">
        <v>0.57199999999999995</v>
      </c>
      <c r="X1207" t="s">
        <v>1407</v>
      </c>
      <c r="Y1207">
        <v>95</v>
      </c>
      <c r="Z1207">
        <v>115</v>
      </c>
      <c r="AA1207" t="s">
        <v>40</v>
      </c>
      <c r="AB1207">
        <v>78</v>
      </c>
      <c r="AC1207" s="23">
        <v>0.9</v>
      </c>
      <c r="AD1207" t="str">
        <f>IF(AND('CVD Dataset'!AA1207="Normal",'CVD Dataset'!AB1207&gt;AVERAGE('CVD Dataset'!AB:AB),'CVD Dataset'!AF1207="High"),"High Lipid Category","Normal Category")</f>
        <v>Normal Category</v>
      </c>
      <c r="AF1207" t="s">
        <v>54</v>
      </c>
      <c r="AG1207">
        <v>0</v>
      </c>
      <c r="AH1207" t="s">
        <v>1380</v>
      </c>
      <c r="AI1207">
        <f t="shared" si="75"/>
        <v>0</v>
      </c>
      <c r="AJ1207" t="s">
        <v>1392</v>
      </c>
    </row>
    <row r="1208" spans="1:36" x14ac:dyDescent="0.3">
      <c r="A1208" t="s">
        <v>33</v>
      </c>
      <c r="C1208">
        <v>59.493000000000002</v>
      </c>
      <c r="D1208">
        <v>1.8959999999999999</v>
      </c>
      <c r="E1208">
        <v>25.012</v>
      </c>
      <c r="F1208">
        <f t="shared" si="73"/>
        <v>16.549664850718369</v>
      </c>
      <c r="G1208">
        <f t="shared" si="76"/>
        <v>1</v>
      </c>
      <c r="H1208" t="s">
        <v>1400</v>
      </c>
      <c r="I1208">
        <v>83.275999999999996</v>
      </c>
      <c r="J1208" t="s">
        <v>1036</v>
      </c>
      <c r="K1208" s="24">
        <v>120</v>
      </c>
      <c r="L1208" s="24">
        <v>61</v>
      </c>
      <c r="M1208">
        <v>226</v>
      </c>
      <c r="N1208" t="s">
        <v>1432</v>
      </c>
      <c r="O1208">
        <v>83</v>
      </c>
      <c r="P1208">
        <v>174</v>
      </c>
      <c r="Q1208" t="s">
        <v>25</v>
      </c>
      <c r="R1208" t="s">
        <v>24</v>
      </c>
      <c r="S1208" t="s">
        <v>39</v>
      </c>
      <c r="T1208" t="s">
        <v>24</v>
      </c>
      <c r="U1208">
        <f t="shared" si="74"/>
        <v>1</v>
      </c>
      <c r="V1208">
        <v>189.58699999999999</v>
      </c>
      <c r="W1208">
        <v>0.439</v>
      </c>
      <c r="X1208" t="s">
        <v>1408</v>
      </c>
      <c r="Y1208">
        <v>120</v>
      </c>
      <c r="Z1208">
        <v>61</v>
      </c>
      <c r="AA1208" t="s">
        <v>27</v>
      </c>
      <c r="AB1208">
        <v>113</v>
      </c>
      <c r="AC1208" s="23">
        <v>1.36</v>
      </c>
      <c r="AD1208" t="str">
        <f>IF(AND('CVD Dataset'!AA1208="Normal",'CVD Dataset'!AB1208&gt;AVERAGE('CVD Dataset'!AB:AB),'CVD Dataset'!AF1208="High"),"High Lipid Category","Normal Category")</f>
        <v>Normal Category</v>
      </c>
      <c r="AE1208">
        <v>15.522</v>
      </c>
      <c r="AF1208" t="s">
        <v>54</v>
      </c>
      <c r="AG1208">
        <v>0</v>
      </c>
      <c r="AH1208" t="s">
        <v>1380</v>
      </c>
      <c r="AI1208">
        <f t="shared" si="75"/>
        <v>0</v>
      </c>
      <c r="AJ1208" t="s">
        <v>1391</v>
      </c>
    </row>
    <row r="1209" spans="1:36" x14ac:dyDescent="0.3">
      <c r="A1209" t="s">
        <v>33</v>
      </c>
      <c r="B1209">
        <v>73</v>
      </c>
      <c r="C1209">
        <v>117.136</v>
      </c>
      <c r="D1209">
        <v>1.637</v>
      </c>
      <c r="E1209">
        <v>30.518000000000001</v>
      </c>
      <c r="F1209">
        <f t="shared" si="73"/>
        <v>43.711230333659358</v>
      </c>
      <c r="G1209">
        <f t="shared" si="76"/>
        <v>1</v>
      </c>
      <c r="H1209" t="s">
        <v>1399</v>
      </c>
      <c r="I1209">
        <v>105.836</v>
      </c>
      <c r="J1209" t="s">
        <v>1037</v>
      </c>
      <c r="K1209" s="24">
        <v>168</v>
      </c>
      <c r="L1209" s="24">
        <v>61</v>
      </c>
      <c r="N1209" t="s">
        <v>1434</v>
      </c>
      <c r="O1209">
        <v>83</v>
      </c>
      <c r="P1209">
        <v>106</v>
      </c>
      <c r="Q1209" t="s">
        <v>24</v>
      </c>
      <c r="R1209" t="s">
        <v>25</v>
      </c>
      <c r="S1209" t="s">
        <v>26</v>
      </c>
      <c r="T1209" t="s">
        <v>24</v>
      </c>
      <c r="U1209">
        <f t="shared" si="74"/>
        <v>2</v>
      </c>
      <c r="V1209">
        <v>163.70599999999999</v>
      </c>
      <c r="W1209">
        <v>0.64700000000000002</v>
      </c>
      <c r="X1209" t="s">
        <v>1409</v>
      </c>
      <c r="Y1209">
        <v>168</v>
      </c>
      <c r="Z1209">
        <v>61</v>
      </c>
      <c r="AA1209" t="s">
        <v>40</v>
      </c>
      <c r="AB1209">
        <v>99</v>
      </c>
      <c r="AC1209" s="23">
        <v>1.19</v>
      </c>
      <c r="AD1209" t="str">
        <f>IF(AND('CVD Dataset'!AA1209="Normal",'CVD Dataset'!AB1209&gt;AVERAGE('CVD Dataset'!AB:AB),'CVD Dataset'!AF1209="High"),"High Lipid Category","Normal Category")</f>
        <v>Normal Category</v>
      </c>
      <c r="AE1209">
        <v>20.744</v>
      </c>
      <c r="AF1209" t="s">
        <v>32</v>
      </c>
      <c r="AG1209">
        <v>1</v>
      </c>
      <c r="AH1209" t="s">
        <v>1379</v>
      </c>
      <c r="AI1209">
        <f t="shared" si="75"/>
        <v>1</v>
      </c>
      <c r="AJ1209" t="s">
        <v>1392</v>
      </c>
    </row>
    <row r="1210" spans="1:36" x14ac:dyDescent="0.3">
      <c r="A1210" t="s">
        <v>22</v>
      </c>
      <c r="B1210">
        <v>28</v>
      </c>
      <c r="C1210">
        <v>116.072</v>
      </c>
      <c r="D1210">
        <v>1.508</v>
      </c>
      <c r="E1210">
        <v>19.613</v>
      </c>
      <c r="F1210">
        <f t="shared" si="73"/>
        <v>51.041659337643971</v>
      </c>
      <c r="G1210">
        <f t="shared" si="76"/>
        <v>1</v>
      </c>
      <c r="H1210" t="s">
        <v>1398</v>
      </c>
      <c r="I1210">
        <v>94.575999999999993</v>
      </c>
      <c r="J1210" t="s">
        <v>1038</v>
      </c>
      <c r="K1210" s="24">
        <v>97</v>
      </c>
      <c r="L1210" s="24">
        <v>101</v>
      </c>
      <c r="M1210">
        <v>143</v>
      </c>
      <c r="N1210" t="s">
        <v>1434</v>
      </c>
      <c r="O1210">
        <v>50</v>
      </c>
      <c r="P1210">
        <v>120</v>
      </c>
      <c r="Q1210" t="s">
        <v>24</v>
      </c>
      <c r="R1210" t="s">
        <v>24</v>
      </c>
      <c r="S1210" t="s">
        <v>26</v>
      </c>
      <c r="T1210" t="s">
        <v>24</v>
      </c>
      <c r="U1210">
        <f t="shared" si="74"/>
        <v>1</v>
      </c>
      <c r="V1210">
        <v>150.81</v>
      </c>
      <c r="W1210">
        <v>0.627</v>
      </c>
      <c r="X1210" t="s">
        <v>1409</v>
      </c>
      <c r="Y1210">
        <v>97</v>
      </c>
      <c r="Z1210">
        <v>101</v>
      </c>
      <c r="AA1210" t="s">
        <v>40</v>
      </c>
      <c r="AB1210">
        <v>63</v>
      </c>
      <c r="AC1210" s="23">
        <v>1.26</v>
      </c>
      <c r="AD1210" t="str">
        <f>IF(AND('CVD Dataset'!AA1210="Normal",'CVD Dataset'!AB1210&gt;AVERAGE('CVD Dataset'!AB:AB),'CVD Dataset'!AF1210="High"),"High Lipid Category","Normal Category")</f>
        <v>Normal Category</v>
      </c>
      <c r="AE1210">
        <v>11.632999999999999</v>
      </c>
      <c r="AF1210" t="s">
        <v>54</v>
      </c>
      <c r="AG1210">
        <v>0</v>
      </c>
      <c r="AH1210" t="s">
        <v>1380</v>
      </c>
      <c r="AI1210">
        <f t="shared" si="75"/>
        <v>0</v>
      </c>
      <c r="AJ1210" t="s">
        <v>1391</v>
      </c>
    </row>
    <row r="1211" spans="1:36" x14ac:dyDescent="0.3">
      <c r="A1211" t="s">
        <v>22</v>
      </c>
      <c r="B1211">
        <v>66</v>
      </c>
      <c r="C1211">
        <v>99.887</v>
      </c>
      <c r="D1211">
        <v>1.738</v>
      </c>
      <c r="E1211">
        <v>29.832999999999998</v>
      </c>
      <c r="F1211">
        <f t="shared" si="73"/>
        <v>33.068113951859274</v>
      </c>
      <c r="G1211">
        <f t="shared" si="76"/>
        <v>1</v>
      </c>
      <c r="H1211" t="s">
        <v>1400</v>
      </c>
      <c r="I1211">
        <v>83.744</v>
      </c>
      <c r="J1211" t="s">
        <v>1039</v>
      </c>
      <c r="K1211" s="24">
        <v>144</v>
      </c>
      <c r="L1211" s="24">
        <v>105</v>
      </c>
      <c r="M1211">
        <v>283</v>
      </c>
      <c r="N1211" t="s">
        <v>1432</v>
      </c>
      <c r="O1211">
        <v>82</v>
      </c>
      <c r="P1211">
        <v>122</v>
      </c>
      <c r="Q1211" t="s">
        <v>25</v>
      </c>
      <c r="R1211" t="s">
        <v>25</v>
      </c>
      <c r="S1211" t="s">
        <v>26</v>
      </c>
      <c r="T1211" t="s">
        <v>25</v>
      </c>
      <c r="U1211">
        <f t="shared" si="74"/>
        <v>4</v>
      </c>
      <c r="V1211">
        <v>173.839</v>
      </c>
      <c r="W1211">
        <v>0.48199999999999998</v>
      </c>
      <c r="X1211" t="s">
        <v>1406</v>
      </c>
      <c r="Y1211">
        <v>144</v>
      </c>
      <c r="Z1211">
        <v>105</v>
      </c>
      <c r="AA1211" t="s">
        <v>40</v>
      </c>
      <c r="AB1211">
        <v>171</v>
      </c>
      <c r="AC1211" s="23">
        <v>2.09</v>
      </c>
      <c r="AD1211" t="str">
        <f>IF(AND('CVD Dataset'!AA1211="Normal",'CVD Dataset'!AB1211&gt;AVERAGE('CVD Dataset'!AB:AB),'CVD Dataset'!AF1211="High"),"High Lipid Category","Normal Category")</f>
        <v>Normal Category</v>
      </c>
      <c r="AE1211">
        <v>20.827000000000002</v>
      </c>
      <c r="AF1211" t="s">
        <v>28</v>
      </c>
      <c r="AG1211">
        <v>0</v>
      </c>
      <c r="AH1211" t="s">
        <v>1380</v>
      </c>
      <c r="AI1211">
        <f t="shared" si="75"/>
        <v>0</v>
      </c>
      <c r="AJ1211" t="s">
        <v>1392</v>
      </c>
    </row>
    <row r="1212" spans="1:36" x14ac:dyDescent="0.3">
      <c r="A1212" t="s">
        <v>22</v>
      </c>
      <c r="B1212">
        <v>74</v>
      </c>
      <c r="C1212">
        <v>68.647999999999996</v>
      </c>
      <c r="D1212">
        <v>1.665</v>
      </c>
      <c r="F1212">
        <f t="shared" si="73"/>
        <v>24.762780798816831</v>
      </c>
      <c r="G1212">
        <f t="shared" si="76"/>
        <v>1</v>
      </c>
      <c r="H1212" t="s">
        <v>1401</v>
      </c>
      <c r="J1212" t="s">
        <v>1040</v>
      </c>
      <c r="K1212" s="24">
        <v>152</v>
      </c>
      <c r="L1212" s="24">
        <v>108</v>
      </c>
      <c r="M1212">
        <v>111</v>
      </c>
      <c r="N1212" t="s">
        <v>1434</v>
      </c>
      <c r="O1212">
        <v>64</v>
      </c>
      <c r="P1212">
        <v>198</v>
      </c>
      <c r="Q1212" t="s">
        <v>24</v>
      </c>
      <c r="R1212" t="s">
        <v>25</v>
      </c>
      <c r="S1212" t="s">
        <v>26</v>
      </c>
      <c r="T1212" t="s">
        <v>24</v>
      </c>
      <c r="U1212">
        <f t="shared" si="74"/>
        <v>2</v>
      </c>
      <c r="V1212">
        <v>166.536</v>
      </c>
      <c r="W1212">
        <v>0.66800000000000004</v>
      </c>
      <c r="X1212" t="s">
        <v>1409</v>
      </c>
      <c r="Z1212">
        <v>108</v>
      </c>
      <c r="AA1212" t="s">
        <v>40</v>
      </c>
      <c r="AB1212">
        <v>17</v>
      </c>
      <c r="AC1212" s="23">
        <v>0.27</v>
      </c>
      <c r="AD1212" t="str">
        <f>IF(AND('CVD Dataset'!AA1212="Normal",'CVD Dataset'!AB1212&gt;AVERAGE('CVD Dataset'!AB:AB),'CVD Dataset'!AF1212="High"),"High Lipid Category","Normal Category")</f>
        <v>Normal Category</v>
      </c>
      <c r="AE1212">
        <v>17.794</v>
      </c>
      <c r="AF1212" t="s">
        <v>54</v>
      </c>
      <c r="AG1212">
        <v>0</v>
      </c>
      <c r="AH1212" t="s">
        <v>1380</v>
      </c>
      <c r="AI1212">
        <f t="shared" si="75"/>
        <v>0</v>
      </c>
      <c r="AJ1212" t="s">
        <v>1392</v>
      </c>
    </row>
    <row r="1213" spans="1:36" x14ac:dyDescent="0.3">
      <c r="A1213" t="s">
        <v>33</v>
      </c>
      <c r="B1213">
        <v>44</v>
      </c>
      <c r="C1213">
        <v>106.965</v>
      </c>
      <c r="D1213">
        <v>1.8680000000000001</v>
      </c>
      <c r="E1213">
        <v>37.476999999999997</v>
      </c>
      <c r="F1213">
        <f t="shared" si="73"/>
        <v>30.654056371481364</v>
      </c>
      <c r="G1213">
        <f t="shared" si="76"/>
        <v>1</v>
      </c>
      <c r="H1213" t="s">
        <v>1399</v>
      </c>
      <c r="I1213">
        <v>113.002</v>
      </c>
      <c r="J1213" t="s">
        <v>1041</v>
      </c>
      <c r="K1213" s="24">
        <v>156</v>
      </c>
      <c r="L1213" s="24">
        <v>68</v>
      </c>
      <c r="M1213">
        <v>295</v>
      </c>
      <c r="N1213" t="s">
        <v>1432</v>
      </c>
      <c r="O1213">
        <v>88</v>
      </c>
      <c r="P1213">
        <v>151</v>
      </c>
      <c r="Q1213" t="s">
        <v>25</v>
      </c>
      <c r="R1213" t="s">
        <v>25</v>
      </c>
      <c r="S1213" t="s">
        <v>26</v>
      </c>
      <c r="T1213" t="s">
        <v>24</v>
      </c>
      <c r="U1213">
        <f t="shared" si="74"/>
        <v>3</v>
      </c>
      <c r="V1213">
        <v>186.762</v>
      </c>
      <c r="W1213">
        <v>0.60499999999999998</v>
      </c>
      <c r="X1213" t="s">
        <v>1409</v>
      </c>
      <c r="Y1213">
        <v>156</v>
      </c>
      <c r="Z1213">
        <v>68</v>
      </c>
      <c r="AA1213" t="s">
        <v>40</v>
      </c>
      <c r="AB1213">
        <v>177</v>
      </c>
      <c r="AC1213" s="23">
        <v>2.0099999999999998</v>
      </c>
      <c r="AD1213" t="str">
        <f>IF(AND('CVD Dataset'!AA1213="Normal",'CVD Dataset'!AB1213&gt;AVERAGE('CVD Dataset'!AB:AB),'CVD Dataset'!AF1213="High"),"High Lipid Category","Normal Category")</f>
        <v>Normal Category</v>
      </c>
      <c r="AE1213">
        <v>23.195</v>
      </c>
      <c r="AF1213" t="s">
        <v>32</v>
      </c>
      <c r="AG1213">
        <v>1</v>
      </c>
      <c r="AH1213" t="s">
        <v>1379</v>
      </c>
      <c r="AI1213">
        <f t="shared" si="75"/>
        <v>1</v>
      </c>
      <c r="AJ1213" t="s">
        <v>1391</v>
      </c>
    </row>
    <row r="1214" spans="1:36" x14ac:dyDescent="0.3">
      <c r="A1214" t="s">
        <v>22</v>
      </c>
      <c r="B1214">
        <v>61</v>
      </c>
      <c r="C1214">
        <v>57.841000000000001</v>
      </c>
      <c r="D1214">
        <v>1.7889999999999999</v>
      </c>
      <c r="E1214">
        <v>27.015000000000001</v>
      </c>
      <c r="F1214">
        <f t="shared" si="73"/>
        <v>18.072370092244359</v>
      </c>
      <c r="G1214">
        <f t="shared" si="76"/>
        <v>1</v>
      </c>
      <c r="H1214" t="s">
        <v>1400</v>
      </c>
      <c r="I1214">
        <v>70.902000000000001</v>
      </c>
      <c r="J1214" t="s">
        <v>1014</v>
      </c>
      <c r="K1214" s="24">
        <v>154</v>
      </c>
      <c r="L1214" s="24">
        <v>71</v>
      </c>
      <c r="M1214">
        <v>280</v>
      </c>
      <c r="N1214" t="s">
        <v>1432</v>
      </c>
      <c r="O1214">
        <v>77</v>
      </c>
      <c r="P1214">
        <v>187</v>
      </c>
      <c r="Q1214" t="s">
        <v>25</v>
      </c>
      <c r="R1214" t="s">
        <v>24</v>
      </c>
      <c r="S1214" t="s">
        <v>26</v>
      </c>
      <c r="T1214" t="s">
        <v>24</v>
      </c>
      <c r="U1214">
        <f t="shared" si="74"/>
        <v>2</v>
      </c>
      <c r="V1214">
        <v>178.887</v>
      </c>
      <c r="X1214" t="s">
        <v>1410</v>
      </c>
      <c r="Y1214">
        <v>154</v>
      </c>
      <c r="Z1214">
        <v>71</v>
      </c>
      <c r="AA1214" t="s">
        <v>40</v>
      </c>
      <c r="AB1214">
        <v>173</v>
      </c>
      <c r="AC1214" s="23">
        <v>2.25</v>
      </c>
      <c r="AD1214" t="str">
        <f>IF(AND('CVD Dataset'!AA1214="Normal",'CVD Dataset'!AB1214&gt;AVERAGE('CVD Dataset'!AB:AB),'CVD Dataset'!AF1214="High"),"High Lipid Category","Normal Category")</f>
        <v>Normal Category</v>
      </c>
      <c r="AE1214">
        <v>18.702999999999999</v>
      </c>
      <c r="AF1214" t="s">
        <v>32</v>
      </c>
      <c r="AG1214">
        <v>1</v>
      </c>
      <c r="AH1214" t="s">
        <v>1379</v>
      </c>
      <c r="AI1214">
        <f t="shared" si="75"/>
        <v>1</v>
      </c>
      <c r="AJ1214" t="s">
        <v>1391</v>
      </c>
    </row>
    <row r="1215" spans="1:36" x14ac:dyDescent="0.3">
      <c r="A1215" t="s">
        <v>33</v>
      </c>
      <c r="B1215">
        <v>32</v>
      </c>
      <c r="C1215">
        <v>51.237000000000002</v>
      </c>
      <c r="D1215">
        <v>1.544</v>
      </c>
      <c r="E1215">
        <v>21.132999999999999</v>
      </c>
      <c r="F1215">
        <f t="shared" si="73"/>
        <v>21.492607184085475</v>
      </c>
      <c r="G1215">
        <f t="shared" si="76"/>
        <v>1</v>
      </c>
      <c r="H1215" t="s">
        <v>1398</v>
      </c>
      <c r="I1215">
        <v>72.805999999999997</v>
      </c>
      <c r="J1215" t="s">
        <v>1042</v>
      </c>
      <c r="K1215" s="24">
        <v>146</v>
      </c>
      <c r="L1215" s="24">
        <v>118</v>
      </c>
      <c r="M1215">
        <v>122</v>
      </c>
      <c r="N1215" t="s">
        <v>1434</v>
      </c>
      <c r="O1215">
        <v>47</v>
      </c>
      <c r="P1215">
        <v>176</v>
      </c>
      <c r="Q1215" t="s">
        <v>24</v>
      </c>
      <c r="R1215" t="s">
        <v>25</v>
      </c>
      <c r="S1215" t="s">
        <v>26</v>
      </c>
      <c r="T1215" t="s">
        <v>24</v>
      </c>
      <c r="U1215">
        <f t="shared" si="74"/>
        <v>2</v>
      </c>
      <c r="V1215">
        <v>154.43</v>
      </c>
      <c r="W1215">
        <v>0.47099999999999997</v>
      </c>
      <c r="X1215" t="s">
        <v>1406</v>
      </c>
      <c r="Y1215">
        <v>146</v>
      </c>
      <c r="Z1215">
        <v>118</v>
      </c>
      <c r="AA1215" t="s">
        <v>40</v>
      </c>
      <c r="AB1215">
        <v>45</v>
      </c>
      <c r="AC1215" s="23">
        <v>0.96</v>
      </c>
      <c r="AD1215" t="str">
        <f>IF(AND('CVD Dataset'!AA1215="Normal",'CVD Dataset'!AB1215&gt;AVERAGE('CVD Dataset'!AB:AB),'CVD Dataset'!AF1215="High"),"High Lipid Category","Normal Category")</f>
        <v>Normal Category</v>
      </c>
      <c r="AE1215">
        <v>15.967000000000001</v>
      </c>
      <c r="AF1215" t="s">
        <v>54</v>
      </c>
      <c r="AG1215">
        <v>0</v>
      </c>
      <c r="AH1215" t="s">
        <v>1380</v>
      </c>
      <c r="AI1215">
        <f t="shared" si="75"/>
        <v>0</v>
      </c>
      <c r="AJ1215" t="s">
        <v>1391</v>
      </c>
    </row>
    <row r="1216" spans="1:36" x14ac:dyDescent="0.3">
      <c r="A1216" t="s">
        <v>33</v>
      </c>
      <c r="B1216">
        <v>79</v>
      </c>
      <c r="C1216">
        <v>84.51</v>
      </c>
      <c r="D1216">
        <v>1.6839999999999999</v>
      </c>
      <c r="E1216">
        <v>19.545999999999999</v>
      </c>
      <c r="F1216">
        <f t="shared" si="73"/>
        <v>29.800525837701215</v>
      </c>
      <c r="G1216">
        <f t="shared" si="76"/>
        <v>1</v>
      </c>
      <c r="H1216" t="s">
        <v>1398</v>
      </c>
      <c r="I1216">
        <v>97.86</v>
      </c>
      <c r="J1216" t="s">
        <v>1043</v>
      </c>
      <c r="K1216" s="24">
        <v>157</v>
      </c>
      <c r="L1216" s="24">
        <v>65</v>
      </c>
      <c r="M1216">
        <v>115</v>
      </c>
      <c r="N1216" t="s">
        <v>1434</v>
      </c>
      <c r="O1216">
        <v>63</v>
      </c>
      <c r="P1216">
        <v>120</v>
      </c>
      <c r="Q1216" t="s">
        <v>24</v>
      </c>
      <c r="R1216" t="s">
        <v>24</v>
      </c>
      <c r="S1216" t="s">
        <v>39</v>
      </c>
      <c r="T1216" t="s">
        <v>24</v>
      </c>
      <c r="U1216">
        <f t="shared" si="74"/>
        <v>0</v>
      </c>
      <c r="V1216">
        <v>168.44399999999999</v>
      </c>
      <c r="W1216">
        <v>0.58099999999999996</v>
      </c>
      <c r="X1216" t="s">
        <v>1407</v>
      </c>
      <c r="Y1216">
        <v>157</v>
      </c>
      <c r="Z1216">
        <v>65</v>
      </c>
      <c r="AA1216" t="s">
        <v>40</v>
      </c>
      <c r="AB1216">
        <v>22</v>
      </c>
      <c r="AC1216" s="23">
        <v>0.35</v>
      </c>
      <c r="AD1216" t="str">
        <f>IF(AND('CVD Dataset'!AA1216="Normal",'CVD Dataset'!AB1216&gt;AVERAGE('CVD Dataset'!AB:AB),'CVD Dataset'!AF1216="High"),"High Lipid Category","Normal Category")</f>
        <v>Normal Category</v>
      </c>
      <c r="AE1216">
        <v>14.058999999999999</v>
      </c>
      <c r="AF1216" t="s">
        <v>28</v>
      </c>
      <c r="AG1216">
        <v>0</v>
      </c>
      <c r="AH1216" t="s">
        <v>1380</v>
      </c>
      <c r="AI1216">
        <f t="shared" si="75"/>
        <v>0</v>
      </c>
      <c r="AJ1216" t="s">
        <v>1391</v>
      </c>
    </row>
    <row r="1217" spans="1:36" x14ac:dyDescent="0.3">
      <c r="A1217" t="s">
        <v>22</v>
      </c>
      <c r="B1217">
        <v>29</v>
      </c>
      <c r="D1217">
        <v>1.6719999999999999</v>
      </c>
      <c r="E1217">
        <v>39.011000000000003</v>
      </c>
      <c r="F1217">
        <f t="shared" si="73"/>
        <v>0</v>
      </c>
      <c r="G1217">
        <f t="shared" si="76"/>
        <v>1</v>
      </c>
      <c r="H1217" t="s">
        <v>1399</v>
      </c>
      <c r="I1217">
        <v>114.98099999999999</v>
      </c>
      <c r="J1217" t="s">
        <v>1044</v>
      </c>
      <c r="K1217" s="24">
        <v>123</v>
      </c>
      <c r="L1217" s="24">
        <v>114</v>
      </c>
      <c r="M1217">
        <v>175</v>
      </c>
      <c r="N1217" t="s">
        <v>1433</v>
      </c>
      <c r="O1217">
        <v>34</v>
      </c>
      <c r="P1217">
        <v>178</v>
      </c>
      <c r="Q1217" t="s">
        <v>25</v>
      </c>
      <c r="R1217" t="s">
        <v>24</v>
      </c>
      <c r="S1217" t="s">
        <v>30</v>
      </c>
      <c r="T1217" t="s">
        <v>24</v>
      </c>
      <c r="U1217">
        <f t="shared" si="74"/>
        <v>1</v>
      </c>
      <c r="V1217">
        <v>167.22300000000001</v>
      </c>
      <c r="W1217">
        <v>0.68799999999999994</v>
      </c>
      <c r="X1217" t="s">
        <v>1409</v>
      </c>
      <c r="Y1217">
        <v>123</v>
      </c>
      <c r="Z1217">
        <v>114</v>
      </c>
      <c r="AA1217" t="s">
        <v>40</v>
      </c>
      <c r="AB1217">
        <v>111</v>
      </c>
      <c r="AC1217" s="23">
        <v>3.26</v>
      </c>
      <c r="AD1217" t="str">
        <f>IF(AND('CVD Dataset'!AA1217="Normal",'CVD Dataset'!AB1217&gt;AVERAGE('CVD Dataset'!AB:AB),'CVD Dataset'!AF1217="High"),"High Lipid Category","Normal Category")</f>
        <v>Normal Category</v>
      </c>
      <c r="AF1217" t="s">
        <v>54</v>
      </c>
      <c r="AG1217">
        <v>0</v>
      </c>
      <c r="AH1217" t="s">
        <v>1380</v>
      </c>
      <c r="AI1217">
        <f t="shared" si="75"/>
        <v>0</v>
      </c>
      <c r="AJ1217" t="s">
        <v>1391</v>
      </c>
    </row>
    <row r="1218" spans="1:36" x14ac:dyDescent="0.3">
      <c r="A1218" t="s">
        <v>22</v>
      </c>
      <c r="B1218">
        <v>75</v>
      </c>
      <c r="C1218">
        <v>119.42100000000001</v>
      </c>
      <c r="D1218">
        <v>1.6140000000000001</v>
      </c>
      <c r="E1218">
        <v>20.669</v>
      </c>
      <c r="F1218">
        <f t="shared" si="73"/>
        <v>45.843064634264309</v>
      </c>
      <c r="G1218">
        <f t="shared" si="76"/>
        <v>1</v>
      </c>
      <c r="H1218" t="s">
        <v>1398</v>
      </c>
      <c r="I1218">
        <v>100.03</v>
      </c>
      <c r="J1218" t="s">
        <v>1045</v>
      </c>
      <c r="K1218" s="24">
        <v>111</v>
      </c>
      <c r="L1218" s="24">
        <v>82</v>
      </c>
      <c r="M1218">
        <v>163</v>
      </c>
      <c r="N1218" t="s">
        <v>1433</v>
      </c>
      <c r="O1218">
        <v>42</v>
      </c>
      <c r="Q1218" t="s">
        <v>24</v>
      </c>
      <c r="R1218" t="s">
        <v>24</v>
      </c>
      <c r="S1218" t="s">
        <v>26</v>
      </c>
      <c r="T1218" t="s">
        <v>25</v>
      </c>
      <c r="U1218">
        <f t="shared" si="74"/>
        <v>2</v>
      </c>
      <c r="V1218">
        <v>161.39099999999999</v>
      </c>
      <c r="W1218">
        <v>0.62</v>
      </c>
      <c r="X1218" t="s">
        <v>1409</v>
      </c>
      <c r="Y1218">
        <v>111</v>
      </c>
      <c r="Z1218">
        <v>82</v>
      </c>
      <c r="AA1218" t="s">
        <v>31</v>
      </c>
      <c r="AB1218">
        <v>91</v>
      </c>
      <c r="AC1218" s="23">
        <v>2.17</v>
      </c>
      <c r="AD1218" t="str">
        <f>IF(AND('CVD Dataset'!AA1218="Normal",'CVD Dataset'!AB1218&gt;AVERAGE('CVD Dataset'!AB:AB),'CVD Dataset'!AF1218="High"),"High Lipid Category","Normal Category")</f>
        <v>Normal Category</v>
      </c>
      <c r="AE1218">
        <v>12.944000000000001</v>
      </c>
      <c r="AF1218" t="s">
        <v>54</v>
      </c>
      <c r="AG1218">
        <v>0</v>
      </c>
      <c r="AH1218" t="s">
        <v>1380</v>
      </c>
      <c r="AI1218">
        <f t="shared" si="75"/>
        <v>0</v>
      </c>
      <c r="AJ1218" t="s">
        <v>1391</v>
      </c>
    </row>
    <row r="1219" spans="1:36" x14ac:dyDescent="0.3">
      <c r="A1219" t="s">
        <v>33</v>
      </c>
      <c r="B1219">
        <v>39</v>
      </c>
      <c r="C1219">
        <v>89.867999999999995</v>
      </c>
      <c r="D1219">
        <v>1.8640000000000001</v>
      </c>
      <c r="E1219">
        <v>38.767000000000003</v>
      </c>
      <c r="F1219">
        <f t="shared" ref="F1219:F1282" si="77">IFERROR(C1219/POWER(D1219,2),"")</f>
        <v>25.865046326143414</v>
      </c>
      <c r="G1219">
        <f t="shared" si="76"/>
        <v>1</v>
      </c>
      <c r="H1219" t="s">
        <v>1399</v>
      </c>
      <c r="I1219">
        <v>97.74</v>
      </c>
      <c r="J1219" t="s">
        <v>1046</v>
      </c>
      <c r="K1219" s="24">
        <v>178</v>
      </c>
      <c r="L1219" s="24">
        <v>111</v>
      </c>
      <c r="M1219">
        <v>169</v>
      </c>
      <c r="N1219" t="s">
        <v>1433</v>
      </c>
      <c r="O1219">
        <v>38</v>
      </c>
      <c r="P1219">
        <v>154</v>
      </c>
      <c r="Q1219" t="s">
        <v>24</v>
      </c>
      <c r="R1219" t="s">
        <v>25</v>
      </c>
      <c r="S1219" t="s">
        <v>26</v>
      </c>
      <c r="T1219" t="s">
        <v>24</v>
      </c>
      <c r="U1219">
        <f t="shared" ref="U1219:U1282" si="78">SUM(IF(Q1219="Y",1,0),IF(R1219="Y",1,0),IF(S1219="Low",1,0),IF(T1219="Y",1,0))</f>
        <v>2</v>
      </c>
      <c r="V1219">
        <v>186.38399999999999</v>
      </c>
      <c r="W1219">
        <v>0.52400000000000002</v>
      </c>
      <c r="X1219" t="s">
        <v>1407</v>
      </c>
      <c r="Y1219">
        <v>178</v>
      </c>
      <c r="Z1219">
        <v>111</v>
      </c>
      <c r="AA1219" t="s">
        <v>40</v>
      </c>
      <c r="AB1219">
        <v>101</v>
      </c>
      <c r="AC1219" s="23">
        <v>2.66</v>
      </c>
      <c r="AD1219" t="str">
        <f>IF(AND('CVD Dataset'!AA1219="Normal",'CVD Dataset'!AB1219&gt;AVERAGE('CVD Dataset'!AB:AB),'CVD Dataset'!AF1219="High"),"High Lipid Category","Normal Category")</f>
        <v>Normal Category</v>
      </c>
      <c r="AE1219">
        <v>22.033000000000001</v>
      </c>
      <c r="AF1219" t="s">
        <v>54</v>
      </c>
      <c r="AG1219">
        <v>0</v>
      </c>
      <c r="AH1219" t="s">
        <v>1380</v>
      </c>
      <c r="AI1219">
        <f t="shared" ref="AI1219:AI1282" si="79">IF(AF1219="HIGH",1,0)</f>
        <v>0</v>
      </c>
      <c r="AJ1219" t="s">
        <v>1391</v>
      </c>
    </row>
    <row r="1220" spans="1:36" x14ac:dyDescent="0.3">
      <c r="A1220" t="s">
        <v>22</v>
      </c>
      <c r="B1220">
        <v>49</v>
      </c>
      <c r="C1220">
        <v>99.522000000000006</v>
      </c>
      <c r="D1220">
        <v>1.9690000000000001</v>
      </c>
      <c r="F1220">
        <f t="shared" si="77"/>
        <v>25.670106044399205</v>
      </c>
      <c r="G1220">
        <f t="shared" si="76"/>
        <v>1</v>
      </c>
      <c r="H1220" t="s">
        <v>1401</v>
      </c>
      <c r="I1220">
        <v>85.954999999999998</v>
      </c>
      <c r="J1220" t="s">
        <v>132</v>
      </c>
      <c r="K1220" s="24">
        <v>127</v>
      </c>
      <c r="L1220" s="24">
        <v>98</v>
      </c>
      <c r="M1220">
        <v>135</v>
      </c>
      <c r="N1220" t="s">
        <v>1434</v>
      </c>
      <c r="O1220">
        <v>55</v>
      </c>
      <c r="P1220">
        <v>120</v>
      </c>
      <c r="Q1220" t="s">
        <v>24</v>
      </c>
      <c r="R1220" t="s">
        <v>25</v>
      </c>
      <c r="S1220" t="s">
        <v>30</v>
      </c>
      <c r="T1220" t="s">
        <v>24</v>
      </c>
      <c r="U1220">
        <f t="shared" si="78"/>
        <v>1</v>
      </c>
      <c r="V1220">
        <v>196.90799999999999</v>
      </c>
      <c r="W1220">
        <v>0.437</v>
      </c>
      <c r="X1220" t="s">
        <v>1408</v>
      </c>
      <c r="Y1220">
        <v>127</v>
      </c>
      <c r="Z1220">
        <v>98</v>
      </c>
      <c r="AA1220" t="s">
        <v>40</v>
      </c>
      <c r="AB1220">
        <v>50</v>
      </c>
      <c r="AC1220" s="23">
        <v>0.91</v>
      </c>
      <c r="AD1220" t="str">
        <f>IF(AND('CVD Dataset'!AA1220="Normal",'CVD Dataset'!AB1220&gt;AVERAGE('CVD Dataset'!AB:AB),'CVD Dataset'!AF1220="High"),"High Lipid Category","Normal Category")</f>
        <v>Normal Category</v>
      </c>
      <c r="AE1220">
        <v>15.167999999999999</v>
      </c>
      <c r="AF1220" t="s">
        <v>28</v>
      </c>
      <c r="AG1220">
        <v>0</v>
      </c>
      <c r="AH1220" t="s">
        <v>1380</v>
      </c>
      <c r="AI1220">
        <f t="shared" si="79"/>
        <v>0</v>
      </c>
      <c r="AJ1220" t="s">
        <v>1391</v>
      </c>
    </row>
    <row r="1221" spans="1:36" x14ac:dyDescent="0.3">
      <c r="A1221" t="s">
        <v>22</v>
      </c>
      <c r="B1221">
        <v>47</v>
      </c>
      <c r="C1221">
        <v>72.641000000000005</v>
      </c>
      <c r="D1221">
        <v>1.9370000000000001</v>
      </c>
      <c r="E1221">
        <v>22.629000000000001</v>
      </c>
      <c r="F1221">
        <f t="shared" si="77"/>
        <v>19.360767639604699</v>
      </c>
      <c r="G1221">
        <f t="shared" si="76"/>
        <v>1</v>
      </c>
      <c r="H1221" t="s">
        <v>1398</v>
      </c>
      <c r="I1221">
        <v>95.209000000000003</v>
      </c>
      <c r="J1221" t="s">
        <v>1047</v>
      </c>
      <c r="K1221" s="24">
        <v>139</v>
      </c>
      <c r="L1221" s="24">
        <v>108</v>
      </c>
      <c r="M1221">
        <v>133</v>
      </c>
      <c r="N1221" t="s">
        <v>1434</v>
      </c>
      <c r="O1221">
        <v>34</v>
      </c>
      <c r="P1221">
        <v>120</v>
      </c>
      <c r="Q1221" t="s">
        <v>25</v>
      </c>
      <c r="R1221" t="s">
        <v>24</v>
      </c>
      <c r="S1221" t="s">
        <v>26</v>
      </c>
      <c r="T1221" t="s">
        <v>24</v>
      </c>
      <c r="U1221">
        <f t="shared" si="78"/>
        <v>2</v>
      </c>
      <c r="V1221">
        <v>193.65899999999999</v>
      </c>
      <c r="W1221">
        <v>0.49199999999999999</v>
      </c>
      <c r="X1221" t="s">
        <v>1406</v>
      </c>
      <c r="Y1221">
        <v>139</v>
      </c>
      <c r="Z1221">
        <v>108</v>
      </c>
      <c r="AA1221" t="s">
        <v>31</v>
      </c>
      <c r="AB1221">
        <v>69</v>
      </c>
      <c r="AC1221" s="23">
        <v>2.0299999999999998</v>
      </c>
      <c r="AD1221" t="str">
        <f>IF(AND('CVD Dataset'!AA1221="Normal",'CVD Dataset'!AB1221&gt;AVERAGE('CVD Dataset'!AB:AB),'CVD Dataset'!AF1221="High"),"High Lipid Category","Normal Category")</f>
        <v>Normal Category</v>
      </c>
      <c r="AE1221">
        <v>14.135999999999999</v>
      </c>
      <c r="AF1221" t="s">
        <v>28</v>
      </c>
      <c r="AG1221">
        <v>0</v>
      </c>
      <c r="AH1221" t="s">
        <v>1380</v>
      </c>
      <c r="AI1221">
        <f t="shared" si="79"/>
        <v>0</v>
      </c>
      <c r="AJ1221" t="s">
        <v>1391</v>
      </c>
    </row>
    <row r="1222" spans="1:36" x14ac:dyDescent="0.3">
      <c r="A1222" t="s">
        <v>22</v>
      </c>
      <c r="B1222">
        <v>44</v>
      </c>
      <c r="C1222">
        <v>84.462999999999994</v>
      </c>
      <c r="D1222">
        <v>1.84</v>
      </c>
      <c r="F1222">
        <f t="shared" si="77"/>
        <v>24.947719754253306</v>
      </c>
      <c r="G1222">
        <f t="shared" si="76"/>
        <v>1</v>
      </c>
      <c r="H1222" t="s">
        <v>1401</v>
      </c>
      <c r="I1222">
        <v>72.656999999999996</v>
      </c>
      <c r="J1222" t="s">
        <v>1048</v>
      </c>
      <c r="K1222" s="24">
        <v>93</v>
      </c>
      <c r="L1222" s="24">
        <v>96</v>
      </c>
      <c r="M1222">
        <v>110</v>
      </c>
      <c r="N1222" t="s">
        <v>1434</v>
      </c>
      <c r="O1222">
        <v>53</v>
      </c>
      <c r="Q1222" t="s">
        <v>25</v>
      </c>
      <c r="R1222" t="s">
        <v>25</v>
      </c>
      <c r="S1222" t="s">
        <v>30</v>
      </c>
      <c r="T1222" t="s">
        <v>25</v>
      </c>
      <c r="U1222">
        <f t="shared" si="78"/>
        <v>3</v>
      </c>
      <c r="V1222">
        <v>183.994</v>
      </c>
      <c r="W1222">
        <v>0.39500000000000002</v>
      </c>
      <c r="X1222" t="s">
        <v>1408</v>
      </c>
      <c r="Y1222">
        <v>93</v>
      </c>
      <c r="Z1222">
        <v>96</v>
      </c>
      <c r="AA1222" t="s">
        <v>40</v>
      </c>
      <c r="AB1222">
        <v>27</v>
      </c>
      <c r="AC1222" s="23">
        <v>0.51</v>
      </c>
      <c r="AD1222" t="str">
        <f>IF(AND('CVD Dataset'!AA1222="Normal",'CVD Dataset'!AB1222&gt;AVERAGE('CVD Dataset'!AB:AB),'CVD Dataset'!AF1222="High"),"High Lipid Category","Normal Category")</f>
        <v>Normal Category</v>
      </c>
      <c r="AE1222">
        <v>16.047000000000001</v>
      </c>
      <c r="AF1222" t="s">
        <v>28</v>
      </c>
      <c r="AG1222">
        <v>0</v>
      </c>
      <c r="AH1222" t="s">
        <v>1380</v>
      </c>
      <c r="AI1222">
        <f t="shared" si="79"/>
        <v>0</v>
      </c>
      <c r="AJ1222" t="s">
        <v>1391</v>
      </c>
    </row>
    <row r="1223" spans="1:36" x14ac:dyDescent="0.3">
      <c r="A1223" t="s">
        <v>33</v>
      </c>
      <c r="B1223">
        <v>45</v>
      </c>
      <c r="C1223">
        <v>94.435000000000002</v>
      </c>
      <c r="D1223">
        <v>1.528</v>
      </c>
      <c r="E1223">
        <v>39.621000000000002</v>
      </c>
      <c r="F1223">
        <f t="shared" si="77"/>
        <v>40.446996381678133</v>
      </c>
      <c r="G1223">
        <f t="shared" si="76"/>
        <v>1</v>
      </c>
      <c r="H1223" t="s">
        <v>1399</v>
      </c>
      <c r="J1223" t="s">
        <v>1049</v>
      </c>
      <c r="K1223" s="24">
        <v>167</v>
      </c>
      <c r="L1223" s="24">
        <v>90</v>
      </c>
      <c r="M1223">
        <v>284</v>
      </c>
      <c r="N1223" t="s">
        <v>1432</v>
      </c>
      <c r="O1223">
        <v>86</v>
      </c>
      <c r="P1223">
        <v>144</v>
      </c>
      <c r="Q1223" t="s">
        <v>25</v>
      </c>
      <c r="R1223" t="s">
        <v>24</v>
      </c>
      <c r="S1223" t="s">
        <v>26</v>
      </c>
      <c r="T1223" t="s">
        <v>24</v>
      </c>
      <c r="U1223">
        <f t="shared" si="78"/>
        <v>2</v>
      </c>
      <c r="V1223">
        <v>152.84200000000001</v>
      </c>
      <c r="W1223">
        <v>0.59499999999999997</v>
      </c>
      <c r="X1223" t="s">
        <v>1409</v>
      </c>
      <c r="Y1223">
        <v>167</v>
      </c>
      <c r="Z1223">
        <v>90</v>
      </c>
      <c r="AA1223" t="s">
        <v>40</v>
      </c>
      <c r="AB1223">
        <v>168</v>
      </c>
      <c r="AC1223" s="23">
        <v>1.95</v>
      </c>
      <c r="AD1223" t="str">
        <f>IF(AND('CVD Dataset'!AA1223="Normal",'CVD Dataset'!AB1223&gt;AVERAGE('CVD Dataset'!AB:AB),'CVD Dataset'!AF1223="High"),"High Lipid Category","Normal Category")</f>
        <v>Normal Category</v>
      </c>
      <c r="AE1223">
        <v>21.954000000000001</v>
      </c>
      <c r="AF1223" t="s">
        <v>54</v>
      </c>
      <c r="AG1223">
        <v>0</v>
      </c>
      <c r="AH1223" t="s">
        <v>1380</v>
      </c>
      <c r="AI1223">
        <f t="shared" si="79"/>
        <v>0</v>
      </c>
      <c r="AJ1223" t="s">
        <v>1391</v>
      </c>
    </row>
    <row r="1224" spans="1:36" x14ac:dyDescent="0.3">
      <c r="A1224" t="s">
        <v>22</v>
      </c>
      <c r="B1224">
        <v>30</v>
      </c>
      <c r="C1224">
        <v>51.725999999999999</v>
      </c>
      <c r="D1224">
        <v>1.619</v>
      </c>
      <c r="E1224">
        <v>28.905999999999999</v>
      </c>
      <c r="F1224">
        <f t="shared" si="77"/>
        <v>19.734003367210178</v>
      </c>
      <c r="G1224">
        <f t="shared" si="76"/>
        <v>1</v>
      </c>
      <c r="H1224" t="s">
        <v>1400</v>
      </c>
      <c r="I1224">
        <v>98.12</v>
      </c>
      <c r="J1224" t="s">
        <v>1050</v>
      </c>
      <c r="K1224" s="24">
        <v>173</v>
      </c>
      <c r="L1224" s="24">
        <v>102</v>
      </c>
      <c r="M1224">
        <v>113</v>
      </c>
      <c r="N1224" t="s">
        <v>1434</v>
      </c>
      <c r="O1224">
        <v>43</v>
      </c>
      <c r="P1224">
        <v>91</v>
      </c>
      <c r="Q1224" t="s">
        <v>25</v>
      </c>
      <c r="R1224" t="s">
        <v>24</v>
      </c>
      <c r="S1224" t="s">
        <v>39</v>
      </c>
      <c r="T1224" t="s">
        <v>24</v>
      </c>
      <c r="U1224">
        <f t="shared" si="78"/>
        <v>1</v>
      </c>
      <c r="V1224">
        <v>161.90700000000001</v>
      </c>
      <c r="W1224">
        <v>0.60599999999999998</v>
      </c>
      <c r="X1224" t="s">
        <v>1409</v>
      </c>
      <c r="Y1224">
        <v>173</v>
      </c>
      <c r="Z1224">
        <v>102</v>
      </c>
      <c r="AA1224" t="s">
        <v>40</v>
      </c>
      <c r="AB1224">
        <v>40</v>
      </c>
      <c r="AC1224" s="23">
        <v>0.93</v>
      </c>
      <c r="AD1224" t="str">
        <f>IF(AND('CVD Dataset'!AA1224="Normal",'CVD Dataset'!AB1224&gt;AVERAGE('CVD Dataset'!AB:AB),'CVD Dataset'!AF1224="High"),"High Lipid Category","Normal Category")</f>
        <v>Normal Category</v>
      </c>
      <c r="AE1224">
        <v>16.690999999999999</v>
      </c>
      <c r="AF1224" t="s">
        <v>32</v>
      </c>
      <c r="AG1224">
        <v>0</v>
      </c>
      <c r="AH1224" t="s">
        <v>1379</v>
      </c>
      <c r="AI1224">
        <f t="shared" si="79"/>
        <v>1</v>
      </c>
      <c r="AJ1224" t="s">
        <v>1391</v>
      </c>
    </row>
    <row r="1225" spans="1:36" x14ac:dyDescent="0.3">
      <c r="A1225" t="s">
        <v>33</v>
      </c>
      <c r="B1225">
        <v>39</v>
      </c>
      <c r="C1225">
        <v>51.042999999999999</v>
      </c>
      <c r="D1225">
        <v>1.625</v>
      </c>
      <c r="E1225">
        <v>19.056000000000001</v>
      </c>
      <c r="F1225">
        <f t="shared" si="77"/>
        <v>19.32989349112426</v>
      </c>
      <c r="G1225">
        <f t="shared" si="76"/>
        <v>1</v>
      </c>
      <c r="H1225" t="s">
        <v>1398</v>
      </c>
      <c r="I1225">
        <v>90.965000000000003</v>
      </c>
      <c r="J1225" t="s">
        <v>1051</v>
      </c>
      <c r="K1225" s="24">
        <v>119</v>
      </c>
      <c r="L1225" s="24">
        <v>100</v>
      </c>
      <c r="M1225">
        <v>179</v>
      </c>
      <c r="N1225" t="s">
        <v>1433</v>
      </c>
      <c r="P1225">
        <v>131</v>
      </c>
      <c r="Q1225" t="s">
        <v>24</v>
      </c>
      <c r="R1225" t="s">
        <v>25</v>
      </c>
      <c r="S1225" t="s">
        <v>39</v>
      </c>
      <c r="T1225" t="s">
        <v>25</v>
      </c>
      <c r="U1225">
        <f t="shared" si="78"/>
        <v>2</v>
      </c>
      <c r="V1225">
        <v>162.54900000000001</v>
      </c>
      <c r="W1225">
        <v>0.56000000000000005</v>
      </c>
      <c r="X1225" t="s">
        <v>1407</v>
      </c>
      <c r="Y1225">
        <v>119</v>
      </c>
      <c r="Z1225">
        <v>100</v>
      </c>
      <c r="AA1225" t="s">
        <v>40</v>
      </c>
      <c r="AB1225">
        <v>61</v>
      </c>
      <c r="AC1225" s="23" t="s">
        <v>1410</v>
      </c>
      <c r="AD1225" t="str">
        <f>IF(AND('CVD Dataset'!AA1225="Normal",'CVD Dataset'!AB1225&gt;AVERAGE('CVD Dataset'!AB:AB),'CVD Dataset'!AF1225="High"),"High Lipid Category","Normal Category")</f>
        <v>Normal Category</v>
      </c>
      <c r="AE1225">
        <v>15.340999999999999</v>
      </c>
      <c r="AF1225" t="s">
        <v>54</v>
      </c>
      <c r="AG1225">
        <v>0</v>
      </c>
      <c r="AH1225" t="s">
        <v>1380</v>
      </c>
      <c r="AI1225">
        <f t="shared" si="79"/>
        <v>0</v>
      </c>
      <c r="AJ1225" t="s">
        <v>1391</v>
      </c>
    </row>
    <row r="1226" spans="1:36" x14ac:dyDescent="0.3">
      <c r="A1226" t="s">
        <v>22</v>
      </c>
      <c r="B1226">
        <v>38</v>
      </c>
      <c r="C1226">
        <v>50.625999999999998</v>
      </c>
      <c r="D1226">
        <v>1.9279999999999999</v>
      </c>
      <c r="E1226">
        <v>28.959</v>
      </c>
      <c r="F1226">
        <f t="shared" si="77"/>
        <v>13.61944956181884</v>
      </c>
      <c r="G1226">
        <f t="shared" si="76"/>
        <v>1</v>
      </c>
      <c r="H1226" t="s">
        <v>1400</v>
      </c>
      <c r="I1226">
        <v>113.04</v>
      </c>
      <c r="J1226" t="s">
        <v>1052</v>
      </c>
      <c r="K1226" s="24">
        <v>179</v>
      </c>
      <c r="L1226" s="24">
        <v>94</v>
      </c>
      <c r="M1226">
        <v>117</v>
      </c>
      <c r="N1226" t="s">
        <v>1434</v>
      </c>
      <c r="O1226">
        <v>59</v>
      </c>
      <c r="Q1226" t="s">
        <v>24</v>
      </c>
      <c r="R1226" t="s">
        <v>24</v>
      </c>
      <c r="S1226" t="s">
        <v>26</v>
      </c>
      <c r="T1226" t="s">
        <v>24</v>
      </c>
      <c r="U1226">
        <f t="shared" si="78"/>
        <v>1</v>
      </c>
      <c r="V1226">
        <v>192.83099999999999</v>
      </c>
      <c r="W1226">
        <v>0.58599999999999997</v>
      </c>
      <c r="X1226" t="s">
        <v>1409</v>
      </c>
      <c r="Y1226">
        <v>179</v>
      </c>
      <c r="Z1226">
        <v>94</v>
      </c>
      <c r="AA1226" t="s">
        <v>40</v>
      </c>
      <c r="AB1226">
        <v>28</v>
      </c>
      <c r="AC1226" s="23">
        <v>0.47</v>
      </c>
      <c r="AD1226" t="str">
        <f>IF(AND('CVD Dataset'!AA1226="Normal",'CVD Dataset'!AB1226&gt;AVERAGE('CVD Dataset'!AB:AB),'CVD Dataset'!AF1226="High"),"High Lipid Category","Normal Category")</f>
        <v>Normal Category</v>
      </c>
      <c r="AE1226">
        <v>17.082000000000001</v>
      </c>
      <c r="AF1226" t="s">
        <v>28</v>
      </c>
      <c r="AG1226">
        <v>0</v>
      </c>
      <c r="AH1226" t="s">
        <v>1380</v>
      </c>
      <c r="AI1226">
        <f t="shared" si="79"/>
        <v>0</v>
      </c>
      <c r="AJ1226" t="s">
        <v>1391</v>
      </c>
    </row>
    <row r="1227" spans="1:36" x14ac:dyDescent="0.3">
      <c r="A1227" t="s">
        <v>22</v>
      </c>
      <c r="B1227">
        <v>72</v>
      </c>
      <c r="C1227">
        <v>63.320999999999998</v>
      </c>
      <c r="D1227">
        <v>1.722</v>
      </c>
      <c r="E1227">
        <v>28.718</v>
      </c>
      <c r="F1227">
        <f t="shared" si="77"/>
        <v>21.354109758120973</v>
      </c>
      <c r="G1227">
        <f t="shared" si="76"/>
        <v>1</v>
      </c>
      <c r="H1227" t="s">
        <v>1400</v>
      </c>
      <c r="I1227">
        <v>90.281999999999996</v>
      </c>
      <c r="J1227" t="s">
        <v>743</v>
      </c>
      <c r="K1227" s="24">
        <v>132</v>
      </c>
      <c r="L1227" s="24">
        <v>76</v>
      </c>
      <c r="M1227">
        <v>158</v>
      </c>
      <c r="N1227" t="s">
        <v>1433</v>
      </c>
      <c r="O1227">
        <v>34</v>
      </c>
      <c r="P1227">
        <v>175</v>
      </c>
      <c r="Q1227" t="s">
        <v>25</v>
      </c>
      <c r="R1227" t="s">
        <v>24</v>
      </c>
      <c r="S1227" t="s">
        <v>39</v>
      </c>
      <c r="T1227" t="s">
        <v>24</v>
      </c>
      <c r="U1227">
        <f t="shared" si="78"/>
        <v>1</v>
      </c>
      <c r="V1227">
        <v>172.154</v>
      </c>
      <c r="W1227">
        <v>0.52400000000000002</v>
      </c>
      <c r="X1227" t="s">
        <v>1407</v>
      </c>
      <c r="Y1227">
        <v>132</v>
      </c>
      <c r="Z1227">
        <v>76</v>
      </c>
      <c r="AA1227" t="s">
        <v>31</v>
      </c>
      <c r="AB1227">
        <v>94</v>
      </c>
      <c r="AC1227" s="23">
        <v>2.76</v>
      </c>
      <c r="AD1227" t="str">
        <f>IF(AND('CVD Dataset'!AA1227="Normal",'CVD Dataset'!AB1227&gt;AVERAGE('CVD Dataset'!AB:AB),'CVD Dataset'!AF1227="High"),"High Lipid Category","Normal Category")</f>
        <v>Normal Category</v>
      </c>
      <c r="AE1227">
        <v>15.504</v>
      </c>
      <c r="AF1227" t="s">
        <v>32</v>
      </c>
      <c r="AG1227">
        <v>0</v>
      </c>
      <c r="AH1227" t="s">
        <v>1379</v>
      </c>
      <c r="AI1227">
        <f t="shared" si="79"/>
        <v>1</v>
      </c>
      <c r="AJ1227" t="s">
        <v>1391</v>
      </c>
    </row>
    <row r="1228" spans="1:36" x14ac:dyDescent="0.3">
      <c r="A1228" t="s">
        <v>22</v>
      </c>
      <c r="B1228">
        <v>40</v>
      </c>
      <c r="C1228">
        <v>58.029000000000003</v>
      </c>
      <c r="D1228">
        <v>1.8440000000000001</v>
      </c>
      <c r="E1228">
        <v>29.207000000000001</v>
      </c>
      <c r="F1228">
        <f t="shared" si="77"/>
        <v>17.06566645178594</v>
      </c>
      <c r="G1228">
        <f t="shared" si="76"/>
        <v>1</v>
      </c>
      <c r="H1228" t="s">
        <v>1400</v>
      </c>
      <c r="I1228">
        <v>92.4</v>
      </c>
      <c r="J1228" t="s">
        <v>1053</v>
      </c>
      <c r="K1228" s="24">
        <v>140</v>
      </c>
      <c r="L1228" s="24">
        <v>105</v>
      </c>
      <c r="M1228">
        <v>273</v>
      </c>
      <c r="N1228" t="s">
        <v>1432</v>
      </c>
      <c r="O1228">
        <v>42</v>
      </c>
      <c r="P1228">
        <v>103</v>
      </c>
      <c r="Q1228" t="s">
        <v>25</v>
      </c>
      <c r="R1228" t="s">
        <v>24</v>
      </c>
      <c r="S1228" t="s">
        <v>30</v>
      </c>
      <c r="T1228" t="s">
        <v>24</v>
      </c>
      <c r="U1228">
        <f t="shared" si="78"/>
        <v>1</v>
      </c>
      <c r="V1228">
        <v>184.41300000000001</v>
      </c>
      <c r="W1228">
        <v>0.501</v>
      </c>
      <c r="X1228" t="s">
        <v>1406</v>
      </c>
      <c r="Y1228">
        <v>140</v>
      </c>
      <c r="Z1228">
        <v>105</v>
      </c>
      <c r="AA1228" t="s">
        <v>40</v>
      </c>
      <c r="AB1228">
        <v>201</v>
      </c>
      <c r="AC1228" s="23">
        <v>4.79</v>
      </c>
      <c r="AD1228" t="str">
        <f>IF(AND('CVD Dataset'!AA1228="Normal",'CVD Dataset'!AB1228&gt;AVERAGE('CVD Dataset'!AB:AB),'CVD Dataset'!AF1228="High"),"High Lipid Category","Normal Category")</f>
        <v>Normal Category</v>
      </c>
      <c r="AE1228">
        <v>18.300999999999998</v>
      </c>
      <c r="AF1228" t="s">
        <v>54</v>
      </c>
      <c r="AG1228">
        <v>0</v>
      </c>
      <c r="AH1228" t="s">
        <v>1380</v>
      </c>
      <c r="AI1228">
        <f t="shared" si="79"/>
        <v>0</v>
      </c>
      <c r="AJ1228" t="s">
        <v>1391</v>
      </c>
    </row>
    <row r="1229" spans="1:36" x14ac:dyDescent="0.3">
      <c r="A1229" t="s">
        <v>33</v>
      </c>
      <c r="B1229">
        <v>38</v>
      </c>
      <c r="C1229">
        <v>85.623000000000005</v>
      </c>
      <c r="D1229">
        <v>1.6719999999999999</v>
      </c>
      <c r="E1229">
        <v>30.795000000000002</v>
      </c>
      <c r="F1229">
        <f t="shared" si="77"/>
        <v>30.627947505780547</v>
      </c>
      <c r="G1229">
        <f t="shared" si="76"/>
        <v>1</v>
      </c>
      <c r="H1229" t="s">
        <v>1399</v>
      </c>
      <c r="I1229">
        <v>94.795000000000002</v>
      </c>
      <c r="J1229" t="s">
        <v>1054</v>
      </c>
      <c r="K1229" s="24">
        <v>140</v>
      </c>
      <c r="L1229" s="24">
        <v>87</v>
      </c>
      <c r="M1229">
        <v>148</v>
      </c>
      <c r="N1229" t="s">
        <v>1434</v>
      </c>
      <c r="O1229">
        <v>40</v>
      </c>
      <c r="P1229">
        <v>178</v>
      </c>
      <c r="Q1229" t="s">
        <v>24</v>
      </c>
      <c r="R1229" t="s">
        <v>24</v>
      </c>
      <c r="S1229" t="s">
        <v>39</v>
      </c>
      <c r="T1229" t="s">
        <v>25</v>
      </c>
      <c r="U1229">
        <f t="shared" si="78"/>
        <v>1</v>
      </c>
      <c r="V1229">
        <v>167.23400000000001</v>
      </c>
      <c r="W1229">
        <v>0.56699999999999995</v>
      </c>
      <c r="X1229" t="s">
        <v>1407</v>
      </c>
      <c r="Z1229">
        <v>87</v>
      </c>
      <c r="AA1229" t="s">
        <v>31</v>
      </c>
      <c r="AB1229">
        <v>78</v>
      </c>
      <c r="AC1229" s="23">
        <v>1.95</v>
      </c>
      <c r="AD1229" t="str">
        <f>IF(AND('CVD Dataset'!AA1229="Normal",'CVD Dataset'!AB1229&gt;AVERAGE('CVD Dataset'!AB:AB),'CVD Dataset'!AF1229="High"),"High Lipid Category","Normal Category")</f>
        <v>Normal Category</v>
      </c>
      <c r="AE1229">
        <v>16.119</v>
      </c>
      <c r="AF1229" t="s">
        <v>28</v>
      </c>
      <c r="AG1229">
        <v>0</v>
      </c>
      <c r="AH1229" t="s">
        <v>1380</v>
      </c>
      <c r="AI1229">
        <f t="shared" si="79"/>
        <v>0</v>
      </c>
      <c r="AJ1229" t="s">
        <v>1391</v>
      </c>
    </row>
    <row r="1230" spans="1:36" x14ac:dyDescent="0.3">
      <c r="A1230" t="s">
        <v>33</v>
      </c>
      <c r="B1230">
        <v>30</v>
      </c>
      <c r="C1230">
        <v>72.192999999999998</v>
      </c>
      <c r="D1230">
        <v>1.5960000000000001</v>
      </c>
      <c r="E1230">
        <v>31.677</v>
      </c>
      <c r="F1230">
        <f t="shared" si="77"/>
        <v>28.34192310349809</v>
      </c>
      <c r="G1230">
        <f t="shared" si="76"/>
        <v>1</v>
      </c>
      <c r="H1230" t="s">
        <v>1399</v>
      </c>
      <c r="I1230">
        <v>105.31699999999999</v>
      </c>
      <c r="J1230" t="s">
        <v>753</v>
      </c>
      <c r="K1230" s="24">
        <v>116</v>
      </c>
      <c r="L1230" s="24">
        <v>85</v>
      </c>
      <c r="M1230">
        <v>246</v>
      </c>
      <c r="N1230" t="s">
        <v>1432</v>
      </c>
      <c r="O1230">
        <v>79</v>
      </c>
      <c r="P1230">
        <v>72</v>
      </c>
      <c r="Q1230" t="s">
        <v>25</v>
      </c>
      <c r="R1230" t="s">
        <v>24</v>
      </c>
      <c r="S1230" t="s">
        <v>26</v>
      </c>
      <c r="T1230" t="s">
        <v>25</v>
      </c>
      <c r="U1230">
        <f t="shared" si="78"/>
        <v>3</v>
      </c>
      <c r="V1230">
        <v>159.578</v>
      </c>
      <c r="W1230">
        <v>0.66</v>
      </c>
      <c r="X1230" t="s">
        <v>1409</v>
      </c>
      <c r="Y1230">
        <v>116</v>
      </c>
      <c r="Z1230">
        <v>85</v>
      </c>
      <c r="AA1230" t="s">
        <v>31</v>
      </c>
      <c r="AB1230">
        <v>137</v>
      </c>
      <c r="AC1230" s="23">
        <v>1.73</v>
      </c>
      <c r="AD1230" t="str">
        <f>IF(AND('CVD Dataset'!AA1230="Normal",'CVD Dataset'!AB1230&gt;AVERAGE('CVD Dataset'!AB:AB),'CVD Dataset'!AF1230="High"),"High Lipid Category","Normal Category")</f>
        <v>Normal Category</v>
      </c>
      <c r="AE1230">
        <v>17.055</v>
      </c>
      <c r="AF1230" t="s">
        <v>32</v>
      </c>
      <c r="AG1230">
        <v>1</v>
      </c>
      <c r="AH1230" t="s">
        <v>1379</v>
      </c>
      <c r="AI1230">
        <f t="shared" si="79"/>
        <v>1</v>
      </c>
      <c r="AJ1230" t="s">
        <v>1391</v>
      </c>
    </row>
    <row r="1231" spans="1:36" x14ac:dyDescent="0.3">
      <c r="A1231" t="s">
        <v>33</v>
      </c>
      <c r="B1231">
        <v>32</v>
      </c>
      <c r="C1231">
        <v>73.239000000000004</v>
      </c>
      <c r="D1231">
        <v>1.988</v>
      </c>
      <c r="E1231">
        <v>30.581</v>
      </c>
      <c r="F1231">
        <f t="shared" si="77"/>
        <v>18.531460392131461</v>
      </c>
      <c r="G1231">
        <f t="shared" ref="G1231:G1294" si="80">IFERROR(IF(ABS(E1231 - F1231) &lt;= 0.1, 0, 1),"")</f>
        <v>1</v>
      </c>
      <c r="H1231" t="s">
        <v>1399</v>
      </c>
      <c r="I1231">
        <v>118.324</v>
      </c>
      <c r="J1231" t="s">
        <v>716</v>
      </c>
      <c r="K1231" s="24">
        <v>142</v>
      </c>
      <c r="L1231" s="24">
        <v>88</v>
      </c>
      <c r="M1231">
        <v>188</v>
      </c>
      <c r="N1231" t="s">
        <v>1432</v>
      </c>
      <c r="O1231">
        <v>30</v>
      </c>
      <c r="P1231">
        <v>137</v>
      </c>
      <c r="Q1231" t="s">
        <v>24</v>
      </c>
      <c r="R1231" t="s">
        <v>24</v>
      </c>
      <c r="S1231" t="s">
        <v>26</v>
      </c>
      <c r="T1231" t="s">
        <v>25</v>
      </c>
      <c r="U1231">
        <f t="shared" si="78"/>
        <v>2</v>
      </c>
      <c r="V1231">
        <v>198.833</v>
      </c>
      <c r="W1231">
        <v>0.59499999999999997</v>
      </c>
      <c r="X1231" t="s">
        <v>1409</v>
      </c>
      <c r="Y1231">
        <v>142</v>
      </c>
      <c r="Z1231">
        <v>88</v>
      </c>
      <c r="AA1231" t="s">
        <v>31</v>
      </c>
      <c r="AB1231">
        <v>128</v>
      </c>
      <c r="AC1231" s="23">
        <v>4.2699999999999996</v>
      </c>
      <c r="AD1231" t="str">
        <f>IF(AND('CVD Dataset'!AA1231="Normal",'CVD Dataset'!AB1231&gt;AVERAGE('CVD Dataset'!AB:AB),'CVD Dataset'!AF1231="High"),"High Lipid Category","Normal Category")</f>
        <v>Normal Category</v>
      </c>
      <c r="AE1231">
        <v>16.975999999999999</v>
      </c>
      <c r="AF1231" t="s">
        <v>28</v>
      </c>
      <c r="AG1231">
        <v>0</v>
      </c>
      <c r="AH1231" t="s">
        <v>1380</v>
      </c>
      <c r="AI1231">
        <f t="shared" si="79"/>
        <v>0</v>
      </c>
      <c r="AJ1231" t="s">
        <v>1391</v>
      </c>
    </row>
    <row r="1232" spans="1:36" x14ac:dyDescent="0.3">
      <c r="A1232" t="s">
        <v>33</v>
      </c>
      <c r="B1232">
        <v>69</v>
      </c>
      <c r="C1232">
        <v>87.713999999999999</v>
      </c>
      <c r="D1232">
        <v>1.7230000000000001</v>
      </c>
      <c r="E1232">
        <v>39.732999999999997</v>
      </c>
      <c r="F1232">
        <f t="shared" si="77"/>
        <v>29.54597741996659</v>
      </c>
      <c r="G1232">
        <f t="shared" si="80"/>
        <v>1</v>
      </c>
      <c r="H1232" t="s">
        <v>1399</v>
      </c>
      <c r="I1232">
        <v>111.803</v>
      </c>
      <c r="J1232" t="s">
        <v>1055</v>
      </c>
      <c r="K1232" s="24">
        <v>132</v>
      </c>
      <c r="L1232" s="24">
        <v>101</v>
      </c>
      <c r="M1232">
        <v>108</v>
      </c>
      <c r="N1232" t="s">
        <v>1434</v>
      </c>
      <c r="O1232">
        <v>41</v>
      </c>
      <c r="P1232">
        <v>93</v>
      </c>
      <c r="Q1232" t="s">
        <v>25</v>
      </c>
      <c r="R1232" t="s">
        <v>24</v>
      </c>
      <c r="S1232" t="s">
        <v>39</v>
      </c>
      <c r="T1232" t="s">
        <v>24</v>
      </c>
      <c r="U1232">
        <f t="shared" si="78"/>
        <v>1</v>
      </c>
      <c r="V1232">
        <v>172.34299999999999</v>
      </c>
      <c r="W1232">
        <v>0.64900000000000002</v>
      </c>
      <c r="X1232" t="s">
        <v>1409</v>
      </c>
      <c r="Y1232">
        <v>132</v>
      </c>
      <c r="Z1232">
        <v>101</v>
      </c>
      <c r="AA1232" t="s">
        <v>31</v>
      </c>
      <c r="AB1232">
        <v>37</v>
      </c>
      <c r="AC1232" s="23">
        <v>0.9</v>
      </c>
      <c r="AD1232" t="str">
        <f>IF(AND('CVD Dataset'!AA1232="Normal",'CVD Dataset'!AB1232&gt;AVERAGE('CVD Dataset'!AB:AB),'CVD Dataset'!AF1232="High"),"High Lipid Category","Normal Category")</f>
        <v>Normal Category</v>
      </c>
      <c r="AE1232">
        <v>16.707000000000001</v>
      </c>
      <c r="AF1232" t="s">
        <v>32</v>
      </c>
      <c r="AG1232">
        <v>0</v>
      </c>
      <c r="AH1232" t="s">
        <v>1379</v>
      </c>
      <c r="AI1232">
        <f t="shared" si="79"/>
        <v>1</v>
      </c>
      <c r="AJ1232" t="s">
        <v>1391</v>
      </c>
    </row>
    <row r="1233" spans="1:36" x14ac:dyDescent="0.3">
      <c r="A1233" t="s">
        <v>33</v>
      </c>
      <c r="B1233">
        <v>31</v>
      </c>
      <c r="C1233">
        <v>99.921000000000006</v>
      </c>
      <c r="D1233">
        <v>1.5880000000000001</v>
      </c>
      <c r="E1233">
        <v>21.277000000000001</v>
      </c>
      <c r="F1233">
        <f t="shared" si="77"/>
        <v>39.623768312723257</v>
      </c>
      <c r="G1233">
        <f t="shared" si="80"/>
        <v>1</v>
      </c>
      <c r="H1233" t="s">
        <v>1398</v>
      </c>
      <c r="I1233">
        <v>105.875</v>
      </c>
      <c r="J1233" t="s">
        <v>880</v>
      </c>
      <c r="K1233" s="24">
        <v>121</v>
      </c>
      <c r="L1233" s="24">
        <v>115</v>
      </c>
      <c r="M1233">
        <v>287</v>
      </c>
      <c r="N1233" t="s">
        <v>1432</v>
      </c>
      <c r="O1233">
        <v>75</v>
      </c>
      <c r="P1233">
        <v>92</v>
      </c>
      <c r="Q1233" t="s">
        <v>25</v>
      </c>
      <c r="R1233" t="s">
        <v>24</v>
      </c>
      <c r="S1233" t="s">
        <v>30</v>
      </c>
      <c r="T1233" t="s">
        <v>25</v>
      </c>
      <c r="U1233">
        <f t="shared" si="78"/>
        <v>2</v>
      </c>
      <c r="V1233">
        <v>158.75</v>
      </c>
      <c r="W1233">
        <v>0.66700000000000004</v>
      </c>
      <c r="X1233" t="s">
        <v>1409</v>
      </c>
      <c r="Y1233">
        <v>121</v>
      </c>
      <c r="Z1233">
        <v>115</v>
      </c>
      <c r="AA1233" t="s">
        <v>40</v>
      </c>
      <c r="AC1233" s="23">
        <v>0</v>
      </c>
      <c r="AD1233" t="str">
        <f>IF(AND('CVD Dataset'!AA1233="Normal",'CVD Dataset'!AB1233&gt;AVERAGE('CVD Dataset'!AB:AB),'CVD Dataset'!AF1233="High"),"High Lipid Category","Normal Category")</f>
        <v>Normal Category</v>
      </c>
      <c r="AE1233">
        <v>16.045000000000002</v>
      </c>
      <c r="AF1233" t="s">
        <v>28</v>
      </c>
      <c r="AG1233">
        <v>0</v>
      </c>
      <c r="AH1233" t="s">
        <v>1380</v>
      </c>
      <c r="AI1233">
        <f t="shared" si="79"/>
        <v>0</v>
      </c>
      <c r="AJ1233" t="s">
        <v>1391</v>
      </c>
    </row>
    <row r="1234" spans="1:36" x14ac:dyDescent="0.3">
      <c r="A1234" t="s">
        <v>33</v>
      </c>
      <c r="B1234">
        <v>25</v>
      </c>
      <c r="C1234">
        <v>94.281999999999996</v>
      </c>
      <c r="E1234">
        <v>39.57</v>
      </c>
      <c r="F1234" t="str">
        <f t="shared" si="77"/>
        <v/>
      </c>
      <c r="G1234" t="str">
        <f t="shared" si="80"/>
        <v/>
      </c>
      <c r="H1234" t="s">
        <v>1399</v>
      </c>
      <c r="I1234">
        <v>88.016999999999996</v>
      </c>
      <c r="J1234" t="s">
        <v>211</v>
      </c>
      <c r="K1234" s="24">
        <v>102</v>
      </c>
      <c r="L1234" s="24">
        <v>60</v>
      </c>
      <c r="M1234">
        <v>245</v>
      </c>
      <c r="N1234" t="s">
        <v>1432</v>
      </c>
      <c r="O1234">
        <v>49</v>
      </c>
      <c r="P1234">
        <v>145</v>
      </c>
      <c r="Q1234" t="s">
        <v>24</v>
      </c>
      <c r="R1234" t="s">
        <v>24</v>
      </c>
      <c r="S1234" t="s">
        <v>39</v>
      </c>
      <c r="T1234" t="s">
        <v>24</v>
      </c>
      <c r="U1234">
        <f t="shared" si="78"/>
        <v>0</v>
      </c>
      <c r="V1234">
        <v>150.285</v>
      </c>
      <c r="W1234">
        <v>0.58599999999999997</v>
      </c>
      <c r="X1234" t="s">
        <v>1409</v>
      </c>
      <c r="Y1234">
        <v>102</v>
      </c>
      <c r="Z1234">
        <v>60</v>
      </c>
      <c r="AA1234" t="s">
        <v>35</v>
      </c>
      <c r="AC1234" s="23">
        <v>0</v>
      </c>
      <c r="AD1234" t="str">
        <f>IF(AND('CVD Dataset'!AA1234="Normal",'CVD Dataset'!AB1234&gt;AVERAGE('CVD Dataset'!AB:AB),'CVD Dataset'!AF1234="High"),"High Lipid Category","Normal Category")</f>
        <v>Normal Category</v>
      </c>
      <c r="AE1234">
        <v>17.914000000000001</v>
      </c>
      <c r="AF1234" t="s">
        <v>32</v>
      </c>
      <c r="AG1234">
        <v>0</v>
      </c>
      <c r="AH1234" t="s">
        <v>1379</v>
      </c>
      <c r="AI1234">
        <f t="shared" si="79"/>
        <v>1</v>
      </c>
      <c r="AJ1234" t="s">
        <v>1391</v>
      </c>
    </row>
    <row r="1235" spans="1:36" x14ac:dyDescent="0.3">
      <c r="A1235" t="s">
        <v>33</v>
      </c>
      <c r="B1235">
        <v>38</v>
      </c>
      <c r="C1235">
        <v>80.879000000000005</v>
      </c>
      <c r="D1235">
        <v>1.6419999999999999</v>
      </c>
      <c r="E1235">
        <v>32.671999999999997</v>
      </c>
      <c r="F1235">
        <f t="shared" si="77"/>
        <v>29.997804287869737</v>
      </c>
      <c r="G1235">
        <f t="shared" si="80"/>
        <v>1</v>
      </c>
      <c r="H1235" t="s">
        <v>1399</v>
      </c>
      <c r="I1235">
        <v>87.366</v>
      </c>
      <c r="J1235" t="s">
        <v>1056</v>
      </c>
      <c r="K1235" s="24">
        <v>106</v>
      </c>
      <c r="L1235" s="24">
        <v>89</v>
      </c>
      <c r="M1235">
        <v>138</v>
      </c>
      <c r="N1235" t="s">
        <v>1434</v>
      </c>
      <c r="O1235">
        <v>75</v>
      </c>
      <c r="P1235">
        <v>128</v>
      </c>
      <c r="Q1235" t="s">
        <v>24</v>
      </c>
      <c r="R1235" t="s">
        <v>24</v>
      </c>
      <c r="S1235" t="s">
        <v>26</v>
      </c>
      <c r="T1235" t="s">
        <v>24</v>
      </c>
      <c r="U1235">
        <f t="shared" si="78"/>
        <v>1</v>
      </c>
      <c r="V1235">
        <v>164.22399999999999</v>
      </c>
      <c r="W1235">
        <v>0.53200000000000003</v>
      </c>
      <c r="X1235" t="s">
        <v>1407</v>
      </c>
      <c r="Y1235">
        <v>106</v>
      </c>
      <c r="AA1235" t="s">
        <v>31</v>
      </c>
      <c r="AB1235">
        <v>33</v>
      </c>
      <c r="AC1235" s="23">
        <v>0.44</v>
      </c>
      <c r="AD1235" t="str">
        <f>IF(AND('CVD Dataset'!AA1235="Normal",'CVD Dataset'!AB1235&gt;AVERAGE('CVD Dataset'!AB:AB),'CVD Dataset'!AF1235="High"),"High Lipid Category","Normal Category")</f>
        <v>Normal Category</v>
      </c>
      <c r="AE1235">
        <v>14.593999999999999</v>
      </c>
      <c r="AF1235" t="s">
        <v>28</v>
      </c>
      <c r="AG1235">
        <v>0</v>
      </c>
      <c r="AH1235" t="s">
        <v>1380</v>
      </c>
      <c r="AI1235">
        <f t="shared" si="79"/>
        <v>0</v>
      </c>
      <c r="AJ1235" t="s">
        <v>1391</v>
      </c>
    </row>
    <row r="1236" spans="1:36" x14ac:dyDescent="0.3">
      <c r="A1236" t="s">
        <v>22</v>
      </c>
      <c r="B1236">
        <v>43</v>
      </c>
      <c r="C1236">
        <v>56.215000000000003</v>
      </c>
      <c r="D1236">
        <v>1.9450000000000001</v>
      </c>
      <c r="E1236">
        <v>30.687000000000001</v>
      </c>
      <c r="F1236">
        <f t="shared" si="77"/>
        <v>14.859801349449183</v>
      </c>
      <c r="G1236">
        <f t="shared" si="80"/>
        <v>1</v>
      </c>
      <c r="H1236" t="s">
        <v>1399</v>
      </c>
      <c r="I1236">
        <v>104.30800000000001</v>
      </c>
      <c r="J1236" t="s">
        <v>1057</v>
      </c>
      <c r="K1236" s="24">
        <v>159</v>
      </c>
      <c r="L1236" s="24">
        <v>82</v>
      </c>
      <c r="M1236">
        <v>194</v>
      </c>
      <c r="N1236" t="s">
        <v>1432</v>
      </c>
      <c r="O1236">
        <v>50</v>
      </c>
      <c r="P1236">
        <v>97</v>
      </c>
      <c r="Q1236" t="s">
        <v>24</v>
      </c>
      <c r="R1236" t="s">
        <v>25</v>
      </c>
      <c r="S1236" t="s">
        <v>26</v>
      </c>
      <c r="T1236" t="s">
        <v>25</v>
      </c>
      <c r="U1236">
        <f t="shared" si="78"/>
        <v>3</v>
      </c>
      <c r="W1236">
        <v>0.53600000000000003</v>
      </c>
      <c r="X1236" t="s">
        <v>1407</v>
      </c>
      <c r="Y1236">
        <v>159</v>
      </c>
      <c r="Z1236">
        <v>82</v>
      </c>
      <c r="AA1236" t="s">
        <v>31</v>
      </c>
      <c r="AB1236">
        <v>114</v>
      </c>
      <c r="AC1236" s="23">
        <v>2.2799999999999998</v>
      </c>
      <c r="AD1236" t="str">
        <f>IF(AND('CVD Dataset'!AA1236="Normal",'CVD Dataset'!AB1236&gt;AVERAGE('CVD Dataset'!AB:AB),'CVD Dataset'!AF1236="High"),"High Lipid Category","Normal Category")</f>
        <v>Normal Category</v>
      </c>
      <c r="AF1236" t="s">
        <v>32</v>
      </c>
      <c r="AG1236">
        <v>0</v>
      </c>
      <c r="AH1236" t="s">
        <v>1379</v>
      </c>
      <c r="AI1236">
        <f t="shared" si="79"/>
        <v>1</v>
      </c>
      <c r="AJ1236" t="s">
        <v>1391</v>
      </c>
    </row>
    <row r="1237" spans="1:36" x14ac:dyDescent="0.3">
      <c r="A1237" t="s">
        <v>33</v>
      </c>
      <c r="B1237">
        <v>55</v>
      </c>
      <c r="C1237">
        <v>77.948999999999998</v>
      </c>
      <c r="D1237">
        <v>1.7470000000000001</v>
      </c>
      <c r="E1237">
        <v>20.678999999999998</v>
      </c>
      <c r="F1237">
        <f t="shared" si="77"/>
        <v>25.540226126462926</v>
      </c>
      <c r="G1237">
        <f t="shared" si="80"/>
        <v>1</v>
      </c>
      <c r="H1237" t="s">
        <v>1398</v>
      </c>
      <c r="I1237">
        <v>89.384</v>
      </c>
      <c r="J1237" t="s">
        <v>984</v>
      </c>
      <c r="K1237" s="24">
        <v>164</v>
      </c>
      <c r="L1237" s="24">
        <v>90</v>
      </c>
      <c r="M1237">
        <v>254</v>
      </c>
      <c r="N1237" t="s">
        <v>1432</v>
      </c>
      <c r="O1237">
        <v>35</v>
      </c>
      <c r="P1237">
        <v>180</v>
      </c>
      <c r="Q1237" t="s">
        <v>25</v>
      </c>
      <c r="R1237" t="s">
        <v>25</v>
      </c>
      <c r="S1237" t="s">
        <v>26</v>
      </c>
      <c r="T1237" t="s">
        <v>25</v>
      </c>
      <c r="U1237">
        <f t="shared" si="78"/>
        <v>4</v>
      </c>
      <c r="V1237">
        <v>174.68</v>
      </c>
      <c r="W1237">
        <v>0.51200000000000001</v>
      </c>
      <c r="X1237" t="s">
        <v>1406</v>
      </c>
      <c r="Y1237">
        <v>164</v>
      </c>
      <c r="Z1237">
        <v>90</v>
      </c>
      <c r="AA1237" t="s">
        <v>40</v>
      </c>
      <c r="AB1237">
        <v>189</v>
      </c>
      <c r="AC1237" s="23">
        <v>5.4</v>
      </c>
      <c r="AD1237" t="str">
        <f>IF(AND('CVD Dataset'!AA1237="Normal",'CVD Dataset'!AB1237&gt;AVERAGE('CVD Dataset'!AB:AB),'CVD Dataset'!AF1237="High"),"High Lipid Category","Normal Category")</f>
        <v>Normal Category</v>
      </c>
      <c r="AE1237">
        <v>19.416</v>
      </c>
      <c r="AF1237" t="s">
        <v>54</v>
      </c>
      <c r="AG1237">
        <v>0</v>
      </c>
      <c r="AH1237" t="s">
        <v>1380</v>
      </c>
      <c r="AI1237">
        <f t="shared" si="79"/>
        <v>0</v>
      </c>
      <c r="AJ1237" t="s">
        <v>1392</v>
      </c>
    </row>
    <row r="1238" spans="1:36" x14ac:dyDescent="0.3">
      <c r="A1238" t="s">
        <v>22</v>
      </c>
      <c r="B1238">
        <v>41</v>
      </c>
      <c r="C1238">
        <v>111.047</v>
      </c>
      <c r="D1238">
        <v>1.5069999999999999</v>
      </c>
      <c r="E1238">
        <v>24.111999999999998</v>
      </c>
      <c r="F1238">
        <f t="shared" si="77"/>
        <v>48.896787343646047</v>
      </c>
      <c r="G1238">
        <f t="shared" si="80"/>
        <v>1</v>
      </c>
      <c r="H1238" t="s">
        <v>1398</v>
      </c>
      <c r="I1238">
        <v>85.741</v>
      </c>
      <c r="J1238" t="s">
        <v>1058</v>
      </c>
      <c r="K1238" s="24">
        <v>125</v>
      </c>
      <c r="L1238" s="24">
        <v>78</v>
      </c>
      <c r="M1238">
        <v>172</v>
      </c>
      <c r="N1238" t="s">
        <v>1433</v>
      </c>
      <c r="O1238">
        <v>45</v>
      </c>
      <c r="P1238">
        <v>129</v>
      </c>
      <c r="Q1238" t="s">
        <v>24</v>
      </c>
      <c r="R1238" t="s">
        <v>25</v>
      </c>
      <c r="S1238" t="s">
        <v>26</v>
      </c>
      <c r="T1238" t="s">
        <v>24</v>
      </c>
      <c r="U1238">
        <f t="shared" si="78"/>
        <v>2</v>
      </c>
      <c r="V1238">
        <v>150.709</v>
      </c>
      <c r="W1238">
        <v>0.56899999999999995</v>
      </c>
      <c r="X1238" t="s">
        <v>1407</v>
      </c>
      <c r="Y1238">
        <v>125</v>
      </c>
      <c r="Z1238">
        <v>78</v>
      </c>
      <c r="AA1238" t="s">
        <v>27</v>
      </c>
      <c r="AB1238">
        <v>97</v>
      </c>
      <c r="AC1238" s="23">
        <v>2.16</v>
      </c>
      <c r="AD1238" t="str">
        <f>IF(AND('CVD Dataset'!AA1238="Normal",'CVD Dataset'!AB1238&gt;AVERAGE('CVD Dataset'!AB:AB),'CVD Dataset'!AF1238="High"),"High Lipid Category","Normal Category")</f>
        <v>Normal Category</v>
      </c>
      <c r="AE1238">
        <v>16.512</v>
      </c>
      <c r="AF1238" t="s">
        <v>28</v>
      </c>
      <c r="AG1238">
        <v>0</v>
      </c>
      <c r="AH1238" t="s">
        <v>1380</v>
      </c>
      <c r="AI1238">
        <f t="shared" si="79"/>
        <v>0</v>
      </c>
      <c r="AJ1238" t="s">
        <v>1391</v>
      </c>
    </row>
    <row r="1239" spans="1:36" x14ac:dyDescent="0.3">
      <c r="A1239" t="s">
        <v>22</v>
      </c>
      <c r="B1239">
        <v>62</v>
      </c>
      <c r="C1239">
        <v>103.39</v>
      </c>
      <c r="D1239">
        <v>1.917</v>
      </c>
      <c r="E1239">
        <v>21.050999999999998</v>
      </c>
      <c r="F1239">
        <f t="shared" si="77"/>
        <v>28.134183100496365</v>
      </c>
      <c r="G1239">
        <f t="shared" si="80"/>
        <v>1</v>
      </c>
      <c r="H1239" t="s">
        <v>1398</v>
      </c>
      <c r="I1239">
        <v>88.534000000000006</v>
      </c>
      <c r="J1239" t="s">
        <v>1059</v>
      </c>
      <c r="K1239" s="24">
        <v>125</v>
      </c>
      <c r="L1239" s="24">
        <v>85</v>
      </c>
      <c r="M1239">
        <v>134</v>
      </c>
      <c r="N1239" t="s">
        <v>1434</v>
      </c>
      <c r="O1239">
        <v>74</v>
      </c>
      <c r="P1239">
        <v>152</v>
      </c>
      <c r="Q1239" t="s">
        <v>24</v>
      </c>
      <c r="R1239" t="s">
        <v>24</v>
      </c>
      <c r="S1239" t="s">
        <v>30</v>
      </c>
      <c r="T1239" t="s">
        <v>25</v>
      </c>
      <c r="U1239">
        <f t="shared" si="78"/>
        <v>1</v>
      </c>
      <c r="V1239">
        <v>191.71799999999999</v>
      </c>
      <c r="W1239">
        <v>0.46200000000000002</v>
      </c>
      <c r="X1239" t="s">
        <v>1406</v>
      </c>
      <c r="Y1239">
        <v>125</v>
      </c>
      <c r="Z1239">
        <v>85</v>
      </c>
      <c r="AA1239" t="s">
        <v>31</v>
      </c>
      <c r="AB1239">
        <v>30</v>
      </c>
      <c r="AC1239" s="23">
        <v>0.41</v>
      </c>
      <c r="AD1239" t="str">
        <f>IF(AND('CVD Dataset'!AA1239="Normal",'CVD Dataset'!AB1239&gt;AVERAGE('CVD Dataset'!AB:AB),'CVD Dataset'!AF1239="High"),"High Lipid Category","Normal Category")</f>
        <v>Normal Category</v>
      </c>
      <c r="AE1239">
        <v>13.14</v>
      </c>
      <c r="AF1239" t="s">
        <v>32</v>
      </c>
      <c r="AG1239">
        <v>1</v>
      </c>
      <c r="AH1239" t="s">
        <v>1379</v>
      </c>
      <c r="AI1239">
        <f t="shared" si="79"/>
        <v>1</v>
      </c>
      <c r="AJ1239" t="s">
        <v>1391</v>
      </c>
    </row>
    <row r="1240" spans="1:36" x14ac:dyDescent="0.3">
      <c r="A1240" t="s">
        <v>33</v>
      </c>
      <c r="B1240">
        <v>74</v>
      </c>
      <c r="C1240">
        <v>117.717</v>
      </c>
      <c r="D1240">
        <v>1.984</v>
      </c>
      <c r="E1240">
        <v>27.812999999999999</v>
      </c>
      <c r="F1240">
        <f t="shared" si="77"/>
        <v>29.905829295655568</v>
      </c>
      <c r="G1240">
        <f t="shared" si="80"/>
        <v>1</v>
      </c>
      <c r="H1240" t="s">
        <v>1400</v>
      </c>
      <c r="I1240">
        <v>107.255</v>
      </c>
      <c r="J1240" t="s">
        <v>1060</v>
      </c>
      <c r="K1240" s="24">
        <v>144</v>
      </c>
      <c r="L1240" s="24">
        <v>95</v>
      </c>
      <c r="M1240">
        <v>244</v>
      </c>
      <c r="N1240" t="s">
        <v>1432</v>
      </c>
      <c r="O1240">
        <v>68</v>
      </c>
      <c r="P1240">
        <v>85</v>
      </c>
      <c r="Q1240" t="s">
        <v>25</v>
      </c>
      <c r="R1240" t="s">
        <v>24</v>
      </c>
      <c r="S1240" t="s">
        <v>39</v>
      </c>
      <c r="T1240" t="s">
        <v>24</v>
      </c>
      <c r="U1240">
        <f t="shared" si="78"/>
        <v>1</v>
      </c>
      <c r="V1240">
        <v>198.386</v>
      </c>
      <c r="W1240">
        <v>0.54100000000000004</v>
      </c>
      <c r="X1240" t="s">
        <v>1407</v>
      </c>
      <c r="Y1240">
        <v>144</v>
      </c>
      <c r="Z1240">
        <v>95</v>
      </c>
      <c r="AA1240" t="s">
        <v>40</v>
      </c>
      <c r="AB1240">
        <v>146</v>
      </c>
      <c r="AC1240" s="23">
        <v>2.15</v>
      </c>
      <c r="AD1240" t="str">
        <f>IF(AND('CVD Dataset'!AA1240="Normal",'CVD Dataset'!AB1240&gt;AVERAGE('CVD Dataset'!AB:AB),'CVD Dataset'!AF1240="High"),"High Lipid Category","Normal Category")</f>
        <v>Normal Category</v>
      </c>
      <c r="AE1240">
        <v>17.643000000000001</v>
      </c>
      <c r="AF1240" t="s">
        <v>28</v>
      </c>
      <c r="AG1240">
        <v>0</v>
      </c>
      <c r="AH1240" t="s">
        <v>1380</v>
      </c>
      <c r="AI1240">
        <f t="shared" si="79"/>
        <v>0</v>
      </c>
      <c r="AJ1240" t="s">
        <v>1391</v>
      </c>
    </row>
    <row r="1241" spans="1:36" x14ac:dyDescent="0.3">
      <c r="A1241" t="s">
        <v>33</v>
      </c>
      <c r="B1241">
        <v>61</v>
      </c>
      <c r="C1241">
        <v>108.873</v>
      </c>
      <c r="D1241">
        <v>1.9690000000000001</v>
      </c>
      <c r="E1241">
        <v>18.678999999999998</v>
      </c>
      <c r="F1241">
        <f t="shared" si="77"/>
        <v>28.082046737122191</v>
      </c>
      <c r="G1241">
        <f t="shared" si="80"/>
        <v>1</v>
      </c>
      <c r="H1241" t="s">
        <v>1398</v>
      </c>
      <c r="I1241">
        <v>94.512</v>
      </c>
      <c r="J1241" t="s">
        <v>1061</v>
      </c>
      <c r="K1241" s="24">
        <v>109</v>
      </c>
      <c r="L1241" s="24">
        <v>82</v>
      </c>
      <c r="M1241">
        <v>295</v>
      </c>
      <c r="N1241" t="s">
        <v>1432</v>
      </c>
      <c r="O1241">
        <v>83</v>
      </c>
      <c r="P1241">
        <v>119</v>
      </c>
      <c r="Q1241" t="s">
        <v>25</v>
      </c>
      <c r="R1241" t="s">
        <v>24</v>
      </c>
      <c r="S1241" t="s">
        <v>26</v>
      </c>
      <c r="T1241" t="s">
        <v>24</v>
      </c>
      <c r="U1241">
        <f t="shared" si="78"/>
        <v>2</v>
      </c>
      <c r="V1241">
        <v>196.85400000000001</v>
      </c>
      <c r="W1241">
        <v>0.48</v>
      </c>
      <c r="X1241" t="s">
        <v>1406</v>
      </c>
      <c r="Y1241">
        <v>109</v>
      </c>
      <c r="Z1241">
        <v>82</v>
      </c>
      <c r="AA1241" t="s">
        <v>31</v>
      </c>
      <c r="AB1241">
        <v>182</v>
      </c>
      <c r="AC1241" s="23">
        <v>2.19</v>
      </c>
      <c r="AD1241" t="str">
        <f>IF(AND('CVD Dataset'!AA1241="Normal",'CVD Dataset'!AB1241&gt;AVERAGE('CVD Dataset'!AB:AB),'CVD Dataset'!AF1241="High"),"High Lipid Category","Normal Category")</f>
        <v>Normal Category</v>
      </c>
      <c r="AE1241">
        <v>15.086</v>
      </c>
      <c r="AF1241" t="s">
        <v>32</v>
      </c>
      <c r="AG1241">
        <v>1</v>
      </c>
      <c r="AH1241" t="s">
        <v>1379</v>
      </c>
      <c r="AI1241">
        <f t="shared" si="79"/>
        <v>1</v>
      </c>
      <c r="AJ1241" t="s">
        <v>1391</v>
      </c>
    </row>
    <row r="1242" spans="1:36" x14ac:dyDescent="0.3">
      <c r="A1242" t="s">
        <v>33</v>
      </c>
      <c r="C1242">
        <v>112.068</v>
      </c>
      <c r="D1242">
        <v>1.9450000000000001</v>
      </c>
      <c r="E1242">
        <v>32.357999999999997</v>
      </c>
      <c r="F1242">
        <f t="shared" si="77"/>
        <v>29.623912080940514</v>
      </c>
      <c r="G1242">
        <f t="shared" si="80"/>
        <v>1</v>
      </c>
      <c r="H1242" t="s">
        <v>1399</v>
      </c>
      <c r="I1242">
        <v>106.46</v>
      </c>
      <c r="J1242" t="s">
        <v>1062</v>
      </c>
      <c r="K1242" s="24">
        <v>102</v>
      </c>
      <c r="L1242" s="24">
        <v>88</v>
      </c>
      <c r="M1242">
        <v>280</v>
      </c>
      <c r="N1242" t="s">
        <v>1432</v>
      </c>
      <c r="O1242">
        <v>34</v>
      </c>
      <c r="P1242">
        <v>158</v>
      </c>
      <c r="Q1242" t="s">
        <v>25</v>
      </c>
      <c r="R1242" t="s">
        <v>24</v>
      </c>
      <c r="S1242" t="s">
        <v>39</v>
      </c>
      <c r="T1242" t="s">
        <v>24</v>
      </c>
      <c r="U1242">
        <f t="shared" si="78"/>
        <v>1</v>
      </c>
      <c r="V1242">
        <v>194.52199999999999</v>
      </c>
      <c r="W1242">
        <v>0.54700000000000004</v>
      </c>
      <c r="X1242" t="s">
        <v>1407</v>
      </c>
      <c r="Y1242">
        <v>102</v>
      </c>
      <c r="AA1242" t="s">
        <v>31</v>
      </c>
      <c r="AB1242">
        <v>216</v>
      </c>
      <c r="AC1242" s="23">
        <v>6.35</v>
      </c>
      <c r="AD1242" t="str">
        <f>IF(AND('CVD Dataset'!AA1242="Normal",'CVD Dataset'!AB1242&gt;AVERAGE('CVD Dataset'!AB:AB),'CVD Dataset'!AF1242="High"),"High Lipid Category","Normal Category")</f>
        <v>Normal Category</v>
      </c>
      <c r="AE1242">
        <v>17.172000000000001</v>
      </c>
      <c r="AF1242" t="s">
        <v>54</v>
      </c>
      <c r="AG1242">
        <v>0</v>
      </c>
      <c r="AH1242" t="s">
        <v>1380</v>
      </c>
      <c r="AI1242">
        <f t="shared" si="79"/>
        <v>0</v>
      </c>
      <c r="AJ1242" t="s">
        <v>1391</v>
      </c>
    </row>
    <row r="1243" spans="1:36" x14ac:dyDescent="0.3">
      <c r="A1243" t="s">
        <v>22</v>
      </c>
      <c r="B1243">
        <v>50</v>
      </c>
      <c r="D1243">
        <v>1.7150000000000001</v>
      </c>
      <c r="E1243">
        <v>18.687000000000001</v>
      </c>
      <c r="F1243">
        <f t="shared" si="77"/>
        <v>0</v>
      </c>
      <c r="G1243">
        <f t="shared" si="80"/>
        <v>1</v>
      </c>
      <c r="H1243" t="s">
        <v>1398</v>
      </c>
      <c r="I1243">
        <v>117.9</v>
      </c>
      <c r="J1243" t="s">
        <v>1063</v>
      </c>
      <c r="K1243" s="24">
        <v>164</v>
      </c>
      <c r="L1243" s="24">
        <v>81</v>
      </c>
      <c r="M1243">
        <v>208</v>
      </c>
      <c r="N1243" t="s">
        <v>1432</v>
      </c>
      <c r="O1243">
        <v>43</v>
      </c>
      <c r="P1243">
        <v>155</v>
      </c>
      <c r="Q1243" t="s">
        <v>25</v>
      </c>
      <c r="R1243" t="s">
        <v>25</v>
      </c>
      <c r="S1243" t="s">
        <v>30</v>
      </c>
      <c r="T1243" t="s">
        <v>25</v>
      </c>
      <c r="U1243">
        <f t="shared" si="78"/>
        <v>3</v>
      </c>
      <c r="V1243">
        <v>171.47</v>
      </c>
      <c r="W1243">
        <v>0.68799999999999994</v>
      </c>
      <c r="X1243" t="s">
        <v>1409</v>
      </c>
      <c r="Y1243">
        <v>164</v>
      </c>
      <c r="Z1243">
        <v>81</v>
      </c>
      <c r="AA1243" t="s">
        <v>31</v>
      </c>
      <c r="AC1243" s="23">
        <v>0</v>
      </c>
      <c r="AD1243" t="str">
        <f>IF(AND('CVD Dataset'!AA1243="Normal",'CVD Dataset'!AB1243&gt;AVERAGE('CVD Dataset'!AB:AB),'CVD Dataset'!AF1243="High"),"High Lipid Category","Normal Category")</f>
        <v>Normal Category</v>
      </c>
      <c r="AE1243">
        <v>18.097000000000001</v>
      </c>
      <c r="AF1243" t="s">
        <v>54</v>
      </c>
      <c r="AG1243">
        <v>0</v>
      </c>
      <c r="AH1243" t="s">
        <v>1380</v>
      </c>
      <c r="AI1243">
        <f t="shared" si="79"/>
        <v>0</v>
      </c>
      <c r="AJ1243" t="s">
        <v>1391</v>
      </c>
    </row>
    <row r="1244" spans="1:36" x14ac:dyDescent="0.3">
      <c r="A1244" t="s">
        <v>22</v>
      </c>
      <c r="B1244">
        <v>44</v>
      </c>
      <c r="C1244">
        <v>106.675</v>
      </c>
      <c r="D1244">
        <v>1.7989999999999999</v>
      </c>
      <c r="E1244">
        <v>20.375</v>
      </c>
      <c r="F1244">
        <f t="shared" si="77"/>
        <v>32.960995871648784</v>
      </c>
      <c r="G1244">
        <f t="shared" si="80"/>
        <v>1</v>
      </c>
      <c r="H1244" t="s">
        <v>1398</v>
      </c>
      <c r="I1244">
        <v>83.194000000000003</v>
      </c>
      <c r="J1244" t="s">
        <v>1064</v>
      </c>
      <c r="K1244" s="24">
        <v>106</v>
      </c>
      <c r="L1244" s="24">
        <v>105</v>
      </c>
      <c r="M1244">
        <v>131</v>
      </c>
      <c r="N1244" t="s">
        <v>1434</v>
      </c>
      <c r="O1244">
        <v>66</v>
      </c>
      <c r="P1244">
        <v>166</v>
      </c>
      <c r="Q1244" t="s">
        <v>24</v>
      </c>
      <c r="R1244" t="s">
        <v>24</v>
      </c>
      <c r="S1244" t="s">
        <v>30</v>
      </c>
      <c r="T1244" t="s">
        <v>25</v>
      </c>
      <c r="U1244">
        <f t="shared" si="78"/>
        <v>1</v>
      </c>
      <c r="V1244">
        <v>179.90100000000001</v>
      </c>
      <c r="W1244">
        <v>0.46200000000000002</v>
      </c>
      <c r="X1244" t="s">
        <v>1406</v>
      </c>
      <c r="Y1244">
        <v>106</v>
      </c>
      <c r="Z1244">
        <v>105</v>
      </c>
      <c r="AA1244" t="s">
        <v>40</v>
      </c>
      <c r="AB1244">
        <v>35</v>
      </c>
      <c r="AC1244" s="23">
        <v>0.53</v>
      </c>
      <c r="AD1244" t="str">
        <f>IF(AND('CVD Dataset'!AA1244="Normal",'CVD Dataset'!AB1244&gt;AVERAGE('CVD Dataset'!AB:AB),'CVD Dataset'!AF1244="High"),"High Lipid Category","Normal Category")</f>
        <v>Normal Category</v>
      </c>
      <c r="AE1244">
        <v>11.994999999999999</v>
      </c>
      <c r="AF1244" t="s">
        <v>32</v>
      </c>
      <c r="AG1244">
        <v>1</v>
      </c>
      <c r="AH1244" t="s">
        <v>1379</v>
      </c>
      <c r="AI1244">
        <f t="shared" si="79"/>
        <v>1</v>
      </c>
      <c r="AJ1244" t="s">
        <v>1391</v>
      </c>
    </row>
    <row r="1245" spans="1:36" x14ac:dyDescent="0.3">
      <c r="A1245" t="s">
        <v>22</v>
      </c>
      <c r="B1245">
        <v>52</v>
      </c>
      <c r="C1245">
        <v>78.588999999999999</v>
      </c>
      <c r="D1245">
        <v>1.9319999999999999</v>
      </c>
      <c r="E1245">
        <v>27.216999999999999</v>
      </c>
      <c r="F1245">
        <f t="shared" si="77"/>
        <v>21.054625378821974</v>
      </c>
      <c r="G1245">
        <f t="shared" si="80"/>
        <v>1</v>
      </c>
      <c r="H1245" t="s">
        <v>1400</v>
      </c>
      <c r="I1245">
        <v>112.51</v>
      </c>
      <c r="J1245" t="s">
        <v>1065</v>
      </c>
      <c r="K1245" s="24">
        <v>129</v>
      </c>
      <c r="L1245" s="24">
        <v>99</v>
      </c>
      <c r="M1245">
        <v>123</v>
      </c>
      <c r="N1245" t="s">
        <v>1434</v>
      </c>
      <c r="P1245">
        <v>103</v>
      </c>
      <c r="Q1245" t="s">
        <v>24</v>
      </c>
      <c r="R1245" t="s">
        <v>24</v>
      </c>
      <c r="S1245" t="s">
        <v>30</v>
      </c>
      <c r="T1245" t="s">
        <v>24</v>
      </c>
      <c r="U1245">
        <f t="shared" si="78"/>
        <v>0</v>
      </c>
      <c r="V1245">
        <v>193.178</v>
      </c>
      <c r="W1245">
        <v>0.58199999999999996</v>
      </c>
      <c r="X1245" t="s">
        <v>1407</v>
      </c>
      <c r="Y1245">
        <v>129</v>
      </c>
      <c r="Z1245">
        <v>99</v>
      </c>
      <c r="AA1245" t="s">
        <v>40</v>
      </c>
      <c r="AB1245">
        <v>60</v>
      </c>
      <c r="AC1245" s="23" t="s">
        <v>1410</v>
      </c>
      <c r="AD1245" t="str">
        <f>IF(AND('CVD Dataset'!AA1245="Normal",'CVD Dataset'!AB1245&gt;AVERAGE('CVD Dataset'!AB:AB),'CVD Dataset'!AF1245="High"),"High Lipid Category","Normal Category")</f>
        <v>Normal Category</v>
      </c>
      <c r="AE1245">
        <v>14.353</v>
      </c>
      <c r="AF1245" t="s">
        <v>28</v>
      </c>
      <c r="AG1245">
        <v>0</v>
      </c>
      <c r="AH1245" t="s">
        <v>1380</v>
      </c>
      <c r="AI1245">
        <f t="shared" si="79"/>
        <v>0</v>
      </c>
      <c r="AJ1245" t="s">
        <v>1391</v>
      </c>
    </row>
    <row r="1246" spans="1:36" x14ac:dyDescent="0.3">
      <c r="A1246" t="s">
        <v>22</v>
      </c>
      <c r="C1246">
        <v>111.474</v>
      </c>
      <c r="D1246">
        <v>1.542</v>
      </c>
      <c r="E1246">
        <v>24.814</v>
      </c>
      <c r="F1246">
        <f t="shared" si="77"/>
        <v>46.88186043694833</v>
      </c>
      <c r="G1246">
        <f t="shared" si="80"/>
        <v>1</v>
      </c>
      <c r="H1246" t="s">
        <v>1398</v>
      </c>
      <c r="I1246">
        <v>77.655000000000001</v>
      </c>
      <c r="J1246" t="s">
        <v>1066</v>
      </c>
      <c r="K1246" s="24">
        <v>164</v>
      </c>
      <c r="L1246" s="24">
        <v>100</v>
      </c>
      <c r="M1246">
        <v>260</v>
      </c>
      <c r="N1246" t="s">
        <v>1432</v>
      </c>
      <c r="O1246">
        <v>46</v>
      </c>
      <c r="P1246">
        <v>95</v>
      </c>
      <c r="Q1246" t="s">
        <v>24</v>
      </c>
      <c r="R1246" t="s">
        <v>24</v>
      </c>
      <c r="S1246" t="s">
        <v>26</v>
      </c>
      <c r="T1246" t="s">
        <v>25</v>
      </c>
      <c r="U1246">
        <f t="shared" si="78"/>
        <v>2</v>
      </c>
      <c r="V1246">
        <v>154.20400000000001</v>
      </c>
      <c r="W1246">
        <v>0.504</v>
      </c>
      <c r="X1246" t="s">
        <v>1406</v>
      </c>
      <c r="Y1246">
        <v>164</v>
      </c>
      <c r="Z1246">
        <v>100</v>
      </c>
      <c r="AA1246" t="s">
        <v>40</v>
      </c>
      <c r="AB1246">
        <v>184</v>
      </c>
      <c r="AC1246" s="23">
        <v>4</v>
      </c>
      <c r="AD1246" t="str">
        <f>IF(AND('CVD Dataset'!AA1246="Normal",'CVD Dataset'!AB1246&gt;AVERAGE('CVD Dataset'!AB:AB),'CVD Dataset'!AF1246="High"),"High Lipid Category","Normal Category")</f>
        <v>Normal Category</v>
      </c>
      <c r="AE1246">
        <v>18.363</v>
      </c>
      <c r="AF1246" t="s">
        <v>28</v>
      </c>
      <c r="AG1246">
        <v>0</v>
      </c>
      <c r="AH1246" t="s">
        <v>1380</v>
      </c>
      <c r="AI1246">
        <f t="shared" si="79"/>
        <v>0</v>
      </c>
      <c r="AJ1246" t="s">
        <v>1391</v>
      </c>
    </row>
    <row r="1247" spans="1:36" x14ac:dyDescent="0.3">
      <c r="A1247" t="s">
        <v>22</v>
      </c>
      <c r="C1247">
        <v>89.647000000000006</v>
      </c>
      <c r="D1247">
        <v>1.8069999999999999</v>
      </c>
      <c r="E1247">
        <v>24.763000000000002</v>
      </c>
      <c r="F1247">
        <f t="shared" si="77"/>
        <v>27.454874038702716</v>
      </c>
      <c r="G1247">
        <f t="shared" si="80"/>
        <v>1</v>
      </c>
      <c r="H1247" t="s">
        <v>1398</v>
      </c>
      <c r="I1247">
        <v>77.941999999999993</v>
      </c>
      <c r="J1247" t="s">
        <v>1037</v>
      </c>
      <c r="K1247" s="24">
        <v>168</v>
      </c>
      <c r="L1247" s="24">
        <v>61</v>
      </c>
      <c r="M1247">
        <v>227</v>
      </c>
      <c r="N1247" t="s">
        <v>1432</v>
      </c>
      <c r="O1247">
        <v>40</v>
      </c>
      <c r="P1247">
        <v>175</v>
      </c>
      <c r="Q1247" t="s">
        <v>25</v>
      </c>
      <c r="R1247" t="s">
        <v>24</v>
      </c>
      <c r="S1247" t="s">
        <v>30</v>
      </c>
      <c r="T1247" t="s">
        <v>25</v>
      </c>
      <c r="U1247">
        <f t="shared" si="78"/>
        <v>2</v>
      </c>
      <c r="V1247">
        <v>180.65199999999999</v>
      </c>
      <c r="W1247">
        <v>0.43099999999999999</v>
      </c>
      <c r="X1247" t="s">
        <v>1408</v>
      </c>
      <c r="Y1247">
        <v>168</v>
      </c>
      <c r="Z1247">
        <v>61</v>
      </c>
      <c r="AA1247" t="s">
        <v>40</v>
      </c>
      <c r="AB1247">
        <v>157</v>
      </c>
      <c r="AC1247" s="23">
        <v>3.93</v>
      </c>
      <c r="AD1247" t="str">
        <f>IF(AND('CVD Dataset'!AA1247="Normal",'CVD Dataset'!AB1247&gt;AVERAGE('CVD Dataset'!AB:AB),'CVD Dataset'!AF1247="High"),"High Lipid Category","Normal Category")</f>
        <v>Normal Category</v>
      </c>
      <c r="AE1247">
        <v>17.893000000000001</v>
      </c>
      <c r="AF1247" t="s">
        <v>54</v>
      </c>
      <c r="AG1247">
        <v>0</v>
      </c>
      <c r="AH1247" t="s">
        <v>1380</v>
      </c>
      <c r="AI1247">
        <f t="shared" si="79"/>
        <v>0</v>
      </c>
      <c r="AJ1247" t="s">
        <v>1391</v>
      </c>
    </row>
    <row r="1248" spans="1:36" x14ac:dyDescent="0.3">
      <c r="A1248" t="s">
        <v>22</v>
      </c>
      <c r="B1248">
        <v>77</v>
      </c>
      <c r="C1248">
        <v>60.106999999999999</v>
      </c>
      <c r="D1248">
        <v>1.728</v>
      </c>
      <c r="E1248">
        <v>22.247</v>
      </c>
      <c r="F1248">
        <f t="shared" si="77"/>
        <v>20.129712684327849</v>
      </c>
      <c r="G1248">
        <f t="shared" si="80"/>
        <v>1</v>
      </c>
      <c r="H1248" t="s">
        <v>1398</v>
      </c>
      <c r="I1248">
        <v>89.010999999999996</v>
      </c>
      <c r="J1248" t="s">
        <v>1067</v>
      </c>
      <c r="K1248" s="24">
        <v>166</v>
      </c>
      <c r="L1248" s="24">
        <v>116</v>
      </c>
      <c r="M1248">
        <v>108</v>
      </c>
      <c r="N1248" t="s">
        <v>1434</v>
      </c>
      <c r="O1248">
        <v>37</v>
      </c>
      <c r="P1248">
        <v>179</v>
      </c>
      <c r="Q1248" t="s">
        <v>25</v>
      </c>
      <c r="R1248" t="s">
        <v>24</v>
      </c>
      <c r="S1248" t="s">
        <v>26</v>
      </c>
      <c r="T1248" t="s">
        <v>24</v>
      </c>
      <c r="U1248">
        <f t="shared" si="78"/>
        <v>2</v>
      </c>
      <c r="V1248">
        <v>172.821</v>
      </c>
      <c r="X1248" t="s">
        <v>1410</v>
      </c>
      <c r="Y1248">
        <v>166</v>
      </c>
      <c r="Z1248">
        <v>116</v>
      </c>
      <c r="AA1248" t="s">
        <v>40</v>
      </c>
      <c r="AC1248" s="23">
        <v>0</v>
      </c>
      <c r="AD1248" t="str">
        <f>IF(AND('CVD Dataset'!AA1248="Normal",'CVD Dataset'!AB1248&gt;AVERAGE('CVD Dataset'!AB:AB),'CVD Dataset'!AF1248="High"),"High Lipid Category","Normal Category")</f>
        <v>Normal Category</v>
      </c>
      <c r="AE1248">
        <v>14.909000000000001</v>
      </c>
      <c r="AF1248" t="s">
        <v>32</v>
      </c>
      <c r="AG1248">
        <v>0</v>
      </c>
      <c r="AH1248" t="s">
        <v>1379</v>
      </c>
      <c r="AI1248">
        <f t="shared" si="79"/>
        <v>1</v>
      </c>
      <c r="AJ1248" t="s">
        <v>1391</v>
      </c>
    </row>
    <row r="1249" spans="1:36" x14ac:dyDescent="0.3">
      <c r="A1249" t="s">
        <v>22</v>
      </c>
      <c r="B1249">
        <v>42</v>
      </c>
      <c r="C1249">
        <v>52.707999999999998</v>
      </c>
      <c r="D1249">
        <v>1.587</v>
      </c>
      <c r="F1249">
        <f t="shared" si="77"/>
        <v>20.927756992164998</v>
      </c>
      <c r="G1249">
        <f t="shared" si="80"/>
        <v>1</v>
      </c>
      <c r="H1249" t="s">
        <v>1401</v>
      </c>
      <c r="I1249">
        <v>110.821</v>
      </c>
      <c r="J1249" t="s">
        <v>1068</v>
      </c>
      <c r="K1249" s="24">
        <v>117</v>
      </c>
      <c r="L1249" s="24">
        <v>113</v>
      </c>
      <c r="M1249">
        <v>137</v>
      </c>
      <c r="N1249" t="s">
        <v>1434</v>
      </c>
      <c r="O1249">
        <v>45</v>
      </c>
      <c r="P1249">
        <v>120</v>
      </c>
      <c r="Q1249" t="s">
        <v>24</v>
      </c>
      <c r="R1249" t="s">
        <v>24</v>
      </c>
      <c r="S1249" t="s">
        <v>39</v>
      </c>
      <c r="T1249" t="s">
        <v>24</v>
      </c>
      <c r="U1249">
        <f t="shared" si="78"/>
        <v>0</v>
      </c>
      <c r="V1249">
        <v>158.744</v>
      </c>
      <c r="W1249">
        <v>0.69799999999999995</v>
      </c>
      <c r="X1249" t="s">
        <v>1409</v>
      </c>
      <c r="Y1249">
        <v>117</v>
      </c>
      <c r="Z1249">
        <v>113</v>
      </c>
      <c r="AA1249" t="s">
        <v>40</v>
      </c>
      <c r="AB1249">
        <v>62</v>
      </c>
      <c r="AC1249" s="23">
        <v>1.38</v>
      </c>
      <c r="AD1249" t="str">
        <f>IF(AND('CVD Dataset'!AA1249="Normal",'CVD Dataset'!AB1249&gt;AVERAGE('CVD Dataset'!AB:AB),'CVD Dataset'!AF1249="High"),"High Lipid Category","Normal Category")</f>
        <v>Normal Category</v>
      </c>
      <c r="AE1249">
        <v>13.826000000000001</v>
      </c>
      <c r="AF1249" t="s">
        <v>32</v>
      </c>
      <c r="AG1249">
        <v>0</v>
      </c>
      <c r="AH1249" t="s">
        <v>1379</v>
      </c>
      <c r="AI1249">
        <f t="shared" si="79"/>
        <v>1</v>
      </c>
      <c r="AJ1249" t="s">
        <v>1391</v>
      </c>
    </row>
    <row r="1250" spans="1:36" x14ac:dyDescent="0.3">
      <c r="A1250" t="s">
        <v>22</v>
      </c>
      <c r="B1250">
        <v>30</v>
      </c>
      <c r="C1250">
        <v>86.364000000000004</v>
      </c>
      <c r="D1250">
        <v>1.7050000000000001</v>
      </c>
      <c r="E1250">
        <v>35.158999999999999</v>
      </c>
      <c r="F1250">
        <f t="shared" si="77"/>
        <v>29.708722835200934</v>
      </c>
      <c r="G1250">
        <f t="shared" si="80"/>
        <v>1</v>
      </c>
      <c r="H1250" t="s">
        <v>1399</v>
      </c>
      <c r="I1250">
        <v>72.730999999999995</v>
      </c>
      <c r="J1250" t="s">
        <v>1069</v>
      </c>
      <c r="K1250" s="24">
        <v>95</v>
      </c>
      <c r="L1250" s="24">
        <v>87</v>
      </c>
      <c r="M1250">
        <v>198</v>
      </c>
      <c r="N1250" t="s">
        <v>1432</v>
      </c>
      <c r="O1250">
        <v>71</v>
      </c>
      <c r="P1250">
        <v>130</v>
      </c>
      <c r="Q1250" t="s">
        <v>25</v>
      </c>
      <c r="R1250" t="s">
        <v>24</v>
      </c>
      <c r="S1250" t="s">
        <v>30</v>
      </c>
      <c r="T1250" t="s">
        <v>24</v>
      </c>
      <c r="U1250">
        <f t="shared" si="78"/>
        <v>1</v>
      </c>
      <c r="V1250">
        <v>170.47300000000001</v>
      </c>
      <c r="W1250">
        <v>0.42699999999999999</v>
      </c>
      <c r="X1250" t="s">
        <v>1408</v>
      </c>
      <c r="Y1250">
        <v>95</v>
      </c>
      <c r="Z1250">
        <v>87</v>
      </c>
      <c r="AA1250" t="s">
        <v>31</v>
      </c>
      <c r="AB1250">
        <v>97</v>
      </c>
      <c r="AC1250" s="23">
        <v>1.37</v>
      </c>
      <c r="AD1250" t="str">
        <f>IF(AND('CVD Dataset'!AA1250="Normal",'CVD Dataset'!AB1250&gt;AVERAGE('CVD Dataset'!AB:AB),'CVD Dataset'!AF1250="High"),"High Lipid Category","Normal Category")</f>
        <v>Normal Category</v>
      </c>
      <c r="AF1250" t="s">
        <v>28</v>
      </c>
      <c r="AG1250">
        <v>0</v>
      </c>
      <c r="AH1250" t="s">
        <v>1380</v>
      </c>
      <c r="AI1250">
        <f t="shared" si="79"/>
        <v>0</v>
      </c>
      <c r="AJ1250" t="s">
        <v>1391</v>
      </c>
    </row>
    <row r="1251" spans="1:36" x14ac:dyDescent="0.3">
      <c r="A1251" t="s">
        <v>33</v>
      </c>
      <c r="B1251">
        <v>35</v>
      </c>
      <c r="C1251">
        <v>117.19</v>
      </c>
      <c r="D1251">
        <v>1.702</v>
      </c>
      <c r="E1251">
        <v>24.965</v>
      </c>
      <c r="F1251">
        <f t="shared" si="77"/>
        <v>40.454928949283421</v>
      </c>
      <c r="G1251">
        <f t="shared" si="80"/>
        <v>1</v>
      </c>
      <c r="H1251" t="s">
        <v>1400</v>
      </c>
      <c r="I1251">
        <v>103.38200000000001</v>
      </c>
      <c r="J1251" t="s">
        <v>1070</v>
      </c>
      <c r="K1251" s="24">
        <v>102</v>
      </c>
      <c r="L1251" s="24">
        <v>69</v>
      </c>
      <c r="M1251">
        <v>180</v>
      </c>
      <c r="N1251" t="s">
        <v>1433</v>
      </c>
      <c r="O1251">
        <v>89</v>
      </c>
      <c r="P1251">
        <v>99</v>
      </c>
      <c r="Q1251" t="s">
        <v>25</v>
      </c>
      <c r="R1251" t="s">
        <v>25</v>
      </c>
      <c r="S1251" t="s">
        <v>26</v>
      </c>
      <c r="T1251" t="s">
        <v>24</v>
      </c>
      <c r="U1251">
        <f t="shared" si="78"/>
        <v>3</v>
      </c>
      <c r="V1251">
        <v>170.22</v>
      </c>
      <c r="W1251">
        <v>0.60699999999999998</v>
      </c>
      <c r="X1251" t="s">
        <v>1409</v>
      </c>
      <c r="Y1251">
        <v>102</v>
      </c>
      <c r="AA1251" t="s">
        <v>35</v>
      </c>
      <c r="AB1251">
        <v>61</v>
      </c>
      <c r="AC1251" s="23">
        <v>0.69</v>
      </c>
      <c r="AD1251" t="str">
        <f>IF(AND('CVD Dataset'!AA1251="Normal",'CVD Dataset'!AB1251&gt;AVERAGE('CVD Dataset'!AB:AB),'CVD Dataset'!AF1251="High"),"High Lipid Category","Normal Category")</f>
        <v>Normal Category</v>
      </c>
      <c r="AE1251">
        <v>15.693</v>
      </c>
      <c r="AF1251" t="s">
        <v>32</v>
      </c>
      <c r="AG1251">
        <v>1</v>
      </c>
      <c r="AH1251" t="s">
        <v>1379</v>
      </c>
      <c r="AI1251">
        <f t="shared" si="79"/>
        <v>1</v>
      </c>
      <c r="AJ1251" t="s">
        <v>1391</v>
      </c>
    </row>
    <row r="1252" spans="1:36" x14ac:dyDescent="0.3">
      <c r="A1252" t="s">
        <v>33</v>
      </c>
      <c r="C1252">
        <v>87.055000000000007</v>
      </c>
      <c r="D1252">
        <v>1.5269999999999999</v>
      </c>
      <c r="E1252">
        <v>23.245000000000001</v>
      </c>
      <c r="F1252">
        <f t="shared" si="77"/>
        <v>37.334956163430661</v>
      </c>
      <c r="G1252">
        <f t="shared" si="80"/>
        <v>1</v>
      </c>
      <c r="H1252" t="s">
        <v>1398</v>
      </c>
      <c r="I1252">
        <v>96.492999999999995</v>
      </c>
      <c r="J1252" t="s">
        <v>1071</v>
      </c>
      <c r="K1252" s="24">
        <v>103</v>
      </c>
      <c r="L1252" s="24">
        <v>72</v>
      </c>
      <c r="M1252">
        <v>132</v>
      </c>
      <c r="N1252" t="s">
        <v>1434</v>
      </c>
      <c r="O1252">
        <v>80</v>
      </c>
      <c r="P1252">
        <v>188</v>
      </c>
      <c r="Q1252" t="s">
        <v>25</v>
      </c>
      <c r="R1252" t="s">
        <v>24</v>
      </c>
      <c r="S1252" t="s">
        <v>26</v>
      </c>
      <c r="T1252" t="s">
        <v>24</v>
      </c>
      <c r="U1252">
        <f t="shared" si="78"/>
        <v>2</v>
      </c>
      <c r="V1252">
        <v>152.679</v>
      </c>
      <c r="W1252">
        <v>0.63200000000000001</v>
      </c>
      <c r="X1252" t="s">
        <v>1409</v>
      </c>
      <c r="Y1252">
        <v>103</v>
      </c>
      <c r="Z1252">
        <v>72</v>
      </c>
      <c r="AA1252" t="s">
        <v>35</v>
      </c>
      <c r="AB1252">
        <v>22</v>
      </c>
      <c r="AC1252" s="23">
        <v>0.28000000000000003</v>
      </c>
      <c r="AD1252" t="str">
        <f>IF(AND('CVD Dataset'!AA1252="Normal",'CVD Dataset'!AB1252&gt;AVERAGE('CVD Dataset'!AB:AB),'CVD Dataset'!AF1252="High"),"High Lipid Category","Normal Category")</f>
        <v>Normal Category</v>
      </c>
      <c r="AE1252">
        <v>12.439</v>
      </c>
      <c r="AF1252" t="s">
        <v>28</v>
      </c>
      <c r="AG1252">
        <v>0</v>
      </c>
      <c r="AH1252" t="s">
        <v>1380</v>
      </c>
      <c r="AI1252">
        <f t="shared" si="79"/>
        <v>0</v>
      </c>
      <c r="AJ1252" t="s">
        <v>1391</v>
      </c>
    </row>
    <row r="1253" spans="1:36" x14ac:dyDescent="0.3">
      <c r="A1253" t="s">
        <v>33</v>
      </c>
      <c r="B1253">
        <v>25</v>
      </c>
      <c r="C1253">
        <v>102.449</v>
      </c>
      <c r="D1253">
        <v>1.6890000000000001</v>
      </c>
      <c r="E1253">
        <v>21.762</v>
      </c>
      <c r="F1253">
        <f t="shared" si="77"/>
        <v>35.912730337106218</v>
      </c>
      <c r="G1253">
        <f t="shared" si="80"/>
        <v>1</v>
      </c>
      <c r="H1253" t="s">
        <v>1398</v>
      </c>
      <c r="I1253">
        <v>91.188999999999993</v>
      </c>
      <c r="J1253" t="s">
        <v>1072</v>
      </c>
      <c r="K1253" s="24">
        <v>112</v>
      </c>
      <c r="L1253" s="24">
        <v>117</v>
      </c>
      <c r="M1253">
        <v>257</v>
      </c>
      <c r="N1253" t="s">
        <v>1432</v>
      </c>
      <c r="O1253">
        <v>79</v>
      </c>
      <c r="P1253">
        <v>164</v>
      </c>
      <c r="Q1253" t="s">
        <v>24</v>
      </c>
      <c r="R1253" t="s">
        <v>24</v>
      </c>
      <c r="S1253" t="s">
        <v>39</v>
      </c>
      <c r="T1253" t="s">
        <v>24</v>
      </c>
      <c r="U1253">
        <f t="shared" si="78"/>
        <v>0</v>
      </c>
      <c r="V1253">
        <v>168.92400000000001</v>
      </c>
      <c r="X1253" t="s">
        <v>1410</v>
      </c>
      <c r="Y1253">
        <v>112</v>
      </c>
      <c r="Z1253">
        <v>117</v>
      </c>
      <c r="AA1253" t="s">
        <v>40</v>
      </c>
      <c r="AB1253">
        <v>148</v>
      </c>
      <c r="AC1253" s="23">
        <v>1.87</v>
      </c>
      <c r="AD1253" t="str">
        <f>IF(AND('CVD Dataset'!AA1253="Normal",'CVD Dataset'!AB1253&gt;AVERAGE('CVD Dataset'!AB:AB),'CVD Dataset'!AF1253="High"),"High Lipid Category","Normal Category")</f>
        <v>Normal Category</v>
      </c>
      <c r="AE1253">
        <v>15.092000000000001</v>
      </c>
      <c r="AF1253" t="s">
        <v>32</v>
      </c>
      <c r="AG1253">
        <v>1</v>
      </c>
      <c r="AH1253" t="s">
        <v>1379</v>
      </c>
      <c r="AI1253">
        <f t="shared" si="79"/>
        <v>1</v>
      </c>
      <c r="AJ1253" t="s">
        <v>1391</v>
      </c>
    </row>
    <row r="1254" spans="1:36" x14ac:dyDescent="0.3">
      <c r="A1254" t="s">
        <v>22</v>
      </c>
      <c r="B1254">
        <v>32</v>
      </c>
      <c r="C1254">
        <v>57.814</v>
      </c>
      <c r="D1254">
        <v>1.5960000000000001</v>
      </c>
      <c r="E1254">
        <v>20.405000000000001</v>
      </c>
      <c r="F1254">
        <f t="shared" si="77"/>
        <v>22.696936577031551</v>
      </c>
      <c r="G1254">
        <f t="shared" si="80"/>
        <v>1</v>
      </c>
      <c r="H1254" t="s">
        <v>1398</v>
      </c>
      <c r="I1254">
        <v>98.225999999999999</v>
      </c>
      <c r="J1254" t="s">
        <v>1073</v>
      </c>
      <c r="K1254" s="24">
        <v>130</v>
      </c>
      <c r="L1254" s="24">
        <v>70</v>
      </c>
      <c r="M1254">
        <v>285</v>
      </c>
      <c r="N1254" t="s">
        <v>1432</v>
      </c>
      <c r="O1254">
        <v>58</v>
      </c>
      <c r="P1254">
        <v>107</v>
      </c>
      <c r="Q1254" t="s">
        <v>24</v>
      </c>
      <c r="R1254" t="s">
        <v>25</v>
      </c>
      <c r="S1254" t="s">
        <v>39</v>
      </c>
      <c r="T1254" t="s">
        <v>24</v>
      </c>
      <c r="U1254">
        <f t="shared" si="78"/>
        <v>1</v>
      </c>
      <c r="V1254">
        <v>159.59200000000001</v>
      </c>
      <c r="W1254">
        <v>0.61499999999999999</v>
      </c>
      <c r="X1254" t="s">
        <v>1409</v>
      </c>
      <c r="Y1254">
        <v>130</v>
      </c>
      <c r="Z1254">
        <v>70</v>
      </c>
      <c r="AA1254" t="s">
        <v>31</v>
      </c>
      <c r="AB1254">
        <v>197</v>
      </c>
      <c r="AC1254" s="23">
        <v>3.4</v>
      </c>
      <c r="AD1254" t="str">
        <f>IF(AND('CVD Dataset'!AA1254="Normal",'CVD Dataset'!AB1254&gt;AVERAGE('CVD Dataset'!AB:AB),'CVD Dataset'!AF1254="High"),"High Lipid Category","Normal Category")</f>
        <v>Normal Category</v>
      </c>
      <c r="AE1254">
        <v>18.280999999999999</v>
      </c>
      <c r="AF1254" t="s">
        <v>54</v>
      </c>
      <c r="AG1254">
        <v>0</v>
      </c>
      <c r="AH1254" t="s">
        <v>1380</v>
      </c>
      <c r="AI1254">
        <f t="shared" si="79"/>
        <v>0</v>
      </c>
      <c r="AJ1254" t="s">
        <v>1391</v>
      </c>
    </row>
    <row r="1255" spans="1:36" x14ac:dyDescent="0.3">
      <c r="A1255" t="s">
        <v>33</v>
      </c>
      <c r="B1255">
        <v>47</v>
      </c>
      <c r="C1255">
        <v>86.468000000000004</v>
      </c>
      <c r="D1255">
        <v>1.5509999999999999</v>
      </c>
      <c r="E1255">
        <v>24.102</v>
      </c>
      <c r="F1255">
        <f t="shared" si="77"/>
        <v>35.944447977864996</v>
      </c>
      <c r="G1255">
        <f t="shared" si="80"/>
        <v>1</v>
      </c>
      <c r="H1255" t="s">
        <v>1398</v>
      </c>
      <c r="I1255">
        <v>90.585999999999999</v>
      </c>
      <c r="J1255" t="s">
        <v>1074</v>
      </c>
      <c r="K1255" s="24">
        <v>90</v>
      </c>
      <c r="L1255" s="24">
        <v>66</v>
      </c>
      <c r="M1255">
        <v>149</v>
      </c>
      <c r="N1255" t="s">
        <v>1434</v>
      </c>
      <c r="O1255">
        <v>38</v>
      </c>
      <c r="Q1255" t="s">
        <v>24</v>
      </c>
      <c r="R1255" t="s">
        <v>24</v>
      </c>
      <c r="S1255" t="s">
        <v>26</v>
      </c>
      <c r="T1255" t="s">
        <v>24</v>
      </c>
      <c r="U1255">
        <f t="shared" si="78"/>
        <v>1</v>
      </c>
      <c r="V1255">
        <v>155.131</v>
      </c>
      <c r="W1255">
        <v>0.58399999999999996</v>
      </c>
      <c r="X1255" t="s">
        <v>1407</v>
      </c>
      <c r="Y1255">
        <v>90</v>
      </c>
      <c r="Z1255">
        <v>66</v>
      </c>
      <c r="AA1255" t="s">
        <v>35</v>
      </c>
      <c r="AB1255">
        <v>81</v>
      </c>
      <c r="AC1255" s="23">
        <v>2.13</v>
      </c>
      <c r="AD1255" t="str">
        <f>IF(AND('CVD Dataset'!AA1255="Normal",'CVD Dataset'!AB1255&gt;AVERAGE('CVD Dataset'!AB:AB),'CVD Dataset'!AF1255="High"),"High Lipid Category","Normal Category")</f>
        <v>Normal Category</v>
      </c>
      <c r="AE1255">
        <v>12.3</v>
      </c>
      <c r="AF1255" t="s">
        <v>28</v>
      </c>
      <c r="AG1255">
        <v>0</v>
      </c>
      <c r="AH1255" t="s">
        <v>1380</v>
      </c>
      <c r="AI1255">
        <f t="shared" si="79"/>
        <v>0</v>
      </c>
      <c r="AJ1255" t="s">
        <v>1391</v>
      </c>
    </row>
    <row r="1256" spans="1:36" x14ac:dyDescent="0.3">
      <c r="A1256" t="s">
        <v>22</v>
      </c>
      <c r="B1256">
        <v>29</v>
      </c>
      <c r="C1256">
        <v>97.284999999999997</v>
      </c>
      <c r="D1256">
        <v>1.863</v>
      </c>
      <c r="E1256">
        <v>31.457000000000001</v>
      </c>
      <c r="F1256">
        <f t="shared" si="77"/>
        <v>28.029811260847382</v>
      </c>
      <c r="G1256">
        <f t="shared" si="80"/>
        <v>1</v>
      </c>
      <c r="H1256" t="s">
        <v>1399</v>
      </c>
      <c r="I1256">
        <v>108.324</v>
      </c>
      <c r="J1256" t="s">
        <v>1075</v>
      </c>
      <c r="K1256" s="24">
        <v>111</v>
      </c>
      <c r="L1256" s="24">
        <v>108</v>
      </c>
      <c r="M1256">
        <v>295</v>
      </c>
      <c r="N1256" t="s">
        <v>1432</v>
      </c>
      <c r="O1256">
        <v>72</v>
      </c>
      <c r="P1256">
        <v>143</v>
      </c>
      <c r="Q1256" t="s">
        <v>25</v>
      </c>
      <c r="R1256" t="s">
        <v>25</v>
      </c>
      <c r="S1256" t="s">
        <v>39</v>
      </c>
      <c r="T1256" t="s">
        <v>24</v>
      </c>
      <c r="U1256">
        <f t="shared" si="78"/>
        <v>2</v>
      </c>
      <c r="V1256">
        <v>186.31100000000001</v>
      </c>
      <c r="W1256">
        <v>0.58099999999999996</v>
      </c>
      <c r="X1256" t="s">
        <v>1407</v>
      </c>
      <c r="Y1256">
        <v>111</v>
      </c>
      <c r="Z1256">
        <v>108</v>
      </c>
      <c r="AA1256" t="s">
        <v>40</v>
      </c>
      <c r="AB1256">
        <v>193</v>
      </c>
      <c r="AC1256" s="23">
        <v>2.68</v>
      </c>
      <c r="AD1256" t="str">
        <f>IF(AND('CVD Dataset'!AA1256="Normal",'CVD Dataset'!AB1256&gt;AVERAGE('CVD Dataset'!AB:AB),'CVD Dataset'!AF1256="High"),"High Lipid Category","Normal Category")</f>
        <v>Normal Category</v>
      </c>
      <c r="AE1256">
        <v>19.741</v>
      </c>
      <c r="AF1256" t="s">
        <v>32</v>
      </c>
      <c r="AG1256">
        <v>1</v>
      </c>
      <c r="AH1256" t="s">
        <v>1379</v>
      </c>
      <c r="AI1256">
        <f t="shared" si="79"/>
        <v>1</v>
      </c>
      <c r="AJ1256" t="s">
        <v>1391</v>
      </c>
    </row>
    <row r="1257" spans="1:36" x14ac:dyDescent="0.3">
      <c r="A1257" t="s">
        <v>22</v>
      </c>
      <c r="B1257">
        <v>33</v>
      </c>
      <c r="C1257">
        <v>88.7</v>
      </c>
      <c r="D1257">
        <v>1.5860000000000001</v>
      </c>
      <c r="E1257">
        <v>21.158000000000001</v>
      </c>
      <c r="F1257">
        <f t="shared" si="77"/>
        <v>35.262837342509883</v>
      </c>
      <c r="G1257">
        <f t="shared" si="80"/>
        <v>1</v>
      </c>
      <c r="H1257" t="s">
        <v>1398</v>
      </c>
      <c r="I1257">
        <v>75.322000000000003</v>
      </c>
      <c r="J1257" t="s">
        <v>1076</v>
      </c>
      <c r="K1257" s="24">
        <v>145</v>
      </c>
      <c r="L1257" s="24">
        <v>110</v>
      </c>
      <c r="M1257">
        <v>233</v>
      </c>
      <c r="N1257" t="s">
        <v>1432</v>
      </c>
      <c r="O1257">
        <v>51</v>
      </c>
      <c r="P1257">
        <v>135</v>
      </c>
      <c r="Q1257" t="s">
        <v>25</v>
      </c>
      <c r="R1257" t="s">
        <v>25</v>
      </c>
      <c r="S1257" t="s">
        <v>26</v>
      </c>
      <c r="T1257" t="s">
        <v>25</v>
      </c>
      <c r="U1257">
        <f t="shared" si="78"/>
        <v>4</v>
      </c>
      <c r="V1257">
        <v>158.61699999999999</v>
      </c>
      <c r="W1257">
        <v>0.47499999999999998</v>
      </c>
      <c r="X1257" t="s">
        <v>1406</v>
      </c>
      <c r="Y1257">
        <v>145</v>
      </c>
      <c r="Z1257">
        <v>110</v>
      </c>
      <c r="AA1257" t="s">
        <v>40</v>
      </c>
      <c r="AB1257">
        <v>152</v>
      </c>
      <c r="AC1257" s="23">
        <v>2.98</v>
      </c>
      <c r="AD1257" t="str">
        <f>IF(AND('CVD Dataset'!AA1257="Normal",'CVD Dataset'!AB1257&gt;AVERAGE('CVD Dataset'!AB:AB),'CVD Dataset'!AF1257="High"),"High Lipid Category","Normal Category")</f>
        <v>Normal Category</v>
      </c>
      <c r="AE1257">
        <v>18.141999999999999</v>
      </c>
      <c r="AF1257" t="s">
        <v>54</v>
      </c>
      <c r="AG1257">
        <v>0</v>
      </c>
      <c r="AH1257" t="s">
        <v>1380</v>
      </c>
      <c r="AI1257">
        <f t="shared" si="79"/>
        <v>0</v>
      </c>
      <c r="AJ1257" t="s">
        <v>1391</v>
      </c>
    </row>
    <row r="1258" spans="1:36" x14ac:dyDescent="0.3">
      <c r="A1258" t="s">
        <v>33</v>
      </c>
      <c r="B1258">
        <v>38</v>
      </c>
      <c r="C1258">
        <v>53.383000000000003</v>
      </c>
      <c r="D1258">
        <v>1.736</v>
      </c>
      <c r="E1258">
        <v>30.614000000000001</v>
      </c>
      <c r="F1258">
        <f t="shared" si="77"/>
        <v>17.713465459024402</v>
      </c>
      <c r="G1258">
        <f t="shared" si="80"/>
        <v>1</v>
      </c>
      <c r="H1258" t="s">
        <v>1399</v>
      </c>
      <c r="I1258">
        <v>78.617999999999995</v>
      </c>
      <c r="J1258" t="s">
        <v>1077</v>
      </c>
      <c r="K1258" s="24">
        <v>102</v>
      </c>
      <c r="L1258" s="24">
        <v>97</v>
      </c>
      <c r="M1258">
        <v>162</v>
      </c>
      <c r="N1258" t="s">
        <v>1433</v>
      </c>
      <c r="O1258">
        <v>46</v>
      </c>
      <c r="P1258">
        <v>105</v>
      </c>
      <c r="Q1258" t="s">
        <v>24</v>
      </c>
      <c r="R1258" t="s">
        <v>25</v>
      </c>
      <c r="S1258" t="s">
        <v>39</v>
      </c>
      <c r="T1258" t="s">
        <v>24</v>
      </c>
      <c r="U1258">
        <f t="shared" si="78"/>
        <v>1</v>
      </c>
      <c r="V1258">
        <v>173.59399999999999</v>
      </c>
      <c r="W1258">
        <v>0.45300000000000001</v>
      </c>
      <c r="X1258" t="s">
        <v>1408</v>
      </c>
      <c r="Y1258">
        <v>102</v>
      </c>
      <c r="Z1258">
        <v>97</v>
      </c>
      <c r="AA1258" t="s">
        <v>40</v>
      </c>
      <c r="AB1258">
        <v>86</v>
      </c>
      <c r="AC1258" s="23">
        <v>1.87</v>
      </c>
      <c r="AD1258" t="str">
        <f>IF(AND('CVD Dataset'!AA1258="Normal",'CVD Dataset'!AB1258&gt;AVERAGE('CVD Dataset'!AB:AB),'CVD Dataset'!AF1258="High"),"High Lipid Category","Normal Category")</f>
        <v>Normal Category</v>
      </c>
      <c r="AF1258" t="s">
        <v>28</v>
      </c>
      <c r="AG1258">
        <v>0</v>
      </c>
      <c r="AH1258" t="s">
        <v>1380</v>
      </c>
      <c r="AI1258">
        <f t="shared" si="79"/>
        <v>0</v>
      </c>
      <c r="AJ1258" t="s">
        <v>1391</v>
      </c>
    </row>
    <row r="1259" spans="1:36" x14ac:dyDescent="0.3">
      <c r="A1259" t="s">
        <v>22</v>
      </c>
      <c r="B1259">
        <v>79</v>
      </c>
      <c r="C1259">
        <v>110.631</v>
      </c>
      <c r="E1259">
        <v>19.288</v>
      </c>
      <c r="F1259" t="str">
        <f t="shared" si="77"/>
        <v/>
      </c>
      <c r="G1259" t="str">
        <f t="shared" si="80"/>
        <v/>
      </c>
      <c r="H1259" t="s">
        <v>1398</v>
      </c>
      <c r="I1259">
        <v>102.27200000000001</v>
      </c>
      <c r="J1259" t="s">
        <v>1078</v>
      </c>
      <c r="K1259" s="24">
        <v>176</v>
      </c>
      <c r="L1259" s="24">
        <v>89</v>
      </c>
      <c r="M1259">
        <v>261</v>
      </c>
      <c r="N1259" t="s">
        <v>1432</v>
      </c>
      <c r="O1259">
        <v>56</v>
      </c>
      <c r="P1259">
        <v>75</v>
      </c>
      <c r="Q1259" t="s">
        <v>25</v>
      </c>
      <c r="R1259" t="s">
        <v>25</v>
      </c>
      <c r="S1259" t="s">
        <v>30</v>
      </c>
      <c r="T1259" t="s">
        <v>25</v>
      </c>
      <c r="U1259">
        <f t="shared" si="78"/>
        <v>3</v>
      </c>
      <c r="V1259">
        <v>174.12299999999999</v>
      </c>
      <c r="W1259">
        <v>0.58699999999999997</v>
      </c>
      <c r="X1259" t="s">
        <v>1409</v>
      </c>
      <c r="AA1259" t="s">
        <v>31</v>
      </c>
      <c r="AB1259">
        <v>175</v>
      </c>
      <c r="AC1259" s="23">
        <v>3.13</v>
      </c>
      <c r="AD1259" t="str">
        <f>IF(AND('CVD Dataset'!AA1259="Normal",'CVD Dataset'!AB1259&gt;AVERAGE('CVD Dataset'!AB:AB),'CVD Dataset'!AF1259="High"),"High Lipid Category","Normal Category")</f>
        <v>Normal Category</v>
      </c>
      <c r="AE1259">
        <v>19.878</v>
      </c>
      <c r="AF1259" t="s">
        <v>54</v>
      </c>
      <c r="AG1259">
        <v>0</v>
      </c>
      <c r="AH1259" t="s">
        <v>1380</v>
      </c>
      <c r="AI1259">
        <f t="shared" si="79"/>
        <v>0</v>
      </c>
      <c r="AJ1259" t="s">
        <v>1392</v>
      </c>
    </row>
    <row r="1260" spans="1:36" x14ac:dyDescent="0.3">
      <c r="A1260" t="s">
        <v>22</v>
      </c>
      <c r="B1260">
        <v>56</v>
      </c>
      <c r="D1260">
        <v>1.585</v>
      </c>
      <c r="E1260">
        <v>19.716000000000001</v>
      </c>
      <c r="F1260">
        <f t="shared" si="77"/>
        <v>0</v>
      </c>
      <c r="G1260">
        <f t="shared" si="80"/>
        <v>1</v>
      </c>
      <c r="H1260" t="s">
        <v>1398</v>
      </c>
      <c r="I1260">
        <v>74.037999999999997</v>
      </c>
      <c r="J1260" t="s">
        <v>1079</v>
      </c>
      <c r="K1260" s="24">
        <v>126</v>
      </c>
      <c r="L1260" s="24">
        <v>113</v>
      </c>
      <c r="M1260">
        <v>111</v>
      </c>
      <c r="N1260" t="s">
        <v>1434</v>
      </c>
      <c r="O1260">
        <v>76</v>
      </c>
      <c r="Q1260" t="s">
        <v>24</v>
      </c>
      <c r="R1260" t="s">
        <v>24</v>
      </c>
      <c r="S1260" t="s">
        <v>39</v>
      </c>
      <c r="T1260" t="s">
        <v>25</v>
      </c>
      <c r="U1260">
        <f t="shared" si="78"/>
        <v>1</v>
      </c>
      <c r="V1260">
        <v>158.46299999999999</v>
      </c>
      <c r="X1260" t="s">
        <v>1410</v>
      </c>
      <c r="Y1260">
        <v>126</v>
      </c>
      <c r="Z1260">
        <v>113</v>
      </c>
      <c r="AA1260" t="s">
        <v>40</v>
      </c>
      <c r="AB1260">
        <v>5</v>
      </c>
      <c r="AC1260" s="23">
        <v>7.0000000000000007E-2</v>
      </c>
      <c r="AD1260" t="str">
        <f>IF(AND('CVD Dataset'!AA1260="Normal",'CVD Dataset'!AB1260&gt;AVERAGE('CVD Dataset'!AB:AB),'CVD Dataset'!AF1260="High"),"High Lipid Category","Normal Category")</f>
        <v>Normal Category</v>
      </c>
      <c r="AE1260">
        <v>12.462999999999999</v>
      </c>
      <c r="AF1260" t="s">
        <v>32</v>
      </c>
      <c r="AG1260">
        <v>1</v>
      </c>
      <c r="AH1260" t="s">
        <v>1379</v>
      </c>
      <c r="AI1260">
        <f t="shared" si="79"/>
        <v>1</v>
      </c>
      <c r="AJ1260" t="s">
        <v>1391</v>
      </c>
    </row>
    <row r="1261" spans="1:36" x14ac:dyDescent="0.3">
      <c r="A1261" t="s">
        <v>22</v>
      </c>
      <c r="B1261">
        <v>50</v>
      </c>
      <c r="C1261">
        <v>107.755</v>
      </c>
      <c r="D1261">
        <v>1.5780000000000001</v>
      </c>
      <c r="E1261">
        <v>33.746000000000002</v>
      </c>
      <c r="F1261">
        <f t="shared" si="77"/>
        <v>43.273640567948704</v>
      </c>
      <c r="G1261">
        <f t="shared" si="80"/>
        <v>1</v>
      </c>
      <c r="H1261" t="s">
        <v>1399</v>
      </c>
      <c r="I1261">
        <v>73.831000000000003</v>
      </c>
      <c r="J1261" t="s">
        <v>1080</v>
      </c>
      <c r="K1261" s="24">
        <v>160</v>
      </c>
      <c r="L1261" s="24">
        <v>71</v>
      </c>
      <c r="M1261">
        <v>264</v>
      </c>
      <c r="N1261" t="s">
        <v>1432</v>
      </c>
      <c r="O1261">
        <v>78</v>
      </c>
      <c r="P1261">
        <v>119</v>
      </c>
      <c r="Q1261" t="s">
        <v>25</v>
      </c>
      <c r="R1261" t="s">
        <v>25</v>
      </c>
      <c r="S1261" t="s">
        <v>26</v>
      </c>
      <c r="T1261" t="s">
        <v>25</v>
      </c>
      <c r="U1261">
        <f t="shared" si="78"/>
        <v>4</v>
      </c>
      <c r="V1261">
        <v>157.78399999999999</v>
      </c>
      <c r="W1261">
        <v>0.46800000000000003</v>
      </c>
      <c r="X1261" t="s">
        <v>1406</v>
      </c>
      <c r="Y1261">
        <v>160</v>
      </c>
      <c r="Z1261">
        <v>71</v>
      </c>
      <c r="AA1261" t="s">
        <v>40</v>
      </c>
      <c r="AB1261">
        <v>156</v>
      </c>
      <c r="AC1261" s="23">
        <v>2</v>
      </c>
      <c r="AD1261" t="str">
        <f>IF(AND('CVD Dataset'!AA1261="Normal",'CVD Dataset'!AB1261&gt;AVERAGE('CVD Dataset'!AB:AB),'CVD Dataset'!AF1261="High"),"High Lipid Category","Normal Category")</f>
        <v>Normal Category</v>
      </c>
      <c r="AE1261">
        <v>22.029</v>
      </c>
      <c r="AF1261" t="s">
        <v>32</v>
      </c>
      <c r="AG1261">
        <v>1</v>
      </c>
      <c r="AH1261" t="s">
        <v>1379</v>
      </c>
      <c r="AI1261">
        <f t="shared" si="79"/>
        <v>1</v>
      </c>
      <c r="AJ1261" t="s">
        <v>1391</v>
      </c>
    </row>
    <row r="1262" spans="1:36" x14ac:dyDescent="0.3">
      <c r="A1262" t="s">
        <v>33</v>
      </c>
      <c r="B1262">
        <v>73</v>
      </c>
      <c r="C1262">
        <v>98.596000000000004</v>
      </c>
      <c r="D1262">
        <v>1.9890000000000001</v>
      </c>
      <c r="E1262">
        <v>30.504000000000001</v>
      </c>
      <c r="F1262">
        <f t="shared" si="77"/>
        <v>24.922392414185509</v>
      </c>
      <c r="G1262">
        <f t="shared" si="80"/>
        <v>1</v>
      </c>
      <c r="H1262" t="s">
        <v>1399</v>
      </c>
      <c r="I1262">
        <v>93.863</v>
      </c>
      <c r="J1262" t="s">
        <v>1081</v>
      </c>
      <c r="K1262" s="24">
        <v>100</v>
      </c>
      <c r="L1262" s="24">
        <v>75</v>
      </c>
      <c r="M1262">
        <v>221</v>
      </c>
      <c r="N1262" t="s">
        <v>1432</v>
      </c>
      <c r="O1262">
        <v>32</v>
      </c>
      <c r="P1262">
        <v>120</v>
      </c>
      <c r="Q1262" t="s">
        <v>25</v>
      </c>
      <c r="R1262" t="s">
        <v>25</v>
      </c>
      <c r="S1262" t="s">
        <v>26</v>
      </c>
      <c r="T1262" t="s">
        <v>25</v>
      </c>
      <c r="U1262">
        <f t="shared" si="78"/>
        <v>4</v>
      </c>
      <c r="V1262">
        <v>198.886</v>
      </c>
      <c r="X1262" t="s">
        <v>1410</v>
      </c>
      <c r="Y1262">
        <v>100</v>
      </c>
      <c r="Z1262">
        <v>75</v>
      </c>
      <c r="AA1262" t="s">
        <v>35</v>
      </c>
      <c r="AB1262">
        <v>159</v>
      </c>
      <c r="AC1262" s="23">
        <v>4.97</v>
      </c>
      <c r="AD1262" t="str">
        <f>IF(AND('CVD Dataset'!AA1262="Normal",'CVD Dataset'!AB1262&gt;AVERAGE('CVD Dataset'!AB:AB),'CVD Dataset'!AF1262="High"),"High Lipid Category","Normal Category")</f>
        <v>High Lipid Category</v>
      </c>
      <c r="AE1262">
        <v>17.521000000000001</v>
      </c>
      <c r="AF1262" t="s">
        <v>32</v>
      </c>
      <c r="AG1262">
        <v>0</v>
      </c>
      <c r="AH1262" t="s">
        <v>1379</v>
      </c>
      <c r="AI1262">
        <f t="shared" si="79"/>
        <v>1</v>
      </c>
      <c r="AJ1262" t="s">
        <v>1391</v>
      </c>
    </row>
    <row r="1263" spans="1:36" x14ac:dyDescent="0.3">
      <c r="A1263" t="s">
        <v>22</v>
      </c>
      <c r="B1263">
        <v>68</v>
      </c>
      <c r="C1263">
        <v>63.100999999999999</v>
      </c>
      <c r="D1263">
        <v>1.66</v>
      </c>
      <c r="E1263">
        <v>35.878</v>
      </c>
      <c r="F1263">
        <f t="shared" si="77"/>
        <v>22.899187109885325</v>
      </c>
      <c r="G1263">
        <f t="shared" si="80"/>
        <v>1</v>
      </c>
      <c r="H1263" t="s">
        <v>1399</v>
      </c>
      <c r="J1263" t="s">
        <v>1082</v>
      </c>
      <c r="K1263" s="24">
        <v>146</v>
      </c>
      <c r="L1263" s="24">
        <v>69</v>
      </c>
      <c r="M1263">
        <v>186</v>
      </c>
      <c r="N1263" t="s">
        <v>1432</v>
      </c>
      <c r="O1263">
        <v>47</v>
      </c>
      <c r="P1263">
        <v>158</v>
      </c>
      <c r="Q1263" t="s">
        <v>24</v>
      </c>
      <c r="R1263" t="s">
        <v>25</v>
      </c>
      <c r="S1263" t="s">
        <v>30</v>
      </c>
      <c r="T1263" t="s">
        <v>25</v>
      </c>
      <c r="U1263">
        <f t="shared" si="78"/>
        <v>2</v>
      </c>
      <c r="V1263">
        <v>166</v>
      </c>
      <c r="W1263">
        <v>0.71699999999999997</v>
      </c>
      <c r="X1263" t="s">
        <v>1409</v>
      </c>
      <c r="Y1263">
        <v>146</v>
      </c>
      <c r="Z1263">
        <v>69</v>
      </c>
      <c r="AA1263" t="s">
        <v>40</v>
      </c>
      <c r="AB1263">
        <v>109</v>
      </c>
      <c r="AC1263" s="23">
        <v>2.3199999999999998</v>
      </c>
      <c r="AD1263" t="str">
        <f>IF(AND('CVD Dataset'!AA1263="Normal",'CVD Dataset'!AB1263&gt;AVERAGE('CVD Dataset'!AB:AB),'CVD Dataset'!AF1263="High"),"High Lipid Category","Normal Category")</f>
        <v>Normal Category</v>
      </c>
      <c r="AE1263">
        <v>20.196000000000002</v>
      </c>
      <c r="AF1263" t="s">
        <v>28</v>
      </c>
      <c r="AG1263">
        <v>0</v>
      </c>
      <c r="AH1263" t="s">
        <v>1380</v>
      </c>
      <c r="AI1263">
        <f t="shared" si="79"/>
        <v>0</v>
      </c>
      <c r="AJ1263" t="s">
        <v>1392</v>
      </c>
    </row>
    <row r="1264" spans="1:36" x14ac:dyDescent="0.3">
      <c r="A1264" t="s">
        <v>33</v>
      </c>
      <c r="B1264">
        <v>51</v>
      </c>
      <c r="E1264">
        <v>21.454999999999998</v>
      </c>
      <c r="F1264" t="str">
        <f t="shared" si="77"/>
        <v/>
      </c>
      <c r="G1264" t="str">
        <f t="shared" si="80"/>
        <v/>
      </c>
      <c r="H1264" t="s">
        <v>1398</v>
      </c>
      <c r="I1264">
        <v>93.064999999999998</v>
      </c>
      <c r="J1264" t="s">
        <v>1083</v>
      </c>
      <c r="K1264" s="24">
        <v>144</v>
      </c>
      <c r="L1264" s="24">
        <v>115</v>
      </c>
      <c r="M1264">
        <v>296</v>
      </c>
      <c r="N1264" t="s">
        <v>1432</v>
      </c>
      <c r="O1264">
        <v>45</v>
      </c>
      <c r="P1264">
        <v>75</v>
      </c>
      <c r="Q1264" t="s">
        <v>24</v>
      </c>
      <c r="R1264" t="s">
        <v>24</v>
      </c>
      <c r="S1264" t="s">
        <v>30</v>
      </c>
      <c r="T1264" t="s">
        <v>25</v>
      </c>
      <c r="U1264">
        <f t="shared" si="78"/>
        <v>1</v>
      </c>
      <c r="V1264">
        <v>184.98599999999999</v>
      </c>
      <c r="X1264" t="s">
        <v>1410</v>
      </c>
      <c r="Y1264">
        <v>144</v>
      </c>
      <c r="Z1264">
        <v>115</v>
      </c>
      <c r="AA1264" t="s">
        <v>40</v>
      </c>
      <c r="AB1264">
        <v>221</v>
      </c>
      <c r="AC1264" s="23">
        <v>4.91</v>
      </c>
      <c r="AD1264" t="str">
        <f>IF(AND('CVD Dataset'!AA1264="Normal",'CVD Dataset'!AB1264&gt;AVERAGE('CVD Dataset'!AB:AB),'CVD Dataset'!AF1264="High"),"High Lipid Category","Normal Category")</f>
        <v>Normal Category</v>
      </c>
      <c r="AE1264">
        <v>17.411000000000001</v>
      </c>
      <c r="AF1264" t="s">
        <v>28</v>
      </c>
      <c r="AG1264">
        <v>0</v>
      </c>
      <c r="AH1264" t="s">
        <v>1380</v>
      </c>
      <c r="AI1264">
        <f t="shared" si="79"/>
        <v>0</v>
      </c>
      <c r="AJ1264" t="s">
        <v>1391</v>
      </c>
    </row>
    <row r="1265" spans="1:36" x14ac:dyDescent="0.3">
      <c r="A1265" t="s">
        <v>22</v>
      </c>
      <c r="B1265">
        <v>46</v>
      </c>
      <c r="C1265">
        <v>117.717</v>
      </c>
      <c r="D1265">
        <v>1.633</v>
      </c>
      <c r="E1265">
        <v>24.689</v>
      </c>
      <c r="F1265">
        <f t="shared" si="77"/>
        <v>44.143505298143133</v>
      </c>
      <c r="G1265">
        <f t="shared" si="80"/>
        <v>1</v>
      </c>
      <c r="H1265" t="s">
        <v>1398</v>
      </c>
      <c r="I1265">
        <v>119.49299999999999</v>
      </c>
      <c r="J1265" t="s">
        <v>1084</v>
      </c>
      <c r="K1265" s="24">
        <v>93</v>
      </c>
      <c r="L1265" s="24">
        <v>105</v>
      </c>
      <c r="M1265">
        <v>140</v>
      </c>
      <c r="N1265" t="s">
        <v>1434</v>
      </c>
      <c r="O1265">
        <v>46</v>
      </c>
      <c r="P1265">
        <v>156</v>
      </c>
      <c r="Q1265" t="s">
        <v>24</v>
      </c>
      <c r="R1265" t="s">
        <v>25</v>
      </c>
      <c r="S1265" t="s">
        <v>26</v>
      </c>
      <c r="T1265" t="s">
        <v>25</v>
      </c>
      <c r="U1265">
        <f t="shared" si="78"/>
        <v>3</v>
      </c>
      <c r="V1265">
        <v>163.328</v>
      </c>
      <c r="W1265">
        <v>0.73199999999999998</v>
      </c>
      <c r="X1265" t="s">
        <v>1409</v>
      </c>
      <c r="Y1265">
        <v>93</v>
      </c>
      <c r="Z1265">
        <v>105</v>
      </c>
      <c r="AA1265" t="s">
        <v>40</v>
      </c>
      <c r="AB1265">
        <v>64</v>
      </c>
      <c r="AC1265" s="23">
        <v>1.39</v>
      </c>
      <c r="AD1265" t="str">
        <f>IF(AND('CVD Dataset'!AA1265="Normal",'CVD Dataset'!AB1265&gt;AVERAGE('CVD Dataset'!AB:AB),'CVD Dataset'!AF1265="High"),"High Lipid Category","Normal Category")</f>
        <v>Normal Category</v>
      </c>
      <c r="AE1265">
        <v>14.388</v>
      </c>
      <c r="AF1265" t="s">
        <v>28</v>
      </c>
      <c r="AG1265">
        <v>0</v>
      </c>
      <c r="AH1265" t="s">
        <v>1380</v>
      </c>
      <c r="AI1265">
        <f t="shared" si="79"/>
        <v>0</v>
      </c>
      <c r="AJ1265" t="s">
        <v>1391</v>
      </c>
    </row>
    <row r="1266" spans="1:36" x14ac:dyDescent="0.3">
      <c r="A1266" t="s">
        <v>33</v>
      </c>
      <c r="B1266">
        <v>46</v>
      </c>
      <c r="C1266">
        <v>110.214</v>
      </c>
      <c r="D1266">
        <v>1.784</v>
      </c>
      <c r="E1266">
        <v>36.942999999999998</v>
      </c>
      <c r="F1266">
        <f t="shared" si="77"/>
        <v>34.629567254519493</v>
      </c>
      <c r="G1266">
        <f t="shared" si="80"/>
        <v>1</v>
      </c>
      <c r="H1266" t="s">
        <v>1399</v>
      </c>
      <c r="I1266">
        <v>78.817999999999998</v>
      </c>
      <c r="J1266" t="s">
        <v>1085</v>
      </c>
      <c r="K1266" s="24">
        <v>178</v>
      </c>
      <c r="L1266" s="24">
        <v>109</v>
      </c>
      <c r="M1266">
        <v>169</v>
      </c>
      <c r="N1266" t="s">
        <v>1433</v>
      </c>
      <c r="O1266">
        <v>75</v>
      </c>
      <c r="P1266">
        <v>114</v>
      </c>
      <c r="Q1266" t="s">
        <v>24</v>
      </c>
      <c r="R1266" t="s">
        <v>24</v>
      </c>
      <c r="S1266" t="s">
        <v>26</v>
      </c>
      <c r="T1266" t="s">
        <v>24</v>
      </c>
      <c r="U1266">
        <f t="shared" si="78"/>
        <v>1</v>
      </c>
      <c r="V1266">
        <v>178.41</v>
      </c>
      <c r="W1266">
        <v>0.442</v>
      </c>
      <c r="X1266" t="s">
        <v>1408</v>
      </c>
      <c r="Y1266">
        <v>178</v>
      </c>
      <c r="Z1266">
        <v>109</v>
      </c>
      <c r="AA1266" t="s">
        <v>40</v>
      </c>
      <c r="AB1266">
        <v>64</v>
      </c>
      <c r="AC1266" s="23">
        <v>0.85</v>
      </c>
      <c r="AD1266" t="str">
        <f>IF(AND('CVD Dataset'!AA1266="Normal",'CVD Dataset'!AB1266&gt;AVERAGE('CVD Dataset'!AB:AB),'CVD Dataset'!AF1266="High"),"High Lipid Category","Normal Category")</f>
        <v>Normal Category</v>
      </c>
      <c r="AE1266">
        <v>19.669</v>
      </c>
      <c r="AF1266" t="s">
        <v>54</v>
      </c>
      <c r="AG1266">
        <v>0</v>
      </c>
      <c r="AH1266" t="s">
        <v>1380</v>
      </c>
      <c r="AI1266">
        <f t="shared" si="79"/>
        <v>0</v>
      </c>
      <c r="AJ1266" t="s">
        <v>1391</v>
      </c>
    </row>
    <row r="1267" spans="1:36" x14ac:dyDescent="0.3">
      <c r="A1267" t="s">
        <v>22</v>
      </c>
      <c r="B1267">
        <v>70</v>
      </c>
      <c r="C1267">
        <v>58.35</v>
      </c>
      <c r="D1267">
        <v>1.542</v>
      </c>
      <c r="E1267">
        <v>23.760999999999999</v>
      </c>
      <c r="F1267">
        <f t="shared" si="77"/>
        <v>24.539861819760077</v>
      </c>
      <c r="G1267">
        <f t="shared" si="80"/>
        <v>1</v>
      </c>
      <c r="H1267" t="s">
        <v>1398</v>
      </c>
      <c r="I1267">
        <v>100.617</v>
      </c>
      <c r="J1267" t="s">
        <v>1086</v>
      </c>
      <c r="K1267" s="24">
        <v>95</v>
      </c>
      <c r="L1267" s="24">
        <v>110</v>
      </c>
      <c r="N1267" t="s">
        <v>1434</v>
      </c>
      <c r="O1267">
        <v>37</v>
      </c>
      <c r="P1267">
        <v>119</v>
      </c>
      <c r="Q1267" t="s">
        <v>25</v>
      </c>
      <c r="R1267" t="s">
        <v>24</v>
      </c>
      <c r="S1267" t="s">
        <v>39</v>
      </c>
      <c r="T1267" t="s">
        <v>25</v>
      </c>
      <c r="U1267">
        <f t="shared" si="78"/>
        <v>2</v>
      </c>
      <c r="V1267">
        <v>154.185</v>
      </c>
      <c r="X1267" t="s">
        <v>1410</v>
      </c>
      <c r="Y1267">
        <v>95</v>
      </c>
      <c r="Z1267">
        <v>110</v>
      </c>
      <c r="AA1267" t="s">
        <v>40</v>
      </c>
      <c r="AB1267">
        <v>64</v>
      </c>
      <c r="AC1267" s="23">
        <v>1.73</v>
      </c>
      <c r="AD1267" t="str">
        <f>IF(AND('CVD Dataset'!AA1267="Normal",'CVD Dataset'!AB1267&gt;AVERAGE('CVD Dataset'!AB:AB),'CVD Dataset'!AF1267="High"),"High Lipid Category","Normal Category")</f>
        <v>Normal Category</v>
      </c>
      <c r="AE1267">
        <v>12.122</v>
      </c>
      <c r="AF1267" t="s">
        <v>28</v>
      </c>
      <c r="AG1267">
        <v>0</v>
      </c>
      <c r="AH1267" t="s">
        <v>1380</v>
      </c>
      <c r="AI1267">
        <f t="shared" si="79"/>
        <v>0</v>
      </c>
      <c r="AJ1267" t="s">
        <v>1391</v>
      </c>
    </row>
    <row r="1268" spans="1:36" x14ac:dyDescent="0.3">
      <c r="A1268" t="s">
        <v>22</v>
      </c>
      <c r="B1268">
        <v>35</v>
      </c>
      <c r="C1268">
        <v>64.837000000000003</v>
      </c>
      <c r="D1268">
        <v>1.958</v>
      </c>
      <c r="E1268">
        <v>33.180999999999997</v>
      </c>
      <c r="F1268">
        <f t="shared" si="77"/>
        <v>16.912099962334668</v>
      </c>
      <c r="G1268">
        <f t="shared" si="80"/>
        <v>1</v>
      </c>
      <c r="H1268" t="s">
        <v>1399</v>
      </c>
      <c r="I1268">
        <v>88.896000000000001</v>
      </c>
      <c r="J1268" t="s">
        <v>1087</v>
      </c>
      <c r="K1268" s="24">
        <v>160</v>
      </c>
      <c r="L1268" s="24">
        <v>78</v>
      </c>
      <c r="M1268">
        <v>152</v>
      </c>
      <c r="N1268" t="s">
        <v>1433</v>
      </c>
      <c r="O1268">
        <v>59</v>
      </c>
      <c r="P1268">
        <v>150</v>
      </c>
      <c r="Q1268" t="s">
        <v>24</v>
      </c>
      <c r="R1268" t="s">
        <v>24</v>
      </c>
      <c r="S1268" t="s">
        <v>30</v>
      </c>
      <c r="T1268" t="s">
        <v>25</v>
      </c>
      <c r="U1268">
        <f t="shared" si="78"/>
        <v>1</v>
      </c>
      <c r="V1268">
        <v>195.79400000000001</v>
      </c>
      <c r="W1268">
        <v>0.45400000000000001</v>
      </c>
      <c r="X1268" t="s">
        <v>1408</v>
      </c>
      <c r="Y1268">
        <v>160</v>
      </c>
      <c r="Z1268">
        <v>78</v>
      </c>
      <c r="AA1268" t="s">
        <v>40</v>
      </c>
      <c r="AB1268">
        <v>63</v>
      </c>
      <c r="AC1268" s="23">
        <v>1.07</v>
      </c>
      <c r="AD1268" t="str">
        <f>IF(AND('CVD Dataset'!AA1268="Normal",'CVD Dataset'!AB1268&gt;AVERAGE('CVD Dataset'!AB:AB),'CVD Dataset'!AF1268="High"),"High Lipid Category","Normal Category")</f>
        <v>Normal Category</v>
      </c>
      <c r="AE1268">
        <v>17.675999999999998</v>
      </c>
      <c r="AF1268" t="s">
        <v>32</v>
      </c>
      <c r="AG1268">
        <v>0</v>
      </c>
      <c r="AH1268" t="s">
        <v>1379</v>
      </c>
      <c r="AI1268">
        <f t="shared" si="79"/>
        <v>1</v>
      </c>
      <c r="AJ1268" t="s">
        <v>1391</v>
      </c>
    </row>
    <row r="1269" spans="1:36" x14ac:dyDescent="0.3">
      <c r="A1269" t="s">
        <v>22</v>
      </c>
      <c r="B1269">
        <v>68</v>
      </c>
      <c r="C1269">
        <v>102.432</v>
      </c>
      <c r="D1269">
        <v>1.849</v>
      </c>
      <c r="E1269">
        <v>34.941000000000003</v>
      </c>
      <c r="F1269">
        <f t="shared" si="77"/>
        <v>29.961381197677198</v>
      </c>
      <c r="G1269">
        <f t="shared" si="80"/>
        <v>1</v>
      </c>
      <c r="H1269" t="s">
        <v>1399</v>
      </c>
      <c r="I1269">
        <v>90.284000000000006</v>
      </c>
      <c r="J1269" t="s">
        <v>1088</v>
      </c>
      <c r="K1269" s="24">
        <v>155</v>
      </c>
      <c r="L1269" s="24">
        <v>68</v>
      </c>
      <c r="M1269">
        <v>202</v>
      </c>
      <c r="N1269" t="s">
        <v>1432</v>
      </c>
      <c r="O1269">
        <v>52</v>
      </c>
      <c r="P1269">
        <v>135</v>
      </c>
      <c r="Q1269" t="s">
        <v>25</v>
      </c>
      <c r="R1269" t="s">
        <v>24</v>
      </c>
      <c r="S1269" t="s">
        <v>26</v>
      </c>
      <c r="T1269" t="s">
        <v>25</v>
      </c>
      <c r="U1269">
        <f t="shared" si="78"/>
        <v>3</v>
      </c>
      <c r="V1269">
        <v>184.85300000000001</v>
      </c>
      <c r="W1269">
        <v>0.48799999999999999</v>
      </c>
      <c r="X1269" t="s">
        <v>1406</v>
      </c>
      <c r="Y1269">
        <v>155</v>
      </c>
      <c r="Z1269">
        <v>68</v>
      </c>
      <c r="AA1269" t="s">
        <v>40</v>
      </c>
      <c r="AB1269">
        <v>120</v>
      </c>
      <c r="AC1269" s="23">
        <v>2.31</v>
      </c>
      <c r="AD1269" t="str">
        <f>IF(AND('CVD Dataset'!AA1269="Normal",'CVD Dataset'!AB1269&gt;AVERAGE('CVD Dataset'!AB:AB),'CVD Dataset'!AF1269="High"),"High Lipid Category","Normal Category")</f>
        <v>Normal Category</v>
      </c>
      <c r="AE1269">
        <v>18.777999999999999</v>
      </c>
      <c r="AF1269" t="s">
        <v>32</v>
      </c>
      <c r="AG1269">
        <v>0</v>
      </c>
      <c r="AH1269" t="s">
        <v>1379</v>
      </c>
      <c r="AI1269">
        <f t="shared" si="79"/>
        <v>1</v>
      </c>
      <c r="AJ1269" t="s">
        <v>1391</v>
      </c>
    </row>
    <row r="1270" spans="1:36" x14ac:dyDescent="0.3">
      <c r="A1270" t="s">
        <v>33</v>
      </c>
      <c r="B1270">
        <v>47</v>
      </c>
      <c r="C1270">
        <v>50.343000000000004</v>
      </c>
      <c r="E1270">
        <v>35.191000000000003</v>
      </c>
      <c r="F1270" t="str">
        <f t="shared" si="77"/>
        <v/>
      </c>
      <c r="G1270" t="str">
        <f t="shared" si="80"/>
        <v/>
      </c>
      <c r="H1270" t="s">
        <v>1399</v>
      </c>
      <c r="I1270">
        <v>103.605</v>
      </c>
      <c r="J1270" t="s">
        <v>1089</v>
      </c>
      <c r="K1270" s="24">
        <v>173</v>
      </c>
      <c r="L1270" s="24">
        <v>114</v>
      </c>
      <c r="M1270">
        <v>205</v>
      </c>
      <c r="N1270" t="s">
        <v>1432</v>
      </c>
      <c r="O1270">
        <v>42</v>
      </c>
      <c r="P1270">
        <v>176</v>
      </c>
      <c r="Q1270" t="s">
        <v>25</v>
      </c>
      <c r="R1270" t="s">
        <v>24</v>
      </c>
      <c r="S1270" t="s">
        <v>26</v>
      </c>
      <c r="T1270" t="s">
        <v>24</v>
      </c>
      <c r="U1270">
        <f t="shared" si="78"/>
        <v>2</v>
      </c>
      <c r="V1270">
        <v>169.09700000000001</v>
      </c>
      <c r="W1270">
        <v>0.61299999999999999</v>
      </c>
      <c r="X1270" t="s">
        <v>1409</v>
      </c>
      <c r="Y1270">
        <v>173</v>
      </c>
      <c r="Z1270">
        <v>114</v>
      </c>
      <c r="AA1270" t="s">
        <v>40</v>
      </c>
      <c r="AB1270">
        <v>133</v>
      </c>
      <c r="AC1270" s="23">
        <v>3.17</v>
      </c>
      <c r="AD1270" t="str">
        <f>IF(AND('CVD Dataset'!AA1270="Normal",'CVD Dataset'!AB1270&gt;AVERAGE('CVD Dataset'!AB:AB),'CVD Dataset'!AF1270="High"),"High Lipid Category","Normal Category")</f>
        <v>Normal Category</v>
      </c>
      <c r="AE1270">
        <v>19.788</v>
      </c>
      <c r="AF1270" t="s">
        <v>32</v>
      </c>
      <c r="AG1270">
        <v>0</v>
      </c>
      <c r="AH1270" t="s">
        <v>1379</v>
      </c>
      <c r="AI1270">
        <f t="shared" si="79"/>
        <v>1</v>
      </c>
      <c r="AJ1270" t="s">
        <v>1391</v>
      </c>
    </row>
    <row r="1271" spans="1:36" x14ac:dyDescent="0.3">
      <c r="A1271" t="s">
        <v>33</v>
      </c>
      <c r="B1271">
        <v>29</v>
      </c>
      <c r="C1271">
        <v>80.427999999999997</v>
      </c>
      <c r="D1271">
        <v>1.865</v>
      </c>
      <c r="E1271">
        <v>38.709000000000003</v>
      </c>
      <c r="F1271">
        <f t="shared" si="77"/>
        <v>23.123288458912231</v>
      </c>
      <c r="G1271">
        <f t="shared" si="80"/>
        <v>1</v>
      </c>
      <c r="H1271" t="s">
        <v>1399</v>
      </c>
      <c r="I1271">
        <v>82.287000000000006</v>
      </c>
      <c r="J1271" t="s">
        <v>1090</v>
      </c>
      <c r="K1271" s="24">
        <v>151</v>
      </c>
      <c r="L1271" s="24">
        <v>93</v>
      </c>
      <c r="M1271">
        <v>108</v>
      </c>
      <c r="N1271" t="s">
        <v>1434</v>
      </c>
      <c r="O1271">
        <v>59</v>
      </c>
      <c r="P1271">
        <v>121</v>
      </c>
      <c r="Q1271" t="s">
        <v>25</v>
      </c>
      <c r="R1271" t="s">
        <v>24</v>
      </c>
      <c r="S1271" t="s">
        <v>39</v>
      </c>
      <c r="T1271" t="s">
        <v>25</v>
      </c>
      <c r="U1271">
        <f t="shared" si="78"/>
        <v>2</v>
      </c>
      <c r="V1271">
        <v>186.46</v>
      </c>
      <c r="W1271">
        <v>0.441</v>
      </c>
      <c r="X1271" t="s">
        <v>1408</v>
      </c>
      <c r="Y1271">
        <v>151</v>
      </c>
      <c r="Z1271">
        <v>93</v>
      </c>
      <c r="AA1271" t="s">
        <v>40</v>
      </c>
      <c r="AB1271">
        <v>19</v>
      </c>
      <c r="AC1271" s="23">
        <v>0.32</v>
      </c>
      <c r="AD1271" t="str">
        <f>IF(AND('CVD Dataset'!AA1271="Normal",'CVD Dataset'!AB1271&gt;AVERAGE('CVD Dataset'!AB:AB),'CVD Dataset'!AF1271="High"),"High Lipid Category","Normal Category")</f>
        <v>Normal Category</v>
      </c>
      <c r="AE1271">
        <v>17.452000000000002</v>
      </c>
      <c r="AF1271" t="s">
        <v>32</v>
      </c>
      <c r="AG1271">
        <v>0</v>
      </c>
      <c r="AH1271" t="s">
        <v>1379</v>
      </c>
      <c r="AI1271">
        <f t="shared" si="79"/>
        <v>1</v>
      </c>
      <c r="AJ1271" t="s">
        <v>1391</v>
      </c>
    </row>
    <row r="1272" spans="1:36" x14ac:dyDescent="0.3">
      <c r="A1272" t="s">
        <v>22</v>
      </c>
      <c r="B1272">
        <v>65</v>
      </c>
      <c r="C1272">
        <v>112.07599999999999</v>
      </c>
      <c r="D1272">
        <v>1.883</v>
      </c>
      <c r="E1272">
        <v>37.783999999999999</v>
      </c>
      <c r="F1272">
        <f t="shared" si="77"/>
        <v>31.609089234842649</v>
      </c>
      <c r="G1272">
        <f t="shared" si="80"/>
        <v>1</v>
      </c>
      <c r="H1272" t="s">
        <v>1399</v>
      </c>
      <c r="I1272">
        <v>83.951999999999998</v>
      </c>
      <c r="J1272" t="s">
        <v>490</v>
      </c>
      <c r="K1272" s="24">
        <v>141</v>
      </c>
      <c r="L1272" s="24">
        <v>81</v>
      </c>
      <c r="M1272">
        <v>107</v>
      </c>
      <c r="N1272" t="s">
        <v>1434</v>
      </c>
      <c r="O1272">
        <v>80</v>
      </c>
      <c r="P1272">
        <v>161</v>
      </c>
      <c r="Q1272" t="s">
        <v>25</v>
      </c>
      <c r="R1272" t="s">
        <v>24</v>
      </c>
      <c r="S1272" t="s">
        <v>30</v>
      </c>
      <c r="T1272" t="s">
        <v>25</v>
      </c>
      <c r="U1272">
        <f t="shared" si="78"/>
        <v>2</v>
      </c>
      <c r="V1272">
        <v>188.31100000000001</v>
      </c>
      <c r="W1272">
        <v>0.44600000000000001</v>
      </c>
      <c r="X1272" t="s">
        <v>1408</v>
      </c>
      <c r="Y1272">
        <v>141</v>
      </c>
      <c r="Z1272">
        <v>81</v>
      </c>
      <c r="AA1272" t="s">
        <v>31</v>
      </c>
      <c r="AB1272">
        <v>-3</v>
      </c>
      <c r="AC1272" s="23">
        <v>-0.04</v>
      </c>
      <c r="AD1272" t="str">
        <f>IF(AND('CVD Dataset'!AA1272="Normal",'CVD Dataset'!AB1272&gt;AVERAGE('CVD Dataset'!AB:AB),'CVD Dataset'!AF1272="High"),"High Lipid Category","Normal Category")</f>
        <v>Normal Category</v>
      </c>
      <c r="AE1272">
        <v>16.747</v>
      </c>
      <c r="AF1272" t="s">
        <v>32</v>
      </c>
      <c r="AG1272">
        <v>1</v>
      </c>
      <c r="AH1272" t="s">
        <v>1379</v>
      </c>
      <c r="AI1272">
        <f t="shared" si="79"/>
        <v>1</v>
      </c>
      <c r="AJ1272" t="s">
        <v>1391</v>
      </c>
    </row>
    <row r="1273" spans="1:36" x14ac:dyDescent="0.3">
      <c r="A1273" t="s">
        <v>33</v>
      </c>
      <c r="B1273">
        <v>61</v>
      </c>
      <c r="C1273">
        <v>108.642</v>
      </c>
      <c r="D1273">
        <v>1.7549999999999999</v>
      </c>
      <c r="E1273">
        <v>39.877000000000002</v>
      </c>
      <c r="F1273">
        <f t="shared" si="77"/>
        <v>35.273090315825364</v>
      </c>
      <c r="G1273">
        <f t="shared" si="80"/>
        <v>1</v>
      </c>
      <c r="H1273" t="s">
        <v>1399</v>
      </c>
      <c r="I1273">
        <v>87.74</v>
      </c>
      <c r="J1273" t="s">
        <v>1091</v>
      </c>
      <c r="K1273" s="24">
        <v>156</v>
      </c>
      <c r="L1273" s="24">
        <v>66</v>
      </c>
      <c r="M1273">
        <v>179</v>
      </c>
      <c r="N1273" t="s">
        <v>1433</v>
      </c>
      <c r="O1273">
        <v>75</v>
      </c>
      <c r="P1273">
        <v>160</v>
      </c>
      <c r="Q1273" t="s">
        <v>25</v>
      </c>
      <c r="R1273" t="s">
        <v>24</v>
      </c>
      <c r="S1273" t="s">
        <v>30</v>
      </c>
      <c r="T1273" t="s">
        <v>25</v>
      </c>
      <c r="U1273">
        <f t="shared" si="78"/>
        <v>2</v>
      </c>
      <c r="V1273">
        <v>175.47499999999999</v>
      </c>
      <c r="W1273">
        <v>0.5</v>
      </c>
      <c r="X1273" t="s">
        <v>1406</v>
      </c>
      <c r="Y1273">
        <v>156</v>
      </c>
      <c r="Z1273">
        <v>66</v>
      </c>
      <c r="AA1273" t="s">
        <v>40</v>
      </c>
      <c r="AB1273">
        <v>74</v>
      </c>
      <c r="AC1273" s="23">
        <v>0.99</v>
      </c>
      <c r="AD1273" t="str">
        <f>IF(AND('CVD Dataset'!AA1273="Normal",'CVD Dataset'!AB1273&gt;AVERAGE('CVD Dataset'!AB:AB),'CVD Dataset'!AF1273="High"),"High Lipid Category","Normal Category")</f>
        <v>Normal Category</v>
      </c>
      <c r="AE1273">
        <v>19.355</v>
      </c>
      <c r="AF1273" t="s">
        <v>32</v>
      </c>
      <c r="AG1273">
        <v>1</v>
      </c>
      <c r="AH1273" t="s">
        <v>1379</v>
      </c>
      <c r="AI1273">
        <f t="shared" si="79"/>
        <v>1</v>
      </c>
      <c r="AJ1273" t="s">
        <v>1391</v>
      </c>
    </row>
    <row r="1274" spans="1:36" x14ac:dyDescent="0.3">
      <c r="A1274" t="s">
        <v>33</v>
      </c>
      <c r="B1274">
        <v>39</v>
      </c>
      <c r="C1274">
        <v>86.426000000000002</v>
      </c>
      <c r="D1274">
        <v>1.8240000000000001</v>
      </c>
      <c r="E1274">
        <v>27.754999999999999</v>
      </c>
      <c r="F1274">
        <f t="shared" si="77"/>
        <v>25.977343990458603</v>
      </c>
      <c r="G1274">
        <f t="shared" si="80"/>
        <v>1</v>
      </c>
      <c r="H1274" t="s">
        <v>1400</v>
      </c>
      <c r="I1274">
        <v>102.672</v>
      </c>
      <c r="J1274" t="s">
        <v>766</v>
      </c>
      <c r="K1274" s="24">
        <v>132</v>
      </c>
      <c r="L1274" s="24">
        <v>77</v>
      </c>
      <c r="M1274">
        <v>267</v>
      </c>
      <c r="N1274" t="s">
        <v>1432</v>
      </c>
      <c r="Q1274" t="s">
        <v>25</v>
      </c>
      <c r="R1274" t="s">
        <v>25</v>
      </c>
      <c r="S1274" t="s">
        <v>30</v>
      </c>
      <c r="T1274" t="s">
        <v>25</v>
      </c>
      <c r="U1274">
        <f t="shared" si="78"/>
        <v>3</v>
      </c>
      <c r="W1274">
        <v>0.56299999999999994</v>
      </c>
      <c r="X1274" t="s">
        <v>1407</v>
      </c>
      <c r="Y1274">
        <v>132</v>
      </c>
      <c r="Z1274">
        <v>77</v>
      </c>
      <c r="AA1274" t="s">
        <v>31</v>
      </c>
      <c r="AB1274">
        <v>172</v>
      </c>
      <c r="AC1274" s="23" t="s">
        <v>1410</v>
      </c>
      <c r="AD1274" t="str">
        <f>IF(AND('CVD Dataset'!AA1274="Normal",'CVD Dataset'!AB1274&gt;AVERAGE('CVD Dataset'!AB:AB),'CVD Dataset'!AF1274="High"),"High Lipid Category","Normal Category")</f>
        <v>Normal Category</v>
      </c>
      <c r="AE1274">
        <v>19.491</v>
      </c>
      <c r="AF1274" t="s">
        <v>32</v>
      </c>
      <c r="AG1274">
        <v>0</v>
      </c>
      <c r="AH1274" t="s">
        <v>1379</v>
      </c>
      <c r="AI1274">
        <f t="shared" si="79"/>
        <v>1</v>
      </c>
      <c r="AJ1274" t="s">
        <v>1391</v>
      </c>
    </row>
    <row r="1275" spans="1:36" x14ac:dyDescent="0.3">
      <c r="A1275" t="s">
        <v>22</v>
      </c>
      <c r="B1275">
        <v>41</v>
      </c>
      <c r="C1275">
        <v>98.17</v>
      </c>
      <c r="D1275">
        <v>1.964</v>
      </c>
      <c r="E1275">
        <v>34.151000000000003</v>
      </c>
      <c r="F1275">
        <f t="shared" si="77"/>
        <v>25.450471003521638</v>
      </c>
      <c r="G1275">
        <f t="shared" si="80"/>
        <v>1</v>
      </c>
      <c r="H1275" t="s">
        <v>1399</v>
      </c>
      <c r="I1275">
        <v>86.302999999999997</v>
      </c>
      <c r="J1275" t="s">
        <v>1092</v>
      </c>
      <c r="K1275" s="24">
        <v>172</v>
      </c>
      <c r="L1275" s="24">
        <v>68</v>
      </c>
      <c r="M1275">
        <v>227</v>
      </c>
      <c r="N1275" t="s">
        <v>1432</v>
      </c>
      <c r="O1275">
        <v>89</v>
      </c>
      <c r="P1275">
        <v>88</v>
      </c>
      <c r="Q1275" t="s">
        <v>25</v>
      </c>
      <c r="R1275" t="s">
        <v>25</v>
      </c>
      <c r="S1275" t="s">
        <v>30</v>
      </c>
      <c r="T1275" t="s">
        <v>24</v>
      </c>
      <c r="U1275">
        <f t="shared" si="78"/>
        <v>2</v>
      </c>
      <c r="W1275">
        <v>0.439</v>
      </c>
      <c r="X1275" t="s">
        <v>1408</v>
      </c>
      <c r="Y1275">
        <v>172</v>
      </c>
      <c r="Z1275">
        <v>68</v>
      </c>
      <c r="AA1275" t="s">
        <v>40</v>
      </c>
      <c r="AB1275">
        <v>108</v>
      </c>
      <c r="AC1275" s="23">
        <v>1.21</v>
      </c>
      <c r="AD1275" t="str">
        <f>IF(AND('CVD Dataset'!AA1275="Normal",'CVD Dataset'!AB1275&gt;AVERAGE('CVD Dataset'!AB:AB),'CVD Dataset'!AF1275="High"),"High Lipid Category","Normal Category")</f>
        <v>Normal Category</v>
      </c>
      <c r="AE1275">
        <v>21.97</v>
      </c>
      <c r="AF1275" t="s">
        <v>54</v>
      </c>
      <c r="AG1275">
        <v>0</v>
      </c>
      <c r="AH1275" t="s">
        <v>1380</v>
      </c>
      <c r="AI1275">
        <f t="shared" si="79"/>
        <v>0</v>
      </c>
      <c r="AJ1275" t="s">
        <v>1391</v>
      </c>
    </row>
    <row r="1276" spans="1:36" x14ac:dyDescent="0.3">
      <c r="A1276" t="s">
        <v>22</v>
      </c>
      <c r="B1276">
        <v>26</v>
      </c>
      <c r="C1276">
        <v>97.701999999999998</v>
      </c>
      <c r="D1276">
        <v>1.8009999999999999</v>
      </c>
      <c r="E1276">
        <v>32.79</v>
      </c>
      <c r="F1276">
        <f t="shared" si="77"/>
        <v>30.121460685207584</v>
      </c>
      <c r="G1276">
        <f t="shared" si="80"/>
        <v>1</v>
      </c>
      <c r="H1276" t="s">
        <v>1399</v>
      </c>
      <c r="I1276">
        <v>108.242</v>
      </c>
      <c r="J1276" t="s">
        <v>1093</v>
      </c>
      <c r="K1276" s="24">
        <v>108</v>
      </c>
      <c r="L1276" s="24">
        <v>117</v>
      </c>
      <c r="N1276" t="s">
        <v>1434</v>
      </c>
      <c r="O1276">
        <v>79</v>
      </c>
      <c r="P1276">
        <v>185</v>
      </c>
      <c r="Q1276" t="s">
        <v>24</v>
      </c>
      <c r="R1276" t="s">
        <v>24</v>
      </c>
      <c r="S1276" t="s">
        <v>30</v>
      </c>
      <c r="T1276" t="s">
        <v>25</v>
      </c>
      <c r="U1276">
        <f t="shared" si="78"/>
        <v>1</v>
      </c>
      <c r="V1276">
        <v>180.12200000000001</v>
      </c>
      <c r="W1276">
        <v>0.60099999999999998</v>
      </c>
      <c r="X1276" t="s">
        <v>1409</v>
      </c>
      <c r="Y1276">
        <v>108</v>
      </c>
      <c r="Z1276">
        <v>117</v>
      </c>
      <c r="AA1276" t="s">
        <v>40</v>
      </c>
      <c r="AB1276">
        <v>153</v>
      </c>
      <c r="AC1276" s="23">
        <v>1.94</v>
      </c>
      <c r="AD1276" t="str">
        <f>IF(AND('CVD Dataset'!AA1276="Normal",'CVD Dataset'!AB1276&gt;AVERAGE('CVD Dataset'!AB:AB),'CVD Dataset'!AF1276="High"),"High Lipid Category","Normal Category")</f>
        <v>Normal Category</v>
      </c>
      <c r="AE1276">
        <v>17.198</v>
      </c>
      <c r="AF1276" t="s">
        <v>32</v>
      </c>
      <c r="AG1276">
        <v>1</v>
      </c>
      <c r="AH1276" t="s">
        <v>1379</v>
      </c>
      <c r="AI1276">
        <f t="shared" si="79"/>
        <v>1</v>
      </c>
      <c r="AJ1276" t="s">
        <v>1391</v>
      </c>
    </row>
    <row r="1277" spans="1:36" x14ac:dyDescent="0.3">
      <c r="A1277" t="s">
        <v>22</v>
      </c>
      <c r="B1277">
        <v>26</v>
      </c>
      <c r="C1277">
        <v>66.394000000000005</v>
      </c>
      <c r="D1277">
        <v>1.86</v>
      </c>
      <c r="E1277">
        <v>27.704000000000001</v>
      </c>
      <c r="F1277">
        <f t="shared" si="77"/>
        <v>19.191235981038268</v>
      </c>
      <c r="G1277">
        <f t="shared" si="80"/>
        <v>1</v>
      </c>
      <c r="H1277" t="s">
        <v>1400</v>
      </c>
      <c r="I1277">
        <v>91.594999999999999</v>
      </c>
      <c r="J1277" t="s">
        <v>1094</v>
      </c>
      <c r="K1277" s="24">
        <v>165</v>
      </c>
      <c r="L1277" s="24">
        <v>101</v>
      </c>
      <c r="M1277">
        <v>106</v>
      </c>
      <c r="N1277" t="s">
        <v>1434</v>
      </c>
      <c r="O1277">
        <v>78</v>
      </c>
      <c r="P1277">
        <v>103</v>
      </c>
      <c r="Q1277" t="s">
        <v>24</v>
      </c>
      <c r="R1277" t="s">
        <v>25</v>
      </c>
      <c r="S1277" t="s">
        <v>30</v>
      </c>
      <c r="T1277" t="s">
        <v>25</v>
      </c>
      <c r="U1277">
        <f t="shared" si="78"/>
        <v>2</v>
      </c>
      <c r="V1277">
        <v>185.95699999999999</v>
      </c>
      <c r="W1277">
        <v>0.49299999999999999</v>
      </c>
      <c r="X1277" t="s">
        <v>1406</v>
      </c>
      <c r="Y1277">
        <v>165</v>
      </c>
      <c r="Z1277">
        <v>101</v>
      </c>
      <c r="AA1277" t="s">
        <v>40</v>
      </c>
      <c r="AB1277">
        <v>-2</v>
      </c>
      <c r="AC1277" s="23">
        <v>-0.03</v>
      </c>
      <c r="AD1277" t="str">
        <f>IF(AND('CVD Dataset'!AA1277="Normal",'CVD Dataset'!AB1277&gt;AVERAGE('CVD Dataset'!AB:AB),'CVD Dataset'!AF1277="High"),"High Lipid Category","Normal Category")</f>
        <v>Normal Category</v>
      </c>
      <c r="AF1277" t="s">
        <v>54</v>
      </c>
      <c r="AG1277">
        <v>0</v>
      </c>
      <c r="AH1277" t="s">
        <v>1380</v>
      </c>
      <c r="AI1277">
        <f t="shared" si="79"/>
        <v>0</v>
      </c>
      <c r="AJ1277" t="s">
        <v>1391</v>
      </c>
    </row>
    <row r="1278" spans="1:36" x14ac:dyDescent="0.3">
      <c r="A1278" t="s">
        <v>22</v>
      </c>
      <c r="B1278">
        <v>68</v>
      </c>
      <c r="D1278">
        <v>1.9950000000000001</v>
      </c>
      <c r="E1278">
        <v>29.507000000000001</v>
      </c>
      <c r="F1278">
        <f t="shared" si="77"/>
        <v>0</v>
      </c>
      <c r="G1278">
        <f t="shared" si="80"/>
        <v>1</v>
      </c>
      <c r="H1278" t="s">
        <v>1400</v>
      </c>
      <c r="I1278">
        <v>103.497</v>
      </c>
      <c r="J1278" t="s">
        <v>320</v>
      </c>
      <c r="K1278" s="24">
        <v>128</v>
      </c>
      <c r="L1278" s="24">
        <v>88</v>
      </c>
      <c r="M1278">
        <v>134</v>
      </c>
      <c r="N1278" t="s">
        <v>1434</v>
      </c>
      <c r="O1278">
        <v>45</v>
      </c>
      <c r="P1278">
        <v>175</v>
      </c>
      <c r="Q1278" t="s">
        <v>25</v>
      </c>
      <c r="R1278" t="s">
        <v>24</v>
      </c>
      <c r="S1278" t="s">
        <v>26</v>
      </c>
      <c r="T1278" t="s">
        <v>24</v>
      </c>
      <c r="U1278">
        <f t="shared" si="78"/>
        <v>2</v>
      </c>
      <c r="V1278">
        <v>199.548</v>
      </c>
      <c r="W1278">
        <v>0.51900000000000002</v>
      </c>
      <c r="X1278" t="s">
        <v>1406</v>
      </c>
      <c r="Y1278">
        <v>128</v>
      </c>
      <c r="Z1278">
        <v>88</v>
      </c>
      <c r="AA1278" t="s">
        <v>31</v>
      </c>
      <c r="AB1278">
        <v>59</v>
      </c>
      <c r="AC1278" s="23">
        <v>1.31</v>
      </c>
      <c r="AD1278" t="str">
        <f>IF(AND('CVD Dataset'!AA1278="Normal",'CVD Dataset'!AB1278&gt;AVERAGE('CVD Dataset'!AB:AB),'CVD Dataset'!AF1278="High"),"High Lipid Category","Normal Category")</f>
        <v>Normal Category</v>
      </c>
      <c r="AE1278">
        <v>14.981</v>
      </c>
      <c r="AF1278" t="s">
        <v>32</v>
      </c>
      <c r="AG1278">
        <v>0</v>
      </c>
      <c r="AH1278" t="s">
        <v>1379</v>
      </c>
      <c r="AI1278">
        <f t="shared" si="79"/>
        <v>1</v>
      </c>
      <c r="AJ1278" t="s">
        <v>1391</v>
      </c>
    </row>
    <row r="1279" spans="1:36" x14ac:dyDescent="0.3">
      <c r="A1279" t="s">
        <v>33</v>
      </c>
      <c r="B1279">
        <v>33</v>
      </c>
      <c r="C1279">
        <v>104.748</v>
      </c>
      <c r="D1279">
        <v>1.9830000000000001</v>
      </c>
      <c r="E1279">
        <v>18.852</v>
      </c>
      <c r="F1279">
        <f t="shared" si="77"/>
        <v>26.63792005114578</v>
      </c>
      <c r="G1279">
        <f t="shared" si="80"/>
        <v>1</v>
      </c>
      <c r="H1279" t="s">
        <v>1398</v>
      </c>
      <c r="I1279">
        <v>104.754</v>
      </c>
      <c r="J1279" t="s">
        <v>1095</v>
      </c>
      <c r="K1279" s="24">
        <v>178</v>
      </c>
      <c r="L1279" s="24">
        <v>65</v>
      </c>
      <c r="M1279">
        <v>176</v>
      </c>
      <c r="N1279" t="s">
        <v>1433</v>
      </c>
      <c r="O1279">
        <v>81</v>
      </c>
      <c r="P1279">
        <v>161</v>
      </c>
      <c r="Q1279" t="s">
        <v>24</v>
      </c>
      <c r="R1279" t="s">
        <v>24</v>
      </c>
      <c r="S1279" t="s">
        <v>39</v>
      </c>
      <c r="T1279" t="s">
        <v>25</v>
      </c>
      <c r="U1279">
        <f t="shared" si="78"/>
        <v>1</v>
      </c>
      <c r="V1279">
        <v>198.31200000000001</v>
      </c>
      <c r="W1279">
        <v>0.52800000000000002</v>
      </c>
      <c r="X1279" t="s">
        <v>1407</v>
      </c>
      <c r="Y1279">
        <v>178</v>
      </c>
      <c r="Z1279">
        <v>65</v>
      </c>
      <c r="AA1279" t="s">
        <v>40</v>
      </c>
      <c r="AB1279">
        <v>65</v>
      </c>
      <c r="AC1279" s="23">
        <v>0.8</v>
      </c>
      <c r="AD1279" t="str">
        <f>IF(AND('CVD Dataset'!AA1279="Normal",'CVD Dataset'!AB1279&gt;AVERAGE('CVD Dataset'!AB:AB),'CVD Dataset'!AF1279="High"),"High Lipid Category","Normal Category")</f>
        <v>Normal Category</v>
      </c>
      <c r="AE1279">
        <v>16.190000000000001</v>
      </c>
      <c r="AF1279" t="s">
        <v>32</v>
      </c>
      <c r="AG1279">
        <v>1</v>
      </c>
      <c r="AH1279" t="s">
        <v>1379</v>
      </c>
      <c r="AI1279">
        <f t="shared" si="79"/>
        <v>1</v>
      </c>
      <c r="AJ1279" t="s">
        <v>1391</v>
      </c>
    </row>
    <row r="1280" spans="1:36" x14ac:dyDescent="0.3">
      <c r="A1280" t="s">
        <v>22</v>
      </c>
      <c r="B1280">
        <v>75</v>
      </c>
      <c r="C1280">
        <v>113.605</v>
      </c>
      <c r="D1280">
        <v>1.8640000000000001</v>
      </c>
      <c r="E1280">
        <v>22.713999999999999</v>
      </c>
      <c r="F1280">
        <f t="shared" si="77"/>
        <v>32.696828547219511</v>
      </c>
      <c r="G1280">
        <f t="shared" si="80"/>
        <v>1</v>
      </c>
      <c r="H1280" t="s">
        <v>1398</v>
      </c>
      <c r="I1280">
        <v>88.545000000000002</v>
      </c>
      <c r="J1280" t="s">
        <v>1096</v>
      </c>
      <c r="K1280" s="24">
        <v>159</v>
      </c>
      <c r="L1280" s="24">
        <v>100</v>
      </c>
      <c r="M1280">
        <v>151</v>
      </c>
      <c r="N1280" t="s">
        <v>1433</v>
      </c>
      <c r="O1280">
        <v>63</v>
      </c>
      <c r="P1280">
        <v>105</v>
      </c>
      <c r="Q1280" t="s">
        <v>24</v>
      </c>
      <c r="R1280" t="s">
        <v>25</v>
      </c>
      <c r="S1280" t="s">
        <v>26</v>
      </c>
      <c r="T1280" t="s">
        <v>25</v>
      </c>
      <c r="U1280">
        <f t="shared" si="78"/>
        <v>3</v>
      </c>
      <c r="V1280">
        <v>186.351</v>
      </c>
      <c r="W1280">
        <v>0.47499999999999998</v>
      </c>
      <c r="X1280" t="s">
        <v>1406</v>
      </c>
      <c r="Y1280">
        <v>159</v>
      </c>
      <c r="Z1280">
        <v>100</v>
      </c>
      <c r="AA1280" t="s">
        <v>40</v>
      </c>
      <c r="AB1280">
        <v>58</v>
      </c>
      <c r="AC1280" s="23">
        <v>0.92</v>
      </c>
      <c r="AD1280" t="str">
        <f>IF(AND('CVD Dataset'!AA1280="Normal",'CVD Dataset'!AB1280&gt;AVERAGE('CVD Dataset'!AB:AB),'CVD Dataset'!AF1280="High"),"High Lipid Category","Normal Category")</f>
        <v>Normal Category</v>
      </c>
      <c r="AE1280">
        <v>17.513000000000002</v>
      </c>
      <c r="AF1280" t="s">
        <v>54</v>
      </c>
      <c r="AG1280">
        <v>0</v>
      </c>
      <c r="AH1280" t="s">
        <v>1380</v>
      </c>
      <c r="AI1280">
        <f t="shared" si="79"/>
        <v>0</v>
      </c>
      <c r="AJ1280" t="s">
        <v>1392</v>
      </c>
    </row>
    <row r="1281" spans="1:36" x14ac:dyDescent="0.3">
      <c r="A1281" t="s">
        <v>33</v>
      </c>
      <c r="B1281">
        <v>75</v>
      </c>
      <c r="D1281">
        <v>1.9830000000000001</v>
      </c>
      <c r="E1281">
        <v>31.626999999999999</v>
      </c>
      <c r="F1281">
        <f t="shared" si="77"/>
        <v>0</v>
      </c>
      <c r="G1281">
        <f t="shared" si="80"/>
        <v>1</v>
      </c>
      <c r="H1281" t="s">
        <v>1399</v>
      </c>
      <c r="J1281" t="s">
        <v>1097</v>
      </c>
      <c r="K1281" s="24">
        <v>159</v>
      </c>
      <c r="L1281" s="24">
        <v>101</v>
      </c>
      <c r="M1281">
        <v>179</v>
      </c>
      <c r="N1281" t="s">
        <v>1433</v>
      </c>
      <c r="O1281">
        <v>46</v>
      </c>
      <c r="P1281">
        <v>138</v>
      </c>
      <c r="Q1281" t="s">
        <v>24</v>
      </c>
      <c r="R1281" t="s">
        <v>24</v>
      </c>
      <c r="S1281" t="s">
        <v>30</v>
      </c>
      <c r="T1281" t="s">
        <v>24</v>
      </c>
      <c r="U1281">
        <f t="shared" si="78"/>
        <v>0</v>
      </c>
      <c r="V1281">
        <v>198.315</v>
      </c>
      <c r="W1281">
        <v>0.56299999999999994</v>
      </c>
      <c r="X1281" t="s">
        <v>1407</v>
      </c>
      <c r="Y1281">
        <v>159</v>
      </c>
      <c r="Z1281">
        <v>101</v>
      </c>
      <c r="AA1281" t="s">
        <v>40</v>
      </c>
      <c r="AB1281">
        <v>103</v>
      </c>
      <c r="AC1281" s="23">
        <v>2.2400000000000002</v>
      </c>
      <c r="AD1281" t="str">
        <f>IF(AND('CVD Dataset'!AA1281="Normal",'CVD Dataset'!AB1281&gt;AVERAGE('CVD Dataset'!AB:AB),'CVD Dataset'!AF1281="High"),"High Lipid Category","Normal Category")</f>
        <v>Normal Category</v>
      </c>
      <c r="AE1281">
        <v>17.855</v>
      </c>
      <c r="AF1281" t="s">
        <v>28</v>
      </c>
      <c r="AG1281">
        <v>0</v>
      </c>
      <c r="AH1281" t="s">
        <v>1380</v>
      </c>
      <c r="AI1281">
        <f t="shared" si="79"/>
        <v>0</v>
      </c>
      <c r="AJ1281" t="s">
        <v>1391</v>
      </c>
    </row>
    <row r="1282" spans="1:36" x14ac:dyDescent="0.3">
      <c r="A1282" t="s">
        <v>33</v>
      </c>
      <c r="B1282">
        <v>63</v>
      </c>
      <c r="C1282">
        <v>55.338999999999999</v>
      </c>
      <c r="E1282">
        <v>24.893000000000001</v>
      </c>
      <c r="F1282" t="str">
        <f t="shared" si="77"/>
        <v/>
      </c>
      <c r="G1282" t="str">
        <f t="shared" si="80"/>
        <v/>
      </c>
      <c r="H1282" t="s">
        <v>1398</v>
      </c>
      <c r="I1282">
        <v>103.179</v>
      </c>
      <c r="J1282" t="s">
        <v>658</v>
      </c>
      <c r="K1282" s="24">
        <v>101</v>
      </c>
      <c r="L1282" s="24">
        <v>77</v>
      </c>
      <c r="M1282">
        <v>252</v>
      </c>
      <c r="N1282" t="s">
        <v>1432</v>
      </c>
      <c r="O1282">
        <v>42</v>
      </c>
      <c r="P1282">
        <v>147</v>
      </c>
      <c r="Q1282" t="s">
        <v>24</v>
      </c>
      <c r="R1282" t="s">
        <v>24</v>
      </c>
      <c r="S1282" t="s">
        <v>26</v>
      </c>
      <c r="T1282" t="s">
        <v>25</v>
      </c>
      <c r="U1282">
        <f t="shared" si="78"/>
        <v>2</v>
      </c>
      <c r="V1282">
        <v>174.20400000000001</v>
      </c>
      <c r="W1282">
        <v>0.59199999999999997</v>
      </c>
      <c r="X1282" t="s">
        <v>1409</v>
      </c>
      <c r="Y1282">
        <v>101</v>
      </c>
      <c r="Z1282">
        <v>77</v>
      </c>
      <c r="AA1282" t="s">
        <v>35</v>
      </c>
      <c r="AB1282">
        <v>180</v>
      </c>
      <c r="AC1282" s="23">
        <v>4.29</v>
      </c>
      <c r="AD1282" t="str">
        <f>IF(AND('CVD Dataset'!AA1282="Normal",'CVD Dataset'!AB1282&gt;AVERAGE('CVD Dataset'!AB:AB),'CVD Dataset'!AF1282="High"),"High Lipid Category","Normal Category")</f>
        <v>Normal Category</v>
      </c>
      <c r="AE1282">
        <v>15.069000000000001</v>
      </c>
      <c r="AF1282" t="s">
        <v>28</v>
      </c>
      <c r="AG1282">
        <v>0</v>
      </c>
      <c r="AH1282" t="s">
        <v>1380</v>
      </c>
      <c r="AI1282">
        <f t="shared" si="79"/>
        <v>0</v>
      </c>
      <c r="AJ1282" t="s">
        <v>1391</v>
      </c>
    </row>
    <row r="1283" spans="1:36" x14ac:dyDescent="0.3">
      <c r="A1283" t="s">
        <v>22</v>
      </c>
      <c r="B1283">
        <v>38</v>
      </c>
      <c r="C1283">
        <v>107.316</v>
      </c>
      <c r="D1283">
        <v>1.9890000000000001</v>
      </c>
      <c r="E1283">
        <v>20.888000000000002</v>
      </c>
      <c r="F1283">
        <f t="shared" ref="F1283:F1346" si="81">IFERROR(C1283/POWER(D1283,2),"")</f>
        <v>27.126571710015945</v>
      </c>
      <c r="G1283">
        <f t="shared" si="80"/>
        <v>1</v>
      </c>
      <c r="H1283" t="s">
        <v>1398</v>
      </c>
      <c r="I1283">
        <v>113.22</v>
      </c>
      <c r="J1283" t="s">
        <v>1098</v>
      </c>
      <c r="K1283" s="24">
        <v>103</v>
      </c>
      <c r="L1283" s="24">
        <v>71</v>
      </c>
      <c r="M1283">
        <v>218</v>
      </c>
      <c r="N1283" t="s">
        <v>1432</v>
      </c>
      <c r="O1283">
        <v>52</v>
      </c>
      <c r="P1283">
        <v>72</v>
      </c>
      <c r="Q1283" t="s">
        <v>24</v>
      </c>
      <c r="R1283" t="s">
        <v>24</v>
      </c>
      <c r="S1283" t="s">
        <v>26</v>
      </c>
      <c r="T1283" t="s">
        <v>25</v>
      </c>
      <c r="U1283">
        <f t="shared" ref="U1283:U1346" si="82">SUM(IF(Q1283="Y",1,0),IF(R1283="Y",1,0),IF(S1283="Low",1,0),IF(T1283="Y",1,0))</f>
        <v>2</v>
      </c>
      <c r="V1283">
        <v>198.94900000000001</v>
      </c>
      <c r="W1283">
        <v>0.56899999999999995</v>
      </c>
      <c r="X1283" t="s">
        <v>1407</v>
      </c>
      <c r="Y1283">
        <v>103</v>
      </c>
      <c r="Z1283">
        <v>71</v>
      </c>
      <c r="AA1283" t="s">
        <v>35</v>
      </c>
      <c r="AB1283">
        <v>136</v>
      </c>
      <c r="AC1283" s="23">
        <v>2.62</v>
      </c>
      <c r="AD1283" t="str">
        <f>IF(AND('CVD Dataset'!AA1283="Normal",'CVD Dataset'!AB1283&gt;AVERAGE('CVD Dataset'!AB:AB),'CVD Dataset'!AF1283="High"),"High Lipid Category","Normal Category")</f>
        <v>High Lipid Category</v>
      </c>
      <c r="AE1283">
        <v>13.688000000000001</v>
      </c>
      <c r="AF1283" t="s">
        <v>32</v>
      </c>
      <c r="AG1283">
        <v>0</v>
      </c>
      <c r="AH1283" t="s">
        <v>1379</v>
      </c>
      <c r="AI1283">
        <f t="shared" ref="AI1283:AI1346" si="83">IF(AF1283="HIGH",1,0)</f>
        <v>1</v>
      </c>
      <c r="AJ1283" t="s">
        <v>1391</v>
      </c>
    </row>
    <row r="1284" spans="1:36" x14ac:dyDescent="0.3">
      <c r="A1284" t="s">
        <v>22</v>
      </c>
      <c r="B1284">
        <v>76</v>
      </c>
      <c r="C1284">
        <v>119.517</v>
      </c>
      <c r="D1284">
        <v>1.895</v>
      </c>
      <c r="E1284">
        <v>22.664999999999999</v>
      </c>
      <c r="F1284">
        <f t="shared" si="81"/>
        <v>33.282140892920545</v>
      </c>
      <c r="G1284">
        <f t="shared" si="80"/>
        <v>1</v>
      </c>
      <c r="H1284" t="s">
        <v>1398</v>
      </c>
      <c r="I1284">
        <v>104.21</v>
      </c>
      <c r="J1284" t="s">
        <v>1099</v>
      </c>
      <c r="K1284" s="24">
        <v>157</v>
      </c>
      <c r="L1284" s="24">
        <v>67</v>
      </c>
      <c r="M1284">
        <v>230</v>
      </c>
      <c r="N1284" t="s">
        <v>1432</v>
      </c>
      <c r="O1284">
        <v>41</v>
      </c>
      <c r="P1284">
        <v>198</v>
      </c>
      <c r="Q1284" t="s">
        <v>24</v>
      </c>
      <c r="R1284" t="s">
        <v>25</v>
      </c>
      <c r="S1284" t="s">
        <v>30</v>
      </c>
      <c r="T1284" t="s">
        <v>25</v>
      </c>
      <c r="U1284">
        <f t="shared" si="82"/>
        <v>2</v>
      </c>
      <c r="V1284">
        <v>189.47900000000001</v>
      </c>
      <c r="W1284">
        <v>0.55000000000000004</v>
      </c>
      <c r="X1284" t="s">
        <v>1407</v>
      </c>
      <c r="Y1284">
        <v>157</v>
      </c>
      <c r="Z1284">
        <v>67</v>
      </c>
      <c r="AA1284" t="s">
        <v>40</v>
      </c>
      <c r="AB1284">
        <v>159</v>
      </c>
      <c r="AC1284" s="23">
        <v>3.88</v>
      </c>
      <c r="AD1284" t="str">
        <f>IF(AND('CVD Dataset'!AA1284="Normal",'CVD Dataset'!AB1284&gt;AVERAGE('CVD Dataset'!AB:AB),'CVD Dataset'!AF1284="High"),"High Lipid Category","Normal Category")</f>
        <v>Normal Category</v>
      </c>
      <c r="AE1284">
        <v>18.983000000000001</v>
      </c>
      <c r="AF1284" t="s">
        <v>32</v>
      </c>
      <c r="AG1284">
        <v>0</v>
      </c>
      <c r="AH1284" t="s">
        <v>1379</v>
      </c>
      <c r="AI1284">
        <f t="shared" si="83"/>
        <v>1</v>
      </c>
      <c r="AJ1284" t="s">
        <v>1392</v>
      </c>
    </row>
    <row r="1285" spans="1:36" x14ac:dyDescent="0.3">
      <c r="A1285" t="s">
        <v>22</v>
      </c>
      <c r="B1285">
        <v>39</v>
      </c>
      <c r="C1285">
        <v>86.203999999999994</v>
      </c>
      <c r="D1285">
        <v>1.909</v>
      </c>
      <c r="F1285">
        <f t="shared" si="81"/>
        <v>23.654597436366732</v>
      </c>
      <c r="G1285">
        <f t="shared" si="80"/>
        <v>1</v>
      </c>
      <c r="H1285" t="s">
        <v>1401</v>
      </c>
      <c r="I1285">
        <v>112.36</v>
      </c>
      <c r="J1285" t="s">
        <v>1100</v>
      </c>
      <c r="K1285" s="24">
        <v>141</v>
      </c>
      <c r="L1285" s="24">
        <v>118</v>
      </c>
      <c r="M1285">
        <v>127</v>
      </c>
      <c r="N1285" t="s">
        <v>1434</v>
      </c>
      <c r="O1285">
        <v>38</v>
      </c>
      <c r="P1285">
        <v>85</v>
      </c>
      <c r="Q1285" t="s">
        <v>24</v>
      </c>
      <c r="R1285" t="s">
        <v>24</v>
      </c>
      <c r="S1285" t="s">
        <v>26</v>
      </c>
      <c r="T1285" t="s">
        <v>25</v>
      </c>
      <c r="U1285">
        <f t="shared" si="82"/>
        <v>2</v>
      </c>
      <c r="V1285">
        <v>190.85300000000001</v>
      </c>
      <c r="W1285">
        <v>0.58899999999999997</v>
      </c>
      <c r="X1285" t="s">
        <v>1409</v>
      </c>
      <c r="Y1285">
        <v>141</v>
      </c>
      <c r="Z1285">
        <v>118</v>
      </c>
      <c r="AA1285" t="s">
        <v>40</v>
      </c>
      <c r="AB1285">
        <v>59</v>
      </c>
      <c r="AC1285" s="23">
        <v>1.55</v>
      </c>
      <c r="AD1285" t="str">
        <f>IF(AND('CVD Dataset'!AA1285="Normal",'CVD Dataset'!AB1285&gt;AVERAGE('CVD Dataset'!AB:AB),'CVD Dataset'!AF1285="High"),"High Lipid Category","Normal Category")</f>
        <v>Normal Category</v>
      </c>
      <c r="AE1285">
        <v>16.785</v>
      </c>
      <c r="AF1285" t="s">
        <v>32</v>
      </c>
      <c r="AG1285">
        <v>0</v>
      </c>
      <c r="AH1285" t="s">
        <v>1379</v>
      </c>
      <c r="AI1285">
        <f t="shared" si="83"/>
        <v>1</v>
      </c>
      <c r="AJ1285" t="s">
        <v>1391</v>
      </c>
    </row>
    <row r="1286" spans="1:36" x14ac:dyDescent="0.3">
      <c r="A1286" t="s">
        <v>22</v>
      </c>
      <c r="B1286">
        <v>42</v>
      </c>
      <c r="C1286">
        <v>101.874</v>
      </c>
      <c r="E1286">
        <v>18.507999999999999</v>
      </c>
      <c r="F1286" t="str">
        <f t="shared" si="81"/>
        <v/>
      </c>
      <c r="G1286" t="str">
        <f t="shared" si="80"/>
        <v/>
      </c>
      <c r="H1286" t="s">
        <v>1398</v>
      </c>
      <c r="I1286">
        <v>93.102999999999994</v>
      </c>
      <c r="J1286" t="s">
        <v>1101</v>
      </c>
      <c r="K1286" s="24">
        <v>94</v>
      </c>
      <c r="L1286" s="24">
        <v>67</v>
      </c>
      <c r="M1286">
        <v>138</v>
      </c>
      <c r="N1286" t="s">
        <v>1434</v>
      </c>
      <c r="O1286">
        <v>51</v>
      </c>
      <c r="P1286">
        <v>180</v>
      </c>
      <c r="Q1286" t="s">
        <v>25</v>
      </c>
      <c r="R1286" t="s">
        <v>25</v>
      </c>
      <c r="S1286" t="s">
        <v>30</v>
      </c>
      <c r="T1286" t="s">
        <v>25</v>
      </c>
      <c r="U1286">
        <f t="shared" si="82"/>
        <v>3</v>
      </c>
      <c r="W1286">
        <v>0.496</v>
      </c>
      <c r="X1286" t="s">
        <v>1406</v>
      </c>
      <c r="Z1286">
        <v>67</v>
      </c>
      <c r="AA1286" t="s">
        <v>35</v>
      </c>
      <c r="AB1286">
        <v>57</v>
      </c>
      <c r="AC1286" s="23">
        <v>1.1200000000000001</v>
      </c>
      <c r="AD1286" t="str">
        <f>IF(AND('CVD Dataset'!AA1286="Normal",'CVD Dataset'!AB1286&gt;AVERAGE('CVD Dataset'!AB:AB),'CVD Dataset'!AF1286="High"),"High Lipid Category","Normal Category")</f>
        <v>Normal Category</v>
      </c>
      <c r="AE1286">
        <v>13.162000000000001</v>
      </c>
      <c r="AF1286" t="s">
        <v>28</v>
      </c>
      <c r="AG1286">
        <v>0</v>
      </c>
      <c r="AH1286" t="s">
        <v>1380</v>
      </c>
      <c r="AI1286">
        <f t="shared" si="83"/>
        <v>0</v>
      </c>
      <c r="AJ1286" t="s">
        <v>1391</v>
      </c>
    </row>
    <row r="1287" spans="1:36" x14ac:dyDescent="0.3">
      <c r="A1287" t="s">
        <v>22</v>
      </c>
      <c r="B1287">
        <v>26</v>
      </c>
      <c r="C1287">
        <v>85.659000000000006</v>
      </c>
      <c r="D1287">
        <v>1.8029999999999999</v>
      </c>
      <c r="E1287">
        <v>32.454000000000001</v>
      </c>
      <c r="F1287">
        <f t="shared" si="81"/>
        <v>26.350056247537154</v>
      </c>
      <c r="G1287">
        <f t="shared" si="80"/>
        <v>1</v>
      </c>
      <c r="H1287" t="s">
        <v>1399</v>
      </c>
      <c r="I1287">
        <v>107.746</v>
      </c>
      <c r="J1287" t="s">
        <v>1102</v>
      </c>
      <c r="K1287" s="24">
        <v>156</v>
      </c>
      <c r="L1287" s="24">
        <v>118</v>
      </c>
      <c r="M1287">
        <v>213</v>
      </c>
      <c r="N1287" t="s">
        <v>1432</v>
      </c>
      <c r="O1287">
        <v>66</v>
      </c>
      <c r="P1287">
        <v>133</v>
      </c>
      <c r="Q1287" t="s">
        <v>24</v>
      </c>
      <c r="R1287" t="s">
        <v>25</v>
      </c>
      <c r="S1287" t="s">
        <v>26</v>
      </c>
      <c r="T1287" t="s">
        <v>25</v>
      </c>
      <c r="U1287">
        <f t="shared" si="82"/>
        <v>3</v>
      </c>
      <c r="V1287">
        <v>180.31200000000001</v>
      </c>
      <c r="W1287">
        <v>0.59799999999999998</v>
      </c>
      <c r="X1287" t="s">
        <v>1409</v>
      </c>
      <c r="Y1287">
        <v>156</v>
      </c>
      <c r="Z1287">
        <v>118</v>
      </c>
      <c r="AA1287" t="s">
        <v>40</v>
      </c>
      <c r="AB1287">
        <v>117</v>
      </c>
      <c r="AC1287" s="23">
        <v>1.77</v>
      </c>
      <c r="AD1287" t="str">
        <f>IF(AND('CVD Dataset'!AA1287="Normal",'CVD Dataset'!AB1287&gt;AVERAGE('CVD Dataset'!AB:AB),'CVD Dataset'!AF1287="High"),"High Lipid Category","Normal Category")</f>
        <v>Normal Category</v>
      </c>
      <c r="AE1287">
        <v>20.550999999999998</v>
      </c>
      <c r="AF1287" t="s">
        <v>28</v>
      </c>
      <c r="AG1287">
        <v>0</v>
      </c>
      <c r="AH1287" t="s">
        <v>1380</v>
      </c>
      <c r="AI1287">
        <f t="shared" si="83"/>
        <v>0</v>
      </c>
      <c r="AJ1287" t="s">
        <v>1391</v>
      </c>
    </row>
    <row r="1288" spans="1:36" x14ac:dyDescent="0.3">
      <c r="A1288" t="s">
        <v>33</v>
      </c>
      <c r="B1288">
        <v>26</v>
      </c>
      <c r="C1288">
        <v>114.55500000000001</v>
      </c>
      <c r="D1288">
        <v>1.8759999999999999</v>
      </c>
      <c r="E1288">
        <v>35.426000000000002</v>
      </c>
      <c r="F1288">
        <f t="shared" si="81"/>
        <v>32.549804283486623</v>
      </c>
      <c r="G1288">
        <f t="shared" si="80"/>
        <v>1</v>
      </c>
      <c r="H1288" t="s">
        <v>1399</v>
      </c>
      <c r="I1288">
        <v>97.783000000000001</v>
      </c>
      <c r="J1288" t="s">
        <v>1103</v>
      </c>
      <c r="K1288" s="24">
        <v>101</v>
      </c>
      <c r="L1288" s="24">
        <v>60</v>
      </c>
      <c r="M1288">
        <v>224</v>
      </c>
      <c r="N1288" t="s">
        <v>1432</v>
      </c>
      <c r="O1288">
        <v>54</v>
      </c>
      <c r="P1288">
        <v>125</v>
      </c>
      <c r="Q1288" t="s">
        <v>24</v>
      </c>
      <c r="R1288" t="s">
        <v>25</v>
      </c>
      <c r="S1288" t="s">
        <v>39</v>
      </c>
      <c r="T1288" t="s">
        <v>24</v>
      </c>
      <c r="U1288">
        <f t="shared" si="82"/>
        <v>1</v>
      </c>
      <c r="V1288">
        <v>187.64599999999999</v>
      </c>
      <c r="W1288">
        <v>0.52100000000000002</v>
      </c>
      <c r="X1288" t="s">
        <v>1406</v>
      </c>
      <c r="Y1288">
        <v>101</v>
      </c>
      <c r="Z1288">
        <v>60</v>
      </c>
      <c r="AA1288" t="s">
        <v>35</v>
      </c>
      <c r="AC1288" s="23">
        <v>0</v>
      </c>
      <c r="AD1288" t="str">
        <f>IF(AND('CVD Dataset'!AA1288="Normal",'CVD Dataset'!AB1288&gt;AVERAGE('CVD Dataset'!AB:AB),'CVD Dataset'!AF1288="High"),"High Lipid Category","Normal Category")</f>
        <v>Normal Category</v>
      </c>
      <c r="AE1288">
        <v>18.614999999999998</v>
      </c>
      <c r="AF1288" t="s">
        <v>28</v>
      </c>
      <c r="AG1288">
        <v>0</v>
      </c>
      <c r="AH1288" t="s">
        <v>1380</v>
      </c>
      <c r="AI1288">
        <f t="shared" si="83"/>
        <v>0</v>
      </c>
      <c r="AJ1288" t="s">
        <v>1391</v>
      </c>
    </row>
    <row r="1289" spans="1:36" x14ac:dyDescent="0.3">
      <c r="A1289" t="s">
        <v>22</v>
      </c>
      <c r="B1289">
        <v>57</v>
      </c>
      <c r="C1289">
        <v>94.534000000000006</v>
      </c>
      <c r="D1289">
        <v>1.5129999999999999</v>
      </c>
      <c r="E1289">
        <v>25.206</v>
      </c>
      <c r="F1289">
        <f t="shared" si="81"/>
        <v>41.296208362073756</v>
      </c>
      <c r="G1289">
        <f t="shared" si="80"/>
        <v>1</v>
      </c>
      <c r="H1289" t="s">
        <v>1400</v>
      </c>
      <c r="I1289">
        <v>93.727000000000004</v>
      </c>
      <c r="J1289" t="s">
        <v>1104</v>
      </c>
      <c r="K1289" s="24">
        <v>138</v>
      </c>
      <c r="L1289" s="24">
        <v>65</v>
      </c>
      <c r="M1289">
        <v>127</v>
      </c>
      <c r="N1289" t="s">
        <v>1434</v>
      </c>
      <c r="O1289">
        <v>88</v>
      </c>
      <c r="P1289">
        <v>112</v>
      </c>
      <c r="Q1289" t="s">
        <v>24</v>
      </c>
      <c r="R1289" t="s">
        <v>24</v>
      </c>
      <c r="S1289" t="s">
        <v>39</v>
      </c>
      <c r="T1289" t="s">
        <v>25</v>
      </c>
      <c r="U1289">
        <f t="shared" si="82"/>
        <v>1</v>
      </c>
      <c r="V1289">
        <v>151.303</v>
      </c>
      <c r="W1289">
        <v>0.61899999999999999</v>
      </c>
      <c r="X1289" t="s">
        <v>1409</v>
      </c>
      <c r="Y1289">
        <v>138</v>
      </c>
      <c r="Z1289">
        <v>65</v>
      </c>
      <c r="AA1289" t="s">
        <v>31</v>
      </c>
      <c r="AB1289">
        <v>9</v>
      </c>
      <c r="AC1289" s="23">
        <v>0.1</v>
      </c>
      <c r="AD1289" t="str">
        <f>IF(AND('CVD Dataset'!AA1289="Normal",'CVD Dataset'!AB1289&gt;AVERAGE('CVD Dataset'!AB:AB),'CVD Dataset'!AF1289="High"),"High Lipid Category","Normal Category")</f>
        <v>Normal Category</v>
      </c>
      <c r="AE1289">
        <v>14.481</v>
      </c>
      <c r="AF1289" t="s">
        <v>28</v>
      </c>
      <c r="AG1289">
        <v>0</v>
      </c>
      <c r="AH1289" t="s">
        <v>1380</v>
      </c>
      <c r="AI1289">
        <f t="shared" si="83"/>
        <v>0</v>
      </c>
      <c r="AJ1289" t="s">
        <v>1391</v>
      </c>
    </row>
    <row r="1290" spans="1:36" x14ac:dyDescent="0.3">
      <c r="A1290" t="s">
        <v>22</v>
      </c>
      <c r="B1290">
        <v>52</v>
      </c>
      <c r="C1290">
        <v>88.475999999999999</v>
      </c>
      <c r="D1290">
        <v>1.9430000000000001</v>
      </c>
      <c r="E1290">
        <v>30.212</v>
      </c>
      <c r="F1290">
        <f t="shared" si="81"/>
        <v>23.435805161460873</v>
      </c>
      <c r="G1290">
        <f t="shared" si="80"/>
        <v>1</v>
      </c>
      <c r="H1290" t="s">
        <v>1399</v>
      </c>
      <c r="I1290">
        <v>81.132000000000005</v>
      </c>
      <c r="J1290" t="s">
        <v>72</v>
      </c>
      <c r="K1290" s="24">
        <v>99</v>
      </c>
      <c r="L1290" s="24">
        <v>99</v>
      </c>
      <c r="M1290">
        <v>257</v>
      </c>
      <c r="N1290" t="s">
        <v>1432</v>
      </c>
      <c r="O1290">
        <v>58</v>
      </c>
      <c r="P1290">
        <v>103</v>
      </c>
      <c r="Q1290" t="s">
        <v>24</v>
      </c>
      <c r="R1290" t="s">
        <v>25</v>
      </c>
      <c r="S1290" t="s">
        <v>39</v>
      </c>
      <c r="T1290" t="s">
        <v>25</v>
      </c>
      <c r="U1290">
        <f t="shared" si="82"/>
        <v>2</v>
      </c>
      <c r="V1290">
        <v>194.26400000000001</v>
      </c>
      <c r="W1290">
        <v>0.41799999999999998</v>
      </c>
      <c r="X1290" t="s">
        <v>1408</v>
      </c>
      <c r="Y1290">
        <v>99</v>
      </c>
      <c r="Z1290">
        <v>99</v>
      </c>
      <c r="AA1290" t="s">
        <v>40</v>
      </c>
      <c r="AB1290">
        <v>169</v>
      </c>
      <c r="AC1290" s="23">
        <v>2.91</v>
      </c>
      <c r="AD1290" t="str">
        <f>IF(AND('CVD Dataset'!AA1290="Normal",'CVD Dataset'!AB1290&gt;AVERAGE('CVD Dataset'!AB:AB),'CVD Dataset'!AF1290="High"),"High Lipid Category","Normal Category")</f>
        <v>Normal Category</v>
      </c>
      <c r="AE1290">
        <v>18.132000000000001</v>
      </c>
      <c r="AF1290" t="s">
        <v>54</v>
      </c>
      <c r="AG1290">
        <v>0</v>
      </c>
      <c r="AH1290" t="s">
        <v>1380</v>
      </c>
      <c r="AI1290">
        <f t="shared" si="83"/>
        <v>0</v>
      </c>
      <c r="AJ1290" t="s">
        <v>1392</v>
      </c>
    </row>
    <row r="1291" spans="1:36" x14ac:dyDescent="0.3">
      <c r="A1291" t="s">
        <v>33</v>
      </c>
      <c r="B1291">
        <v>65</v>
      </c>
      <c r="C1291">
        <v>73.667000000000002</v>
      </c>
      <c r="D1291">
        <v>1.946</v>
      </c>
      <c r="E1291">
        <v>29.553999999999998</v>
      </c>
      <c r="F1291">
        <f t="shared" si="81"/>
        <v>19.453032493987195</v>
      </c>
      <c r="G1291">
        <f t="shared" si="80"/>
        <v>1</v>
      </c>
      <c r="H1291" t="s">
        <v>1400</v>
      </c>
      <c r="I1291">
        <v>100.702</v>
      </c>
      <c r="J1291" t="s">
        <v>1105</v>
      </c>
      <c r="K1291" s="24">
        <v>136</v>
      </c>
      <c r="L1291" s="24">
        <v>74</v>
      </c>
      <c r="M1291">
        <v>132</v>
      </c>
      <c r="N1291" t="s">
        <v>1434</v>
      </c>
      <c r="O1291">
        <v>38</v>
      </c>
      <c r="P1291">
        <v>148</v>
      </c>
      <c r="Q1291" t="s">
        <v>25</v>
      </c>
      <c r="R1291" t="s">
        <v>25</v>
      </c>
      <c r="S1291" t="s">
        <v>30</v>
      </c>
      <c r="T1291" t="s">
        <v>25</v>
      </c>
      <c r="U1291">
        <f t="shared" si="82"/>
        <v>3</v>
      </c>
      <c r="V1291">
        <v>194.55600000000001</v>
      </c>
      <c r="W1291">
        <v>0.51800000000000002</v>
      </c>
      <c r="X1291" t="s">
        <v>1406</v>
      </c>
      <c r="Y1291">
        <v>136</v>
      </c>
      <c r="Z1291">
        <v>74</v>
      </c>
      <c r="AA1291" t="s">
        <v>31</v>
      </c>
      <c r="AB1291">
        <v>64</v>
      </c>
      <c r="AC1291" s="23">
        <v>1.68</v>
      </c>
      <c r="AD1291" t="str">
        <f>IF(AND('CVD Dataset'!AA1291="Normal",'CVD Dataset'!AB1291&gt;AVERAGE('CVD Dataset'!AB:AB),'CVD Dataset'!AF1291="High"),"High Lipid Category","Normal Category")</f>
        <v>Normal Category</v>
      </c>
      <c r="AE1291">
        <v>17.350999999999999</v>
      </c>
      <c r="AF1291" t="s">
        <v>28</v>
      </c>
      <c r="AG1291">
        <v>0</v>
      </c>
      <c r="AH1291" t="s">
        <v>1380</v>
      </c>
      <c r="AI1291">
        <f t="shared" si="83"/>
        <v>0</v>
      </c>
      <c r="AJ1291" t="s">
        <v>1392</v>
      </c>
    </row>
    <row r="1292" spans="1:36" x14ac:dyDescent="0.3">
      <c r="A1292" t="s">
        <v>33</v>
      </c>
      <c r="B1292">
        <v>58</v>
      </c>
      <c r="C1292">
        <v>68.584000000000003</v>
      </c>
      <c r="D1292">
        <v>1.7849999999999999</v>
      </c>
      <c r="E1292">
        <v>23.355</v>
      </c>
      <c r="F1292">
        <f t="shared" si="81"/>
        <v>21.525159083241142</v>
      </c>
      <c r="G1292">
        <f t="shared" si="80"/>
        <v>1</v>
      </c>
      <c r="H1292" t="s">
        <v>1398</v>
      </c>
      <c r="I1292">
        <v>88.625</v>
      </c>
      <c r="J1292" t="s">
        <v>1106</v>
      </c>
      <c r="K1292" s="24">
        <v>143</v>
      </c>
      <c r="L1292" s="24">
        <v>65</v>
      </c>
      <c r="M1292">
        <v>127</v>
      </c>
      <c r="N1292" t="s">
        <v>1434</v>
      </c>
      <c r="O1292">
        <v>57</v>
      </c>
      <c r="P1292">
        <v>113</v>
      </c>
      <c r="Q1292" t="s">
        <v>25</v>
      </c>
      <c r="R1292" t="s">
        <v>25</v>
      </c>
      <c r="S1292" t="s">
        <v>26</v>
      </c>
      <c r="T1292" t="s">
        <v>24</v>
      </c>
      <c r="U1292">
        <f t="shared" si="82"/>
        <v>3</v>
      </c>
      <c r="V1292">
        <v>178.49100000000001</v>
      </c>
      <c r="W1292">
        <v>0.497</v>
      </c>
      <c r="X1292" t="s">
        <v>1406</v>
      </c>
      <c r="Y1292">
        <v>143</v>
      </c>
      <c r="Z1292">
        <v>65</v>
      </c>
      <c r="AA1292" t="s">
        <v>40</v>
      </c>
      <c r="AB1292">
        <v>40</v>
      </c>
      <c r="AC1292" s="23">
        <v>0.7</v>
      </c>
      <c r="AD1292" t="str">
        <f>IF(AND('CVD Dataset'!AA1292="Normal",'CVD Dataset'!AB1292&gt;AVERAGE('CVD Dataset'!AB:AB),'CVD Dataset'!AF1292="High"),"High Lipid Category","Normal Category")</f>
        <v>Normal Category</v>
      </c>
      <c r="AE1292">
        <v>16.361000000000001</v>
      </c>
      <c r="AF1292" t="s">
        <v>28</v>
      </c>
      <c r="AG1292">
        <v>0</v>
      </c>
      <c r="AH1292" t="s">
        <v>1380</v>
      </c>
      <c r="AI1292">
        <f t="shared" si="83"/>
        <v>0</v>
      </c>
      <c r="AJ1292" t="s">
        <v>1392</v>
      </c>
    </row>
    <row r="1293" spans="1:36" x14ac:dyDescent="0.3">
      <c r="A1293" t="s">
        <v>33</v>
      </c>
      <c r="C1293">
        <v>112.30200000000001</v>
      </c>
      <c r="D1293">
        <v>1.8220000000000001</v>
      </c>
      <c r="E1293">
        <v>26.527999999999999</v>
      </c>
      <c r="F1293">
        <f t="shared" si="81"/>
        <v>33.829123494886865</v>
      </c>
      <c r="G1293">
        <f t="shared" si="80"/>
        <v>1</v>
      </c>
      <c r="H1293" t="s">
        <v>1400</v>
      </c>
      <c r="I1293">
        <v>79.536000000000001</v>
      </c>
      <c r="J1293" t="s">
        <v>1107</v>
      </c>
      <c r="K1293" s="24">
        <v>150</v>
      </c>
      <c r="L1293" s="24">
        <v>100</v>
      </c>
      <c r="N1293" t="s">
        <v>1434</v>
      </c>
      <c r="O1293">
        <v>75</v>
      </c>
      <c r="P1293">
        <v>76</v>
      </c>
      <c r="Q1293" t="s">
        <v>24</v>
      </c>
      <c r="R1293" t="s">
        <v>24</v>
      </c>
      <c r="S1293" t="s">
        <v>39</v>
      </c>
      <c r="T1293" t="s">
        <v>25</v>
      </c>
      <c r="U1293">
        <f t="shared" si="82"/>
        <v>1</v>
      </c>
      <c r="V1293">
        <v>182.22200000000001</v>
      </c>
      <c r="W1293">
        <v>0.436</v>
      </c>
      <c r="X1293" t="s">
        <v>1408</v>
      </c>
      <c r="Y1293">
        <v>150</v>
      </c>
      <c r="Z1293">
        <v>100</v>
      </c>
      <c r="AA1293" t="s">
        <v>40</v>
      </c>
      <c r="AB1293">
        <v>187</v>
      </c>
      <c r="AC1293" s="23">
        <v>2.4900000000000002</v>
      </c>
      <c r="AD1293" t="str">
        <f>IF(AND('CVD Dataset'!AA1293="Normal",'CVD Dataset'!AB1293&gt;AVERAGE('CVD Dataset'!AB:AB),'CVD Dataset'!AF1293="High"),"High Lipid Category","Normal Category")</f>
        <v>Normal Category</v>
      </c>
      <c r="AE1293">
        <v>18.646000000000001</v>
      </c>
      <c r="AF1293" t="s">
        <v>54</v>
      </c>
      <c r="AG1293">
        <v>0</v>
      </c>
      <c r="AH1293" t="s">
        <v>1380</v>
      </c>
      <c r="AI1293">
        <f t="shared" si="83"/>
        <v>0</v>
      </c>
      <c r="AJ1293" t="s">
        <v>1391</v>
      </c>
    </row>
    <row r="1294" spans="1:36" x14ac:dyDescent="0.3">
      <c r="A1294" t="s">
        <v>22</v>
      </c>
      <c r="C1294">
        <v>54.496000000000002</v>
      </c>
      <c r="D1294">
        <v>1.8360000000000001</v>
      </c>
      <c r="E1294">
        <v>30.847000000000001</v>
      </c>
      <c r="F1294">
        <f t="shared" si="81"/>
        <v>16.166621574797919</v>
      </c>
      <c r="G1294">
        <f t="shared" si="80"/>
        <v>1</v>
      </c>
      <c r="H1294" t="s">
        <v>1399</v>
      </c>
      <c r="I1294">
        <v>118.374</v>
      </c>
      <c r="J1294" t="s">
        <v>789</v>
      </c>
      <c r="K1294" s="24">
        <v>92</v>
      </c>
      <c r="L1294" s="24">
        <v>100</v>
      </c>
      <c r="M1294">
        <v>185</v>
      </c>
      <c r="N1294" t="s">
        <v>1432</v>
      </c>
      <c r="O1294">
        <v>79</v>
      </c>
      <c r="Q1294" t="s">
        <v>24</v>
      </c>
      <c r="R1294" t="s">
        <v>24</v>
      </c>
      <c r="S1294" t="s">
        <v>39</v>
      </c>
      <c r="T1294" t="s">
        <v>24</v>
      </c>
      <c r="U1294">
        <f t="shared" si="82"/>
        <v>0</v>
      </c>
      <c r="V1294">
        <v>183.59700000000001</v>
      </c>
      <c r="W1294">
        <v>0.64500000000000002</v>
      </c>
      <c r="X1294" t="s">
        <v>1409</v>
      </c>
      <c r="Y1294">
        <v>92</v>
      </c>
      <c r="Z1294">
        <v>100</v>
      </c>
      <c r="AA1294" t="s">
        <v>40</v>
      </c>
      <c r="AB1294">
        <v>76</v>
      </c>
      <c r="AC1294" s="23">
        <v>0.96</v>
      </c>
      <c r="AD1294" t="str">
        <f>IF(AND('CVD Dataset'!AA1294="Normal",'CVD Dataset'!AB1294&gt;AVERAGE('CVD Dataset'!AB:AB),'CVD Dataset'!AF1294="High"),"High Lipid Category","Normal Category")</f>
        <v>Normal Category</v>
      </c>
      <c r="AE1294">
        <v>14.468999999999999</v>
      </c>
      <c r="AF1294" t="s">
        <v>28</v>
      </c>
      <c r="AG1294">
        <v>0</v>
      </c>
      <c r="AH1294" t="s">
        <v>1380</v>
      </c>
      <c r="AI1294">
        <f t="shared" si="83"/>
        <v>0</v>
      </c>
      <c r="AJ1294" t="s">
        <v>1391</v>
      </c>
    </row>
    <row r="1295" spans="1:36" x14ac:dyDescent="0.3">
      <c r="A1295" t="s">
        <v>33</v>
      </c>
      <c r="B1295">
        <v>40</v>
      </c>
      <c r="C1295">
        <v>63.656999999999996</v>
      </c>
      <c r="D1295">
        <v>1.9790000000000001</v>
      </c>
      <c r="E1295">
        <v>38.796999999999997</v>
      </c>
      <c r="F1295">
        <f t="shared" si="81"/>
        <v>16.253787558653379</v>
      </c>
      <c r="G1295">
        <f t="shared" ref="G1295:G1358" si="84">IFERROR(IF(ABS(E1295 - F1295) &lt;= 0.1, 0, 1),"")</f>
        <v>1</v>
      </c>
      <c r="H1295" t="s">
        <v>1399</v>
      </c>
      <c r="I1295">
        <v>105.43300000000001</v>
      </c>
      <c r="J1295" t="s">
        <v>1108</v>
      </c>
      <c r="K1295" s="24">
        <v>147</v>
      </c>
      <c r="L1295" s="24">
        <v>90</v>
      </c>
      <c r="M1295">
        <v>213</v>
      </c>
      <c r="N1295" t="s">
        <v>1432</v>
      </c>
      <c r="O1295">
        <v>34</v>
      </c>
      <c r="P1295">
        <v>138</v>
      </c>
      <c r="Q1295" t="s">
        <v>24</v>
      </c>
      <c r="R1295" t="s">
        <v>25</v>
      </c>
      <c r="S1295" t="s">
        <v>39</v>
      </c>
      <c r="T1295" t="s">
        <v>24</v>
      </c>
      <c r="U1295">
        <f t="shared" si="82"/>
        <v>1</v>
      </c>
      <c r="V1295">
        <v>197.91499999999999</v>
      </c>
      <c r="W1295">
        <v>0.53300000000000003</v>
      </c>
      <c r="X1295" t="s">
        <v>1407</v>
      </c>
      <c r="Y1295">
        <v>147</v>
      </c>
      <c r="Z1295">
        <v>90</v>
      </c>
      <c r="AA1295" t="s">
        <v>40</v>
      </c>
      <c r="AB1295">
        <v>149</v>
      </c>
      <c r="AC1295" s="23">
        <v>4.38</v>
      </c>
      <c r="AD1295" t="str">
        <f>IF(AND('CVD Dataset'!AA1295="Normal",'CVD Dataset'!AB1295&gt;AVERAGE('CVD Dataset'!AB:AB),'CVD Dataset'!AF1295="High"),"High Lipid Category","Normal Category")</f>
        <v>Normal Category</v>
      </c>
      <c r="AF1295" t="s">
        <v>54</v>
      </c>
      <c r="AG1295">
        <v>0</v>
      </c>
      <c r="AH1295" t="s">
        <v>1380</v>
      </c>
      <c r="AI1295">
        <f t="shared" si="83"/>
        <v>0</v>
      </c>
      <c r="AJ1295" t="s">
        <v>1391</v>
      </c>
    </row>
    <row r="1296" spans="1:36" x14ac:dyDescent="0.3">
      <c r="A1296" t="s">
        <v>22</v>
      </c>
      <c r="B1296">
        <v>30</v>
      </c>
      <c r="C1296">
        <v>55.924999999999997</v>
      </c>
      <c r="D1296">
        <v>1.506</v>
      </c>
      <c r="E1296">
        <v>20.962</v>
      </c>
      <c r="F1296">
        <f t="shared" si="81"/>
        <v>24.657897846418663</v>
      </c>
      <c r="G1296">
        <f t="shared" si="84"/>
        <v>1</v>
      </c>
      <c r="H1296" t="s">
        <v>1398</v>
      </c>
      <c r="I1296">
        <v>109.86199999999999</v>
      </c>
      <c r="J1296" t="s">
        <v>1109</v>
      </c>
      <c r="K1296" s="24">
        <v>128</v>
      </c>
      <c r="L1296" s="24">
        <v>101</v>
      </c>
      <c r="M1296">
        <v>117</v>
      </c>
      <c r="N1296" t="s">
        <v>1434</v>
      </c>
      <c r="O1296">
        <v>44</v>
      </c>
      <c r="P1296">
        <v>77</v>
      </c>
      <c r="Q1296" t="s">
        <v>25</v>
      </c>
      <c r="R1296" t="s">
        <v>25</v>
      </c>
      <c r="S1296" t="s">
        <v>30</v>
      </c>
      <c r="T1296" t="s">
        <v>25</v>
      </c>
      <c r="U1296">
        <f t="shared" si="82"/>
        <v>3</v>
      </c>
      <c r="V1296">
        <v>150.608</v>
      </c>
      <c r="W1296">
        <v>0.72899999999999998</v>
      </c>
      <c r="X1296" t="s">
        <v>1409</v>
      </c>
      <c r="Z1296">
        <v>101</v>
      </c>
      <c r="AA1296" t="s">
        <v>40</v>
      </c>
      <c r="AB1296">
        <v>43</v>
      </c>
      <c r="AC1296" s="23">
        <v>0.98</v>
      </c>
      <c r="AD1296" t="str">
        <f>IF(AND('CVD Dataset'!AA1296="Normal",'CVD Dataset'!AB1296&gt;AVERAGE('CVD Dataset'!AB:AB),'CVD Dataset'!AF1296="High"),"High Lipid Category","Normal Category")</f>
        <v>Normal Category</v>
      </c>
      <c r="AE1296">
        <v>14.932</v>
      </c>
      <c r="AF1296" t="s">
        <v>28</v>
      </c>
      <c r="AG1296">
        <v>0</v>
      </c>
      <c r="AH1296" t="s">
        <v>1380</v>
      </c>
      <c r="AI1296">
        <f t="shared" si="83"/>
        <v>0</v>
      </c>
      <c r="AJ1296" t="s">
        <v>1391</v>
      </c>
    </row>
    <row r="1297" spans="1:36" x14ac:dyDescent="0.3">
      <c r="A1297" t="s">
        <v>22</v>
      </c>
      <c r="B1297">
        <v>25</v>
      </c>
      <c r="C1297">
        <v>65.882999999999996</v>
      </c>
      <c r="D1297">
        <v>1.7410000000000001</v>
      </c>
      <c r="E1297">
        <v>37.06</v>
      </c>
      <c r="F1297">
        <f t="shared" si="81"/>
        <v>21.735809765558884</v>
      </c>
      <c r="G1297">
        <f t="shared" si="84"/>
        <v>1</v>
      </c>
      <c r="H1297" t="s">
        <v>1399</v>
      </c>
      <c r="I1297">
        <v>107.392</v>
      </c>
      <c r="J1297" t="s">
        <v>1110</v>
      </c>
      <c r="K1297" s="24">
        <v>163</v>
      </c>
      <c r="L1297" s="24">
        <v>61</v>
      </c>
      <c r="M1297">
        <v>229</v>
      </c>
      <c r="N1297" t="s">
        <v>1432</v>
      </c>
      <c r="O1297">
        <v>34</v>
      </c>
      <c r="P1297">
        <v>89</v>
      </c>
      <c r="Q1297" t="s">
        <v>25</v>
      </c>
      <c r="R1297" t="s">
        <v>25</v>
      </c>
      <c r="S1297" t="s">
        <v>30</v>
      </c>
      <c r="T1297" t="s">
        <v>24</v>
      </c>
      <c r="U1297">
        <f t="shared" si="82"/>
        <v>2</v>
      </c>
      <c r="V1297">
        <v>174.05199999999999</v>
      </c>
      <c r="W1297">
        <v>0.61699999999999999</v>
      </c>
      <c r="X1297" t="s">
        <v>1409</v>
      </c>
      <c r="Y1297">
        <v>163</v>
      </c>
      <c r="Z1297">
        <v>61</v>
      </c>
      <c r="AA1297" t="s">
        <v>40</v>
      </c>
      <c r="AB1297">
        <v>165</v>
      </c>
      <c r="AC1297" s="23">
        <v>4.8499999999999996</v>
      </c>
      <c r="AD1297" t="str">
        <f>IF(AND('CVD Dataset'!AA1297="Normal",'CVD Dataset'!AB1297&gt;AVERAGE('CVD Dataset'!AB:AB),'CVD Dataset'!AF1297="High"),"High Lipid Category","Normal Category")</f>
        <v>Normal Category</v>
      </c>
      <c r="AE1297">
        <v>22.141999999999999</v>
      </c>
      <c r="AF1297" t="s">
        <v>32</v>
      </c>
      <c r="AG1297">
        <v>0</v>
      </c>
      <c r="AH1297" t="s">
        <v>1379</v>
      </c>
      <c r="AI1297">
        <f t="shared" si="83"/>
        <v>1</v>
      </c>
      <c r="AJ1297" t="s">
        <v>1391</v>
      </c>
    </row>
    <row r="1298" spans="1:36" x14ac:dyDescent="0.3">
      <c r="A1298" t="s">
        <v>33</v>
      </c>
      <c r="C1298">
        <v>70.34</v>
      </c>
      <c r="D1298">
        <v>1.6990000000000001</v>
      </c>
      <c r="E1298">
        <v>35.125999999999998</v>
      </c>
      <c r="F1298">
        <f t="shared" si="81"/>
        <v>24.367759867054712</v>
      </c>
      <c r="G1298">
        <f t="shared" si="84"/>
        <v>1</v>
      </c>
      <c r="H1298" t="s">
        <v>1399</v>
      </c>
      <c r="I1298">
        <v>78.756</v>
      </c>
      <c r="J1298" t="s">
        <v>1111</v>
      </c>
      <c r="K1298" s="24">
        <v>150</v>
      </c>
      <c r="L1298" s="24">
        <v>108</v>
      </c>
      <c r="M1298">
        <v>264</v>
      </c>
      <c r="N1298" t="s">
        <v>1432</v>
      </c>
      <c r="O1298">
        <v>87</v>
      </c>
      <c r="P1298">
        <v>159</v>
      </c>
      <c r="Q1298" t="s">
        <v>24</v>
      </c>
      <c r="R1298" t="s">
        <v>25</v>
      </c>
      <c r="S1298" t="s">
        <v>26</v>
      </c>
      <c r="T1298" t="s">
        <v>25</v>
      </c>
      <c r="U1298">
        <f t="shared" si="82"/>
        <v>3</v>
      </c>
      <c r="V1298">
        <v>169.876</v>
      </c>
      <c r="W1298">
        <v>0.46400000000000002</v>
      </c>
      <c r="X1298" t="s">
        <v>1406</v>
      </c>
      <c r="Y1298">
        <v>150</v>
      </c>
      <c r="Z1298">
        <v>108</v>
      </c>
      <c r="AA1298" t="s">
        <v>40</v>
      </c>
      <c r="AB1298">
        <v>147</v>
      </c>
      <c r="AC1298" s="23">
        <v>1.69</v>
      </c>
      <c r="AD1298" t="str">
        <f>IF(AND('CVD Dataset'!AA1298="Normal",'CVD Dataset'!AB1298&gt;AVERAGE('CVD Dataset'!AB:AB),'CVD Dataset'!AF1298="High"),"High Lipid Category","Normal Category")</f>
        <v>Normal Category</v>
      </c>
      <c r="AE1298">
        <v>21.805</v>
      </c>
      <c r="AF1298" t="s">
        <v>28</v>
      </c>
      <c r="AG1298">
        <v>0</v>
      </c>
      <c r="AH1298" t="s">
        <v>1380</v>
      </c>
      <c r="AI1298">
        <f t="shared" si="83"/>
        <v>0</v>
      </c>
      <c r="AJ1298" t="s">
        <v>1391</v>
      </c>
    </row>
    <row r="1299" spans="1:36" x14ac:dyDescent="0.3">
      <c r="A1299" t="s">
        <v>22</v>
      </c>
      <c r="B1299">
        <v>25</v>
      </c>
      <c r="C1299">
        <v>94.236999999999995</v>
      </c>
      <c r="D1299">
        <v>1.837</v>
      </c>
      <c r="E1299">
        <v>19.024000000000001</v>
      </c>
      <c r="F1299">
        <f t="shared" si="81"/>
        <v>27.925640281766356</v>
      </c>
      <c r="G1299">
        <f t="shared" si="84"/>
        <v>1</v>
      </c>
      <c r="H1299" t="s">
        <v>1398</v>
      </c>
      <c r="I1299">
        <v>118.386</v>
      </c>
      <c r="J1299" t="s">
        <v>1112</v>
      </c>
      <c r="K1299" s="24">
        <v>175</v>
      </c>
      <c r="L1299" s="24">
        <v>105</v>
      </c>
      <c r="M1299">
        <v>290</v>
      </c>
      <c r="N1299" t="s">
        <v>1432</v>
      </c>
      <c r="O1299">
        <v>66</v>
      </c>
      <c r="P1299">
        <v>155</v>
      </c>
      <c r="Q1299" t="s">
        <v>24</v>
      </c>
      <c r="R1299" t="s">
        <v>24</v>
      </c>
      <c r="S1299" t="s">
        <v>39</v>
      </c>
      <c r="T1299" t="s">
        <v>25</v>
      </c>
      <c r="U1299">
        <f t="shared" si="82"/>
        <v>1</v>
      </c>
      <c r="V1299">
        <v>183.68299999999999</v>
      </c>
      <c r="W1299">
        <v>0.64500000000000002</v>
      </c>
      <c r="X1299" t="s">
        <v>1409</v>
      </c>
      <c r="Y1299">
        <v>175</v>
      </c>
      <c r="Z1299">
        <v>105</v>
      </c>
      <c r="AA1299" t="s">
        <v>40</v>
      </c>
      <c r="AB1299">
        <v>194</v>
      </c>
      <c r="AC1299" s="23">
        <v>2.94</v>
      </c>
      <c r="AD1299" t="str">
        <f>IF(AND('CVD Dataset'!AA1299="Normal",'CVD Dataset'!AB1299&gt;AVERAGE('CVD Dataset'!AB:AB),'CVD Dataset'!AF1299="High"),"High Lipid Category","Normal Category")</f>
        <v>Normal Category</v>
      </c>
      <c r="AE1299">
        <v>18.355</v>
      </c>
      <c r="AF1299" t="s">
        <v>28</v>
      </c>
      <c r="AG1299">
        <v>0</v>
      </c>
      <c r="AH1299" t="s">
        <v>1380</v>
      </c>
      <c r="AI1299">
        <f t="shared" si="83"/>
        <v>0</v>
      </c>
      <c r="AJ1299" t="s">
        <v>1391</v>
      </c>
    </row>
    <row r="1300" spans="1:36" x14ac:dyDescent="0.3">
      <c r="A1300" t="s">
        <v>22</v>
      </c>
      <c r="B1300">
        <v>68</v>
      </c>
      <c r="C1300">
        <v>73.73</v>
      </c>
      <c r="D1300">
        <v>1.6910000000000001</v>
      </c>
      <c r="E1300">
        <v>22.972000000000001</v>
      </c>
      <c r="F1300">
        <f t="shared" si="81"/>
        <v>25.784399336802728</v>
      </c>
      <c r="G1300">
        <f t="shared" si="84"/>
        <v>1</v>
      </c>
      <c r="H1300" t="s">
        <v>1398</v>
      </c>
      <c r="I1300">
        <v>116.24299999999999</v>
      </c>
      <c r="J1300" t="s">
        <v>118</v>
      </c>
      <c r="K1300" s="24">
        <v>114</v>
      </c>
      <c r="L1300" s="24">
        <v>63</v>
      </c>
      <c r="M1300">
        <v>285</v>
      </c>
      <c r="N1300" t="s">
        <v>1432</v>
      </c>
      <c r="O1300">
        <v>76</v>
      </c>
      <c r="P1300">
        <v>131</v>
      </c>
      <c r="Q1300" t="s">
        <v>24</v>
      </c>
      <c r="R1300" t="s">
        <v>24</v>
      </c>
      <c r="S1300" t="s">
        <v>26</v>
      </c>
      <c r="T1300" t="s">
        <v>25</v>
      </c>
      <c r="U1300">
        <f t="shared" si="82"/>
        <v>2</v>
      </c>
      <c r="V1300">
        <v>169.065</v>
      </c>
      <c r="W1300">
        <v>0.68799999999999994</v>
      </c>
      <c r="X1300" t="s">
        <v>1409</v>
      </c>
      <c r="Y1300">
        <v>114</v>
      </c>
      <c r="Z1300">
        <v>63</v>
      </c>
      <c r="AA1300" t="s">
        <v>35</v>
      </c>
      <c r="AB1300">
        <v>179</v>
      </c>
      <c r="AC1300" s="23">
        <v>2.36</v>
      </c>
      <c r="AD1300" t="str">
        <f>IF(AND('CVD Dataset'!AA1300="Normal",'CVD Dataset'!AB1300&gt;AVERAGE('CVD Dataset'!AB:AB),'CVD Dataset'!AF1300="High"),"High Lipid Category","Normal Category")</f>
        <v>Normal Category</v>
      </c>
      <c r="AE1300">
        <v>15.994</v>
      </c>
      <c r="AF1300" t="s">
        <v>28</v>
      </c>
      <c r="AG1300">
        <v>0</v>
      </c>
      <c r="AH1300" t="s">
        <v>1380</v>
      </c>
      <c r="AI1300">
        <f t="shared" si="83"/>
        <v>0</v>
      </c>
      <c r="AJ1300" t="s">
        <v>1391</v>
      </c>
    </row>
    <row r="1301" spans="1:36" x14ac:dyDescent="0.3">
      <c r="A1301" t="s">
        <v>33</v>
      </c>
      <c r="B1301">
        <v>55</v>
      </c>
      <c r="E1301">
        <v>27.923999999999999</v>
      </c>
      <c r="F1301" t="str">
        <f t="shared" si="81"/>
        <v/>
      </c>
      <c r="G1301" t="str">
        <f t="shared" si="84"/>
        <v/>
      </c>
      <c r="H1301" t="s">
        <v>1400</v>
      </c>
      <c r="I1301">
        <v>88.421000000000006</v>
      </c>
      <c r="J1301" t="s">
        <v>1113</v>
      </c>
      <c r="K1301" s="24">
        <v>164</v>
      </c>
      <c r="L1301" s="24">
        <v>118</v>
      </c>
      <c r="N1301" t="s">
        <v>1434</v>
      </c>
      <c r="O1301">
        <v>63</v>
      </c>
      <c r="P1301">
        <v>172</v>
      </c>
      <c r="Q1301" t="s">
        <v>24</v>
      </c>
      <c r="R1301" t="s">
        <v>25</v>
      </c>
      <c r="S1301" t="s">
        <v>30</v>
      </c>
      <c r="T1301" t="s">
        <v>25</v>
      </c>
      <c r="U1301">
        <f t="shared" si="82"/>
        <v>2</v>
      </c>
      <c r="V1301">
        <v>178.46100000000001</v>
      </c>
      <c r="W1301">
        <v>0.495</v>
      </c>
      <c r="X1301" t="s">
        <v>1406</v>
      </c>
      <c r="Y1301">
        <v>164</v>
      </c>
      <c r="AA1301" t="s">
        <v>40</v>
      </c>
      <c r="AB1301">
        <v>157</v>
      </c>
      <c r="AC1301" s="23">
        <v>2.4900000000000002</v>
      </c>
      <c r="AD1301" t="str">
        <f>IF(AND('CVD Dataset'!AA1301="Normal",'CVD Dataset'!AB1301&gt;AVERAGE('CVD Dataset'!AB:AB),'CVD Dataset'!AF1301="High"),"High Lipid Category","Normal Category")</f>
        <v>Normal Category</v>
      </c>
      <c r="AE1301">
        <v>20.785</v>
      </c>
      <c r="AF1301" t="s">
        <v>32</v>
      </c>
      <c r="AG1301">
        <v>1</v>
      </c>
      <c r="AH1301" t="s">
        <v>1379</v>
      </c>
      <c r="AI1301">
        <f t="shared" si="83"/>
        <v>1</v>
      </c>
      <c r="AJ1301" t="s">
        <v>1392</v>
      </c>
    </row>
    <row r="1302" spans="1:36" x14ac:dyDescent="0.3">
      <c r="A1302" t="s">
        <v>33</v>
      </c>
      <c r="B1302">
        <v>76</v>
      </c>
      <c r="C1302">
        <v>58.82</v>
      </c>
      <c r="D1302">
        <v>1.92</v>
      </c>
      <c r="E1302">
        <v>21.324000000000002</v>
      </c>
      <c r="F1302">
        <f t="shared" si="81"/>
        <v>15.955946180555555</v>
      </c>
      <c r="G1302">
        <f t="shared" si="84"/>
        <v>1</v>
      </c>
      <c r="H1302" t="s">
        <v>1398</v>
      </c>
      <c r="I1302">
        <v>86.471000000000004</v>
      </c>
      <c r="J1302" t="s">
        <v>1114</v>
      </c>
      <c r="K1302" s="24">
        <v>94</v>
      </c>
      <c r="L1302" s="24">
        <v>77</v>
      </c>
      <c r="M1302">
        <v>193</v>
      </c>
      <c r="N1302" t="s">
        <v>1432</v>
      </c>
      <c r="O1302">
        <v>83</v>
      </c>
      <c r="P1302">
        <v>172</v>
      </c>
      <c r="Q1302" t="s">
        <v>24</v>
      </c>
      <c r="R1302" t="s">
        <v>25</v>
      </c>
      <c r="S1302" t="s">
        <v>26</v>
      </c>
      <c r="T1302" t="s">
        <v>24</v>
      </c>
      <c r="U1302">
        <f t="shared" si="82"/>
        <v>2</v>
      </c>
      <c r="V1302">
        <v>192.04400000000001</v>
      </c>
      <c r="W1302">
        <v>0.45</v>
      </c>
      <c r="X1302" t="s">
        <v>1408</v>
      </c>
      <c r="Y1302">
        <v>94</v>
      </c>
      <c r="Z1302">
        <v>77</v>
      </c>
      <c r="AA1302" t="s">
        <v>35</v>
      </c>
      <c r="AB1302">
        <v>80</v>
      </c>
      <c r="AC1302" s="23">
        <v>0.96</v>
      </c>
      <c r="AD1302" t="str">
        <f>IF(AND('CVD Dataset'!AA1302="Normal",'CVD Dataset'!AB1302&gt;AVERAGE('CVD Dataset'!AB:AB),'CVD Dataset'!AF1302="High"),"High Lipid Category","Normal Category")</f>
        <v>Normal Category</v>
      </c>
      <c r="AE1302">
        <v>14.824999999999999</v>
      </c>
      <c r="AF1302" t="s">
        <v>28</v>
      </c>
      <c r="AG1302">
        <v>0</v>
      </c>
      <c r="AH1302" t="s">
        <v>1380</v>
      </c>
      <c r="AI1302">
        <f t="shared" si="83"/>
        <v>0</v>
      </c>
      <c r="AJ1302" t="s">
        <v>1391</v>
      </c>
    </row>
    <row r="1303" spans="1:36" x14ac:dyDescent="0.3">
      <c r="A1303" t="s">
        <v>22</v>
      </c>
      <c r="B1303">
        <v>28</v>
      </c>
      <c r="C1303">
        <v>88.953999999999994</v>
      </c>
      <c r="D1303">
        <v>1.877</v>
      </c>
      <c r="E1303">
        <v>32.024999999999999</v>
      </c>
      <c r="F1303">
        <f t="shared" si="81"/>
        <v>25.248578749174381</v>
      </c>
      <c r="G1303">
        <f t="shared" si="84"/>
        <v>1</v>
      </c>
      <c r="H1303" t="s">
        <v>1399</v>
      </c>
      <c r="I1303">
        <v>74.763999999999996</v>
      </c>
      <c r="J1303" t="s">
        <v>590</v>
      </c>
      <c r="K1303" s="24">
        <v>139</v>
      </c>
      <c r="L1303" s="24">
        <v>98</v>
      </c>
      <c r="M1303">
        <v>268</v>
      </c>
      <c r="N1303" t="s">
        <v>1432</v>
      </c>
      <c r="O1303">
        <v>54</v>
      </c>
      <c r="P1303">
        <v>96</v>
      </c>
      <c r="Q1303" t="s">
        <v>24</v>
      </c>
      <c r="R1303" t="s">
        <v>24</v>
      </c>
      <c r="S1303" t="s">
        <v>30</v>
      </c>
      <c r="T1303" t="s">
        <v>25</v>
      </c>
      <c r="U1303">
        <f t="shared" si="82"/>
        <v>1</v>
      </c>
      <c r="V1303">
        <v>187.74799999999999</v>
      </c>
      <c r="X1303" t="s">
        <v>1410</v>
      </c>
      <c r="Y1303">
        <v>139</v>
      </c>
      <c r="AA1303" t="s">
        <v>31</v>
      </c>
      <c r="AB1303">
        <v>184</v>
      </c>
      <c r="AC1303" s="23">
        <v>3.41</v>
      </c>
      <c r="AD1303" t="str">
        <f>IF(AND('CVD Dataset'!AA1303="Normal",'CVD Dataset'!AB1303&gt;AVERAGE('CVD Dataset'!AB:AB),'CVD Dataset'!AF1303="High"),"High Lipid Category","Normal Category")</f>
        <v>Normal Category</v>
      </c>
      <c r="AE1303">
        <v>18.715</v>
      </c>
      <c r="AF1303" t="s">
        <v>32</v>
      </c>
      <c r="AG1303">
        <v>0</v>
      </c>
      <c r="AH1303" t="s">
        <v>1379</v>
      </c>
      <c r="AI1303">
        <f t="shared" si="83"/>
        <v>1</v>
      </c>
      <c r="AJ1303" t="s">
        <v>1391</v>
      </c>
    </row>
    <row r="1304" spans="1:36" x14ac:dyDescent="0.3">
      <c r="A1304" t="s">
        <v>22</v>
      </c>
      <c r="B1304">
        <v>64</v>
      </c>
      <c r="C1304">
        <v>87.152000000000001</v>
      </c>
      <c r="E1304">
        <v>26.512</v>
      </c>
      <c r="F1304" t="str">
        <f t="shared" si="81"/>
        <v/>
      </c>
      <c r="G1304" t="str">
        <f t="shared" si="84"/>
        <v/>
      </c>
      <c r="H1304" t="s">
        <v>1400</v>
      </c>
      <c r="I1304">
        <v>80.593000000000004</v>
      </c>
      <c r="J1304" t="s">
        <v>1115</v>
      </c>
      <c r="K1304" s="24">
        <v>99</v>
      </c>
      <c r="L1304" s="24">
        <v>77</v>
      </c>
      <c r="M1304">
        <v>247</v>
      </c>
      <c r="N1304" t="s">
        <v>1432</v>
      </c>
      <c r="O1304">
        <v>62</v>
      </c>
      <c r="P1304">
        <v>96</v>
      </c>
      <c r="Q1304" t="s">
        <v>25</v>
      </c>
      <c r="R1304" t="s">
        <v>25</v>
      </c>
      <c r="S1304" t="s">
        <v>30</v>
      </c>
      <c r="T1304" t="s">
        <v>24</v>
      </c>
      <c r="U1304">
        <f t="shared" si="82"/>
        <v>2</v>
      </c>
      <c r="V1304">
        <v>178.14</v>
      </c>
      <c r="W1304">
        <v>0.45200000000000001</v>
      </c>
      <c r="X1304" t="s">
        <v>1408</v>
      </c>
      <c r="Y1304">
        <v>99</v>
      </c>
      <c r="Z1304">
        <v>77</v>
      </c>
      <c r="AA1304" t="s">
        <v>35</v>
      </c>
      <c r="AB1304">
        <v>155</v>
      </c>
      <c r="AC1304" s="23">
        <v>2.5</v>
      </c>
      <c r="AD1304" t="str">
        <f>IF(AND('CVD Dataset'!AA1304="Normal",'CVD Dataset'!AB1304&gt;AVERAGE('CVD Dataset'!AB:AB),'CVD Dataset'!AF1304="High"),"High Lipid Category","Normal Category")</f>
        <v>Normal Category</v>
      </c>
      <c r="AE1304">
        <v>17.192</v>
      </c>
      <c r="AF1304" t="s">
        <v>28</v>
      </c>
      <c r="AG1304">
        <v>0</v>
      </c>
      <c r="AH1304" t="s">
        <v>1380</v>
      </c>
      <c r="AI1304">
        <f t="shared" si="83"/>
        <v>0</v>
      </c>
      <c r="AJ1304" t="s">
        <v>1391</v>
      </c>
    </row>
    <row r="1305" spans="1:36" x14ac:dyDescent="0.3">
      <c r="A1305" t="s">
        <v>33</v>
      </c>
      <c r="B1305">
        <v>31</v>
      </c>
      <c r="D1305">
        <v>1.5629999999999999</v>
      </c>
      <c r="E1305">
        <v>19.096</v>
      </c>
      <c r="F1305">
        <f t="shared" si="81"/>
        <v>0</v>
      </c>
      <c r="G1305">
        <f t="shared" si="84"/>
        <v>1</v>
      </c>
      <c r="H1305" t="s">
        <v>1398</v>
      </c>
      <c r="J1305" t="s">
        <v>1116</v>
      </c>
      <c r="K1305" s="24">
        <v>126</v>
      </c>
      <c r="L1305" s="24">
        <v>84</v>
      </c>
      <c r="M1305">
        <v>265</v>
      </c>
      <c r="N1305" t="s">
        <v>1432</v>
      </c>
      <c r="O1305">
        <v>39</v>
      </c>
      <c r="P1305">
        <v>171</v>
      </c>
      <c r="Q1305" t="s">
        <v>25</v>
      </c>
      <c r="R1305" t="s">
        <v>25</v>
      </c>
      <c r="S1305" t="s">
        <v>30</v>
      </c>
      <c r="T1305" t="s">
        <v>25</v>
      </c>
      <c r="U1305">
        <f t="shared" si="82"/>
        <v>3</v>
      </c>
      <c r="V1305">
        <v>156.30099999999999</v>
      </c>
      <c r="W1305">
        <v>0.60299999999999998</v>
      </c>
      <c r="X1305" t="s">
        <v>1409</v>
      </c>
      <c r="Y1305">
        <v>126</v>
      </c>
      <c r="Z1305">
        <v>84</v>
      </c>
      <c r="AA1305" t="s">
        <v>31</v>
      </c>
      <c r="AB1305">
        <v>196</v>
      </c>
      <c r="AC1305" s="23">
        <v>5.03</v>
      </c>
      <c r="AD1305" t="str">
        <f>IF(AND('CVD Dataset'!AA1305="Normal",'CVD Dataset'!AB1305&gt;AVERAGE('CVD Dataset'!AB:AB),'CVD Dataset'!AF1305="High"),"High Lipid Category","Normal Category")</f>
        <v>Normal Category</v>
      </c>
      <c r="AE1305">
        <v>17.419</v>
      </c>
      <c r="AF1305" t="s">
        <v>54</v>
      </c>
      <c r="AG1305">
        <v>0</v>
      </c>
      <c r="AH1305" t="s">
        <v>1380</v>
      </c>
      <c r="AI1305">
        <f t="shared" si="83"/>
        <v>0</v>
      </c>
      <c r="AJ1305" t="s">
        <v>1391</v>
      </c>
    </row>
    <row r="1306" spans="1:36" x14ac:dyDescent="0.3">
      <c r="A1306" t="s">
        <v>33</v>
      </c>
      <c r="B1306">
        <v>77</v>
      </c>
      <c r="C1306">
        <v>71.846999999999994</v>
      </c>
      <c r="D1306">
        <v>1.9359999999999999</v>
      </c>
      <c r="E1306">
        <v>19.053000000000001</v>
      </c>
      <c r="F1306">
        <f t="shared" si="81"/>
        <v>19.168932706099309</v>
      </c>
      <c r="G1306">
        <f t="shared" si="84"/>
        <v>1</v>
      </c>
      <c r="H1306" t="s">
        <v>1398</v>
      </c>
      <c r="I1306">
        <v>117.693</v>
      </c>
      <c r="J1306" t="s">
        <v>1117</v>
      </c>
      <c r="K1306" s="24">
        <v>178</v>
      </c>
      <c r="L1306" s="24">
        <v>63</v>
      </c>
      <c r="M1306">
        <v>201</v>
      </c>
      <c r="N1306" t="s">
        <v>1432</v>
      </c>
      <c r="O1306">
        <v>65</v>
      </c>
      <c r="P1306">
        <v>142</v>
      </c>
      <c r="Q1306" t="s">
        <v>25</v>
      </c>
      <c r="R1306" t="s">
        <v>24</v>
      </c>
      <c r="S1306" t="s">
        <v>26</v>
      </c>
      <c r="T1306" t="s">
        <v>25</v>
      </c>
      <c r="U1306">
        <f t="shared" si="82"/>
        <v>3</v>
      </c>
      <c r="V1306">
        <v>193.631</v>
      </c>
      <c r="X1306" t="s">
        <v>1410</v>
      </c>
      <c r="Y1306">
        <v>178</v>
      </c>
      <c r="Z1306">
        <v>63</v>
      </c>
      <c r="AA1306" t="s">
        <v>40</v>
      </c>
      <c r="AB1306">
        <v>106</v>
      </c>
      <c r="AC1306" s="23">
        <v>1.63</v>
      </c>
      <c r="AD1306" t="str">
        <f>IF(AND('CVD Dataset'!AA1306="Normal",'CVD Dataset'!AB1306&gt;AVERAGE('CVD Dataset'!AB:AB),'CVD Dataset'!AF1306="High"),"High Lipid Category","Normal Category")</f>
        <v>Normal Category</v>
      </c>
      <c r="AE1306">
        <v>16.731000000000002</v>
      </c>
      <c r="AF1306" t="s">
        <v>54</v>
      </c>
      <c r="AG1306">
        <v>0</v>
      </c>
      <c r="AH1306" t="s">
        <v>1380</v>
      </c>
      <c r="AI1306">
        <f t="shared" si="83"/>
        <v>0</v>
      </c>
      <c r="AJ1306" t="s">
        <v>1391</v>
      </c>
    </row>
    <row r="1307" spans="1:36" x14ac:dyDescent="0.3">
      <c r="A1307" t="s">
        <v>22</v>
      </c>
      <c r="B1307">
        <v>54</v>
      </c>
      <c r="C1307">
        <v>98.480999999999995</v>
      </c>
      <c r="D1307">
        <v>1.798</v>
      </c>
      <c r="E1307">
        <v>25.846</v>
      </c>
      <c r="F1307">
        <f t="shared" si="81"/>
        <v>30.463028380316278</v>
      </c>
      <c r="G1307">
        <f t="shared" si="84"/>
        <v>1</v>
      </c>
      <c r="H1307" t="s">
        <v>1400</v>
      </c>
      <c r="I1307">
        <v>77.537000000000006</v>
      </c>
      <c r="J1307" t="s">
        <v>592</v>
      </c>
      <c r="K1307" s="24">
        <v>125</v>
      </c>
      <c r="L1307" s="24">
        <v>88</v>
      </c>
      <c r="M1307">
        <v>126</v>
      </c>
      <c r="N1307" t="s">
        <v>1434</v>
      </c>
      <c r="O1307">
        <v>81</v>
      </c>
      <c r="P1307">
        <v>86</v>
      </c>
      <c r="Q1307" t="s">
        <v>25</v>
      </c>
      <c r="R1307" t="s">
        <v>25</v>
      </c>
      <c r="S1307" t="s">
        <v>26</v>
      </c>
      <c r="T1307" t="s">
        <v>25</v>
      </c>
      <c r="U1307">
        <f t="shared" si="82"/>
        <v>4</v>
      </c>
      <c r="V1307">
        <v>179.846</v>
      </c>
      <c r="W1307">
        <v>0.43099999999999999</v>
      </c>
      <c r="X1307" t="s">
        <v>1408</v>
      </c>
      <c r="Y1307">
        <v>125</v>
      </c>
      <c r="Z1307">
        <v>88</v>
      </c>
      <c r="AA1307" t="s">
        <v>31</v>
      </c>
      <c r="AB1307">
        <v>15</v>
      </c>
      <c r="AC1307" s="23">
        <v>0.19</v>
      </c>
      <c r="AD1307" t="str">
        <f>IF(AND('CVD Dataset'!AA1307="Normal",'CVD Dataset'!AB1307&gt;AVERAGE('CVD Dataset'!AB:AB),'CVD Dataset'!AF1307="High"),"High Lipid Category","Normal Category")</f>
        <v>Normal Category</v>
      </c>
      <c r="AE1307">
        <v>15.939</v>
      </c>
      <c r="AF1307" t="s">
        <v>54</v>
      </c>
      <c r="AG1307">
        <v>0</v>
      </c>
      <c r="AH1307" t="s">
        <v>1380</v>
      </c>
      <c r="AI1307">
        <f t="shared" si="83"/>
        <v>0</v>
      </c>
      <c r="AJ1307" t="s">
        <v>1392</v>
      </c>
    </row>
    <row r="1308" spans="1:36" x14ac:dyDescent="0.3">
      <c r="A1308" t="s">
        <v>22</v>
      </c>
      <c r="B1308">
        <v>36</v>
      </c>
      <c r="C1308">
        <v>106.83199999999999</v>
      </c>
      <c r="D1308">
        <v>1.583</v>
      </c>
      <c r="E1308">
        <v>31.925999999999998</v>
      </c>
      <c r="F1308">
        <f t="shared" si="81"/>
        <v>42.632375177032984</v>
      </c>
      <c r="G1308">
        <f t="shared" si="84"/>
        <v>1</v>
      </c>
      <c r="H1308" t="s">
        <v>1399</v>
      </c>
      <c r="I1308">
        <v>111.33199999999999</v>
      </c>
      <c r="J1308" t="s">
        <v>1118</v>
      </c>
      <c r="K1308" s="24">
        <v>170</v>
      </c>
      <c r="L1308" s="24">
        <v>116</v>
      </c>
      <c r="M1308">
        <v>247</v>
      </c>
      <c r="N1308" t="s">
        <v>1432</v>
      </c>
      <c r="O1308">
        <v>53</v>
      </c>
      <c r="P1308">
        <v>129</v>
      </c>
      <c r="Q1308" t="s">
        <v>25</v>
      </c>
      <c r="R1308" t="s">
        <v>24</v>
      </c>
      <c r="S1308" t="s">
        <v>26</v>
      </c>
      <c r="T1308" t="s">
        <v>25</v>
      </c>
      <c r="U1308">
        <f t="shared" si="82"/>
        <v>3</v>
      </c>
      <c r="V1308">
        <v>158.30799999999999</v>
      </c>
      <c r="W1308">
        <v>0.70299999999999996</v>
      </c>
      <c r="X1308" t="s">
        <v>1409</v>
      </c>
      <c r="Y1308">
        <v>170</v>
      </c>
      <c r="Z1308">
        <v>116</v>
      </c>
      <c r="AA1308" t="s">
        <v>40</v>
      </c>
      <c r="AB1308">
        <v>164</v>
      </c>
      <c r="AC1308" s="23">
        <v>3.09</v>
      </c>
      <c r="AD1308" t="str">
        <f>IF(AND('CVD Dataset'!AA1308="Normal",'CVD Dataset'!AB1308&gt;AVERAGE('CVD Dataset'!AB:AB),'CVD Dataset'!AF1308="High"),"High Lipid Category","Normal Category")</f>
        <v>Normal Category</v>
      </c>
      <c r="AF1308" t="s">
        <v>28</v>
      </c>
      <c r="AG1308">
        <v>0</v>
      </c>
      <c r="AH1308" t="s">
        <v>1380</v>
      </c>
      <c r="AI1308">
        <f t="shared" si="83"/>
        <v>0</v>
      </c>
      <c r="AJ1308" t="s">
        <v>1391</v>
      </c>
    </row>
    <row r="1309" spans="1:36" x14ac:dyDescent="0.3">
      <c r="A1309" t="s">
        <v>22</v>
      </c>
      <c r="B1309">
        <v>27</v>
      </c>
      <c r="C1309">
        <v>115.14400000000001</v>
      </c>
      <c r="D1309">
        <v>1.5269999999999999</v>
      </c>
      <c r="E1309">
        <v>24.876999999999999</v>
      </c>
      <c r="F1309">
        <f t="shared" si="81"/>
        <v>49.381381798656712</v>
      </c>
      <c r="G1309">
        <f t="shared" si="84"/>
        <v>1</v>
      </c>
      <c r="H1309" t="s">
        <v>1398</v>
      </c>
      <c r="I1309">
        <v>119.495</v>
      </c>
      <c r="J1309" t="s">
        <v>1108</v>
      </c>
      <c r="K1309" s="24">
        <v>147</v>
      </c>
      <c r="L1309" s="24">
        <v>90</v>
      </c>
      <c r="M1309">
        <v>249</v>
      </c>
      <c r="N1309" t="s">
        <v>1432</v>
      </c>
      <c r="O1309">
        <v>82</v>
      </c>
      <c r="P1309">
        <v>177</v>
      </c>
      <c r="Q1309" t="s">
        <v>24</v>
      </c>
      <c r="R1309" t="s">
        <v>25</v>
      </c>
      <c r="S1309" t="s">
        <v>26</v>
      </c>
      <c r="T1309" t="s">
        <v>24</v>
      </c>
      <c r="U1309">
        <f t="shared" si="82"/>
        <v>2</v>
      </c>
      <c r="V1309">
        <v>152.71299999999999</v>
      </c>
      <c r="W1309">
        <v>0.78200000000000003</v>
      </c>
      <c r="X1309" t="s">
        <v>1409</v>
      </c>
      <c r="Y1309">
        <v>147</v>
      </c>
      <c r="Z1309">
        <v>90</v>
      </c>
      <c r="AA1309" t="s">
        <v>40</v>
      </c>
      <c r="AB1309">
        <v>137</v>
      </c>
      <c r="AC1309" s="23">
        <v>1.67</v>
      </c>
      <c r="AD1309" t="str">
        <f>IF(AND('CVD Dataset'!AA1309="Normal",'CVD Dataset'!AB1309&gt;AVERAGE('CVD Dataset'!AB:AB),'CVD Dataset'!AF1309="High"),"High Lipid Category","Normal Category")</f>
        <v>Normal Category</v>
      </c>
      <c r="AE1309">
        <v>19.305</v>
      </c>
      <c r="AF1309" t="s">
        <v>28</v>
      </c>
      <c r="AG1309">
        <v>0</v>
      </c>
      <c r="AH1309" t="s">
        <v>1380</v>
      </c>
      <c r="AI1309">
        <f t="shared" si="83"/>
        <v>0</v>
      </c>
      <c r="AJ1309" t="s">
        <v>1391</v>
      </c>
    </row>
    <row r="1310" spans="1:36" x14ac:dyDescent="0.3">
      <c r="A1310" t="s">
        <v>22</v>
      </c>
      <c r="B1310">
        <v>79</v>
      </c>
      <c r="C1310">
        <v>89.738</v>
      </c>
      <c r="D1310">
        <v>1.8720000000000001</v>
      </c>
      <c r="E1310">
        <v>25.768999999999998</v>
      </c>
      <c r="F1310">
        <f t="shared" si="81"/>
        <v>25.607353532033017</v>
      </c>
      <c r="G1310">
        <f t="shared" si="84"/>
        <v>1</v>
      </c>
      <c r="H1310" t="s">
        <v>1400</v>
      </c>
      <c r="I1310">
        <v>110.836</v>
      </c>
      <c r="J1310" t="s">
        <v>1119</v>
      </c>
      <c r="K1310" s="24">
        <v>147</v>
      </c>
      <c r="L1310" s="24">
        <v>108</v>
      </c>
      <c r="M1310">
        <v>216</v>
      </c>
      <c r="N1310" t="s">
        <v>1432</v>
      </c>
      <c r="O1310">
        <v>63</v>
      </c>
      <c r="P1310">
        <v>108</v>
      </c>
      <c r="Q1310" t="s">
        <v>24</v>
      </c>
      <c r="R1310" t="s">
        <v>24</v>
      </c>
      <c r="S1310" t="s">
        <v>39</v>
      </c>
      <c r="T1310" t="s">
        <v>25</v>
      </c>
      <c r="U1310">
        <f t="shared" si="82"/>
        <v>1</v>
      </c>
      <c r="V1310">
        <v>187.16399999999999</v>
      </c>
      <c r="W1310">
        <v>0.59199999999999997</v>
      </c>
      <c r="X1310" t="s">
        <v>1409</v>
      </c>
      <c r="Y1310">
        <v>147</v>
      </c>
      <c r="Z1310">
        <v>108</v>
      </c>
      <c r="AA1310" t="s">
        <v>40</v>
      </c>
      <c r="AB1310">
        <v>123</v>
      </c>
      <c r="AC1310" s="23">
        <v>1.95</v>
      </c>
      <c r="AD1310" t="str">
        <f>IF(AND('CVD Dataset'!AA1310="Normal",'CVD Dataset'!AB1310&gt;AVERAGE('CVD Dataset'!AB:AB),'CVD Dataset'!AF1310="High"),"High Lipid Category","Normal Category")</f>
        <v>Normal Category</v>
      </c>
      <c r="AE1310">
        <v>16.824000000000002</v>
      </c>
      <c r="AF1310" t="s">
        <v>54</v>
      </c>
      <c r="AG1310">
        <v>0</v>
      </c>
      <c r="AH1310" t="s">
        <v>1380</v>
      </c>
      <c r="AI1310">
        <f t="shared" si="83"/>
        <v>0</v>
      </c>
      <c r="AJ1310" t="s">
        <v>1391</v>
      </c>
    </row>
    <row r="1311" spans="1:36" x14ac:dyDescent="0.3">
      <c r="A1311" t="s">
        <v>22</v>
      </c>
      <c r="B1311">
        <v>29</v>
      </c>
      <c r="C1311">
        <v>53.847000000000001</v>
      </c>
      <c r="D1311">
        <v>1.8</v>
      </c>
      <c r="E1311">
        <v>30.696000000000002</v>
      </c>
      <c r="F1311">
        <f t="shared" si="81"/>
        <v>16.619444444444444</v>
      </c>
      <c r="G1311">
        <f t="shared" si="84"/>
        <v>1</v>
      </c>
      <c r="H1311" t="s">
        <v>1399</v>
      </c>
      <c r="I1311">
        <v>103.182</v>
      </c>
      <c r="J1311" t="s">
        <v>1120</v>
      </c>
      <c r="K1311" s="24">
        <v>141</v>
      </c>
      <c r="L1311" s="24">
        <v>108</v>
      </c>
      <c r="M1311">
        <v>252</v>
      </c>
      <c r="N1311" t="s">
        <v>1432</v>
      </c>
      <c r="P1311">
        <v>98</v>
      </c>
      <c r="Q1311" t="s">
        <v>25</v>
      </c>
      <c r="R1311" t="s">
        <v>25</v>
      </c>
      <c r="S1311" t="s">
        <v>39</v>
      </c>
      <c r="T1311" t="s">
        <v>24</v>
      </c>
      <c r="U1311">
        <f t="shared" si="82"/>
        <v>2</v>
      </c>
      <c r="V1311">
        <v>180.03299999999999</v>
      </c>
      <c r="W1311">
        <v>0.57299999999999995</v>
      </c>
      <c r="X1311" t="s">
        <v>1407</v>
      </c>
      <c r="Y1311">
        <v>141</v>
      </c>
      <c r="Z1311">
        <v>108</v>
      </c>
      <c r="AA1311" t="s">
        <v>40</v>
      </c>
      <c r="AB1311">
        <v>167</v>
      </c>
      <c r="AC1311" s="23" t="s">
        <v>1410</v>
      </c>
      <c r="AD1311" t="str">
        <f>IF(AND('CVD Dataset'!AA1311="Normal",'CVD Dataset'!AB1311&gt;AVERAGE('CVD Dataset'!AB:AB),'CVD Dataset'!AF1311="High"),"High Lipid Category","Normal Category")</f>
        <v>Normal Category</v>
      </c>
      <c r="AE1311">
        <v>20.228999999999999</v>
      </c>
      <c r="AF1311" t="s">
        <v>32</v>
      </c>
      <c r="AG1311">
        <v>0</v>
      </c>
      <c r="AH1311" t="s">
        <v>1379</v>
      </c>
      <c r="AI1311">
        <f t="shared" si="83"/>
        <v>1</v>
      </c>
      <c r="AJ1311" t="s">
        <v>1391</v>
      </c>
    </row>
    <row r="1312" spans="1:36" x14ac:dyDescent="0.3">
      <c r="A1312" t="s">
        <v>22</v>
      </c>
      <c r="B1312">
        <v>71</v>
      </c>
      <c r="C1312">
        <v>81.444999999999993</v>
      </c>
      <c r="D1312">
        <v>1.958</v>
      </c>
      <c r="E1312">
        <v>25.209</v>
      </c>
      <c r="F1312">
        <f t="shared" si="81"/>
        <v>21.244135006745328</v>
      </c>
      <c r="G1312">
        <f t="shared" si="84"/>
        <v>1</v>
      </c>
      <c r="H1312" t="s">
        <v>1400</v>
      </c>
      <c r="I1312">
        <v>87.242000000000004</v>
      </c>
      <c r="J1312" t="s">
        <v>410</v>
      </c>
      <c r="K1312" s="24">
        <v>149</v>
      </c>
      <c r="L1312" s="24">
        <v>78</v>
      </c>
      <c r="M1312">
        <v>295</v>
      </c>
      <c r="N1312" t="s">
        <v>1432</v>
      </c>
      <c r="O1312">
        <v>34</v>
      </c>
      <c r="Q1312" t="s">
        <v>24</v>
      </c>
      <c r="R1312" t="s">
        <v>24</v>
      </c>
      <c r="S1312" t="s">
        <v>39</v>
      </c>
      <c r="T1312" t="s">
        <v>24</v>
      </c>
      <c r="U1312">
        <f t="shared" si="82"/>
        <v>0</v>
      </c>
      <c r="V1312">
        <v>195.81899999999999</v>
      </c>
      <c r="W1312">
        <v>0.44600000000000001</v>
      </c>
      <c r="X1312" t="s">
        <v>1408</v>
      </c>
      <c r="Y1312">
        <v>149</v>
      </c>
      <c r="Z1312">
        <v>78</v>
      </c>
      <c r="AA1312" t="s">
        <v>40</v>
      </c>
      <c r="AC1312" s="23">
        <v>0</v>
      </c>
      <c r="AD1312" t="str">
        <f>IF(AND('CVD Dataset'!AA1312="Normal",'CVD Dataset'!AB1312&gt;AVERAGE('CVD Dataset'!AB:AB),'CVD Dataset'!AF1312="High"),"High Lipid Category","Normal Category")</f>
        <v>Normal Category</v>
      </c>
      <c r="AE1312">
        <v>18.391999999999999</v>
      </c>
      <c r="AF1312" t="s">
        <v>54</v>
      </c>
      <c r="AG1312">
        <v>0</v>
      </c>
      <c r="AH1312" t="s">
        <v>1380</v>
      </c>
      <c r="AI1312">
        <f t="shared" si="83"/>
        <v>0</v>
      </c>
      <c r="AJ1312" t="s">
        <v>1391</v>
      </c>
    </row>
    <row r="1313" spans="1:36" x14ac:dyDescent="0.3">
      <c r="A1313" t="s">
        <v>33</v>
      </c>
      <c r="C1313">
        <v>83.971000000000004</v>
      </c>
      <c r="D1313">
        <v>1.925</v>
      </c>
      <c r="E1313">
        <v>27.524999999999999</v>
      </c>
      <c r="F1313">
        <f t="shared" si="81"/>
        <v>22.660414909765557</v>
      </c>
      <c r="G1313">
        <f t="shared" si="84"/>
        <v>1</v>
      </c>
      <c r="H1313" t="s">
        <v>1400</v>
      </c>
      <c r="I1313">
        <v>91.305000000000007</v>
      </c>
      <c r="J1313" t="s">
        <v>614</v>
      </c>
      <c r="K1313" s="24">
        <v>91</v>
      </c>
      <c r="L1313" s="24">
        <v>98</v>
      </c>
      <c r="M1313">
        <v>150</v>
      </c>
      <c r="N1313" t="s">
        <v>1433</v>
      </c>
      <c r="O1313">
        <v>62</v>
      </c>
      <c r="P1313">
        <v>173</v>
      </c>
      <c r="Q1313" t="s">
        <v>24</v>
      </c>
      <c r="R1313" t="s">
        <v>25</v>
      </c>
      <c r="S1313" t="s">
        <v>30</v>
      </c>
      <c r="T1313" t="s">
        <v>25</v>
      </c>
      <c r="U1313">
        <f t="shared" si="82"/>
        <v>2</v>
      </c>
      <c r="V1313">
        <v>192.535</v>
      </c>
      <c r="W1313">
        <v>0.47399999999999998</v>
      </c>
      <c r="X1313" t="s">
        <v>1406</v>
      </c>
      <c r="Y1313">
        <v>91</v>
      </c>
      <c r="Z1313">
        <v>98</v>
      </c>
      <c r="AA1313" t="s">
        <v>40</v>
      </c>
      <c r="AB1313">
        <v>58</v>
      </c>
      <c r="AC1313" s="23">
        <v>0.94</v>
      </c>
      <c r="AD1313" t="str">
        <f>IF(AND('CVD Dataset'!AA1313="Normal",'CVD Dataset'!AB1313&gt;AVERAGE('CVD Dataset'!AB:AB),'CVD Dataset'!AF1313="High"),"High Lipid Category","Normal Category")</f>
        <v>Normal Category</v>
      </c>
      <c r="AE1313">
        <v>15.055</v>
      </c>
      <c r="AF1313" t="s">
        <v>32</v>
      </c>
      <c r="AG1313">
        <v>1</v>
      </c>
      <c r="AH1313" t="s">
        <v>1379</v>
      </c>
      <c r="AI1313">
        <f t="shared" si="83"/>
        <v>1</v>
      </c>
      <c r="AJ1313" t="s">
        <v>1391</v>
      </c>
    </row>
    <row r="1314" spans="1:36" x14ac:dyDescent="0.3">
      <c r="A1314" t="s">
        <v>22</v>
      </c>
      <c r="B1314">
        <v>30</v>
      </c>
      <c r="C1314">
        <v>115.794</v>
      </c>
      <c r="D1314">
        <v>1.641</v>
      </c>
      <c r="E1314">
        <v>20.564</v>
      </c>
      <c r="F1314">
        <f t="shared" si="81"/>
        <v>43.000043447890938</v>
      </c>
      <c r="G1314">
        <f t="shared" si="84"/>
        <v>1</v>
      </c>
      <c r="H1314" t="s">
        <v>1398</v>
      </c>
      <c r="J1314" t="s">
        <v>1121</v>
      </c>
      <c r="K1314" s="24">
        <v>99</v>
      </c>
      <c r="L1314" s="24">
        <v>73</v>
      </c>
      <c r="M1314">
        <v>219</v>
      </c>
      <c r="N1314" t="s">
        <v>1432</v>
      </c>
      <c r="P1314">
        <v>115</v>
      </c>
      <c r="Q1314" t="s">
        <v>25</v>
      </c>
      <c r="R1314" t="s">
        <v>24</v>
      </c>
      <c r="S1314" t="s">
        <v>26</v>
      </c>
      <c r="T1314" t="s">
        <v>24</v>
      </c>
      <c r="U1314">
        <f t="shared" si="82"/>
        <v>2</v>
      </c>
      <c r="V1314">
        <v>164.126</v>
      </c>
      <c r="W1314">
        <v>0.63800000000000001</v>
      </c>
      <c r="X1314" t="s">
        <v>1409</v>
      </c>
      <c r="Y1314">
        <v>99</v>
      </c>
      <c r="Z1314">
        <v>73</v>
      </c>
      <c r="AA1314" t="s">
        <v>35</v>
      </c>
      <c r="AB1314">
        <v>152</v>
      </c>
      <c r="AC1314" s="23" t="s">
        <v>1410</v>
      </c>
      <c r="AD1314" t="str">
        <f>IF(AND('CVD Dataset'!AA1314="Normal",'CVD Dataset'!AB1314&gt;AVERAGE('CVD Dataset'!AB:AB),'CVD Dataset'!AF1314="High"),"High Lipid Category","Normal Category")</f>
        <v>Normal Category</v>
      </c>
      <c r="AE1314">
        <v>13.443</v>
      </c>
      <c r="AF1314" t="s">
        <v>28</v>
      </c>
      <c r="AG1314">
        <v>0</v>
      </c>
      <c r="AH1314" t="s">
        <v>1380</v>
      </c>
      <c r="AI1314">
        <f t="shared" si="83"/>
        <v>0</v>
      </c>
      <c r="AJ1314" t="s">
        <v>1391</v>
      </c>
    </row>
    <row r="1315" spans="1:36" x14ac:dyDescent="0.3">
      <c r="A1315" t="s">
        <v>33</v>
      </c>
      <c r="B1315">
        <v>41</v>
      </c>
      <c r="C1315">
        <v>116.024</v>
      </c>
      <c r="D1315">
        <v>1.5389999999999999</v>
      </c>
      <c r="E1315">
        <v>23.917000000000002</v>
      </c>
      <c r="F1315">
        <f t="shared" si="81"/>
        <v>48.985843908498175</v>
      </c>
      <c r="G1315">
        <f t="shared" si="84"/>
        <v>1</v>
      </c>
      <c r="H1315" t="s">
        <v>1398</v>
      </c>
      <c r="I1315">
        <v>72.846999999999994</v>
      </c>
      <c r="J1315" t="s">
        <v>1122</v>
      </c>
      <c r="K1315" s="24">
        <v>161</v>
      </c>
      <c r="L1315" s="24">
        <v>92</v>
      </c>
      <c r="M1315">
        <v>208</v>
      </c>
      <c r="N1315" t="s">
        <v>1432</v>
      </c>
      <c r="O1315">
        <v>69</v>
      </c>
      <c r="P1315">
        <v>84</v>
      </c>
      <c r="Q1315" t="s">
        <v>24</v>
      </c>
      <c r="R1315" t="s">
        <v>25</v>
      </c>
      <c r="S1315" t="s">
        <v>39</v>
      </c>
      <c r="T1315" t="s">
        <v>25</v>
      </c>
      <c r="U1315">
        <f t="shared" si="82"/>
        <v>2</v>
      </c>
      <c r="V1315">
        <v>153.916</v>
      </c>
      <c r="W1315">
        <v>0.47299999999999998</v>
      </c>
      <c r="X1315" t="s">
        <v>1406</v>
      </c>
      <c r="Y1315">
        <v>161</v>
      </c>
      <c r="Z1315">
        <v>92</v>
      </c>
      <c r="AA1315" t="s">
        <v>40</v>
      </c>
      <c r="AB1315">
        <v>109</v>
      </c>
      <c r="AC1315" s="23">
        <v>1.58</v>
      </c>
      <c r="AD1315" t="str">
        <f>IF(AND('CVD Dataset'!AA1315="Normal",'CVD Dataset'!AB1315&gt;AVERAGE('CVD Dataset'!AB:AB),'CVD Dataset'!AF1315="High"),"High Lipid Category","Normal Category")</f>
        <v>Normal Category</v>
      </c>
      <c r="AE1315">
        <v>18.992999999999999</v>
      </c>
      <c r="AF1315" t="s">
        <v>28</v>
      </c>
      <c r="AG1315">
        <v>0</v>
      </c>
      <c r="AH1315" t="s">
        <v>1380</v>
      </c>
      <c r="AI1315">
        <f t="shared" si="83"/>
        <v>0</v>
      </c>
      <c r="AJ1315" t="s">
        <v>1391</v>
      </c>
    </row>
    <row r="1316" spans="1:36" x14ac:dyDescent="0.3">
      <c r="A1316" t="s">
        <v>33</v>
      </c>
      <c r="B1316">
        <v>67</v>
      </c>
      <c r="D1316">
        <v>1.722</v>
      </c>
      <c r="E1316">
        <v>27.672000000000001</v>
      </c>
      <c r="F1316">
        <f t="shared" si="81"/>
        <v>0</v>
      </c>
      <c r="G1316">
        <f t="shared" si="84"/>
        <v>1</v>
      </c>
      <c r="H1316" t="s">
        <v>1400</v>
      </c>
      <c r="I1316">
        <v>85.176000000000002</v>
      </c>
      <c r="J1316" t="s">
        <v>1123</v>
      </c>
      <c r="K1316" s="24">
        <v>162</v>
      </c>
      <c r="L1316" s="24">
        <v>79</v>
      </c>
      <c r="M1316">
        <v>232</v>
      </c>
      <c r="N1316" t="s">
        <v>1432</v>
      </c>
      <c r="O1316">
        <v>34</v>
      </c>
      <c r="P1316">
        <v>192</v>
      </c>
      <c r="Q1316" t="s">
        <v>24</v>
      </c>
      <c r="R1316" t="s">
        <v>24</v>
      </c>
      <c r="S1316" t="s">
        <v>39</v>
      </c>
      <c r="T1316" t="s">
        <v>24</v>
      </c>
      <c r="U1316">
        <f t="shared" si="82"/>
        <v>0</v>
      </c>
      <c r="V1316">
        <v>172.17500000000001</v>
      </c>
      <c r="W1316">
        <v>0.495</v>
      </c>
      <c r="X1316" t="s">
        <v>1406</v>
      </c>
      <c r="Y1316">
        <v>162</v>
      </c>
      <c r="Z1316">
        <v>79</v>
      </c>
      <c r="AA1316" t="s">
        <v>40</v>
      </c>
      <c r="AB1316">
        <v>168</v>
      </c>
      <c r="AC1316" s="23">
        <v>4.9400000000000004</v>
      </c>
      <c r="AD1316" t="str">
        <f>IF(AND('CVD Dataset'!AA1316="Normal",'CVD Dataset'!AB1316&gt;AVERAGE('CVD Dataset'!AB:AB),'CVD Dataset'!AF1316="High"),"High Lipid Category","Normal Category")</f>
        <v>Normal Category</v>
      </c>
      <c r="AE1316">
        <v>18.274000000000001</v>
      </c>
      <c r="AF1316" t="s">
        <v>32</v>
      </c>
      <c r="AG1316">
        <v>0</v>
      </c>
      <c r="AH1316" t="s">
        <v>1379</v>
      </c>
      <c r="AI1316">
        <f t="shared" si="83"/>
        <v>1</v>
      </c>
      <c r="AJ1316" t="s">
        <v>1391</v>
      </c>
    </row>
    <row r="1317" spans="1:36" x14ac:dyDescent="0.3">
      <c r="A1317" t="s">
        <v>22</v>
      </c>
      <c r="B1317">
        <v>60</v>
      </c>
      <c r="C1317">
        <v>107.84099999999999</v>
      </c>
      <c r="D1317">
        <v>1.7030000000000001</v>
      </c>
      <c r="E1317">
        <v>37.747</v>
      </c>
      <c r="F1317">
        <f t="shared" si="81"/>
        <v>37.183871920954658</v>
      </c>
      <c r="G1317">
        <f t="shared" si="84"/>
        <v>1</v>
      </c>
      <c r="H1317" t="s">
        <v>1399</v>
      </c>
      <c r="I1317">
        <v>88.787000000000006</v>
      </c>
      <c r="J1317" t="s">
        <v>1124</v>
      </c>
      <c r="K1317" s="24">
        <v>132</v>
      </c>
      <c r="L1317" s="24">
        <v>63</v>
      </c>
      <c r="M1317">
        <v>214</v>
      </c>
      <c r="N1317" t="s">
        <v>1432</v>
      </c>
      <c r="O1317">
        <v>73</v>
      </c>
      <c r="P1317">
        <v>118</v>
      </c>
      <c r="Q1317" t="s">
        <v>25</v>
      </c>
      <c r="R1317" t="s">
        <v>24</v>
      </c>
      <c r="S1317" t="s">
        <v>39</v>
      </c>
      <c r="T1317" t="s">
        <v>25</v>
      </c>
      <c r="U1317">
        <f t="shared" si="82"/>
        <v>2</v>
      </c>
      <c r="V1317">
        <v>170.3</v>
      </c>
      <c r="W1317">
        <v>0.52100000000000002</v>
      </c>
      <c r="X1317" t="s">
        <v>1406</v>
      </c>
      <c r="Y1317">
        <v>132</v>
      </c>
      <c r="AA1317" t="s">
        <v>31</v>
      </c>
      <c r="AB1317">
        <v>111</v>
      </c>
      <c r="AC1317" s="23">
        <v>1.52</v>
      </c>
      <c r="AD1317" t="str">
        <f>IF(AND('CVD Dataset'!AA1317="Normal",'CVD Dataset'!AB1317&gt;AVERAGE('CVD Dataset'!AB:AB),'CVD Dataset'!AF1317="High"),"High Lipid Category","Normal Category")</f>
        <v>Normal Category</v>
      </c>
      <c r="AF1317" t="s">
        <v>54</v>
      </c>
      <c r="AG1317">
        <v>0</v>
      </c>
      <c r="AH1317" t="s">
        <v>1380</v>
      </c>
      <c r="AI1317">
        <f t="shared" si="83"/>
        <v>0</v>
      </c>
      <c r="AJ1317" t="s">
        <v>1391</v>
      </c>
    </row>
    <row r="1318" spans="1:36" x14ac:dyDescent="0.3">
      <c r="A1318" t="s">
        <v>33</v>
      </c>
      <c r="B1318">
        <v>63</v>
      </c>
      <c r="C1318">
        <v>96.870999999999995</v>
      </c>
      <c r="D1318">
        <v>1.673</v>
      </c>
      <c r="E1318">
        <v>31.201000000000001</v>
      </c>
      <c r="F1318">
        <f t="shared" si="81"/>
        <v>34.610024048484256</v>
      </c>
      <c r="G1318">
        <f t="shared" si="84"/>
        <v>1</v>
      </c>
      <c r="H1318" t="s">
        <v>1399</v>
      </c>
      <c r="I1318">
        <v>103.46299999999999</v>
      </c>
      <c r="J1318" t="s">
        <v>1125</v>
      </c>
      <c r="K1318" s="24">
        <v>107</v>
      </c>
      <c r="L1318" s="24">
        <v>65</v>
      </c>
      <c r="M1318">
        <v>289</v>
      </c>
      <c r="N1318" t="s">
        <v>1432</v>
      </c>
      <c r="O1318">
        <v>62</v>
      </c>
      <c r="Q1318" t="s">
        <v>24</v>
      </c>
      <c r="R1318" t="s">
        <v>24</v>
      </c>
      <c r="S1318" t="s">
        <v>26</v>
      </c>
      <c r="T1318" t="s">
        <v>24</v>
      </c>
      <c r="U1318">
        <f t="shared" si="82"/>
        <v>1</v>
      </c>
      <c r="V1318">
        <v>167.34700000000001</v>
      </c>
      <c r="W1318">
        <v>0.61799999999999999</v>
      </c>
      <c r="X1318" t="s">
        <v>1409</v>
      </c>
      <c r="Y1318">
        <v>107</v>
      </c>
      <c r="Z1318">
        <v>65</v>
      </c>
      <c r="AA1318" t="s">
        <v>35</v>
      </c>
      <c r="AB1318">
        <v>197</v>
      </c>
      <c r="AC1318" s="23">
        <v>3.18</v>
      </c>
      <c r="AD1318" t="str">
        <f>IF(AND('CVD Dataset'!AA1318="Normal",'CVD Dataset'!AB1318&gt;AVERAGE('CVD Dataset'!AB:AB),'CVD Dataset'!AF1318="High"),"High Lipid Category","Normal Category")</f>
        <v>Normal Category</v>
      </c>
      <c r="AE1318">
        <v>17.37</v>
      </c>
      <c r="AF1318" t="s">
        <v>28</v>
      </c>
      <c r="AG1318">
        <v>0</v>
      </c>
      <c r="AH1318" t="s">
        <v>1380</v>
      </c>
      <c r="AI1318">
        <f t="shared" si="83"/>
        <v>0</v>
      </c>
      <c r="AJ1318" t="s">
        <v>1391</v>
      </c>
    </row>
    <row r="1319" spans="1:36" x14ac:dyDescent="0.3">
      <c r="A1319" t="s">
        <v>33</v>
      </c>
      <c r="B1319">
        <v>64</v>
      </c>
      <c r="C1319">
        <v>109.962</v>
      </c>
      <c r="D1319">
        <v>1.865</v>
      </c>
      <c r="E1319">
        <v>31.501999999999999</v>
      </c>
      <c r="F1319">
        <f t="shared" si="81"/>
        <v>31.614401023510556</v>
      </c>
      <c r="G1319">
        <f t="shared" si="84"/>
        <v>1</v>
      </c>
      <c r="H1319" t="s">
        <v>1399</v>
      </c>
      <c r="I1319">
        <v>83.17</v>
      </c>
      <c r="J1319" t="s">
        <v>1126</v>
      </c>
      <c r="K1319" s="24">
        <v>163</v>
      </c>
      <c r="L1319" s="24">
        <v>78</v>
      </c>
      <c r="M1319">
        <v>160</v>
      </c>
      <c r="N1319" t="s">
        <v>1433</v>
      </c>
      <c r="O1319">
        <v>75</v>
      </c>
      <c r="P1319">
        <v>134</v>
      </c>
      <c r="Q1319" t="s">
        <v>25</v>
      </c>
      <c r="R1319" t="s">
        <v>24</v>
      </c>
      <c r="S1319" t="s">
        <v>39</v>
      </c>
      <c r="T1319" t="s">
        <v>25</v>
      </c>
      <c r="U1319">
        <f t="shared" si="82"/>
        <v>2</v>
      </c>
      <c r="V1319">
        <v>186.494</v>
      </c>
      <c r="W1319">
        <v>0.44600000000000001</v>
      </c>
      <c r="X1319" t="s">
        <v>1408</v>
      </c>
      <c r="Y1319">
        <v>163</v>
      </c>
      <c r="Z1319">
        <v>78</v>
      </c>
      <c r="AA1319" t="s">
        <v>40</v>
      </c>
      <c r="AB1319">
        <v>55</v>
      </c>
      <c r="AC1319" s="23">
        <v>0.73</v>
      </c>
      <c r="AD1319" t="str">
        <f>IF(AND('CVD Dataset'!AA1319="Normal",'CVD Dataset'!AB1319&gt;AVERAGE('CVD Dataset'!AB:AB),'CVD Dataset'!AF1319="High"),"High Lipid Category","Normal Category")</f>
        <v>Normal Category</v>
      </c>
      <c r="AE1319">
        <v>17.649999999999999</v>
      </c>
      <c r="AF1319" t="s">
        <v>32</v>
      </c>
      <c r="AG1319">
        <v>1</v>
      </c>
      <c r="AH1319" t="s">
        <v>1379</v>
      </c>
      <c r="AI1319">
        <f t="shared" si="83"/>
        <v>1</v>
      </c>
      <c r="AJ1319" t="s">
        <v>1391</v>
      </c>
    </row>
    <row r="1320" spans="1:36" x14ac:dyDescent="0.3">
      <c r="A1320" t="s">
        <v>22</v>
      </c>
      <c r="C1320">
        <v>112.52</v>
      </c>
      <c r="D1320">
        <v>1.52</v>
      </c>
      <c r="E1320">
        <v>21.988</v>
      </c>
      <c r="F1320">
        <f t="shared" si="81"/>
        <v>48.701523545706372</v>
      </c>
      <c r="G1320">
        <f t="shared" si="84"/>
        <v>1</v>
      </c>
      <c r="H1320" t="s">
        <v>1398</v>
      </c>
      <c r="I1320">
        <v>106.12</v>
      </c>
      <c r="J1320" t="s">
        <v>1127</v>
      </c>
      <c r="K1320" s="24">
        <v>117</v>
      </c>
      <c r="L1320" s="24">
        <v>96</v>
      </c>
      <c r="M1320">
        <v>228</v>
      </c>
      <c r="N1320" t="s">
        <v>1432</v>
      </c>
      <c r="O1320">
        <v>40</v>
      </c>
      <c r="P1320">
        <v>91</v>
      </c>
      <c r="Q1320" t="s">
        <v>24</v>
      </c>
      <c r="R1320" t="s">
        <v>25</v>
      </c>
      <c r="S1320" t="s">
        <v>26</v>
      </c>
      <c r="T1320" t="s">
        <v>25</v>
      </c>
      <c r="U1320">
        <f t="shared" si="82"/>
        <v>3</v>
      </c>
      <c r="V1320">
        <v>152.02000000000001</v>
      </c>
      <c r="W1320">
        <v>0.69799999999999995</v>
      </c>
      <c r="X1320" t="s">
        <v>1409</v>
      </c>
      <c r="Y1320">
        <v>117</v>
      </c>
      <c r="Z1320">
        <v>96</v>
      </c>
      <c r="AA1320" t="s">
        <v>40</v>
      </c>
      <c r="AB1320">
        <v>158</v>
      </c>
      <c r="AC1320" s="23">
        <v>3.95</v>
      </c>
      <c r="AD1320" t="str">
        <f>IF(AND('CVD Dataset'!AA1320="Normal",'CVD Dataset'!AB1320&gt;AVERAGE('CVD Dataset'!AB:AB),'CVD Dataset'!AF1320="High"),"High Lipid Category","Normal Category")</f>
        <v>Normal Category</v>
      </c>
      <c r="AE1320">
        <v>16.808</v>
      </c>
      <c r="AF1320" t="s">
        <v>54</v>
      </c>
      <c r="AG1320">
        <v>0</v>
      </c>
      <c r="AH1320" t="s">
        <v>1380</v>
      </c>
      <c r="AI1320">
        <f t="shared" si="83"/>
        <v>0</v>
      </c>
      <c r="AJ1320" t="s">
        <v>1391</v>
      </c>
    </row>
    <row r="1321" spans="1:36" x14ac:dyDescent="0.3">
      <c r="A1321" t="s">
        <v>33</v>
      </c>
      <c r="B1321">
        <v>49</v>
      </c>
      <c r="C1321">
        <v>66.072999999999993</v>
      </c>
      <c r="D1321">
        <v>1.94</v>
      </c>
      <c r="E1321">
        <v>32.301000000000002</v>
      </c>
      <c r="F1321">
        <f t="shared" si="81"/>
        <v>17.555797640556914</v>
      </c>
      <c r="G1321">
        <f t="shared" si="84"/>
        <v>1</v>
      </c>
      <c r="H1321" t="s">
        <v>1399</v>
      </c>
      <c r="I1321">
        <v>90.433000000000007</v>
      </c>
      <c r="J1321" t="s">
        <v>792</v>
      </c>
      <c r="K1321" s="24">
        <v>122</v>
      </c>
      <c r="L1321" s="24">
        <v>97</v>
      </c>
      <c r="M1321">
        <v>240</v>
      </c>
      <c r="N1321" t="s">
        <v>1432</v>
      </c>
      <c r="O1321">
        <v>37</v>
      </c>
      <c r="P1321">
        <v>157</v>
      </c>
      <c r="Q1321" t="s">
        <v>24</v>
      </c>
      <c r="R1321" t="s">
        <v>25</v>
      </c>
      <c r="S1321" t="s">
        <v>39</v>
      </c>
      <c r="T1321" t="s">
        <v>25</v>
      </c>
      <c r="U1321">
        <f t="shared" si="82"/>
        <v>2</v>
      </c>
      <c r="V1321">
        <v>193.988</v>
      </c>
      <c r="W1321">
        <v>0.46600000000000003</v>
      </c>
      <c r="X1321" t="s">
        <v>1406</v>
      </c>
      <c r="Y1321">
        <v>122</v>
      </c>
      <c r="Z1321">
        <v>97</v>
      </c>
      <c r="AA1321" t="s">
        <v>40</v>
      </c>
      <c r="AB1321">
        <v>173</v>
      </c>
      <c r="AC1321" s="23">
        <v>4.68</v>
      </c>
      <c r="AD1321" t="str">
        <f>IF(AND('CVD Dataset'!AA1321="Normal",'CVD Dataset'!AB1321&gt;AVERAGE('CVD Dataset'!AB:AB),'CVD Dataset'!AF1321="High"),"High Lipid Category","Normal Category")</f>
        <v>Normal Category</v>
      </c>
      <c r="AE1321">
        <v>19.36</v>
      </c>
      <c r="AF1321" t="s">
        <v>32</v>
      </c>
      <c r="AG1321">
        <v>0</v>
      </c>
      <c r="AH1321" t="s">
        <v>1379</v>
      </c>
      <c r="AI1321">
        <f t="shared" si="83"/>
        <v>1</v>
      </c>
      <c r="AJ1321" t="s">
        <v>1391</v>
      </c>
    </row>
    <row r="1322" spans="1:36" x14ac:dyDescent="0.3">
      <c r="A1322" t="s">
        <v>22</v>
      </c>
      <c r="B1322">
        <v>66</v>
      </c>
      <c r="C1322">
        <v>56.363</v>
      </c>
      <c r="D1322">
        <v>1.6659999999999999</v>
      </c>
      <c r="E1322">
        <v>27.126999999999999</v>
      </c>
      <c r="F1322">
        <f t="shared" si="81"/>
        <v>20.306922288723413</v>
      </c>
      <c r="G1322">
        <f t="shared" si="84"/>
        <v>1</v>
      </c>
      <c r="H1322" t="s">
        <v>1400</v>
      </c>
      <c r="I1322">
        <v>75.180999999999997</v>
      </c>
      <c r="J1322" t="s">
        <v>1128</v>
      </c>
      <c r="K1322" s="24">
        <v>101</v>
      </c>
      <c r="L1322" s="24">
        <v>91</v>
      </c>
      <c r="M1322">
        <v>179</v>
      </c>
      <c r="N1322" t="s">
        <v>1433</v>
      </c>
      <c r="O1322">
        <v>34</v>
      </c>
      <c r="P1322">
        <v>148</v>
      </c>
      <c r="Q1322" t="s">
        <v>24</v>
      </c>
      <c r="R1322" t="s">
        <v>24</v>
      </c>
      <c r="S1322" t="s">
        <v>26</v>
      </c>
      <c r="T1322" t="s">
        <v>25</v>
      </c>
      <c r="U1322">
        <f t="shared" si="82"/>
        <v>2</v>
      </c>
      <c r="V1322">
        <v>166.58600000000001</v>
      </c>
      <c r="W1322">
        <v>0.45100000000000001</v>
      </c>
      <c r="X1322" t="s">
        <v>1408</v>
      </c>
      <c r="Y1322">
        <v>101</v>
      </c>
      <c r="Z1322">
        <v>91</v>
      </c>
      <c r="AA1322" t="s">
        <v>40</v>
      </c>
      <c r="AB1322">
        <v>115</v>
      </c>
      <c r="AC1322" s="23">
        <v>3.38</v>
      </c>
      <c r="AD1322" t="str">
        <f>IF(AND('CVD Dataset'!AA1322="Normal",'CVD Dataset'!AB1322&gt;AVERAGE('CVD Dataset'!AB:AB),'CVD Dataset'!AF1322="High"),"High Lipid Category","Normal Category")</f>
        <v>Normal Category</v>
      </c>
      <c r="AE1322">
        <v>14.055</v>
      </c>
      <c r="AF1322" t="s">
        <v>28</v>
      </c>
      <c r="AG1322">
        <v>0</v>
      </c>
      <c r="AH1322" t="s">
        <v>1380</v>
      </c>
      <c r="AI1322">
        <f t="shared" si="83"/>
        <v>0</v>
      </c>
      <c r="AJ1322" t="s">
        <v>1391</v>
      </c>
    </row>
    <row r="1323" spans="1:36" x14ac:dyDescent="0.3">
      <c r="A1323" t="s">
        <v>22</v>
      </c>
      <c r="B1323">
        <v>31</v>
      </c>
      <c r="C1323">
        <v>61.393000000000001</v>
      </c>
      <c r="D1323">
        <v>1.63</v>
      </c>
      <c r="E1323">
        <v>22.696000000000002</v>
      </c>
      <c r="F1323">
        <f t="shared" si="81"/>
        <v>23.107004403628292</v>
      </c>
      <c r="G1323">
        <f t="shared" si="84"/>
        <v>1</v>
      </c>
      <c r="H1323" t="s">
        <v>1398</v>
      </c>
      <c r="I1323">
        <v>111.024</v>
      </c>
      <c r="J1323" t="s">
        <v>1129</v>
      </c>
      <c r="K1323" s="24">
        <v>154</v>
      </c>
      <c r="L1323" s="24">
        <v>112</v>
      </c>
      <c r="M1323">
        <v>164</v>
      </c>
      <c r="N1323" t="s">
        <v>1433</v>
      </c>
      <c r="O1323">
        <v>85</v>
      </c>
      <c r="P1323">
        <v>195</v>
      </c>
      <c r="Q1323" t="s">
        <v>25</v>
      </c>
      <c r="R1323" t="s">
        <v>24</v>
      </c>
      <c r="S1323" t="s">
        <v>39</v>
      </c>
      <c r="T1323" t="s">
        <v>24</v>
      </c>
      <c r="U1323">
        <f t="shared" si="82"/>
        <v>1</v>
      </c>
      <c r="V1323">
        <v>163.023</v>
      </c>
      <c r="W1323">
        <v>0.68100000000000005</v>
      </c>
      <c r="X1323" t="s">
        <v>1409</v>
      </c>
      <c r="Y1323">
        <v>154</v>
      </c>
      <c r="Z1323">
        <v>112</v>
      </c>
      <c r="AA1323" t="s">
        <v>40</v>
      </c>
      <c r="AB1323">
        <v>49</v>
      </c>
      <c r="AC1323" s="23">
        <v>0.57999999999999996</v>
      </c>
      <c r="AD1323" t="str">
        <f>IF(AND('CVD Dataset'!AA1323="Normal",'CVD Dataset'!AB1323&gt;AVERAGE('CVD Dataset'!AB:AB),'CVD Dataset'!AF1323="High"),"High Lipid Category","Normal Category")</f>
        <v>Normal Category</v>
      </c>
      <c r="AE1323">
        <v>15.519</v>
      </c>
      <c r="AF1323" t="s">
        <v>32</v>
      </c>
      <c r="AG1323">
        <v>1</v>
      </c>
      <c r="AH1323" t="s">
        <v>1379</v>
      </c>
      <c r="AI1323">
        <f t="shared" si="83"/>
        <v>1</v>
      </c>
      <c r="AJ1323" t="s">
        <v>1391</v>
      </c>
    </row>
    <row r="1324" spans="1:36" x14ac:dyDescent="0.3">
      <c r="A1324" t="s">
        <v>22</v>
      </c>
      <c r="B1324">
        <v>64</v>
      </c>
      <c r="C1324">
        <v>62.584000000000003</v>
      </c>
      <c r="D1324">
        <v>1.627</v>
      </c>
      <c r="E1324">
        <v>38.851999999999997</v>
      </c>
      <c r="F1324">
        <f t="shared" si="81"/>
        <v>23.642217662985068</v>
      </c>
      <c r="G1324">
        <f t="shared" si="84"/>
        <v>1</v>
      </c>
      <c r="H1324" t="s">
        <v>1399</v>
      </c>
      <c r="I1324">
        <v>92.159000000000006</v>
      </c>
      <c r="J1324" t="s">
        <v>1130</v>
      </c>
      <c r="K1324" s="24">
        <v>143</v>
      </c>
      <c r="L1324" s="24">
        <v>84</v>
      </c>
      <c r="M1324">
        <v>241</v>
      </c>
      <c r="N1324" t="s">
        <v>1432</v>
      </c>
      <c r="O1324">
        <v>58</v>
      </c>
      <c r="P1324">
        <v>166</v>
      </c>
      <c r="Q1324" t="s">
        <v>25</v>
      </c>
      <c r="R1324" t="s">
        <v>25</v>
      </c>
      <c r="S1324" t="s">
        <v>30</v>
      </c>
      <c r="T1324" t="s">
        <v>25</v>
      </c>
      <c r="U1324">
        <f t="shared" si="82"/>
        <v>3</v>
      </c>
      <c r="V1324">
        <v>162.655</v>
      </c>
      <c r="W1324">
        <v>0.56699999999999995</v>
      </c>
      <c r="X1324" t="s">
        <v>1407</v>
      </c>
      <c r="Y1324">
        <v>143</v>
      </c>
      <c r="Z1324">
        <v>84</v>
      </c>
      <c r="AA1324" t="s">
        <v>31</v>
      </c>
      <c r="AB1324">
        <v>153</v>
      </c>
      <c r="AC1324" s="23">
        <v>2.64</v>
      </c>
      <c r="AD1324" t="str">
        <f>IF(AND('CVD Dataset'!AA1324="Normal",'CVD Dataset'!AB1324&gt;AVERAGE('CVD Dataset'!AB:AB),'CVD Dataset'!AF1324="High"),"High Lipid Category","Normal Category")</f>
        <v>Normal Category</v>
      </c>
      <c r="AE1324">
        <v>21.74</v>
      </c>
      <c r="AF1324" t="s">
        <v>32</v>
      </c>
      <c r="AG1324">
        <v>0</v>
      </c>
      <c r="AH1324" t="s">
        <v>1379</v>
      </c>
      <c r="AI1324">
        <f t="shared" si="83"/>
        <v>1</v>
      </c>
      <c r="AJ1324" t="s">
        <v>1392</v>
      </c>
    </row>
    <row r="1325" spans="1:36" x14ac:dyDescent="0.3">
      <c r="A1325" t="s">
        <v>33</v>
      </c>
      <c r="B1325">
        <v>45</v>
      </c>
      <c r="C1325">
        <v>119.054</v>
      </c>
      <c r="D1325">
        <v>1.5309999999999999</v>
      </c>
      <c r="E1325">
        <v>25.117000000000001</v>
      </c>
      <c r="F1325">
        <f t="shared" si="81"/>
        <v>50.791800716820809</v>
      </c>
      <c r="G1325">
        <f t="shared" si="84"/>
        <v>1</v>
      </c>
      <c r="H1325" t="s">
        <v>1400</v>
      </c>
      <c r="I1325">
        <v>98.700999999999993</v>
      </c>
      <c r="J1325" t="s">
        <v>46</v>
      </c>
      <c r="K1325" s="24">
        <v>134</v>
      </c>
      <c r="L1325" s="24">
        <v>91</v>
      </c>
      <c r="M1325">
        <v>225</v>
      </c>
      <c r="N1325" t="s">
        <v>1432</v>
      </c>
      <c r="O1325">
        <v>53</v>
      </c>
      <c r="P1325">
        <v>126</v>
      </c>
      <c r="Q1325" t="s">
        <v>25</v>
      </c>
      <c r="R1325" t="s">
        <v>25</v>
      </c>
      <c r="S1325" t="s">
        <v>39</v>
      </c>
      <c r="T1325" t="s">
        <v>24</v>
      </c>
      <c r="U1325">
        <f t="shared" si="82"/>
        <v>2</v>
      </c>
      <c r="V1325">
        <v>153.05699999999999</v>
      </c>
      <c r="W1325">
        <v>0.64500000000000002</v>
      </c>
      <c r="X1325" t="s">
        <v>1409</v>
      </c>
      <c r="Z1325">
        <v>91</v>
      </c>
      <c r="AA1325" t="s">
        <v>31</v>
      </c>
      <c r="AB1325">
        <v>142</v>
      </c>
      <c r="AC1325" s="23">
        <v>2.68</v>
      </c>
      <c r="AD1325" t="str">
        <f>IF(AND('CVD Dataset'!AA1325="Normal",'CVD Dataset'!AB1325&gt;AVERAGE('CVD Dataset'!AB:AB),'CVD Dataset'!AF1325="High"),"High Lipid Category","Normal Category")</f>
        <v>Normal Category</v>
      </c>
      <c r="AE1325">
        <v>18.222999999999999</v>
      </c>
      <c r="AF1325" t="s">
        <v>54</v>
      </c>
      <c r="AG1325">
        <v>0</v>
      </c>
      <c r="AH1325" t="s">
        <v>1380</v>
      </c>
      <c r="AI1325">
        <f t="shared" si="83"/>
        <v>0</v>
      </c>
      <c r="AJ1325" t="s">
        <v>1391</v>
      </c>
    </row>
    <row r="1326" spans="1:36" x14ac:dyDescent="0.3">
      <c r="A1326" t="s">
        <v>33</v>
      </c>
      <c r="B1326">
        <v>61</v>
      </c>
      <c r="C1326">
        <v>108.191</v>
      </c>
      <c r="D1326">
        <v>1.8129999999999999</v>
      </c>
      <c r="E1326">
        <v>37.866</v>
      </c>
      <c r="F1326">
        <f t="shared" si="81"/>
        <v>32.915126367179006</v>
      </c>
      <c r="G1326">
        <f t="shared" si="84"/>
        <v>1</v>
      </c>
      <c r="H1326" t="s">
        <v>1399</v>
      </c>
      <c r="I1326">
        <v>112.492</v>
      </c>
      <c r="J1326" t="s">
        <v>1131</v>
      </c>
      <c r="K1326" s="24">
        <v>173</v>
      </c>
      <c r="L1326" s="24">
        <v>68</v>
      </c>
      <c r="M1326">
        <v>182</v>
      </c>
      <c r="N1326" t="s">
        <v>1432</v>
      </c>
      <c r="O1326">
        <v>71</v>
      </c>
      <c r="P1326">
        <v>72</v>
      </c>
      <c r="Q1326" t="s">
        <v>25</v>
      </c>
      <c r="R1326" t="s">
        <v>24</v>
      </c>
      <c r="S1326" t="s">
        <v>39</v>
      </c>
      <c r="T1326" t="s">
        <v>24</v>
      </c>
      <c r="U1326">
        <f t="shared" si="82"/>
        <v>1</v>
      </c>
      <c r="V1326">
        <v>181.28700000000001</v>
      </c>
      <c r="W1326">
        <v>0.621</v>
      </c>
      <c r="X1326" t="s">
        <v>1409</v>
      </c>
      <c r="Y1326">
        <v>173</v>
      </c>
      <c r="Z1326">
        <v>68</v>
      </c>
      <c r="AA1326" t="s">
        <v>40</v>
      </c>
      <c r="AB1326">
        <v>81</v>
      </c>
      <c r="AC1326" s="23">
        <v>1.1399999999999999</v>
      </c>
      <c r="AD1326" t="str">
        <f>IF(AND('CVD Dataset'!AA1326="Normal",'CVD Dataset'!AB1326&gt;AVERAGE('CVD Dataset'!AB:AB),'CVD Dataset'!AF1326="High"),"High Lipid Category","Normal Category")</f>
        <v>Normal Category</v>
      </c>
      <c r="AE1326">
        <v>19.863</v>
      </c>
      <c r="AF1326" t="s">
        <v>32</v>
      </c>
      <c r="AG1326">
        <v>1</v>
      </c>
      <c r="AH1326" t="s">
        <v>1379</v>
      </c>
      <c r="AI1326">
        <f t="shared" si="83"/>
        <v>1</v>
      </c>
      <c r="AJ1326" t="s">
        <v>1391</v>
      </c>
    </row>
    <row r="1327" spans="1:36" x14ac:dyDescent="0.3">
      <c r="A1327" t="s">
        <v>22</v>
      </c>
      <c r="B1327">
        <v>59</v>
      </c>
      <c r="C1327">
        <v>101.614</v>
      </c>
      <c r="D1327">
        <v>1.5760000000000001</v>
      </c>
      <c r="E1327">
        <v>34.651000000000003</v>
      </c>
      <c r="F1327">
        <f t="shared" si="81"/>
        <v>40.91109665283826</v>
      </c>
      <c r="G1327">
        <f t="shared" si="84"/>
        <v>1</v>
      </c>
      <c r="H1327" t="s">
        <v>1399</v>
      </c>
      <c r="I1327">
        <v>95.959000000000003</v>
      </c>
      <c r="J1327" t="s">
        <v>1132</v>
      </c>
      <c r="K1327" s="24">
        <v>178</v>
      </c>
      <c r="L1327" s="24">
        <v>108</v>
      </c>
      <c r="M1327">
        <v>164</v>
      </c>
      <c r="N1327" t="s">
        <v>1433</v>
      </c>
      <c r="O1327">
        <v>54</v>
      </c>
      <c r="P1327">
        <v>165</v>
      </c>
      <c r="Q1327" t="s">
        <v>24</v>
      </c>
      <c r="R1327" t="s">
        <v>25</v>
      </c>
      <c r="S1327" t="s">
        <v>30</v>
      </c>
      <c r="T1327" t="s">
        <v>24</v>
      </c>
      <c r="U1327">
        <f t="shared" si="82"/>
        <v>1</v>
      </c>
      <c r="V1327">
        <v>157.64500000000001</v>
      </c>
      <c r="W1327">
        <v>0.60899999999999999</v>
      </c>
      <c r="X1327" t="s">
        <v>1409</v>
      </c>
      <c r="Y1327">
        <v>178</v>
      </c>
      <c r="Z1327">
        <v>108</v>
      </c>
      <c r="AA1327" t="s">
        <v>40</v>
      </c>
      <c r="AB1327">
        <v>80</v>
      </c>
      <c r="AC1327" s="23">
        <v>1.48</v>
      </c>
      <c r="AD1327" t="str">
        <f>IF(AND('CVD Dataset'!AA1327="Normal",'CVD Dataset'!AB1327&gt;AVERAGE('CVD Dataset'!AB:AB),'CVD Dataset'!AF1327="High"),"High Lipid Category","Normal Category")</f>
        <v>Normal Category</v>
      </c>
      <c r="AE1327">
        <v>21.11</v>
      </c>
      <c r="AF1327" t="s">
        <v>54</v>
      </c>
      <c r="AG1327">
        <v>0</v>
      </c>
      <c r="AH1327" t="s">
        <v>1380</v>
      </c>
      <c r="AI1327">
        <f t="shared" si="83"/>
        <v>0</v>
      </c>
      <c r="AJ1327" t="s">
        <v>1392</v>
      </c>
    </row>
    <row r="1328" spans="1:36" x14ac:dyDescent="0.3">
      <c r="A1328" t="s">
        <v>22</v>
      </c>
      <c r="B1328">
        <v>59</v>
      </c>
      <c r="C1328">
        <v>94.435000000000002</v>
      </c>
      <c r="F1328" t="str">
        <f t="shared" si="81"/>
        <v/>
      </c>
      <c r="G1328" t="str">
        <f t="shared" si="84"/>
        <v/>
      </c>
      <c r="H1328" t="s">
        <v>1401</v>
      </c>
      <c r="I1328">
        <v>98.32</v>
      </c>
      <c r="J1328" t="s">
        <v>1133</v>
      </c>
      <c r="K1328" s="24">
        <v>99</v>
      </c>
      <c r="L1328" s="24">
        <v>64</v>
      </c>
      <c r="M1328">
        <v>292</v>
      </c>
      <c r="N1328" t="s">
        <v>1432</v>
      </c>
      <c r="O1328">
        <v>37</v>
      </c>
      <c r="Q1328" t="s">
        <v>24</v>
      </c>
      <c r="R1328" t="s">
        <v>24</v>
      </c>
      <c r="S1328" t="s">
        <v>30</v>
      </c>
      <c r="T1328" t="s">
        <v>24</v>
      </c>
      <c r="U1328">
        <f t="shared" si="82"/>
        <v>0</v>
      </c>
      <c r="V1328">
        <v>166.85400000000001</v>
      </c>
      <c r="W1328">
        <v>0.58899999999999997</v>
      </c>
      <c r="X1328" t="s">
        <v>1409</v>
      </c>
      <c r="Z1328">
        <v>64</v>
      </c>
      <c r="AA1328" t="s">
        <v>35</v>
      </c>
      <c r="AB1328">
        <v>225</v>
      </c>
      <c r="AC1328" s="23">
        <v>6.08</v>
      </c>
      <c r="AD1328" t="str">
        <f>IF(AND('CVD Dataset'!AA1328="Normal",'CVD Dataset'!AB1328&gt;AVERAGE('CVD Dataset'!AB:AB),'CVD Dataset'!AF1328="High"),"High Lipid Category","Normal Category")</f>
        <v>High Lipid Category</v>
      </c>
      <c r="AE1328">
        <v>16.779</v>
      </c>
      <c r="AF1328" t="s">
        <v>32</v>
      </c>
      <c r="AG1328">
        <v>0</v>
      </c>
      <c r="AH1328" t="s">
        <v>1379</v>
      </c>
      <c r="AI1328">
        <f t="shared" si="83"/>
        <v>1</v>
      </c>
      <c r="AJ1328" t="s">
        <v>1391</v>
      </c>
    </row>
    <row r="1329" spans="1:36" x14ac:dyDescent="0.3">
      <c r="A1329" t="s">
        <v>22</v>
      </c>
      <c r="B1329">
        <v>73</v>
      </c>
      <c r="C1329">
        <v>56.05</v>
      </c>
      <c r="D1329">
        <v>1.704</v>
      </c>
      <c r="E1329">
        <v>35.158999999999999</v>
      </c>
      <c r="F1329">
        <f t="shared" si="81"/>
        <v>19.303516718464149</v>
      </c>
      <c r="G1329">
        <f t="shared" si="84"/>
        <v>1</v>
      </c>
      <c r="H1329" t="s">
        <v>1399</v>
      </c>
      <c r="I1329">
        <v>97.144999999999996</v>
      </c>
      <c r="J1329" t="s">
        <v>1134</v>
      </c>
      <c r="K1329" s="24">
        <v>134</v>
      </c>
      <c r="L1329" s="24">
        <v>76</v>
      </c>
      <c r="M1329">
        <v>206</v>
      </c>
      <c r="N1329" t="s">
        <v>1432</v>
      </c>
      <c r="O1329">
        <v>31</v>
      </c>
      <c r="P1329">
        <v>80</v>
      </c>
      <c r="Q1329" t="s">
        <v>25</v>
      </c>
      <c r="R1329" t="s">
        <v>24</v>
      </c>
      <c r="S1329" t="s">
        <v>26</v>
      </c>
      <c r="T1329" t="s">
        <v>24</v>
      </c>
      <c r="U1329">
        <f t="shared" si="82"/>
        <v>2</v>
      </c>
      <c r="V1329">
        <v>170.41499999999999</v>
      </c>
      <c r="W1329">
        <v>0.56999999999999995</v>
      </c>
      <c r="X1329" t="s">
        <v>1407</v>
      </c>
      <c r="Y1329">
        <v>134</v>
      </c>
      <c r="Z1329">
        <v>76</v>
      </c>
      <c r="AA1329" t="s">
        <v>31</v>
      </c>
      <c r="AB1329">
        <v>145</v>
      </c>
      <c r="AC1329" s="23">
        <v>4.68</v>
      </c>
      <c r="AD1329" t="str">
        <f>IF(AND('CVD Dataset'!AA1329="Normal",'CVD Dataset'!AB1329&gt;AVERAGE('CVD Dataset'!AB:AB),'CVD Dataset'!AF1329="High"),"High Lipid Category","Normal Category")</f>
        <v>Normal Category</v>
      </c>
      <c r="AE1329">
        <v>17.852</v>
      </c>
      <c r="AF1329" t="s">
        <v>28</v>
      </c>
      <c r="AG1329">
        <v>0</v>
      </c>
      <c r="AH1329" t="s">
        <v>1380</v>
      </c>
      <c r="AI1329">
        <f t="shared" si="83"/>
        <v>0</v>
      </c>
      <c r="AJ1329" t="s">
        <v>1391</v>
      </c>
    </row>
    <row r="1330" spans="1:36" x14ac:dyDescent="0.3">
      <c r="A1330" t="s">
        <v>22</v>
      </c>
      <c r="C1330">
        <v>72.75</v>
      </c>
      <c r="D1330">
        <v>1.861</v>
      </c>
      <c r="E1330">
        <v>18.565000000000001</v>
      </c>
      <c r="F1330">
        <f t="shared" si="81"/>
        <v>21.005849587722302</v>
      </c>
      <c r="G1330">
        <f t="shared" si="84"/>
        <v>1</v>
      </c>
      <c r="H1330" t="s">
        <v>1398</v>
      </c>
      <c r="I1330">
        <v>75.935000000000002</v>
      </c>
      <c r="J1330" t="s">
        <v>1135</v>
      </c>
      <c r="K1330" s="24">
        <v>130</v>
      </c>
      <c r="L1330" s="24">
        <v>78</v>
      </c>
      <c r="M1330">
        <v>106</v>
      </c>
      <c r="N1330" t="s">
        <v>1434</v>
      </c>
      <c r="O1330">
        <v>74</v>
      </c>
      <c r="P1330">
        <v>121</v>
      </c>
      <c r="Q1330" t="s">
        <v>25</v>
      </c>
      <c r="R1330" t="s">
        <v>24</v>
      </c>
      <c r="S1330" t="s">
        <v>26</v>
      </c>
      <c r="T1330" t="s">
        <v>25</v>
      </c>
      <c r="U1330">
        <f t="shared" si="82"/>
        <v>3</v>
      </c>
      <c r="V1330">
        <v>186.12700000000001</v>
      </c>
      <c r="W1330">
        <v>0.40799999999999997</v>
      </c>
      <c r="X1330" t="s">
        <v>1408</v>
      </c>
      <c r="Y1330">
        <v>130</v>
      </c>
      <c r="Z1330">
        <v>78</v>
      </c>
      <c r="AA1330" t="s">
        <v>31</v>
      </c>
      <c r="AB1330">
        <v>2</v>
      </c>
      <c r="AC1330" s="23">
        <v>0.03</v>
      </c>
      <c r="AD1330" t="str">
        <f>IF(AND('CVD Dataset'!AA1330="Normal",'CVD Dataset'!AB1330&gt;AVERAGE('CVD Dataset'!AB:AB),'CVD Dataset'!AF1330="High"),"High Lipid Category","Normal Category")</f>
        <v>Normal Category</v>
      </c>
      <c r="AE1330">
        <v>12.333</v>
      </c>
      <c r="AF1330" t="s">
        <v>54</v>
      </c>
      <c r="AG1330">
        <v>0</v>
      </c>
      <c r="AH1330" t="s">
        <v>1380</v>
      </c>
      <c r="AI1330">
        <f t="shared" si="83"/>
        <v>0</v>
      </c>
      <c r="AJ1330" t="s">
        <v>1391</v>
      </c>
    </row>
    <row r="1331" spans="1:36" x14ac:dyDescent="0.3">
      <c r="A1331" t="s">
        <v>33</v>
      </c>
      <c r="B1331">
        <v>56</v>
      </c>
      <c r="C1331">
        <v>87.994</v>
      </c>
      <c r="D1331">
        <v>1.583</v>
      </c>
      <c r="E1331">
        <v>18.669</v>
      </c>
      <c r="F1331">
        <f t="shared" si="81"/>
        <v>35.114883380708406</v>
      </c>
      <c r="G1331">
        <f t="shared" si="84"/>
        <v>1</v>
      </c>
      <c r="H1331" t="s">
        <v>1398</v>
      </c>
      <c r="I1331">
        <v>116.67100000000001</v>
      </c>
      <c r="J1331" t="s">
        <v>1136</v>
      </c>
      <c r="K1331" s="24">
        <v>159</v>
      </c>
      <c r="L1331" s="24">
        <v>60</v>
      </c>
      <c r="M1331">
        <v>280</v>
      </c>
      <c r="N1331" t="s">
        <v>1432</v>
      </c>
      <c r="O1331">
        <v>46</v>
      </c>
      <c r="Q1331" t="s">
        <v>25</v>
      </c>
      <c r="R1331" t="s">
        <v>25</v>
      </c>
      <c r="S1331" t="s">
        <v>39</v>
      </c>
      <c r="T1331" t="s">
        <v>24</v>
      </c>
      <c r="U1331">
        <f t="shared" si="82"/>
        <v>2</v>
      </c>
      <c r="V1331">
        <v>158.34200000000001</v>
      </c>
      <c r="W1331">
        <v>0.73699999999999999</v>
      </c>
      <c r="X1331" t="s">
        <v>1409</v>
      </c>
      <c r="Y1331">
        <v>159</v>
      </c>
      <c r="Z1331">
        <v>60</v>
      </c>
      <c r="AA1331" t="s">
        <v>40</v>
      </c>
      <c r="AB1331">
        <v>204</v>
      </c>
      <c r="AC1331" s="23">
        <v>4.43</v>
      </c>
      <c r="AD1331" t="str">
        <f>IF(AND('CVD Dataset'!AA1331="Normal",'CVD Dataset'!AB1331&gt;AVERAGE('CVD Dataset'!AB:AB),'CVD Dataset'!AF1331="High"),"High Lipid Category","Normal Category")</f>
        <v>Normal Category</v>
      </c>
      <c r="AE1331">
        <v>19.283999999999999</v>
      </c>
      <c r="AF1331" t="s">
        <v>54</v>
      </c>
      <c r="AG1331">
        <v>0</v>
      </c>
      <c r="AH1331" t="s">
        <v>1380</v>
      </c>
      <c r="AI1331">
        <f t="shared" si="83"/>
        <v>0</v>
      </c>
      <c r="AJ1331" t="s">
        <v>1392</v>
      </c>
    </row>
    <row r="1332" spans="1:36" x14ac:dyDescent="0.3">
      <c r="A1332" t="s">
        <v>22</v>
      </c>
      <c r="B1332">
        <v>35</v>
      </c>
      <c r="C1332">
        <v>92.004999999999995</v>
      </c>
      <c r="D1332">
        <v>1.726</v>
      </c>
      <c r="F1332">
        <f t="shared" si="81"/>
        <v>30.883737105062103</v>
      </c>
      <c r="G1332">
        <f t="shared" si="84"/>
        <v>1</v>
      </c>
      <c r="H1332" t="s">
        <v>1401</v>
      </c>
      <c r="I1332">
        <v>98.691999999999993</v>
      </c>
      <c r="J1332" t="s">
        <v>1137</v>
      </c>
      <c r="K1332" s="24">
        <v>95</v>
      </c>
      <c r="L1332" s="24">
        <v>111</v>
      </c>
      <c r="M1332">
        <v>156</v>
      </c>
      <c r="N1332" t="s">
        <v>1433</v>
      </c>
      <c r="O1332">
        <v>80</v>
      </c>
      <c r="P1332">
        <v>80</v>
      </c>
      <c r="Q1332" t="s">
        <v>24</v>
      </c>
      <c r="R1332" t="s">
        <v>25</v>
      </c>
      <c r="S1332" t="s">
        <v>30</v>
      </c>
      <c r="T1332" t="s">
        <v>24</v>
      </c>
      <c r="U1332">
        <f t="shared" si="82"/>
        <v>1</v>
      </c>
      <c r="V1332">
        <v>172.602</v>
      </c>
      <c r="W1332">
        <v>0.57199999999999995</v>
      </c>
      <c r="X1332" t="s">
        <v>1407</v>
      </c>
      <c r="Y1332">
        <v>95</v>
      </c>
      <c r="Z1332">
        <v>111</v>
      </c>
      <c r="AA1332" t="s">
        <v>40</v>
      </c>
      <c r="AB1332">
        <v>46</v>
      </c>
      <c r="AC1332" s="23">
        <v>0.57999999999999996</v>
      </c>
      <c r="AD1332" t="str">
        <f>IF(AND('CVD Dataset'!AA1332="Normal",'CVD Dataset'!AB1332&gt;AVERAGE('CVD Dataset'!AB:AB),'CVD Dataset'!AF1332="High"),"High Lipid Category","Normal Category")</f>
        <v>Normal Category</v>
      </c>
      <c r="AE1332">
        <v>14.316000000000001</v>
      </c>
      <c r="AF1332" t="s">
        <v>54</v>
      </c>
      <c r="AG1332">
        <v>0</v>
      </c>
      <c r="AH1332" t="s">
        <v>1380</v>
      </c>
      <c r="AI1332">
        <f t="shared" si="83"/>
        <v>0</v>
      </c>
      <c r="AJ1332" t="s">
        <v>1391</v>
      </c>
    </row>
    <row r="1333" spans="1:36" x14ac:dyDescent="0.3">
      <c r="A1333" t="s">
        <v>22</v>
      </c>
      <c r="B1333">
        <v>35</v>
      </c>
      <c r="C1333">
        <v>66.656999999999996</v>
      </c>
      <c r="D1333">
        <v>1.9359999999999999</v>
      </c>
      <c r="E1333">
        <v>31.658000000000001</v>
      </c>
      <c r="F1333">
        <f t="shared" si="81"/>
        <v>17.78422964619903</v>
      </c>
      <c r="G1333">
        <f t="shared" si="84"/>
        <v>1</v>
      </c>
      <c r="H1333" t="s">
        <v>1399</v>
      </c>
      <c r="I1333">
        <v>77.477000000000004</v>
      </c>
      <c r="J1333" t="s">
        <v>1138</v>
      </c>
      <c r="K1333" s="24">
        <v>148</v>
      </c>
      <c r="L1333" s="24">
        <v>93</v>
      </c>
      <c r="M1333">
        <v>251</v>
      </c>
      <c r="N1333" t="s">
        <v>1432</v>
      </c>
      <c r="O1333">
        <v>48</v>
      </c>
      <c r="P1333">
        <v>144</v>
      </c>
      <c r="Q1333" t="s">
        <v>24</v>
      </c>
      <c r="R1333" t="s">
        <v>24</v>
      </c>
      <c r="S1333" t="s">
        <v>39</v>
      </c>
      <c r="T1333" t="s">
        <v>24</v>
      </c>
      <c r="U1333">
        <f t="shared" si="82"/>
        <v>0</v>
      </c>
      <c r="V1333">
        <v>193.578</v>
      </c>
      <c r="W1333">
        <v>0.4</v>
      </c>
      <c r="X1333" t="s">
        <v>1408</v>
      </c>
      <c r="Y1333">
        <v>148</v>
      </c>
      <c r="Z1333">
        <v>93</v>
      </c>
      <c r="AA1333" t="s">
        <v>40</v>
      </c>
      <c r="AB1333">
        <v>173</v>
      </c>
      <c r="AC1333" s="23">
        <v>3.6</v>
      </c>
      <c r="AD1333" t="str">
        <f>IF(AND('CVD Dataset'!AA1333="Normal",'CVD Dataset'!AB1333&gt;AVERAGE('CVD Dataset'!AB:AB),'CVD Dataset'!AF1333="High"),"High Lipid Category","Normal Category")</f>
        <v>Normal Category</v>
      </c>
      <c r="AE1333">
        <v>18.751999999999999</v>
      </c>
      <c r="AF1333" t="s">
        <v>32</v>
      </c>
      <c r="AG1333">
        <v>0</v>
      </c>
      <c r="AH1333" t="s">
        <v>1379</v>
      </c>
      <c r="AI1333">
        <f t="shared" si="83"/>
        <v>1</v>
      </c>
      <c r="AJ1333" t="s">
        <v>1391</v>
      </c>
    </row>
    <row r="1334" spans="1:36" x14ac:dyDescent="0.3">
      <c r="A1334" t="s">
        <v>22</v>
      </c>
      <c r="B1334">
        <v>72</v>
      </c>
      <c r="C1334">
        <v>113.375</v>
      </c>
      <c r="D1334">
        <v>1.8420000000000001</v>
      </c>
      <c r="E1334">
        <v>28.870999999999999</v>
      </c>
      <c r="F1334">
        <f t="shared" si="81"/>
        <v>33.414737085333059</v>
      </c>
      <c r="G1334">
        <f t="shared" si="84"/>
        <v>1</v>
      </c>
      <c r="H1334" t="s">
        <v>1400</v>
      </c>
      <c r="I1334">
        <v>81.93</v>
      </c>
      <c r="J1334" t="s">
        <v>1139</v>
      </c>
      <c r="K1334" s="24">
        <v>177</v>
      </c>
      <c r="L1334" s="24">
        <v>67</v>
      </c>
      <c r="M1334">
        <v>255</v>
      </c>
      <c r="N1334" t="s">
        <v>1432</v>
      </c>
      <c r="O1334">
        <v>76</v>
      </c>
      <c r="P1334">
        <v>94</v>
      </c>
      <c r="Q1334" t="s">
        <v>25</v>
      </c>
      <c r="R1334" t="s">
        <v>24</v>
      </c>
      <c r="S1334" t="s">
        <v>26</v>
      </c>
      <c r="T1334" t="s">
        <v>24</v>
      </c>
      <c r="U1334">
        <f t="shared" si="82"/>
        <v>2</v>
      </c>
      <c r="W1334">
        <v>0.44500000000000001</v>
      </c>
      <c r="X1334" t="s">
        <v>1408</v>
      </c>
      <c r="Y1334">
        <v>177</v>
      </c>
      <c r="Z1334">
        <v>67</v>
      </c>
      <c r="AA1334" t="s">
        <v>40</v>
      </c>
      <c r="AB1334">
        <v>149</v>
      </c>
      <c r="AC1334" s="23">
        <v>1.96</v>
      </c>
      <c r="AD1334" t="str">
        <f>IF(AND('CVD Dataset'!AA1334="Normal",'CVD Dataset'!AB1334&gt;AVERAGE('CVD Dataset'!AB:AB),'CVD Dataset'!AF1334="High"),"High Lipid Category","Normal Category")</f>
        <v>Normal Category</v>
      </c>
      <c r="AE1334">
        <v>19.724</v>
      </c>
      <c r="AF1334" t="s">
        <v>32</v>
      </c>
      <c r="AG1334">
        <v>1</v>
      </c>
      <c r="AH1334" t="s">
        <v>1379</v>
      </c>
      <c r="AI1334">
        <f t="shared" si="83"/>
        <v>1</v>
      </c>
      <c r="AJ1334" t="s">
        <v>1391</v>
      </c>
    </row>
    <row r="1335" spans="1:36" x14ac:dyDescent="0.3">
      <c r="A1335" t="s">
        <v>22</v>
      </c>
      <c r="B1335">
        <v>72</v>
      </c>
      <c r="C1335">
        <v>114.687</v>
      </c>
      <c r="D1335">
        <v>1.611</v>
      </c>
      <c r="E1335">
        <v>39.601999999999997</v>
      </c>
      <c r="F1335">
        <f t="shared" si="81"/>
        <v>44.189909456286912</v>
      </c>
      <c r="G1335">
        <f t="shared" si="84"/>
        <v>1</v>
      </c>
      <c r="H1335" t="s">
        <v>1399</v>
      </c>
      <c r="I1335">
        <v>73.828999999999994</v>
      </c>
      <c r="J1335" t="s">
        <v>1140</v>
      </c>
      <c r="K1335" s="24">
        <v>143</v>
      </c>
      <c r="L1335" s="24">
        <v>62</v>
      </c>
      <c r="M1335">
        <v>137</v>
      </c>
      <c r="N1335" t="s">
        <v>1434</v>
      </c>
      <c r="O1335">
        <v>48</v>
      </c>
      <c r="P1335">
        <v>123</v>
      </c>
      <c r="Q1335" t="s">
        <v>25</v>
      </c>
      <c r="R1335" t="s">
        <v>24</v>
      </c>
      <c r="S1335" t="s">
        <v>26</v>
      </c>
      <c r="T1335" t="s">
        <v>24</v>
      </c>
      <c r="U1335">
        <f t="shared" si="82"/>
        <v>2</v>
      </c>
      <c r="V1335">
        <v>161.12299999999999</v>
      </c>
      <c r="W1335">
        <v>0.45800000000000002</v>
      </c>
      <c r="X1335" t="s">
        <v>1408</v>
      </c>
      <c r="Y1335">
        <v>143</v>
      </c>
      <c r="Z1335">
        <v>62</v>
      </c>
      <c r="AA1335" t="s">
        <v>40</v>
      </c>
      <c r="AB1335">
        <v>59</v>
      </c>
      <c r="AC1335" s="23">
        <v>1.23</v>
      </c>
      <c r="AD1335" t="str">
        <f>IF(AND('CVD Dataset'!AA1335="Normal",'CVD Dataset'!AB1335&gt;AVERAGE('CVD Dataset'!AB:AB),'CVD Dataset'!AF1335="High"),"High Lipid Category","Normal Category")</f>
        <v>Normal Category</v>
      </c>
      <c r="AE1335">
        <v>17.809999999999999</v>
      </c>
      <c r="AF1335" t="s">
        <v>32</v>
      </c>
      <c r="AG1335">
        <v>0</v>
      </c>
      <c r="AH1335" t="s">
        <v>1379</v>
      </c>
      <c r="AI1335">
        <f t="shared" si="83"/>
        <v>1</v>
      </c>
      <c r="AJ1335" t="s">
        <v>1391</v>
      </c>
    </row>
    <row r="1336" spans="1:36" x14ac:dyDescent="0.3">
      <c r="A1336" t="s">
        <v>33</v>
      </c>
      <c r="B1336">
        <v>25</v>
      </c>
      <c r="C1336">
        <v>59.59</v>
      </c>
      <c r="D1336">
        <v>1.5780000000000001</v>
      </c>
      <c r="E1336">
        <v>25.876999999999999</v>
      </c>
      <c r="F1336">
        <f t="shared" si="81"/>
        <v>23.93091959949945</v>
      </c>
      <c r="G1336">
        <f t="shared" si="84"/>
        <v>1</v>
      </c>
      <c r="H1336" t="s">
        <v>1400</v>
      </c>
      <c r="I1336">
        <v>90.146000000000001</v>
      </c>
      <c r="J1336" t="s">
        <v>1141</v>
      </c>
      <c r="K1336" s="24">
        <v>93</v>
      </c>
      <c r="L1336" s="24">
        <v>79</v>
      </c>
      <c r="M1336">
        <v>239</v>
      </c>
      <c r="N1336" t="s">
        <v>1432</v>
      </c>
      <c r="O1336">
        <v>78</v>
      </c>
      <c r="P1336">
        <v>70</v>
      </c>
      <c r="Q1336" t="s">
        <v>24</v>
      </c>
      <c r="R1336" t="s">
        <v>24</v>
      </c>
      <c r="S1336" t="s">
        <v>39</v>
      </c>
      <c r="T1336" t="s">
        <v>25</v>
      </c>
      <c r="U1336">
        <f t="shared" si="82"/>
        <v>1</v>
      </c>
      <c r="V1336">
        <v>157.827</v>
      </c>
      <c r="W1336">
        <v>0.57099999999999995</v>
      </c>
      <c r="X1336" t="s">
        <v>1407</v>
      </c>
      <c r="Y1336">
        <v>93</v>
      </c>
      <c r="Z1336">
        <v>79</v>
      </c>
      <c r="AA1336" t="s">
        <v>35</v>
      </c>
      <c r="AB1336">
        <v>131</v>
      </c>
      <c r="AC1336" s="23">
        <v>1.68</v>
      </c>
      <c r="AD1336" t="str">
        <f>IF(AND('CVD Dataset'!AA1336="Normal",'CVD Dataset'!AB1336&gt;AVERAGE('CVD Dataset'!AB:AB),'CVD Dataset'!AF1336="High"),"High Lipid Category","Normal Category")</f>
        <v>Normal Category</v>
      </c>
      <c r="AE1336">
        <v>14.605</v>
      </c>
      <c r="AF1336" t="s">
        <v>54</v>
      </c>
      <c r="AG1336">
        <v>0</v>
      </c>
      <c r="AH1336" t="s">
        <v>1380</v>
      </c>
      <c r="AI1336">
        <f t="shared" si="83"/>
        <v>0</v>
      </c>
      <c r="AJ1336" t="s">
        <v>1391</v>
      </c>
    </row>
    <row r="1337" spans="1:36" x14ac:dyDescent="0.3">
      <c r="A1337" t="s">
        <v>22</v>
      </c>
      <c r="B1337">
        <v>79</v>
      </c>
      <c r="C1337">
        <v>118.551</v>
      </c>
      <c r="D1337">
        <v>1.8740000000000001</v>
      </c>
      <c r="E1337">
        <v>34.009</v>
      </c>
      <c r="F1337">
        <f t="shared" si="81"/>
        <v>33.757171380766287</v>
      </c>
      <c r="G1337">
        <f t="shared" si="84"/>
        <v>1</v>
      </c>
      <c r="H1337" t="s">
        <v>1399</v>
      </c>
      <c r="I1337">
        <v>95.67</v>
      </c>
      <c r="J1337" t="s">
        <v>1142</v>
      </c>
      <c r="K1337" s="24">
        <v>133</v>
      </c>
      <c r="L1337" s="24">
        <v>110</v>
      </c>
      <c r="M1337">
        <v>116</v>
      </c>
      <c r="N1337" t="s">
        <v>1434</v>
      </c>
      <c r="P1337">
        <v>138</v>
      </c>
      <c r="Q1337" t="s">
        <v>25</v>
      </c>
      <c r="R1337" t="s">
        <v>25</v>
      </c>
      <c r="S1337" t="s">
        <v>26</v>
      </c>
      <c r="T1337" t="s">
        <v>25</v>
      </c>
      <c r="U1337">
        <f t="shared" si="82"/>
        <v>4</v>
      </c>
      <c r="V1337">
        <v>187.40700000000001</v>
      </c>
      <c r="W1337">
        <v>0.51</v>
      </c>
      <c r="X1337" t="s">
        <v>1406</v>
      </c>
      <c r="Y1337">
        <v>133</v>
      </c>
      <c r="AA1337" t="s">
        <v>31</v>
      </c>
      <c r="AB1337">
        <v>37</v>
      </c>
      <c r="AC1337" s="23" t="s">
        <v>1410</v>
      </c>
      <c r="AD1337" t="str">
        <f>IF(AND('CVD Dataset'!AA1337="Normal",'CVD Dataset'!AB1337&gt;AVERAGE('CVD Dataset'!AB:AB),'CVD Dataset'!AF1337="High"),"High Lipid Category","Normal Category")</f>
        <v>Normal Category</v>
      </c>
      <c r="AE1337">
        <v>17.771999999999998</v>
      </c>
      <c r="AF1337" t="s">
        <v>54</v>
      </c>
      <c r="AG1337">
        <v>0</v>
      </c>
      <c r="AH1337" t="s">
        <v>1380</v>
      </c>
      <c r="AI1337">
        <f t="shared" si="83"/>
        <v>0</v>
      </c>
      <c r="AJ1337" t="s">
        <v>1392</v>
      </c>
    </row>
    <row r="1338" spans="1:36" x14ac:dyDescent="0.3">
      <c r="A1338" t="s">
        <v>22</v>
      </c>
      <c r="B1338">
        <v>59</v>
      </c>
      <c r="C1338">
        <v>113.852</v>
      </c>
      <c r="D1338">
        <v>1.8979999999999999</v>
      </c>
      <c r="E1338">
        <v>27.341999999999999</v>
      </c>
      <c r="F1338">
        <f t="shared" si="81"/>
        <v>31.604450805628691</v>
      </c>
      <c r="G1338">
        <f t="shared" si="84"/>
        <v>1</v>
      </c>
      <c r="H1338" t="s">
        <v>1400</v>
      </c>
      <c r="I1338">
        <v>98.588999999999999</v>
      </c>
      <c r="J1338" t="s">
        <v>1143</v>
      </c>
      <c r="K1338" s="24">
        <v>139</v>
      </c>
      <c r="L1338" s="24">
        <v>72</v>
      </c>
      <c r="M1338">
        <v>228</v>
      </c>
      <c r="N1338" t="s">
        <v>1432</v>
      </c>
      <c r="O1338">
        <v>83</v>
      </c>
      <c r="P1338">
        <v>189</v>
      </c>
      <c r="Q1338" t="s">
        <v>25</v>
      </c>
      <c r="R1338" t="s">
        <v>25</v>
      </c>
      <c r="S1338" t="s">
        <v>30</v>
      </c>
      <c r="T1338" t="s">
        <v>24</v>
      </c>
      <c r="U1338">
        <f t="shared" si="82"/>
        <v>2</v>
      </c>
      <c r="W1338">
        <v>0.51900000000000002</v>
      </c>
      <c r="X1338" t="s">
        <v>1406</v>
      </c>
      <c r="Y1338">
        <v>139</v>
      </c>
      <c r="Z1338">
        <v>72</v>
      </c>
      <c r="AA1338" t="s">
        <v>31</v>
      </c>
      <c r="AB1338">
        <v>115</v>
      </c>
      <c r="AC1338" s="23">
        <v>1.39</v>
      </c>
      <c r="AD1338" t="str">
        <f>IF(AND('CVD Dataset'!AA1338="Normal",'CVD Dataset'!AB1338&gt;AVERAGE('CVD Dataset'!AB:AB),'CVD Dataset'!AF1338="High"),"High Lipid Category","Normal Category")</f>
        <v>Normal Category</v>
      </c>
      <c r="AE1338">
        <v>18.978000000000002</v>
      </c>
      <c r="AF1338" t="s">
        <v>54</v>
      </c>
      <c r="AG1338">
        <v>0</v>
      </c>
      <c r="AH1338" t="s">
        <v>1380</v>
      </c>
      <c r="AI1338">
        <f t="shared" si="83"/>
        <v>0</v>
      </c>
      <c r="AJ1338" t="s">
        <v>1392</v>
      </c>
    </row>
    <row r="1339" spans="1:36" x14ac:dyDescent="0.3">
      <c r="A1339" t="s">
        <v>22</v>
      </c>
      <c r="B1339">
        <v>39</v>
      </c>
      <c r="C1339">
        <v>80.778000000000006</v>
      </c>
      <c r="D1339">
        <v>1.514</v>
      </c>
      <c r="E1339">
        <v>39.4</v>
      </c>
      <c r="F1339">
        <f t="shared" si="81"/>
        <v>35.240441916834335</v>
      </c>
      <c r="G1339">
        <f t="shared" si="84"/>
        <v>1</v>
      </c>
      <c r="H1339" t="s">
        <v>1399</v>
      </c>
      <c r="I1339">
        <v>83.332999999999998</v>
      </c>
      <c r="J1339" t="s">
        <v>1144</v>
      </c>
      <c r="K1339" s="24">
        <v>147</v>
      </c>
      <c r="L1339" s="24">
        <v>107</v>
      </c>
      <c r="M1339">
        <v>202</v>
      </c>
      <c r="N1339" t="s">
        <v>1432</v>
      </c>
      <c r="O1339">
        <v>48</v>
      </c>
      <c r="P1339">
        <v>119</v>
      </c>
      <c r="Q1339" t="s">
        <v>25</v>
      </c>
      <c r="R1339" t="s">
        <v>25</v>
      </c>
      <c r="S1339" t="s">
        <v>26</v>
      </c>
      <c r="T1339" t="s">
        <v>25</v>
      </c>
      <c r="U1339">
        <f t="shared" si="82"/>
        <v>4</v>
      </c>
      <c r="V1339">
        <v>151.35400000000001</v>
      </c>
      <c r="W1339">
        <v>0.55100000000000005</v>
      </c>
      <c r="X1339" t="s">
        <v>1407</v>
      </c>
      <c r="Y1339">
        <v>147</v>
      </c>
      <c r="Z1339">
        <v>107</v>
      </c>
      <c r="AA1339" t="s">
        <v>40</v>
      </c>
      <c r="AB1339">
        <v>124</v>
      </c>
      <c r="AC1339" s="23">
        <v>2.58</v>
      </c>
      <c r="AD1339" t="str">
        <f>IF(AND('CVD Dataset'!AA1339="Normal",'CVD Dataset'!AB1339&gt;AVERAGE('CVD Dataset'!AB:AB),'CVD Dataset'!AF1339="High"),"High Lipid Category","Normal Category")</f>
        <v>Normal Category</v>
      </c>
      <c r="AE1339">
        <v>21.27</v>
      </c>
      <c r="AF1339" t="s">
        <v>32</v>
      </c>
      <c r="AG1339">
        <v>0</v>
      </c>
      <c r="AH1339" t="s">
        <v>1379</v>
      </c>
      <c r="AI1339">
        <f t="shared" si="83"/>
        <v>1</v>
      </c>
      <c r="AJ1339" t="s">
        <v>1391</v>
      </c>
    </row>
    <row r="1340" spans="1:36" x14ac:dyDescent="0.3">
      <c r="A1340" t="s">
        <v>22</v>
      </c>
      <c r="B1340">
        <v>70</v>
      </c>
      <c r="C1340">
        <v>80.209999999999994</v>
      </c>
      <c r="D1340">
        <v>1.5169999999999999</v>
      </c>
      <c r="E1340">
        <v>39.329000000000001</v>
      </c>
      <c r="F1340">
        <f t="shared" si="81"/>
        <v>34.854379436915572</v>
      </c>
      <c r="G1340">
        <f t="shared" si="84"/>
        <v>1</v>
      </c>
      <c r="H1340" t="s">
        <v>1399</v>
      </c>
      <c r="I1340">
        <v>84.858999999999995</v>
      </c>
      <c r="J1340" t="s">
        <v>1145</v>
      </c>
      <c r="K1340" s="24">
        <v>90</v>
      </c>
      <c r="L1340" s="24">
        <v>109</v>
      </c>
      <c r="M1340">
        <v>132</v>
      </c>
      <c r="N1340" t="s">
        <v>1434</v>
      </c>
      <c r="P1340">
        <v>194</v>
      </c>
      <c r="Q1340" t="s">
        <v>24</v>
      </c>
      <c r="R1340" t="s">
        <v>25</v>
      </c>
      <c r="S1340" t="s">
        <v>30</v>
      </c>
      <c r="T1340" t="s">
        <v>24</v>
      </c>
      <c r="U1340">
        <f t="shared" si="82"/>
        <v>1</v>
      </c>
      <c r="V1340">
        <v>151.70699999999999</v>
      </c>
      <c r="W1340">
        <v>0.55900000000000005</v>
      </c>
      <c r="X1340" t="s">
        <v>1407</v>
      </c>
      <c r="Y1340">
        <v>90</v>
      </c>
      <c r="Z1340">
        <v>109</v>
      </c>
      <c r="AA1340" t="s">
        <v>40</v>
      </c>
      <c r="AB1340">
        <v>62</v>
      </c>
      <c r="AC1340" s="23" t="s">
        <v>1410</v>
      </c>
      <c r="AD1340" t="str">
        <f>IF(AND('CVD Dataset'!AA1340="Normal",'CVD Dataset'!AB1340&gt;AVERAGE('CVD Dataset'!AB:AB),'CVD Dataset'!AF1340="High"),"High Lipid Category","Normal Category")</f>
        <v>Normal Category</v>
      </c>
      <c r="AE1340">
        <v>17.006</v>
      </c>
      <c r="AF1340" t="s">
        <v>32</v>
      </c>
      <c r="AG1340">
        <v>0</v>
      </c>
      <c r="AH1340" t="s">
        <v>1379</v>
      </c>
      <c r="AI1340">
        <f t="shared" si="83"/>
        <v>1</v>
      </c>
      <c r="AJ1340" t="s">
        <v>1392</v>
      </c>
    </row>
    <row r="1341" spans="1:36" x14ac:dyDescent="0.3">
      <c r="A1341" t="s">
        <v>22</v>
      </c>
      <c r="B1341">
        <v>29</v>
      </c>
      <c r="C1341">
        <v>99.355000000000004</v>
      </c>
      <c r="E1341">
        <v>38.600999999999999</v>
      </c>
      <c r="F1341" t="str">
        <f t="shared" si="81"/>
        <v/>
      </c>
      <c r="G1341" t="str">
        <f t="shared" si="84"/>
        <v/>
      </c>
      <c r="H1341" t="s">
        <v>1399</v>
      </c>
      <c r="I1341">
        <v>106.727</v>
      </c>
      <c r="J1341" t="s">
        <v>1146</v>
      </c>
      <c r="K1341" s="24">
        <v>169</v>
      </c>
      <c r="L1341" s="24">
        <v>119</v>
      </c>
      <c r="M1341">
        <v>261</v>
      </c>
      <c r="N1341" t="s">
        <v>1432</v>
      </c>
      <c r="O1341">
        <v>43</v>
      </c>
      <c r="P1341">
        <v>169</v>
      </c>
      <c r="Q1341" t="s">
        <v>25</v>
      </c>
      <c r="R1341" t="s">
        <v>24</v>
      </c>
      <c r="S1341" t="s">
        <v>39</v>
      </c>
      <c r="T1341" t="s">
        <v>25</v>
      </c>
      <c r="U1341">
        <f t="shared" si="82"/>
        <v>2</v>
      </c>
      <c r="V1341">
        <v>181.11199999999999</v>
      </c>
      <c r="W1341">
        <v>0.58899999999999997</v>
      </c>
      <c r="X1341" t="s">
        <v>1409</v>
      </c>
      <c r="Y1341">
        <v>169</v>
      </c>
      <c r="Z1341">
        <v>119</v>
      </c>
      <c r="AA1341" t="s">
        <v>40</v>
      </c>
      <c r="AB1341">
        <v>188</v>
      </c>
      <c r="AC1341" s="23">
        <v>4.37</v>
      </c>
      <c r="AD1341" t="str">
        <f>IF(AND('CVD Dataset'!AA1341="Normal",'CVD Dataset'!AB1341&gt;AVERAGE('CVD Dataset'!AB:AB),'CVD Dataset'!AF1341="High"),"High Lipid Category","Normal Category")</f>
        <v>Normal Category</v>
      </c>
      <c r="AE1341">
        <v>21.39</v>
      </c>
      <c r="AF1341" t="s">
        <v>32</v>
      </c>
      <c r="AG1341">
        <v>0</v>
      </c>
      <c r="AH1341" t="s">
        <v>1379</v>
      </c>
      <c r="AI1341">
        <f t="shared" si="83"/>
        <v>1</v>
      </c>
      <c r="AJ1341" t="s">
        <v>1391</v>
      </c>
    </row>
    <row r="1342" spans="1:36" x14ac:dyDescent="0.3">
      <c r="A1342" t="s">
        <v>22</v>
      </c>
      <c r="B1342">
        <v>39</v>
      </c>
      <c r="C1342">
        <v>64.724000000000004</v>
      </c>
      <c r="D1342">
        <v>1.8440000000000001</v>
      </c>
      <c r="E1342">
        <v>25.879000000000001</v>
      </c>
      <c r="F1342">
        <f t="shared" si="81"/>
        <v>19.034589522917734</v>
      </c>
      <c r="G1342">
        <f t="shared" si="84"/>
        <v>1</v>
      </c>
      <c r="H1342" t="s">
        <v>1400</v>
      </c>
      <c r="I1342">
        <v>87.762</v>
      </c>
      <c r="J1342" t="s">
        <v>1147</v>
      </c>
      <c r="K1342" s="24">
        <v>149</v>
      </c>
      <c r="L1342" s="24">
        <v>82</v>
      </c>
      <c r="M1342">
        <v>108</v>
      </c>
      <c r="N1342" t="s">
        <v>1434</v>
      </c>
      <c r="O1342">
        <v>50</v>
      </c>
      <c r="P1342">
        <v>92</v>
      </c>
      <c r="Q1342" t="s">
        <v>25</v>
      </c>
      <c r="R1342" t="s">
        <v>24</v>
      </c>
      <c r="S1342" t="s">
        <v>39</v>
      </c>
      <c r="T1342" t="s">
        <v>24</v>
      </c>
      <c r="U1342">
        <f t="shared" si="82"/>
        <v>1</v>
      </c>
      <c r="V1342">
        <v>184.44900000000001</v>
      </c>
      <c r="W1342">
        <v>0.47599999999999998</v>
      </c>
      <c r="X1342" t="s">
        <v>1406</v>
      </c>
      <c r="Y1342">
        <v>149</v>
      </c>
      <c r="Z1342">
        <v>82</v>
      </c>
      <c r="AA1342" t="s">
        <v>31</v>
      </c>
      <c r="AB1342">
        <v>28</v>
      </c>
      <c r="AC1342" s="23">
        <v>0.56000000000000005</v>
      </c>
      <c r="AD1342" t="str">
        <f>IF(AND('CVD Dataset'!AA1342="Normal",'CVD Dataset'!AB1342&gt;AVERAGE('CVD Dataset'!AB:AB),'CVD Dataset'!AF1342="High"),"High Lipid Category","Normal Category")</f>
        <v>Normal Category</v>
      </c>
      <c r="AE1342">
        <v>14.786</v>
      </c>
      <c r="AF1342" t="s">
        <v>32</v>
      </c>
      <c r="AG1342">
        <v>0</v>
      </c>
      <c r="AH1342" t="s">
        <v>1379</v>
      </c>
      <c r="AI1342">
        <f t="shared" si="83"/>
        <v>1</v>
      </c>
      <c r="AJ1342" t="s">
        <v>1391</v>
      </c>
    </row>
    <row r="1343" spans="1:36" x14ac:dyDescent="0.3">
      <c r="A1343" t="s">
        <v>33</v>
      </c>
      <c r="B1343">
        <v>26</v>
      </c>
      <c r="C1343">
        <v>61.716999999999999</v>
      </c>
      <c r="D1343">
        <v>1.7010000000000001</v>
      </c>
      <c r="E1343">
        <v>26.474</v>
      </c>
      <c r="F1343">
        <f t="shared" si="81"/>
        <v>21.330261515773305</v>
      </c>
      <c r="G1343">
        <f t="shared" si="84"/>
        <v>1</v>
      </c>
      <c r="H1343" t="s">
        <v>1400</v>
      </c>
      <c r="I1343">
        <v>102.253</v>
      </c>
      <c r="J1343" t="s">
        <v>1141</v>
      </c>
      <c r="K1343" s="24">
        <v>93</v>
      </c>
      <c r="L1343" s="24">
        <v>79</v>
      </c>
      <c r="M1343">
        <v>284</v>
      </c>
      <c r="N1343" t="s">
        <v>1432</v>
      </c>
      <c r="O1343">
        <v>82</v>
      </c>
      <c r="P1343">
        <v>95</v>
      </c>
      <c r="Q1343" t="s">
        <v>24</v>
      </c>
      <c r="R1343" t="s">
        <v>25</v>
      </c>
      <c r="S1343" t="s">
        <v>39</v>
      </c>
      <c r="T1343" t="s">
        <v>24</v>
      </c>
      <c r="U1343">
        <f t="shared" si="82"/>
        <v>1</v>
      </c>
      <c r="V1343">
        <v>170.12</v>
      </c>
      <c r="W1343">
        <v>0.60099999999999998</v>
      </c>
      <c r="X1343" t="s">
        <v>1409</v>
      </c>
      <c r="Y1343">
        <v>93</v>
      </c>
      <c r="Z1343">
        <v>79</v>
      </c>
      <c r="AA1343" t="s">
        <v>35</v>
      </c>
      <c r="AC1343" s="23">
        <v>0</v>
      </c>
      <c r="AD1343" t="str">
        <f>IF(AND('CVD Dataset'!AA1343="Normal",'CVD Dataset'!AB1343&gt;AVERAGE('CVD Dataset'!AB:AB),'CVD Dataset'!AF1343="High"),"High Lipid Category","Normal Category")</f>
        <v>Normal Category</v>
      </c>
      <c r="AE1343">
        <v>17.625</v>
      </c>
      <c r="AF1343" t="s">
        <v>54</v>
      </c>
      <c r="AG1343">
        <v>0</v>
      </c>
      <c r="AH1343" t="s">
        <v>1380</v>
      </c>
      <c r="AI1343">
        <f t="shared" si="83"/>
        <v>0</v>
      </c>
      <c r="AJ1343" t="s">
        <v>1391</v>
      </c>
    </row>
    <row r="1344" spans="1:36" x14ac:dyDescent="0.3">
      <c r="A1344" t="s">
        <v>22</v>
      </c>
      <c r="B1344">
        <v>41</v>
      </c>
      <c r="C1344">
        <v>110.67100000000001</v>
      </c>
      <c r="D1344">
        <v>1.853</v>
      </c>
      <c r="E1344">
        <v>33.140999999999998</v>
      </c>
      <c r="F1344">
        <f t="shared" si="81"/>
        <v>32.231683922077323</v>
      </c>
      <c r="G1344">
        <f t="shared" si="84"/>
        <v>1</v>
      </c>
      <c r="H1344" t="s">
        <v>1399</v>
      </c>
      <c r="I1344">
        <v>113.437</v>
      </c>
      <c r="J1344" t="s">
        <v>88</v>
      </c>
      <c r="K1344" s="24">
        <v>102</v>
      </c>
      <c r="L1344" s="24">
        <v>71</v>
      </c>
      <c r="M1344">
        <v>136</v>
      </c>
      <c r="N1344" t="s">
        <v>1434</v>
      </c>
      <c r="O1344">
        <v>62</v>
      </c>
      <c r="P1344">
        <v>181</v>
      </c>
      <c r="Q1344" t="s">
        <v>24</v>
      </c>
      <c r="R1344" t="s">
        <v>24</v>
      </c>
      <c r="S1344" t="s">
        <v>26</v>
      </c>
      <c r="T1344" t="s">
        <v>24</v>
      </c>
      <c r="U1344">
        <f t="shared" si="82"/>
        <v>1</v>
      </c>
      <c r="V1344">
        <v>185.345</v>
      </c>
      <c r="W1344">
        <v>0.61199999999999999</v>
      </c>
      <c r="X1344" t="s">
        <v>1409</v>
      </c>
      <c r="Y1344">
        <v>102</v>
      </c>
      <c r="Z1344">
        <v>71</v>
      </c>
      <c r="AA1344" t="s">
        <v>35</v>
      </c>
      <c r="AB1344">
        <v>44</v>
      </c>
      <c r="AC1344" s="23">
        <v>0.71</v>
      </c>
      <c r="AD1344" t="str">
        <f>IF(AND('CVD Dataset'!AA1344="Normal",'CVD Dataset'!AB1344&gt;AVERAGE('CVD Dataset'!AB:AB),'CVD Dataset'!AF1344="High"),"High Lipid Category","Normal Category")</f>
        <v>Normal Category</v>
      </c>
      <c r="AE1344">
        <v>14.448</v>
      </c>
      <c r="AF1344" t="s">
        <v>28</v>
      </c>
      <c r="AG1344">
        <v>0</v>
      </c>
      <c r="AH1344" t="s">
        <v>1380</v>
      </c>
      <c r="AI1344">
        <f t="shared" si="83"/>
        <v>0</v>
      </c>
      <c r="AJ1344" t="s">
        <v>1391</v>
      </c>
    </row>
    <row r="1345" spans="1:36" x14ac:dyDescent="0.3">
      <c r="A1345" t="s">
        <v>22</v>
      </c>
      <c r="B1345">
        <v>63</v>
      </c>
      <c r="C1345">
        <v>102.85899999999999</v>
      </c>
      <c r="D1345">
        <v>1.593</v>
      </c>
      <c r="E1345">
        <v>38.125</v>
      </c>
      <c r="F1345">
        <f t="shared" si="81"/>
        <v>40.533186425703477</v>
      </c>
      <c r="G1345">
        <f t="shared" si="84"/>
        <v>1</v>
      </c>
      <c r="H1345" t="s">
        <v>1399</v>
      </c>
      <c r="I1345">
        <v>73.057000000000002</v>
      </c>
      <c r="J1345" t="s">
        <v>1148</v>
      </c>
      <c r="K1345" s="24">
        <v>125</v>
      </c>
      <c r="L1345" s="24">
        <v>94</v>
      </c>
      <c r="M1345">
        <v>126</v>
      </c>
      <c r="N1345" t="s">
        <v>1434</v>
      </c>
      <c r="O1345">
        <v>33</v>
      </c>
      <c r="P1345">
        <v>102</v>
      </c>
      <c r="Q1345" t="s">
        <v>25</v>
      </c>
      <c r="R1345" t="s">
        <v>24</v>
      </c>
      <c r="S1345" t="s">
        <v>30</v>
      </c>
      <c r="T1345" t="s">
        <v>24</v>
      </c>
      <c r="U1345">
        <f t="shared" si="82"/>
        <v>1</v>
      </c>
      <c r="V1345">
        <v>159.33099999999999</v>
      </c>
      <c r="W1345">
        <v>0.45900000000000002</v>
      </c>
      <c r="X1345" t="s">
        <v>1408</v>
      </c>
      <c r="Y1345">
        <v>125</v>
      </c>
      <c r="Z1345">
        <v>94</v>
      </c>
      <c r="AA1345" t="s">
        <v>40</v>
      </c>
      <c r="AB1345">
        <v>63</v>
      </c>
      <c r="AC1345" s="23">
        <v>1.91</v>
      </c>
      <c r="AD1345" t="str">
        <f>IF(AND('CVD Dataset'!AA1345="Normal",'CVD Dataset'!AB1345&gt;AVERAGE('CVD Dataset'!AB:AB),'CVD Dataset'!AF1345="High"),"High Lipid Category","Normal Category")</f>
        <v>Normal Category</v>
      </c>
      <c r="AE1345">
        <v>16.395</v>
      </c>
      <c r="AF1345" t="s">
        <v>32</v>
      </c>
      <c r="AG1345">
        <v>0</v>
      </c>
      <c r="AH1345" t="s">
        <v>1379</v>
      </c>
      <c r="AI1345">
        <f t="shared" si="83"/>
        <v>1</v>
      </c>
      <c r="AJ1345" t="s">
        <v>1391</v>
      </c>
    </row>
    <row r="1346" spans="1:36" x14ac:dyDescent="0.3">
      <c r="A1346" t="s">
        <v>33</v>
      </c>
      <c r="C1346">
        <v>61.262</v>
      </c>
      <c r="D1346">
        <v>1.712</v>
      </c>
      <c r="E1346">
        <v>23.332999999999998</v>
      </c>
      <c r="F1346">
        <f t="shared" si="81"/>
        <v>20.901798191981833</v>
      </c>
      <c r="G1346">
        <f t="shared" si="84"/>
        <v>1</v>
      </c>
      <c r="H1346" t="s">
        <v>1398</v>
      </c>
      <c r="I1346">
        <v>98.600999999999999</v>
      </c>
      <c r="J1346" t="s">
        <v>1149</v>
      </c>
      <c r="K1346" s="24">
        <v>129</v>
      </c>
      <c r="L1346" s="24">
        <v>85</v>
      </c>
      <c r="M1346">
        <v>103</v>
      </c>
      <c r="N1346" t="s">
        <v>1434</v>
      </c>
      <c r="O1346">
        <v>83</v>
      </c>
      <c r="P1346">
        <v>127</v>
      </c>
      <c r="Q1346" t="s">
        <v>24</v>
      </c>
      <c r="R1346" t="s">
        <v>25</v>
      </c>
      <c r="S1346" t="s">
        <v>39</v>
      </c>
      <c r="T1346" t="s">
        <v>25</v>
      </c>
      <c r="U1346">
        <f t="shared" si="82"/>
        <v>2</v>
      </c>
      <c r="V1346">
        <v>171.21799999999999</v>
      </c>
      <c r="W1346">
        <v>0.57599999999999996</v>
      </c>
      <c r="X1346" t="s">
        <v>1407</v>
      </c>
      <c r="Y1346">
        <v>129</v>
      </c>
      <c r="Z1346">
        <v>85</v>
      </c>
      <c r="AA1346" t="s">
        <v>31</v>
      </c>
      <c r="AB1346">
        <v>-10</v>
      </c>
      <c r="AC1346" s="23">
        <v>-0.12</v>
      </c>
      <c r="AD1346" t="str">
        <f>IF(AND('CVD Dataset'!AA1346="Normal",'CVD Dataset'!AB1346&gt;AVERAGE('CVD Dataset'!AB:AB),'CVD Dataset'!AF1346="High"),"High Lipid Category","Normal Category")</f>
        <v>Normal Category</v>
      </c>
      <c r="AE1346">
        <v>15.177</v>
      </c>
      <c r="AF1346" t="s">
        <v>32</v>
      </c>
      <c r="AG1346">
        <v>1</v>
      </c>
      <c r="AH1346" t="s">
        <v>1379</v>
      </c>
      <c r="AI1346">
        <f t="shared" si="83"/>
        <v>1</v>
      </c>
      <c r="AJ1346" t="s">
        <v>1391</v>
      </c>
    </row>
    <row r="1347" spans="1:36" x14ac:dyDescent="0.3">
      <c r="A1347" t="s">
        <v>33</v>
      </c>
      <c r="B1347">
        <v>66</v>
      </c>
      <c r="C1347">
        <v>97.128</v>
      </c>
      <c r="D1347">
        <v>1.6619999999999999</v>
      </c>
      <c r="E1347">
        <v>20.533000000000001</v>
      </c>
      <c r="F1347">
        <f t="shared" ref="F1347:F1410" si="85">IFERROR(C1347/POWER(D1347,2),"")</f>
        <v>35.162715531285436</v>
      </c>
      <c r="G1347">
        <f t="shared" si="84"/>
        <v>1</v>
      </c>
      <c r="H1347" t="s">
        <v>1398</v>
      </c>
      <c r="I1347">
        <v>99.930999999999997</v>
      </c>
      <c r="J1347" t="s">
        <v>1150</v>
      </c>
      <c r="K1347" s="24">
        <v>143</v>
      </c>
      <c r="L1347" s="24">
        <v>91</v>
      </c>
      <c r="M1347">
        <v>260</v>
      </c>
      <c r="N1347" t="s">
        <v>1432</v>
      </c>
      <c r="O1347">
        <v>60</v>
      </c>
      <c r="P1347">
        <v>105</v>
      </c>
      <c r="Q1347" t="s">
        <v>24</v>
      </c>
      <c r="R1347" t="s">
        <v>24</v>
      </c>
      <c r="S1347" t="s">
        <v>26</v>
      </c>
      <c r="T1347" t="s">
        <v>24</v>
      </c>
      <c r="U1347">
        <f t="shared" ref="U1347:U1410" si="86">SUM(IF(Q1347="Y",1,0),IF(R1347="Y",1,0),IF(S1347="Low",1,0),IF(T1347="Y",1,0))</f>
        <v>1</v>
      </c>
      <c r="V1347">
        <v>166.203</v>
      </c>
      <c r="W1347">
        <v>0.60099999999999998</v>
      </c>
      <c r="X1347" t="s">
        <v>1409</v>
      </c>
      <c r="Y1347">
        <v>143</v>
      </c>
      <c r="Z1347">
        <v>91</v>
      </c>
      <c r="AA1347" t="s">
        <v>40</v>
      </c>
      <c r="AB1347">
        <v>170</v>
      </c>
      <c r="AC1347" s="23">
        <v>2.83</v>
      </c>
      <c r="AD1347" t="str">
        <f>IF(AND('CVD Dataset'!AA1347="Normal",'CVD Dataset'!AB1347&gt;AVERAGE('CVD Dataset'!AB:AB),'CVD Dataset'!AF1347="High"),"High Lipid Category","Normal Category")</f>
        <v>Normal Category</v>
      </c>
      <c r="AE1347">
        <v>16.457000000000001</v>
      </c>
      <c r="AF1347" t="s">
        <v>54</v>
      </c>
      <c r="AG1347">
        <v>0</v>
      </c>
      <c r="AH1347" t="s">
        <v>1380</v>
      </c>
      <c r="AI1347">
        <f t="shared" ref="AI1347:AI1410" si="87">IF(AF1347="HIGH",1,0)</f>
        <v>0</v>
      </c>
      <c r="AJ1347" t="s">
        <v>1391</v>
      </c>
    </row>
    <row r="1348" spans="1:36" x14ac:dyDescent="0.3">
      <c r="A1348" t="s">
        <v>22</v>
      </c>
      <c r="B1348">
        <v>26</v>
      </c>
      <c r="C1348">
        <v>75.631</v>
      </c>
      <c r="D1348">
        <v>1.7749999999999999</v>
      </c>
      <c r="E1348">
        <v>31.672000000000001</v>
      </c>
      <c r="F1348">
        <f t="shared" si="85"/>
        <v>24.005078357468758</v>
      </c>
      <c r="G1348">
        <f t="shared" si="84"/>
        <v>1</v>
      </c>
      <c r="H1348" t="s">
        <v>1399</v>
      </c>
      <c r="I1348">
        <v>113.36199999999999</v>
      </c>
      <c r="J1348" t="s">
        <v>1151</v>
      </c>
      <c r="K1348" s="24">
        <v>104</v>
      </c>
      <c r="L1348" s="24">
        <v>113</v>
      </c>
      <c r="M1348">
        <v>278</v>
      </c>
      <c r="N1348" t="s">
        <v>1432</v>
      </c>
      <c r="O1348">
        <v>89</v>
      </c>
      <c r="P1348">
        <v>191</v>
      </c>
      <c r="Q1348" t="s">
        <v>25</v>
      </c>
      <c r="R1348" t="s">
        <v>25</v>
      </c>
      <c r="S1348" t="s">
        <v>30</v>
      </c>
      <c r="T1348" t="s">
        <v>24</v>
      </c>
      <c r="U1348">
        <f t="shared" si="86"/>
        <v>2</v>
      </c>
      <c r="V1348">
        <v>177.47</v>
      </c>
      <c r="W1348">
        <v>0.63900000000000001</v>
      </c>
      <c r="X1348" t="s">
        <v>1409</v>
      </c>
      <c r="Y1348">
        <v>104</v>
      </c>
      <c r="Z1348">
        <v>113</v>
      </c>
      <c r="AA1348" t="s">
        <v>40</v>
      </c>
      <c r="AB1348">
        <v>159</v>
      </c>
      <c r="AC1348" s="23">
        <v>1.79</v>
      </c>
      <c r="AD1348" t="str">
        <f>IF(AND('CVD Dataset'!AA1348="Normal",'CVD Dataset'!AB1348&gt;AVERAGE('CVD Dataset'!AB:AB),'CVD Dataset'!AF1348="High"),"High Lipid Category","Normal Category")</f>
        <v>Normal Category</v>
      </c>
      <c r="AE1348">
        <v>19.094000000000001</v>
      </c>
      <c r="AF1348" t="s">
        <v>54</v>
      </c>
      <c r="AG1348">
        <v>0</v>
      </c>
      <c r="AH1348" t="s">
        <v>1380</v>
      </c>
      <c r="AI1348">
        <f t="shared" si="87"/>
        <v>0</v>
      </c>
      <c r="AJ1348" t="s">
        <v>1391</v>
      </c>
    </row>
    <row r="1349" spans="1:36" x14ac:dyDescent="0.3">
      <c r="A1349" t="s">
        <v>22</v>
      </c>
      <c r="B1349">
        <v>58</v>
      </c>
      <c r="C1349">
        <v>76.506</v>
      </c>
      <c r="D1349">
        <v>1.5129999999999999</v>
      </c>
      <c r="E1349">
        <v>24.196999999999999</v>
      </c>
      <c r="F1349">
        <f t="shared" si="85"/>
        <v>33.420861456712025</v>
      </c>
      <c r="G1349">
        <f t="shared" si="84"/>
        <v>1</v>
      </c>
      <c r="H1349" t="s">
        <v>1398</v>
      </c>
      <c r="I1349">
        <v>118.583</v>
      </c>
      <c r="J1349" t="s">
        <v>1152</v>
      </c>
      <c r="K1349" s="24">
        <v>115</v>
      </c>
      <c r="L1349" s="24">
        <v>105</v>
      </c>
      <c r="N1349" t="s">
        <v>1434</v>
      </c>
      <c r="O1349">
        <v>63</v>
      </c>
      <c r="P1349">
        <v>120</v>
      </c>
      <c r="Q1349" t="s">
        <v>25</v>
      </c>
      <c r="R1349" t="s">
        <v>24</v>
      </c>
      <c r="S1349" t="s">
        <v>39</v>
      </c>
      <c r="T1349" t="s">
        <v>24</v>
      </c>
      <c r="U1349">
        <f t="shared" si="86"/>
        <v>1</v>
      </c>
      <c r="V1349">
        <v>151.29599999999999</v>
      </c>
      <c r="W1349">
        <v>0.78400000000000003</v>
      </c>
      <c r="X1349" t="s">
        <v>1409</v>
      </c>
      <c r="Y1349">
        <v>115</v>
      </c>
      <c r="AA1349" t="s">
        <v>40</v>
      </c>
      <c r="AB1349">
        <v>41</v>
      </c>
      <c r="AC1349" s="23">
        <v>0.65</v>
      </c>
      <c r="AD1349" t="str">
        <f>IF(AND('CVD Dataset'!AA1349="Normal",'CVD Dataset'!AB1349&gt;AVERAGE('CVD Dataset'!AB:AB),'CVD Dataset'!AF1349="High"),"High Lipid Category","Normal Category")</f>
        <v>Normal Category</v>
      </c>
      <c r="AE1349">
        <v>13.269</v>
      </c>
      <c r="AF1349" t="s">
        <v>28</v>
      </c>
      <c r="AG1349">
        <v>0</v>
      </c>
      <c r="AH1349" t="s">
        <v>1380</v>
      </c>
      <c r="AI1349">
        <f t="shared" si="87"/>
        <v>0</v>
      </c>
      <c r="AJ1349" t="s">
        <v>1391</v>
      </c>
    </row>
    <row r="1350" spans="1:36" x14ac:dyDescent="0.3">
      <c r="A1350" t="s">
        <v>22</v>
      </c>
      <c r="B1350">
        <v>57</v>
      </c>
      <c r="C1350">
        <v>92.923000000000002</v>
      </c>
      <c r="D1350">
        <v>1.8420000000000001</v>
      </c>
      <c r="E1350">
        <v>33.116</v>
      </c>
      <c r="F1350">
        <f t="shared" si="85"/>
        <v>27.386969033564753</v>
      </c>
      <c r="G1350">
        <f t="shared" si="84"/>
        <v>1</v>
      </c>
      <c r="H1350" t="s">
        <v>1399</v>
      </c>
      <c r="I1350">
        <v>106.315</v>
      </c>
      <c r="J1350" t="s">
        <v>1128</v>
      </c>
      <c r="K1350" s="24">
        <v>101</v>
      </c>
      <c r="L1350" s="24">
        <v>91</v>
      </c>
      <c r="M1350">
        <v>158</v>
      </c>
      <c r="N1350" t="s">
        <v>1433</v>
      </c>
      <c r="O1350">
        <v>71</v>
      </c>
      <c r="P1350">
        <v>76</v>
      </c>
      <c r="Q1350" t="s">
        <v>24</v>
      </c>
      <c r="R1350" t="s">
        <v>25</v>
      </c>
      <c r="S1350" t="s">
        <v>30</v>
      </c>
      <c r="T1350" t="s">
        <v>25</v>
      </c>
      <c r="U1350">
        <f t="shared" si="86"/>
        <v>2</v>
      </c>
      <c r="V1350">
        <v>184.172</v>
      </c>
      <c r="W1350">
        <v>0.57699999999999996</v>
      </c>
      <c r="X1350" t="s">
        <v>1407</v>
      </c>
      <c r="Y1350">
        <v>101</v>
      </c>
      <c r="Z1350">
        <v>91</v>
      </c>
      <c r="AA1350" t="s">
        <v>40</v>
      </c>
      <c r="AB1350">
        <v>57</v>
      </c>
      <c r="AC1350" s="23">
        <v>0.8</v>
      </c>
      <c r="AD1350" t="str">
        <f>IF(AND('CVD Dataset'!AA1350="Normal",'CVD Dataset'!AB1350&gt;AVERAGE('CVD Dataset'!AB:AB),'CVD Dataset'!AF1350="High"),"High Lipid Category","Normal Category")</f>
        <v>Normal Category</v>
      </c>
      <c r="AE1350">
        <v>16.832999999999998</v>
      </c>
      <c r="AF1350" t="s">
        <v>28</v>
      </c>
      <c r="AG1350">
        <v>0</v>
      </c>
      <c r="AH1350" t="s">
        <v>1380</v>
      </c>
      <c r="AI1350">
        <f t="shared" si="87"/>
        <v>0</v>
      </c>
      <c r="AJ1350" t="s">
        <v>1392</v>
      </c>
    </row>
    <row r="1351" spans="1:36" x14ac:dyDescent="0.3">
      <c r="A1351" t="s">
        <v>22</v>
      </c>
      <c r="B1351">
        <v>72</v>
      </c>
      <c r="C1351">
        <v>97.58</v>
      </c>
      <c r="D1351">
        <v>1.5049999999999999</v>
      </c>
      <c r="E1351">
        <v>24.2</v>
      </c>
      <c r="F1351">
        <f t="shared" si="85"/>
        <v>43.081202194236276</v>
      </c>
      <c r="G1351">
        <f t="shared" si="84"/>
        <v>1</v>
      </c>
      <c r="H1351" t="s">
        <v>1398</v>
      </c>
      <c r="I1351">
        <v>95.757999999999996</v>
      </c>
      <c r="J1351" t="s">
        <v>983</v>
      </c>
      <c r="K1351" s="24">
        <v>162</v>
      </c>
      <c r="L1351" s="24">
        <v>106</v>
      </c>
      <c r="M1351">
        <v>245</v>
      </c>
      <c r="N1351" t="s">
        <v>1432</v>
      </c>
      <c r="O1351">
        <v>58</v>
      </c>
      <c r="P1351">
        <v>194</v>
      </c>
      <c r="Q1351" t="s">
        <v>25</v>
      </c>
      <c r="R1351" t="s">
        <v>24</v>
      </c>
      <c r="S1351" t="s">
        <v>30</v>
      </c>
      <c r="T1351" t="s">
        <v>25</v>
      </c>
      <c r="U1351">
        <f t="shared" si="86"/>
        <v>2</v>
      </c>
      <c r="W1351">
        <v>0.63600000000000001</v>
      </c>
      <c r="X1351" t="s">
        <v>1409</v>
      </c>
      <c r="Y1351">
        <v>162</v>
      </c>
      <c r="AA1351" t="s">
        <v>40</v>
      </c>
      <c r="AB1351">
        <v>157</v>
      </c>
      <c r="AC1351" s="23">
        <v>2.71</v>
      </c>
      <c r="AD1351" t="str">
        <f>IF(AND('CVD Dataset'!AA1351="Normal",'CVD Dataset'!AB1351&gt;AVERAGE('CVD Dataset'!AB:AB),'CVD Dataset'!AF1351="High"),"High Lipid Category","Normal Category")</f>
        <v>Normal Category</v>
      </c>
      <c r="AE1351">
        <v>17.84</v>
      </c>
      <c r="AF1351" t="s">
        <v>28</v>
      </c>
      <c r="AG1351">
        <v>0</v>
      </c>
      <c r="AH1351" t="s">
        <v>1380</v>
      </c>
      <c r="AI1351">
        <f t="shared" si="87"/>
        <v>0</v>
      </c>
      <c r="AJ1351" t="s">
        <v>1391</v>
      </c>
    </row>
    <row r="1352" spans="1:36" x14ac:dyDescent="0.3">
      <c r="A1352" t="s">
        <v>33</v>
      </c>
      <c r="B1352">
        <v>71</v>
      </c>
      <c r="C1352">
        <v>73.605999999999995</v>
      </c>
      <c r="D1352">
        <v>1.72</v>
      </c>
      <c r="E1352">
        <v>31.202999999999999</v>
      </c>
      <c r="F1352">
        <f t="shared" si="85"/>
        <v>24.880340724716064</v>
      </c>
      <c r="G1352">
        <f t="shared" si="84"/>
        <v>1</v>
      </c>
      <c r="H1352" t="s">
        <v>1399</v>
      </c>
      <c r="I1352">
        <v>91.233999999999995</v>
      </c>
      <c r="J1352" t="s">
        <v>1153</v>
      </c>
      <c r="K1352" s="24">
        <v>105</v>
      </c>
      <c r="L1352" s="24">
        <v>107</v>
      </c>
      <c r="M1352">
        <v>235</v>
      </c>
      <c r="N1352" t="s">
        <v>1432</v>
      </c>
      <c r="O1352">
        <v>32</v>
      </c>
      <c r="P1352">
        <v>174</v>
      </c>
      <c r="Q1352" t="s">
        <v>24</v>
      </c>
      <c r="R1352" t="s">
        <v>25</v>
      </c>
      <c r="S1352" t="s">
        <v>39</v>
      </c>
      <c r="T1352" t="s">
        <v>25</v>
      </c>
      <c r="U1352">
        <f t="shared" si="86"/>
        <v>2</v>
      </c>
      <c r="W1352">
        <v>0.53</v>
      </c>
      <c r="X1352" t="s">
        <v>1407</v>
      </c>
      <c r="Y1352">
        <v>105</v>
      </c>
      <c r="Z1352">
        <v>107</v>
      </c>
      <c r="AA1352" t="s">
        <v>40</v>
      </c>
      <c r="AB1352">
        <v>173</v>
      </c>
      <c r="AC1352" s="23">
        <v>5.41</v>
      </c>
      <c r="AD1352" t="str">
        <f>IF(AND('CVD Dataset'!AA1352="Normal",'CVD Dataset'!AB1352&gt;AVERAGE('CVD Dataset'!AB:AB),'CVD Dataset'!AF1352="High"),"High Lipid Category","Normal Category")</f>
        <v>Normal Category</v>
      </c>
      <c r="AE1352">
        <v>18.190999999999999</v>
      </c>
      <c r="AF1352" t="s">
        <v>32</v>
      </c>
      <c r="AG1352">
        <v>0</v>
      </c>
      <c r="AH1352" t="s">
        <v>1379</v>
      </c>
      <c r="AI1352">
        <f t="shared" si="87"/>
        <v>1</v>
      </c>
      <c r="AJ1352" t="s">
        <v>1392</v>
      </c>
    </row>
    <row r="1353" spans="1:36" x14ac:dyDescent="0.3">
      <c r="A1353" t="s">
        <v>33</v>
      </c>
      <c r="B1353">
        <v>68</v>
      </c>
      <c r="D1353">
        <v>1.851</v>
      </c>
      <c r="E1353">
        <v>20.474</v>
      </c>
      <c r="F1353">
        <f t="shared" si="85"/>
        <v>0</v>
      </c>
      <c r="G1353">
        <f t="shared" si="84"/>
        <v>1</v>
      </c>
      <c r="H1353" t="s">
        <v>1398</v>
      </c>
      <c r="I1353">
        <v>97.393000000000001</v>
      </c>
      <c r="J1353" t="s">
        <v>1154</v>
      </c>
      <c r="K1353" s="24">
        <v>160</v>
      </c>
      <c r="L1353" s="24">
        <v>99</v>
      </c>
      <c r="M1353">
        <v>279</v>
      </c>
      <c r="N1353" t="s">
        <v>1432</v>
      </c>
      <c r="O1353">
        <v>47</v>
      </c>
      <c r="P1353">
        <v>88</v>
      </c>
      <c r="Q1353" t="s">
        <v>25</v>
      </c>
      <c r="R1353" t="s">
        <v>24</v>
      </c>
      <c r="S1353" t="s">
        <v>30</v>
      </c>
      <c r="T1353" t="s">
        <v>25</v>
      </c>
      <c r="U1353">
        <f t="shared" si="86"/>
        <v>2</v>
      </c>
      <c r="V1353">
        <v>185.11699999999999</v>
      </c>
      <c r="W1353">
        <v>0.52600000000000002</v>
      </c>
      <c r="X1353" t="s">
        <v>1407</v>
      </c>
      <c r="Y1353">
        <v>160</v>
      </c>
      <c r="Z1353">
        <v>99</v>
      </c>
      <c r="AA1353" t="s">
        <v>40</v>
      </c>
      <c r="AC1353" s="23">
        <v>0</v>
      </c>
      <c r="AD1353" t="str">
        <f>IF(AND('CVD Dataset'!AA1353="Normal",'CVD Dataset'!AB1353&gt;AVERAGE('CVD Dataset'!AB:AB),'CVD Dataset'!AF1353="High"),"High Lipid Category","Normal Category")</f>
        <v>Normal Category</v>
      </c>
      <c r="AE1353">
        <v>17.675000000000001</v>
      </c>
      <c r="AF1353" t="s">
        <v>28</v>
      </c>
      <c r="AG1353">
        <v>0</v>
      </c>
      <c r="AH1353" t="s">
        <v>1380</v>
      </c>
      <c r="AI1353">
        <f t="shared" si="87"/>
        <v>0</v>
      </c>
      <c r="AJ1353" t="s">
        <v>1391</v>
      </c>
    </row>
    <row r="1354" spans="1:36" x14ac:dyDescent="0.3">
      <c r="A1354" t="s">
        <v>33</v>
      </c>
      <c r="C1354">
        <v>69.944999999999993</v>
      </c>
      <c r="D1354">
        <v>1.6479999999999999</v>
      </c>
      <c r="E1354">
        <v>38.807000000000002</v>
      </c>
      <c r="F1354">
        <f t="shared" si="85"/>
        <v>25.753855806390803</v>
      </c>
      <c r="G1354">
        <f t="shared" si="84"/>
        <v>1</v>
      </c>
      <c r="H1354" t="s">
        <v>1399</v>
      </c>
      <c r="I1354">
        <v>79.69</v>
      </c>
      <c r="J1354" t="s">
        <v>390</v>
      </c>
      <c r="K1354" s="24">
        <v>139</v>
      </c>
      <c r="L1354" s="24">
        <v>79</v>
      </c>
      <c r="M1354">
        <v>123</v>
      </c>
      <c r="N1354" t="s">
        <v>1434</v>
      </c>
      <c r="O1354">
        <v>42</v>
      </c>
      <c r="P1354">
        <v>92</v>
      </c>
      <c r="Q1354" t="s">
        <v>25</v>
      </c>
      <c r="R1354" t="s">
        <v>25</v>
      </c>
      <c r="S1354" t="s">
        <v>26</v>
      </c>
      <c r="T1354" t="s">
        <v>24</v>
      </c>
      <c r="U1354">
        <f t="shared" si="86"/>
        <v>3</v>
      </c>
      <c r="V1354">
        <v>164.77</v>
      </c>
      <c r="W1354">
        <v>0.48399999999999999</v>
      </c>
      <c r="X1354" t="s">
        <v>1406</v>
      </c>
      <c r="Y1354">
        <v>139</v>
      </c>
      <c r="Z1354">
        <v>79</v>
      </c>
      <c r="AA1354" t="s">
        <v>31</v>
      </c>
      <c r="AB1354">
        <v>51</v>
      </c>
      <c r="AC1354" s="23">
        <v>1.21</v>
      </c>
      <c r="AD1354" t="str">
        <f>IF(AND('CVD Dataset'!AA1354="Normal",'CVD Dataset'!AB1354&gt;AVERAGE('CVD Dataset'!AB:AB),'CVD Dataset'!AF1354="High"),"High Lipid Category","Normal Category")</f>
        <v>Normal Category</v>
      </c>
      <c r="AE1354">
        <v>19.170999999999999</v>
      </c>
      <c r="AF1354" t="s">
        <v>32</v>
      </c>
      <c r="AG1354">
        <v>0</v>
      </c>
      <c r="AH1354" t="s">
        <v>1379</v>
      </c>
      <c r="AI1354">
        <f t="shared" si="87"/>
        <v>1</v>
      </c>
      <c r="AJ1354" t="s">
        <v>1391</v>
      </c>
    </row>
    <row r="1355" spans="1:36" x14ac:dyDescent="0.3">
      <c r="A1355" t="s">
        <v>22</v>
      </c>
      <c r="B1355">
        <v>60</v>
      </c>
      <c r="C1355">
        <v>55.317999999999998</v>
      </c>
      <c r="D1355">
        <v>1.99</v>
      </c>
      <c r="E1355">
        <v>27.309000000000001</v>
      </c>
      <c r="F1355">
        <f t="shared" si="85"/>
        <v>13.96883917072801</v>
      </c>
      <c r="G1355">
        <f t="shared" si="84"/>
        <v>1</v>
      </c>
      <c r="H1355" t="s">
        <v>1400</v>
      </c>
      <c r="I1355">
        <v>75.926000000000002</v>
      </c>
      <c r="J1355" t="s">
        <v>1155</v>
      </c>
      <c r="K1355" s="24">
        <v>170</v>
      </c>
      <c r="L1355" s="24">
        <v>100</v>
      </c>
      <c r="M1355">
        <v>243</v>
      </c>
      <c r="N1355" t="s">
        <v>1432</v>
      </c>
      <c r="O1355">
        <v>63</v>
      </c>
      <c r="P1355">
        <v>143</v>
      </c>
      <c r="Q1355" t="s">
        <v>24</v>
      </c>
      <c r="R1355" t="s">
        <v>25</v>
      </c>
      <c r="S1355" t="s">
        <v>26</v>
      </c>
      <c r="T1355" t="s">
        <v>25</v>
      </c>
      <c r="U1355">
        <f t="shared" si="86"/>
        <v>3</v>
      </c>
      <c r="V1355">
        <v>198.96600000000001</v>
      </c>
      <c r="W1355">
        <v>0.38200000000000001</v>
      </c>
      <c r="X1355" t="s">
        <v>1408</v>
      </c>
      <c r="Y1355">
        <v>170</v>
      </c>
      <c r="Z1355">
        <v>100</v>
      </c>
      <c r="AA1355" t="s">
        <v>40</v>
      </c>
      <c r="AB1355">
        <v>150</v>
      </c>
      <c r="AC1355" s="23">
        <v>2.38</v>
      </c>
      <c r="AD1355" t="str">
        <f>IF(AND('CVD Dataset'!AA1355="Normal",'CVD Dataset'!AB1355&gt;AVERAGE('CVD Dataset'!AB:AB),'CVD Dataset'!AF1355="High"),"High Lipid Category","Normal Category")</f>
        <v>Normal Category</v>
      </c>
      <c r="AE1355">
        <v>20.821999999999999</v>
      </c>
      <c r="AF1355" t="s">
        <v>32</v>
      </c>
      <c r="AG1355">
        <v>1</v>
      </c>
      <c r="AH1355" t="s">
        <v>1379</v>
      </c>
      <c r="AI1355">
        <f t="shared" si="87"/>
        <v>1</v>
      </c>
      <c r="AJ1355" t="s">
        <v>1392</v>
      </c>
    </row>
    <row r="1356" spans="1:36" x14ac:dyDescent="0.3">
      <c r="A1356" t="s">
        <v>22</v>
      </c>
      <c r="B1356">
        <v>26</v>
      </c>
      <c r="C1356">
        <v>100.47499999999999</v>
      </c>
      <c r="D1356">
        <v>1.881</v>
      </c>
      <c r="E1356">
        <v>23.193999999999999</v>
      </c>
      <c r="F1356">
        <f t="shared" si="85"/>
        <v>28.397520632893752</v>
      </c>
      <c r="G1356">
        <f t="shared" si="84"/>
        <v>1</v>
      </c>
      <c r="H1356" t="s">
        <v>1398</v>
      </c>
      <c r="I1356">
        <v>113.065</v>
      </c>
      <c r="J1356" t="s">
        <v>1156</v>
      </c>
      <c r="K1356" s="24">
        <v>112</v>
      </c>
      <c r="L1356" s="24">
        <v>92</v>
      </c>
      <c r="N1356" t="s">
        <v>1434</v>
      </c>
      <c r="O1356">
        <v>68</v>
      </c>
      <c r="P1356">
        <v>92</v>
      </c>
      <c r="Q1356" t="s">
        <v>24</v>
      </c>
      <c r="R1356" t="s">
        <v>25</v>
      </c>
      <c r="S1356" t="s">
        <v>30</v>
      </c>
      <c r="T1356" t="s">
        <v>24</v>
      </c>
      <c r="U1356">
        <f t="shared" si="86"/>
        <v>1</v>
      </c>
      <c r="V1356">
        <v>188.11799999999999</v>
      </c>
      <c r="W1356">
        <v>0.60099999999999998</v>
      </c>
      <c r="X1356" t="s">
        <v>1409</v>
      </c>
      <c r="Z1356">
        <v>92</v>
      </c>
      <c r="AA1356" t="s">
        <v>40</v>
      </c>
      <c r="AB1356">
        <v>141</v>
      </c>
      <c r="AC1356" s="23">
        <v>2.0699999999999998</v>
      </c>
      <c r="AD1356" t="str">
        <f>IF(AND('CVD Dataset'!AA1356="Normal",'CVD Dataset'!AB1356&gt;AVERAGE('CVD Dataset'!AB:AB),'CVD Dataset'!AF1356="High"),"High Lipid Category","Normal Category")</f>
        <v>Normal Category</v>
      </c>
      <c r="AE1356">
        <v>17.018999999999998</v>
      </c>
      <c r="AF1356" t="s">
        <v>54</v>
      </c>
      <c r="AG1356">
        <v>0</v>
      </c>
      <c r="AH1356" t="s">
        <v>1380</v>
      </c>
      <c r="AI1356">
        <f t="shared" si="87"/>
        <v>0</v>
      </c>
      <c r="AJ1356" t="s">
        <v>1391</v>
      </c>
    </row>
    <row r="1357" spans="1:36" x14ac:dyDescent="0.3">
      <c r="A1357" t="s">
        <v>33</v>
      </c>
      <c r="B1357">
        <v>42</v>
      </c>
      <c r="C1357">
        <v>87.025000000000006</v>
      </c>
      <c r="D1357">
        <v>1.9550000000000001</v>
      </c>
      <c r="E1357">
        <v>27.308</v>
      </c>
      <c r="F1357">
        <f t="shared" si="85"/>
        <v>22.769343476298559</v>
      </c>
      <c r="G1357">
        <f t="shared" si="84"/>
        <v>1</v>
      </c>
      <c r="H1357" t="s">
        <v>1400</v>
      </c>
      <c r="I1357">
        <v>86.331000000000003</v>
      </c>
      <c r="J1357" t="s">
        <v>781</v>
      </c>
      <c r="K1357" s="24">
        <v>104</v>
      </c>
      <c r="L1357" s="24">
        <v>95</v>
      </c>
      <c r="M1357">
        <v>251</v>
      </c>
      <c r="N1357" t="s">
        <v>1432</v>
      </c>
      <c r="O1357">
        <v>61</v>
      </c>
      <c r="P1357">
        <v>177</v>
      </c>
      <c r="Q1357" t="s">
        <v>24</v>
      </c>
      <c r="R1357" t="s">
        <v>24</v>
      </c>
      <c r="S1357" t="s">
        <v>30</v>
      </c>
      <c r="T1357" t="s">
        <v>24</v>
      </c>
      <c r="U1357">
        <f t="shared" si="86"/>
        <v>0</v>
      </c>
      <c r="V1357">
        <v>195.54900000000001</v>
      </c>
      <c r="W1357">
        <v>0.441</v>
      </c>
      <c r="X1357" t="s">
        <v>1408</v>
      </c>
      <c r="Y1357">
        <v>104</v>
      </c>
      <c r="Z1357">
        <v>95</v>
      </c>
      <c r="AA1357" t="s">
        <v>40</v>
      </c>
      <c r="AB1357">
        <v>160</v>
      </c>
      <c r="AC1357" s="23">
        <v>2.62</v>
      </c>
      <c r="AD1357" t="str">
        <f>IF(AND('CVD Dataset'!AA1357="Normal",'CVD Dataset'!AB1357&gt;AVERAGE('CVD Dataset'!AB:AB),'CVD Dataset'!AF1357="High"),"High Lipid Category","Normal Category")</f>
        <v>Normal Category</v>
      </c>
      <c r="AE1357">
        <v>15.682</v>
      </c>
      <c r="AF1357" t="s">
        <v>28</v>
      </c>
      <c r="AG1357">
        <v>0</v>
      </c>
      <c r="AH1357" t="s">
        <v>1380</v>
      </c>
      <c r="AI1357">
        <f t="shared" si="87"/>
        <v>0</v>
      </c>
      <c r="AJ1357" t="s">
        <v>1391</v>
      </c>
    </row>
    <row r="1358" spans="1:36" x14ac:dyDescent="0.3">
      <c r="A1358" t="s">
        <v>33</v>
      </c>
      <c r="B1358">
        <v>30</v>
      </c>
      <c r="C1358">
        <v>89.924000000000007</v>
      </c>
      <c r="D1358">
        <v>1.5029999999999999</v>
      </c>
      <c r="E1358">
        <v>35.781999999999996</v>
      </c>
      <c r="F1358">
        <f t="shared" si="85"/>
        <v>39.806835652270536</v>
      </c>
      <c r="G1358">
        <f t="shared" si="84"/>
        <v>1</v>
      </c>
      <c r="H1358" t="s">
        <v>1399</v>
      </c>
      <c r="I1358">
        <v>77.900000000000006</v>
      </c>
      <c r="J1358" t="s">
        <v>466</v>
      </c>
      <c r="K1358" s="24">
        <v>92</v>
      </c>
      <c r="L1358" s="24">
        <v>66</v>
      </c>
      <c r="M1358">
        <v>193</v>
      </c>
      <c r="N1358" t="s">
        <v>1432</v>
      </c>
      <c r="O1358">
        <v>64</v>
      </c>
      <c r="P1358">
        <v>129</v>
      </c>
      <c r="Q1358" t="s">
        <v>25</v>
      </c>
      <c r="R1358" t="s">
        <v>24</v>
      </c>
      <c r="S1358" t="s">
        <v>30</v>
      </c>
      <c r="T1358" t="s">
        <v>24</v>
      </c>
      <c r="U1358">
        <f t="shared" si="86"/>
        <v>1</v>
      </c>
      <c r="V1358">
        <v>150.28299999999999</v>
      </c>
      <c r="W1358">
        <v>0.51800000000000002</v>
      </c>
      <c r="X1358" t="s">
        <v>1406</v>
      </c>
      <c r="Y1358">
        <v>92</v>
      </c>
      <c r="Z1358">
        <v>66</v>
      </c>
      <c r="AA1358" t="s">
        <v>35</v>
      </c>
      <c r="AB1358">
        <v>99</v>
      </c>
      <c r="AC1358" s="23">
        <v>1.55</v>
      </c>
      <c r="AD1358" t="str">
        <f>IF(AND('CVD Dataset'!AA1358="Normal",'CVD Dataset'!AB1358&gt;AVERAGE('CVD Dataset'!AB:AB),'CVD Dataset'!AF1358="High"),"High Lipid Category","Normal Category")</f>
        <v>Normal Category</v>
      </c>
      <c r="AE1358">
        <v>15.616</v>
      </c>
      <c r="AF1358" t="s">
        <v>54</v>
      </c>
      <c r="AG1358">
        <v>0</v>
      </c>
      <c r="AH1358" t="s">
        <v>1380</v>
      </c>
      <c r="AI1358">
        <f t="shared" si="87"/>
        <v>0</v>
      </c>
      <c r="AJ1358" t="s">
        <v>1391</v>
      </c>
    </row>
    <row r="1359" spans="1:36" x14ac:dyDescent="0.3">
      <c r="A1359" t="s">
        <v>33</v>
      </c>
      <c r="B1359">
        <v>54</v>
      </c>
      <c r="C1359">
        <v>55.92</v>
      </c>
      <c r="D1359">
        <v>1.7330000000000001</v>
      </c>
      <c r="E1359">
        <v>19.805</v>
      </c>
      <c r="F1359">
        <f t="shared" si="85"/>
        <v>18.619586726418934</v>
      </c>
      <c r="G1359">
        <f t="shared" ref="G1359:G1422" si="88">IFERROR(IF(ABS(E1359 - F1359) &lt;= 0.1, 0, 1),"")</f>
        <v>1</v>
      </c>
      <c r="H1359" t="s">
        <v>1398</v>
      </c>
      <c r="I1359">
        <v>106.169</v>
      </c>
      <c r="J1359" t="s">
        <v>1157</v>
      </c>
      <c r="K1359" s="24">
        <v>159</v>
      </c>
      <c r="L1359" s="24">
        <v>75</v>
      </c>
      <c r="M1359">
        <v>170</v>
      </c>
      <c r="N1359" t="s">
        <v>1433</v>
      </c>
      <c r="O1359">
        <v>44</v>
      </c>
      <c r="P1359">
        <v>190</v>
      </c>
      <c r="Q1359" t="s">
        <v>24</v>
      </c>
      <c r="R1359" t="s">
        <v>24</v>
      </c>
      <c r="S1359" t="s">
        <v>39</v>
      </c>
      <c r="T1359" t="s">
        <v>24</v>
      </c>
      <c r="U1359">
        <f t="shared" si="86"/>
        <v>0</v>
      </c>
      <c r="V1359">
        <v>173.267</v>
      </c>
      <c r="W1359">
        <v>0.61299999999999999</v>
      </c>
      <c r="X1359" t="s">
        <v>1409</v>
      </c>
      <c r="Y1359">
        <v>159</v>
      </c>
      <c r="Z1359">
        <v>75</v>
      </c>
      <c r="AA1359" t="s">
        <v>40</v>
      </c>
      <c r="AB1359">
        <v>96</v>
      </c>
      <c r="AC1359" s="23">
        <v>2.1800000000000002</v>
      </c>
      <c r="AD1359" t="str">
        <f>IF(AND('CVD Dataset'!AA1359="Normal",'CVD Dataset'!AB1359&gt;AVERAGE('CVD Dataset'!AB:AB),'CVD Dataset'!AF1359="High"),"High Lipid Category","Normal Category")</f>
        <v>Normal Category</v>
      </c>
      <c r="AE1359">
        <v>15.311</v>
      </c>
      <c r="AF1359" t="s">
        <v>32</v>
      </c>
      <c r="AG1359">
        <v>0</v>
      </c>
      <c r="AH1359" t="s">
        <v>1379</v>
      </c>
      <c r="AI1359">
        <f t="shared" si="87"/>
        <v>1</v>
      </c>
      <c r="AJ1359" t="s">
        <v>1391</v>
      </c>
    </row>
    <row r="1360" spans="1:36" x14ac:dyDescent="0.3">
      <c r="A1360" t="s">
        <v>33</v>
      </c>
      <c r="B1360">
        <v>63</v>
      </c>
      <c r="C1360">
        <v>56.610999999999997</v>
      </c>
      <c r="E1360">
        <v>19.66</v>
      </c>
      <c r="F1360" t="str">
        <f t="shared" si="85"/>
        <v/>
      </c>
      <c r="G1360" t="str">
        <f t="shared" si="88"/>
        <v/>
      </c>
      <c r="H1360" t="s">
        <v>1398</v>
      </c>
      <c r="I1360">
        <v>113.152</v>
      </c>
      <c r="J1360" t="s">
        <v>1158</v>
      </c>
      <c r="K1360" s="24">
        <v>115</v>
      </c>
      <c r="L1360" s="24">
        <v>70</v>
      </c>
      <c r="M1360">
        <v>202</v>
      </c>
      <c r="N1360" t="s">
        <v>1432</v>
      </c>
      <c r="O1360">
        <v>46</v>
      </c>
      <c r="P1360">
        <v>175</v>
      </c>
      <c r="Q1360" t="s">
        <v>24</v>
      </c>
      <c r="R1360" t="s">
        <v>24</v>
      </c>
      <c r="S1360" t="s">
        <v>30</v>
      </c>
      <c r="T1360" t="s">
        <v>24</v>
      </c>
      <c r="U1360">
        <f t="shared" si="86"/>
        <v>0</v>
      </c>
      <c r="V1360">
        <v>161.63200000000001</v>
      </c>
      <c r="W1360">
        <v>0.7</v>
      </c>
      <c r="X1360" t="s">
        <v>1409</v>
      </c>
      <c r="Y1360">
        <v>115</v>
      </c>
      <c r="Z1360">
        <v>70</v>
      </c>
      <c r="AA1360" t="s">
        <v>35</v>
      </c>
      <c r="AB1360">
        <v>126</v>
      </c>
      <c r="AC1360" s="23">
        <v>2.74</v>
      </c>
      <c r="AD1360" t="str">
        <f>IF(AND('CVD Dataset'!AA1360="Normal",'CVD Dataset'!AB1360&gt;AVERAGE('CVD Dataset'!AB:AB),'CVD Dataset'!AF1360="High"),"High Lipid Category","Normal Category")</f>
        <v>Normal Category</v>
      </c>
      <c r="AE1360">
        <v>13.722</v>
      </c>
      <c r="AF1360" t="s">
        <v>54</v>
      </c>
      <c r="AG1360">
        <v>0</v>
      </c>
      <c r="AH1360" t="s">
        <v>1380</v>
      </c>
      <c r="AI1360">
        <f t="shared" si="87"/>
        <v>0</v>
      </c>
      <c r="AJ1360" t="s">
        <v>1391</v>
      </c>
    </row>
    <row r="1361" spans="1:36" x14ac:dyDescent="0.3">
      <c r="A1361" t="s">
        <v>33</v>
      </c>
      <c r="B1361">
        <v>60</v>
      </c>
      <c r="C1361">
        <v>81.135999999999996</v>
      </c>
      <c r="D1361">
        <v>1.67</v>
      </c>
      <c r="E1361">
        <v>34.347000000000001</v>
      </c>
      <c r="F1361">
        <f t="shared" si="85"/>
        <v>29.0924737351644</v>
      </c>
      <c r="G1361">
        <f t="shared" si="88"/>
        <v>1</v>
      </c>
      <c r="H1361" t="s">
        <v>1399</v>
      </c>
      <c r="I1361">
        <v>104.875</v>
      </c>
      <c r="J1361" t="s">
        <v>1159</v>
      </c>
      <c r="K1361" s="24">
        <v>166</v>
      </c>
      <c r="L1361" s="24">
        <v>80</v>
      </c>
      <c r="M1361">
        <v>246</v>
      </c>
      <c r="N1361" t="s">
        <v>1432</v>
      </c>
      <c r="O1361">
        <v>49</v>
      </c>
      <c r="P1361">
        <v>144</v>
      </c>
      <c r="Q1361" t="s">
        <v>25</v>
      </c>
      <c r="R1361" t="s">
        <v>25</v>
      </c>
      <c r="S1361" t="s">
        <v>26</v>
      </c>
      <c r="T1361" t="s">
        <v>24</v>
      </c>
      <c r="U1361">
        <f t="shared" si="86"/>
        <v>3</v>
      </c>
      <c r="V1361">
        <v>166.98400000000001</v>
      </c>
      <c r="W1361">
        <v>0.628</v>
      </c>
      <c r="X1361" t="s">
        <v>1409</v>
      </c>
      <c r="Y1361">
        <v>166</v>
      </c>
      <c r="Z1361">
        <v>80</v>
      </c>
      <c r="AA1361" t="s">
        <v>31</v>
      </c>
      <c r="AB1361">
        <v>167</v>
      </c>
      <c r="AC1361" s="23">
        <v>3.41</v>
      </c>
      <c r="AD1361" t="str">
        <f>IF(AND('CVD Dataset'!AA1361="Normal",'CVD Dataset'!AB1361&gt;AVERAGE('CVD Dataset'!AB:AB),'CVD Dataset'!AF1361="High"),"High Lipid Category","Normal Category")</f>
        <v>Normal Category</v>
      </c>
      <c r="AE1361">
        <v>22.088999999999999</v>
      </c>
      <c r="AF1361" t="s">
        <v>32</v>
      </c>
      <c r="AG1361">
        <v>0</v>
      </c>
      <c r="AH1361" t="s">
        <v>1379</v>
      </c>
      <c r="AI1361">
        <f t="shared" si="87"/>
        <v>1</v>
      </c>
      <c r="AJ1361" t="s">
        <v>1392</v>
      </c>
    </row>
    <row r="1362" spans="1:36" x14ac:dyDescent="0.3">
      <c r="A1362" t="s">
        <v>22</v>
      </c>
      <c r="B1362">
        <v>46</v>
      </c>
      <c r="C1362">
        <v>63.779000000000003</v>
      </c>
      <c r="D1362">
        <v>1.502</v>
      </c>
      <c r="E1362">
        <v>34.183999999999997</v>
      </c>
      <c r="F1362">
        <f t="shared" si="85"/>
        <v>28.270783207831194</v>
      </c>
      <c r="G1362">
        <f t="shared" si="88"/>
        <v>1</v>
      </c>
      <c r="H1362" t="s">
        <v>1399</v>
      </c>
      <c r="I1362">
        <v>113.836</v>
      </c>
      <c r="J1362" t="s">
        <v>1160</v>
      </c>
      <c r="K1362" s="24">
        <v>173</v>
      </c>
      <c r="L1362" s="24">
        <v>73</v>
      </c>
      <c r="M1362">
        <v>241</v>
      </c>
      <c r="N1362" t="s">
        <v>1432</v>
      </c>
      <c r="O1362">
        <v>33</v>
      </c>
      <c r="P1362">
        <v>71</v>
      </c>
      <c r="Q1362" t="s">
        <v>25</v>
      </c>
      <c r="R1362" t="s">
        <v>25</v>
      </c>
      <c r="S1362" t="s">
        <v>39</v>
      </c>
      <c r="T1362" t="s">
        <v>24</v>
      </c>
      <c r="U1362">
        <f t="shared" si="86"/>
        <v>2</v>
      </c>
      <c r="V1362">
        <v>150.15799999999999</v>
      </c>
      <c r="W1362">
        <v>0.75800000000000001</v>
      </c>
      <c r="X1362" t="s">
        <v>1409</v>
      </c>
      <c r="Y1362">
        <v>173</v>
      </c>
      <c r="Z1362">
        <v>73</v>
      </c>
      <c r="AA1362" t="s">
        <v>40</v>
      </c>
      <c r="AC1362" s="23">
        <v>0</v>
      </c>
      <c r="AD1362" t="str">
        <f>IF(AND('CVD Dataset'!AA1362="Normal",'CVD Dataset'!AB1362&gt;AVERAGE('CVD Dataset'!AB:AB),'CVD Dataset'!AF1362="High"),"High Lipid Category","Normal Category")</f>
        <v>Normal Category</v>
      </c>
      <c r="AE1362">
        <v>22.306999999999999</v>
      </c>
      <c r="AF1362" t="s">
        <v>32</v>
      </c>
      <c r="AG1362">
        <v>0</v>
      </c>
      <c r="AH1362" t="s">
        <v>1379</v>
      </c>
      <c r="AI1362">
        <f t="shared" si="87"/>
        <v>1</v>
      </c>
      <c r="AJ1362" t="s">
        <v>1391</v>
      </c>
    </row>
    <row r="1363" spans="1:36" x14ac:dyDescent="0.3">
      <c r="A1363" t="s">
        <v>33</v>
      </c>
      <c r="B1363">
        <v>33</v>
      </c>
      <c r="C1363">
        <v>78.203999999999994</v>
      </c>
      <c r="D1363">
        <v>1.5940000000000001</v>
      </c>
      <c r="E1363">
        <v>37.316000000000003</v>
      </c>
      <c r="F1363">
        <f t="shared" si="85"/>
        <v>30.778846017609947</v>
      </c>
      <c r="G1363">
        <f t="shared" si="88"/>
        <v>1</v>
      </c>
      <c r="H1363" t="s">
        <v>1399</v>
      </c>
      <c r="I1363">
        <v>85.284000000000006</v>
      </c>
      <c r="J1363" t="s">
        <v>1161</v>
      </c>
      <c r="K1363" s="24">
        <v>101</v>
      </c>
      <c r="L1363" s="24">
        <v>83</v>
      </c>
      <c r="M1363">
        <v>273</v>
      </c>
      <c r="N1363" t="s">
        <v>1432</v>
      </c>
      <c r="O1363">
        <v>35</v>
      </c>
      <c r="P1363">
        <v>114</v>
      </c>
      <c r="Q1363" t="s">
        <v>25</v>
      </c>
      <c r="R1363" t="s">
        <v>24</v>
      </c>
      <c r="S1363" t="s">
        <v>39</v>
      </c>
      <c r="T1363" t="s">
        <v>25</v>
      </c>
      <c r="U1363">
        <f t="shared" si="86"/>
        <v>2</v>
      </c>
      <c r="V1363">
        <v>159.42699999999999</v>
      </c>
      <c r="W1363">
        <v>0.53500000000000003</v>
      </c>
      <c r="X1363" t="s">
        <v>1407</v>
      </c>
      <c r="Y1363">
        <v>101</v>
      </c>
      <c r="Z1363">
        <v>83</v>
      </c>
      <c r="AA1363" t="s">
        <v>31</v>
      </c>
      <c r="AB1363">
        <v>208</v>
      </c>
      <c r="AC1363" s="23">
        <v>5.94</v>
      </c>
      <c r="AD1363" t="str">
        <f>IF(AND('CVD Dataset'!AA1363="Normal",'CVD Dataset'!AB1363&gt;AVERAGE('CVD Dataset'!AB:AB),'CVD Dataset'!AF1363="High"),"High Lipid Category","Normal Category")</f>
        <v>Normal Category</v>
      </c>
      <c r="AE1363">
        <v>17.972999999999999</v>
      </c>
      <c r="AF1363" t="s">
        <v>54</v>
      </c>
      <c r="AG1363">
        <v>0</v>
      </c>
      <c r="AH1363" t="s">
        <v>1380</v>
      </c>
      <c r="AI1363">
        <f t="shared" si="87"/>
        <v>0</v>
      </c>
      <c r="AJ1363" t="s">
        <v>1391</v>
      </c>
    </row>
    <row r="1364" spans="1:36" x14ac:dyDescent="0.3">
      <c r="A1364" t="s">
        <v>22</v>
      </c>
      <c r="B1364">
        <v>39</v>
      </c>
      <c r="C1364">
        <v>83.658000000000001</v>
      </c>
      <c r="E1364">
        <v>37.006999999999998</v>
      </c>
      <c r="F1364" t="str">
        <f t="shared" si="85"/>
        <v/>
      </c>
      <c r="G1364" t="str">
        <f t="shared" si="88"/>
        <v/>
      </c>
      <c r="H1364" t="s">
        <v>1399</v>
      </c>
      <c r="I1364">
        <v>75.284999999999997</v>
      </c>
      <c r="J1364" t="s">
        <v>1162</v>
      </c>
      <c r="K1364" s="24">
        <v>147</v>
      </c>
      <c r="L1364" s="24">
        <v>110</v>
      </c>
      <c r="M1364">
        <v>110</v>
      </c>
      <c r="N1364" t="s">
        <v>1434</v>
      </c>
      <c r="O1364">
        <v>83</v>
      </c>
      <c r="P1364">
        <v>117</v>
      </c>
      <c r="Q1364" t="s">
        <v>24</v>
      </c>
      <c r="R1364" t="s">
        <v>24</v>
      </c>
      <c r="S1364" t="s">
        <v>30</v>
      </c>
      <c r="T1364" t="s">
        <v>24</v>
      </c>
      <c r="U1364">
        <f t="shared" si="86"/>
        <v>0</v>
      </c>
      <c r="V1364">
        <v>158.68299999999999</v>
      </c>
      <c r="W1364">
        <v>0.47399999999999998</v>
      </c>
      <c r="X1364" t="s">
        <v>1406</v>
      </c>
      <c r="Y1364">
        <v>147</v>
      </c>
      <c r="Z1364">
        <v>110</v>
      </c>
      <c r="AA1364" t="s">
        <v>40</v>
      </c>
      <c r="AB1364">
        <v>-3</v>
      </c>
      <c r="AC1364" s="23">
        <v>-0.04</v>
      </c>
      <c r="AD1364" t="str">
        <f>IF(AND('CVD Dataset'!AA1364="Normal",'CVD Dataset'!AB1364&gt;AVERAGE('CVD Dataset'!AB:AB),'CVD Dataset'!AF1364="High"),"High Lipid Category","Normal Category")</f>
        <v>Normal Category</v>
      </c>
      <c r="AE1364">
        <v>16.951000000000001</v>
      </c>
      <c r="AF1364" t="s">
        <v>28</v>
      </c>
      <c r="AG1364">
        <v>0</v>
      </c>
      <c r="AH1364" t="s">
        <v>1380</v>
      </c>
      <c r="AI1364">
        <f t="shared" si="87"/>
        <v>0</v>
      </c>
      <c r="AJ1364" t="s">
        <v>1391</v>
      </c>
    </row>
    <row r="1365" spans="1:36" x14ac:dyDescent="0.3">
      <c r="A1365" t="s">
        <v>33</v>
      </c>
      <c r="C1365">
        <v>107.13500000000001</v>
      </c>
      <c r="D1365">
        <v>1.7210000000000001</v>
      </c>
      <c r="E1365">
        <v>25.052</v>
      </c>
      <c r="F1365">
        <f t="shared" si="85"/>
        <v>36.171759388839575</v>
      </c>
      <c r="G1365">
        <f t="shared" si="88"/>
        <v>1</v>
      </c>
      <c r="H1365" t="s">
        <v>1400</v>
      </c>
      <c r="I1365">
        <v>95.3</v>
      </c>
      <c r="J1365" t="s">
        <v>1163</v>
      </c>
      <c r="K1365" s="24">
        <v>114</v>
      </c>
      <c r="L1365" s="24">
        <v>97</v>
      </c>
      <c r="M1365">
        <v>235</v>
      </c>
      <c r="N1365" t="s">
        <v>1432</v>
      </c>
      <c r="O1365">
        <v>74</v>
      </c>
      <c r="P1365">
        <v>77</v>
      </c>
      <c r="Q1365" t="s">
        <v>24</v>
      </c>
      <c r="R1365" t="s">
        <v>25</v>
      </c>
      <c r="S1365" t="s">
        <v>39</v>
      </c>
      <c r="T1365" t="s">
        <v>24</v>
      </c>
      <c r="U1365">
        <f t="shared" si="86"/>
        <v>1</v>
      </c>
      <c r="V1365">
        <v>172.05500000000001</v>
      </c>
      <c r="W1365">
        <v>0.55400000000000005</v>
      </c>
      <c r="X1365" t="s">
        <v>1407</v>
      </c>
      <c r="Z1365">
        <v>97</v>
      </c>
      <c r="AA1365" t="s">
        <v>40</v>
      </c>
      <c r="AB1365">
        <v>131</v>
      </c>
      <c r="AC1365" s="23">
        <v>1.77</v>
      </c>
      <c r="AD1365" t="str">
        <f>IF(AND('CVD Dataset'!AA1365="Normal",'CVD Dataset'!AB1365&gt;AVERAGE('CVD Dataset'!AB:AB),'CVD Dataset'!AF1365="High"),"High Lipid Category","Normal Category")</f>
        <v>Normal Category</v>
      </c>
      <c r="AE1365">
        <v>17.41</v>
      </c>
      <c r="AF1365" t="s">
        <v>28</v>
      </c>
      <c r="AG1365">
        <v>0</v>
      </c>
      <c r="AH1365" t="s">
        <v>1380</v>
      </c>
      <c r="AI1365">
        <f t="shared" si="87"/>
        <v>0</v>
      </c>
      <c r="AJ1365" t="s">
        <v>1391</v>
      </c>
    </row>
    <row r="1366" spans="1:36" x14ac:dyDescent="0.3">
      <c r="A1366" t="s">
        <v>22</v>
      </c>
      <c r="B1366">
        <v>46</v>
      </c>
      <c r="C1366">
        <v>118.98</v>
      </c>
      <c r="D1366">
        <v>1.82</v>
      </c>
      <c r="E1366">
        <v>34.694000000000003</v>
      </c>
      <c r="F1366">
        <f t="shared" si="85"/>
        <v>35.91957493056394</v>
      </c>
      <c r="G1366">
        <f t="shared" si="88"/>
        <v>1</v>
      </c>
      <c r="H1366" t="s">
        <v>1399</v>
      </c>
      <c r="I1366">
        <v>104.985</v>
      </c>
      <c r="J1366" t="s">
        <v>1164</v>
      </c>
      <c r="K1366" s="24">
        <v>156</v>
      </c>
      <c r="L1366" s="24">
        <v>99</v>
      </c>
      <c r="M1366">
        <v>100</v>
      </c>
      <c r="N1366" t="s">
        <v>1434</v>
      </c>
      <c r="O1366">
        <v>34</v>
      </c>
      <c r="P1366">
        <v>80</v>
      </c>
      <c r="Q1366" t="s">
        <v>25</v>
      </c>
      <c r="R1366" t="s">
        <v>24</v>
      </c>
      <c r="S1366" t="s">
        <v>26</v>
      </c>
      <c r="T1366" t="s">
        <v>25</v>
      </c>
      <c r="U1366">
        <f t="shared" si="86"/>
        <v>3</v>
      </c>
      <c r="V1366">
        <v>181.95500000000001</v>
      </c>
      <c r="W1366">
        <v>0.57699999999999996</v>
      </c>
      <c r="X1366" t="s">
        <v>1407</v>
      </c>
      <c r="Y1366">
        <v>156</v>
      </c>
      <c r="Z1366">
        <v>99</v>
      </c>
      <c r="AA1366" t="s">
        <v>40</v>
      </c>
      <c r="AB1366">
        <v>36</v>
      </c>
      <c r="AC1366" s="23">
        <v>1.06</v>
      </c>
      <c r="AD1366" t="str">
        <f>IF(AND('CVD Dataset'!AA1366="Normal",'CVD Dataset'!AB1366&gt;AVERAGE('CVD Dataset'!AB:AB),'CVD Dataset'!AF1366="High"),"High Lipid Category","Normal Category")</f>
        <v>Normal Category</v>
      </c>
      <c r="AE1366">
        <v>16.739000000000001</v>
      </c>
      <c r="AF1366" t="s">
        <v>54</v>
      </c>
      <c r="AG1366">
        <v>0</v>
      </c>
      <c r="AH1366" t="s">
        <v>1380</v>
      </c>
      <c r="AI1366">
        <f t="shared" si="87"/>
        <v>0</v>
      </c>
      <c r="AJ1366" t="s">
        <v>1391</v>
      </c>
    </row>
    <row r="1367" spans="1:36" x14ac:dyDescent="0.3">
      <c r="A1367" t="s">
        <v>22</v>
      </c>
      <c r="B1367">
        <v>54</v>
      </c>
      <c r="D1367">
        <v>1.58</v>
      </c>
      <c r="E1367">
        <v>21.617999999999999</v>
      </c>
      <c r="F1367">
        <f t="shared" si="85"/>
        <v>0</v>
      </c>
      <c r="G1367">
        <f t="shared" si="88"/>
        <v>1</v>
      </c>
      <c r="H1367" t="s">
        <v>1398</v>
      </c>
      <c r="I1367">
        <v>104.07599999999999</v>
      </c>
      <c r="J1367" t="s">
        <v>1165</v>
      </c>
      <c r="K1367" s="24">
        <v>122</v>
      </c>
      <c r="L1367" s="24">
        <v>115</v>
      </c>
      <c r="M1367">
        <v>117</v>
      </c>
      <c r="N1367" t="s">
        <v>1434</v>
      </c>
      <c r="O1367">
        <v>51</v>
      </c>
      <c r="P1367">
        <v>97</v>
      </c>
      <c r="Q1367" t="s">
        <v>25</v>
      </c>
      <c r="R1367" t="s">
        <v>24</v>
      </c>
      <c r="S1367" t="s">
        <v>39</v>
      </c>
      <c r="T1367" t="s">
        <v>25</v>
      </c>
      <c r="U1367">
        <f t="shared" si="86"/>
        <v>2</v>
      </c>
      <c r="V1367">
        <v>157.95500000000001</v>
      </c>
      <c r="W1367">
        <v>0.65900000000000003</v>
      </c>
      <c r="X1367" t="s">
        <v>1409</v>
      </c>
      <c r="Y1367">
        <v>122</v>
      </c>
      <c r="Z1367">
        <v>115</v>
      </c>
      <c r="AA1367" t="s">
        <v>40</v>
      </c>
      <c r="AB1367">
        <v>36</v>
      </c>
      <c r="AC1367" s="23">
        <v>0.71</v>
      </c>
      <c r="AD1367" t="str">
        <f>IF(AND('CVD Dataset'!AA1367="Normal",'CVD Dataset'!AB1367&gt;AVERAGE('CVD Dataset'!AB:AB),'CVD Dataset'!AF1367="High"),"High Lipid Category","Normal Category")</f>
        <v>Normal Category</v>
      </c>
      <c r="AE1367">
        <v>12.763999999999999</v>
      </c>
      <c r="AF1367" t="s">
        <v>28</v>
      </c>
      <c r="AG1367">
        <v>0</v>
      </c>
      <c r="AH1367" t="s">
        <v>1380</v>
      </c>
      <c r="AI1367">
        <f t="shared" si="87"/>
        <v>0</v>
      </c>
      <c r="AJ1367" t="s">
        <v>1391</v>
      </c>
    </row>
    <row r="1368" spans="1:36" x14ac:dyDescent="0.3">
      <c r="A1368" t="s">
        <v>33</v>
      </c>
      <c r="B1368">
        <v>27</v>
      </c>
      <c r="C1368">
        <v>84.010999999999996</v>
      </c>
      <c r="D1368">
        <v>1.74</v>
      </c>
      <c r="E1368">
        <v>26.893999999999998</v>
      </c>
      <c r="F1368">
        <f t="shared" si="85"/>
        <v>27.74838155634826</v>
      </c>
      <c r="G1368">
        <f t="shared" si="88"/>
        <v>1</v>
      </c>
      <c r="H1368" t="s">
        <v>1400</v>
      </c>
      <c r="I1368">
        <v>78.637</v>
      </c>
      <c r="J1368" t="s">
        <v>1166</v>
      </c>
      <c r="K1368" s="24">
        <v>97</v>
      </c>
      <c r="L1368" s="24">
        <v>113</v>
      </c>
      <c r="M1368">
        <v>152</v>
      </c>
      <c r="N1368" t="s">
        <v>1433</v>
      </c>
      <c r="O1368">
        <v>37</v>
      </c>
      <c r="P1368">
        <v>133</v>
      </c>
      <c r="Q1368" t="s">
        <v>24</v>
      </c>
      <c r="R1368" t="s">
        <v>25</v>
      </c>
      <c r="S1368" t="s">
        <v>39</v>
      </c>
      <c r="T1368" t="s">
        <v>24</v>
      </c>
      <c r="U1368">
        <f t="shared" si="86"/>
        <v>1</v>
      </c>
      <c r="V1368">
        <v>173.99299999999999</v>
      </c>
      <c r="W1368">
        <v>0.45200000000000001</v>
      </c>
      <c r="X1368" t="s">
        <v>1408</v>
      </c>
      <c r="Y1368">
        <v>97</v>
      </c>
      <c r="Z1368">
        <v>113</v>
      </c>
      <c r="AA1368" t="s">
        <v>40</v>
      </c>
      <c r="AB1368">
        <v>85</v>
      </c>
      <c r="AC1368" s="23">
        <v>2.2999999999999998</v>
      </c>
      <c r="AD1368" t="str">
        <f>IF(AND('CVD Dataset'!AA1368="Normal",'CVD Dataset'!AB1368&gt;AVERAGE('CVD Dataset'!AB:AB),'CVD Dataset'!AF1368="High"),"High Lipid Category","Normal Category")</f>
        <v>Normal Category</v>
      </c>
      <c r="AE1368">
        <v>15.269</v>
      </c>
      <c r="AF1368" t="s">
        <v>28</v>
      </c>
      <c r="AG1368">
        <v>0</v>
      </c>
      <c r="AH1368" t="s">
        <v>1380</v>
      </c>
      <c r="AI1368">
        <f t="shared" si="87"/>
        <v>0</v>
      </c>
      <c r="AJ1368" t="s">
        <v>1391</v>
      </c>
    </row>
    <row r="1369" spans="1:36" x14ac:dyDescent="0.3">
      <c r="A1369" t="s">
        <v>33</v>
      </c>
      <c r="B1369">
        <v>31</v>
      </c>
      <c r="D1369">
        <v>1.7769999999999999</v>
      </c>
      <c r="E1369">
        <v>38.959000000000003</v>
      </c>
      <c r="F1369">
        <f t="shared" si="85"/>
        <v>0</v>
      </c>
      <c r="G1369">
        <f t="shared" si="88"/>
        <v>1</v>
      </c>
      <c r="H1369" t="s">
        <v>1399</v>
      </c>
      <c r="I1369">
        <v>98.105000000000004</v>
      </c>
      <c r="J1369" t="s">
        <v>1167</v>
      </c>
      <c r="K1369" s="24">
        <v>91</v>
      </c>
      <c r="L1369" s="24">
        <v>107</v>
      </c>
      <c r="M1369">
        <v>134</v>
      </c>
      <c r="N1369" t="s">
        <v>1434</v>
      </c>
      <c r="P1369">
        <v>177</v>
      </c>
      <c r="Q1369" t="s">
        <v>24</v>
      </c>
      <c r="R1369" t="s">
        <v>24</v>
      </c>
      <c r="S1369" t="s">
        <v>30</v>
      </c>
      <c r="T1369" t="s">
        <v>24</v>
      </c>
      <c r="U1369">
        <f t="shared" si="86"/>
        <v>0</v>
      </c>
      <c r="V1369">
        <v>177.654</v>
      </c>
      <c r="W1369">
        <v>0.55200000000000005</v>
      </c>
      <c r="X1369" t="s">
        <v>1407</v>
      </c>
      <c r="Y1369">
        <v>91</v>
      </c>
      <c r="Z1369">
        <v>107</v>
      </c>
      <c r="AA1369" t="s">
        <v>40</v>
      </c>
      <c r="AB1369">
        <v>23</v>
      </c>
      <c r="AC1369" s="23" t="s">
        <v>1410</v>
      </c>
      <c r="AD1369" t="str">
        <f>IF(AND('CVD Dataset'!AA1369="Normal",'CVD Dataset'!AB1369&gt;AVERAGE('CVD Dataset'!AB:AB),'CVD Dataset'!AF1369="High"),"High Lipid Category","Normal Category")</f>
        <v>Normal Category</v>
      </c>
      <c r="AE1369">
        <v>15.022</v>
      </c>
      <c r="AF1369" t="s">
        <v>28</v>
      </c>
      <c r="AG1369">
        <v>0</v>
      </c>
      <c r="AH1369" t="s">
        <v>1380</v>
      </c>
      <c r="AI1369">
        <f t="shared" si="87"/>
        <v>0</v>
      </c>
      <c r="AJ1369" t="s">
        <v>1391</v>
      </c>
    </row>
    <row r="1370" spans="1:36" x14ac:dyDescent="0.3">
      <c r="A1370" t="s">
        <v>22</v>
      </c>
      <c r="B1370">
        <v>46</v>
      </c>
      <c r="C1370">
        <v>61.011000000000003</v>
      </c>
      <c r="D1370">
        <v>1.613</v>
      </c>
      <c r="E1370">
        <v>21.335999999999999</v>
      </c>
      <c r="F1370">
        <f t="shared" si="85"/>
        <v>23.449814337860126</v>
      </c>
      <c r="G1370">
        <f t="shared" si="88"/>
        <v>1</v>
      </c>
      <c r="H1370" t="s">
        <v>1398</v>
      </c>
      <c r="I1370">
        <v>83.373000000000005</v>
      </c>
      <c r="J1370" t="s">
        <v>1168</v>
      </c>
      <c r="K1370" s="24">
        <v>176</v>
      </c>
      <c r="L1370" s="24">
        <v>100</v>
      </c>
      <c r="M1370">
        <v>147</v>
      </c>
      <c r="N1370" t="s">
        <v>1434</v>
      </c>
      <c r="O1370">
        <v>46</v>
      </c>
      <c r="P1370">
        <v>127</v>
      </c>
      <c r="Q1370" t="s">
        <v>24</v>
      </c>
      <c r="R1370" t="s">
        <v>25</v>
      </c>
      <c r="S1370" t="s">
        <v>30</v>
      </c>
      <c r="T1370" t="s">
        <v>24</v>
      </c>
      <c r="U1370">
        <f t="shared" si="86"/>
        <v>1</v>
      </c>
      <c r="V1370">
        <v>161.321</v>
      </c>
      <c r="W1370">
        <v>0.51700000000000002</v>
      </c>
      <c r="X1370" t="s">
        <v>1406</v>
      </c>
      <c r="Y1370">
        <v>176</v>
      </c>
      <c r="Z1370">
        <v>100</v>
      </c>
      <c r="AA1370" t="s">
        <v>40</v>
      </c>
      <c r="AB1370">
        <v>71</v>
      </c>
      <c r="AC1370" s="23">
        <v>1.54</v>
      </c>
      <c r="AD1370" t="str">
        <f>IF(AND('CVD Dataset'!AA1370="Normal",'CVD Dataset'!AB1370&gt;AVERAGE('CVD Dataset'!AB:AB),'CVD Dataset'!AF1370="High"),"High Lipid Category","Normal Category")</f>
        <v>Normal Category</v>
      </c>
      <c r="AE1370">
        <v>18.007000000000001</v>
      </c>
      <c r="AF1370" t="s">
        <v>28</v>
      </c>
      <c r="AG1370">
        <v>0</v>
      </c>
      <c r="AH1370" t="s">
        <v>1380</v>
      </c>
      <c r="AI1370">
        <f t="shared" si="87"/>
        <v>0</v>
      </c>
      <c r="AJ1370" t="s">
        <v>1391</v>
      </c>
    </row>
    <row r="1371" spans="1:36" x14ac:dyDescent="0.3">
      <c r="A1371" t="s">
        <v>22</v>
      </c>
      <c r="B1371">
        <v>70</v>
      </c>
      <c r="D1371">
        <v>1.8939999999999999</v>
      </c>
      <c r="E1371">
        <v>27.587</v>
      </c>
      <c r="F1371">
        <f t="shared" si="85"/>
        <v>0</v>
      </c>
      <c r="G1371">
        <f t="shared" si="88"/>
        <v>1</v>
      </c>
      <c r="H1371" t="s">
        <v>1400</v>
      </c>
      <c r="I1371">
        <v>93.554000000000002</v>
      </c>
      <c r="J1371" t="s">
        <v>1169</v>
      </c>
      <c r="K1371" s="24">
        <v>127</v>
      </c>
      <c r="L1371" s="24">
        <v>66</v>
      </c>
      <c r="M1371">
        <v>179</v>
      </c>
      <c r="N1371" t="s">
        <v>1433</v>
      </c>
      <c r="O1371">
        <v>40</v>
      </c>
      <c r="P1371">
        <v>70</v>
      </c>
      <c r="Q1371" t="s">
        <v>24</v>
      </c>
      <c r="R1371" t="s">
        <v>24</v>
      </c>
      <c r="S1371" t="s">
        <v>30</v>
      </c>
      <c r="T1371" t="s">
        <v>24</v>
      </c>
      <c r="U1371">
        <f t="shared" si="86"/>
        <v>0</v>
      </c>
      <c r="V1371">
        <v>189.405</v>
      </c>
      <c r="W1371">
        <v>0.49399999999999999</v>
      </c>
      <c r="X1371" t="s">
        <v>1406</v>
      </c>
      <c r="Y1371">
        <v>127</v>
      </c>
      <c r="Z1371">
        <v>66</v>
      </c>
      <c r="AA1371" t="s">
        <v>27</v>
      </c>
      <c r="AB1371">
        <v>109</v>
      </c>
      <c r="AC1371" s="23">
        <v>2.73</v>
      </c>
      <c r="AD1371" t="str">
        <f>IF(AND('CVD Dataset'!AA1371="Normal",'CVD Dataset'!AB1371&gt;AVERAGE('CVD Dataset'!AB:AB),'CVD Dataset'!AF1371="High"),"High Lipid Category","Normal Category")</f>
        <v>Normal Category</v>
      </c>
      <c r="AE1371">
        <v>15.446999999999999</v>
      </c>
      <c r="AF1371" t="s">
        <v>54</v>
      </c>
      <c r="AG1371">
        <v>0</v>
      </c>
      <c r="AH1371" t="s">
        <v>1380</v>
      </c>
      <c r="AI1371">
        <f t="shared" si="87"/>
        <v>0</v>
      </c>
      <c r="AJ1371" t="s">
        <v>1391</v>
      </c>
    </row>
    <row r="1372" spans="1:36" x14ac:dyDescent="0.3">
      <c r="A1372" t="s">
        <v>22</v>
      </c>
      <c r="B1372">
        <v>69</v>
      </c>
      <c r="C1372">
        <v>108.428</v>
      </c>
      <c r="D1372">
        <v>1.579</v>
      </c>
      <c r="E1372">
        <v>30.689</v>
      </c>
      <c r="F1372">
        <f t="shared" si="85"/>
        <v>43.488776255484332</v>
      </c>
      <c r="G1372">
        <f t="shared" si="88"/>
        <v>1</v>
      </c>
      <c r="H1372" t="s">
        <v>1399</v>
      </c>
      <c r="I1372">
        <v>75.798000000000002</v>
      </c>
      <c r="J1372" t="s">
        <v>1170</v>
      </c>
      <c r="K1372" s="24">
        <v>122</v>
      </c>
      <c r="L1372" s="24">
        <v>112</v>
      </c>
      <c r="M1372">
        <v>159</v>
      </c>
      <c r="N1372" t="s">
        <v>1433</v>
      </c>
      <c r="O1372">
        <v>89</v>
      </c>
      <c r="P1372">
        <v>137</v>
      </c>
      <c r="Q1372" t="s">
        <v>24</v>
      </c>
      <c r="R1372" t="s">
        <v>25</v>
      </c>
      <c r="S1372" t="s">
        <v>39</v>
      </c>
      <c r="T1372" t="s">
        <v>24</v>
      </c>
      <c r="U1372">
        <f t="shared" si="86"/>
        <v>1</v>
      </c>
      <c r="V1372">
        <v>157.94</v>
      </c>
      <c r="W1372">
        <v>0.48</v>
      </c>
      <c r="X1372" t="s">
        <v>1406</v>
      </c>
      <c r="Y1372">
        <v>122</v>
      </c>
      <c r="Z1372">
        <v>112</v>
      </c>
      <c r="AA1372" t="s">
        <v>40</v>
      </c>
      <c r="AB1372">
        <v>40</v>
      </c>
      <c r="AC1372" s="23">
        <v>0.45</v>
      </c>
      <c r="AD1372" t="str">
        <f>IF(AND('CVD Dataset'!AA1372="Normal",'CVD Dataset'!AB1372&gt;AVERAGE('CVD Dataset'!AB:AB),'CVD Dataset'!AF1372="High"),"High Lipid Category","Normal Category")</f>
        <v>Normal Category</v>
      </c>
      <c r="AE1372">
        <v>17.417999999999999</v>
      </c>
      <c r="AF1372" t="s">
        <v>32</v>
      </c>
      <c r="AG1372">
        <v>1</v>
      </c>
      <c r="AH1372" t="s">
        <v>1379</v>
      </c>
      <c r="AI1372">
        <f t="shared" si="87"/>
        <v>1</v>
      </c>
      <c r="AJ1372" t="s">
        <v>1392</v>
      </c>
    </row>
    <row r="1373" spans="1:36" x14ac:dyDescent="0.3">
      <c r="A1373" t="s">
        <v>22</v>
      </c>
      <c r="B1373">
        <v>54</v>
      </c>
      <c r="C1373">
        <v>119.571</v>
      </c>
      <c r="D1373">
        <v>1.764</v>
      </c>
      <c r="E1373">
        <v>29.949000000000002</v>
      </c>
      <c r="F1373">
        <f t="shared" si="85"/>
        <v>38.426311567710982</v>
      </c>
      <c r="G1373">
        <f t="shared" si="88"/>
        <v>1</v>
      </c>
      <c r="H1373" t="s">
        <v>1400</v>
      </c>
      <c r="I1373">
        <v>97.328999999999994</v>
      </c>
      <c r="J1373" t="s">
        <v>1171</v>
      </c>
      <c r="K1373" s="24">
        <v>161</v>
      </c>
      <c r="L1373" s="24">
        <v>85</v>
      </c>
      <c r="M1373">
        <v>244</v>
      </c>
      <c r="N1373" t="s">
        <v>1432</v>
      </c>
      <c r="O1373">
        <v>46</v>
      </c>
      <c r="P1373">
        <v>155</v>
      </c>
      <c r="Q1373" t="s">
        <v>25</v>
      </c>
      <c r="R1373" t="s">
        <v>25</v>
      </c>
      <c r="S1373" t="s">
        <v>39</v>
      </c>
      <c r="T1373" t="s">
        <v>25</v>
      </c>
      <c r="U1373">
        <f t="shared" si="86"/>
        <v>3</v>
      </c>
      <c r="V1373">
        <v>176.411</v>
      </c>
      <c r="W1373">
        <v>0.55200000000000005</v>
      </c>
      <c r="X1373" t="s">
        <v>1407</v>
      </c>
      <c r="Y1373">
        <v>161</v>
      </c>
      <c r="Z1373">
        <v>85</v>
      </c>
      <c r="AA1373" t="s">
        <v>31</v>
      </c>
      <c r="AB1373">
        <v>168</v>
      </c>
      <c r="AC1373" s="23">
        <v>3.65</v>
      </c>
      <c r="AD1373" t="str">
        <f>IF(AND('CVD Dataset'!AA1373="Normal",'CVD Dataset'!AB1373&gt;AVERAGE('CVD Dataset'!AB:AB),'CVD Dataset'!AF1373="High"),"High Lipid Category","Normal Category")</f>
        <v>Normal Category</v>
      </c>
      <c r="AE1373">
        <v>20.92</v>
      </c>
      <c r="AF1373" t="s">
        <v>28</v>
      </c>
      <c r="AG1373">
        <v>0</v>
      </c>
      <c r="AH1373" t="s">
        <v>1380</v>
      </c>
      <c r="AI1373">
        <f t="shared" si="87"/>
        <v>0</v>
      </c>
      <c r="AJ1373" t="s">
        <v>1392</v>
      </c>
    </row>
    <row r="1374" spans="1:36" x14ac:dyDescent="0.3">
      <c r="A1374" t="s">
        <v>33</v>
      </c>
      <c r="B1374">
        <v>52</v>
      </c>
      <c r="C1374">
        <v>101.49299999999999</v>
      </c>
      <c r="D1374">
        <v>1.8340000000000001</v>
      </c>
      <c r="E1374">
        <v>30.829000000000001</v>
      </c>
      <c r="F1374">
        <f t="shared" si="85"/>
        <v>30.17431551607881</v>
      </c>
      <c r="G1374">
        <f t="shared" si="88"/>
        <v>1</v>
      </c>
      <c r="H1374" t="s">
        <v>1399</v>
      </c>
      <c r="I1374">
        <v>119.43600000000001</v>
      </c>
      <c r="J1374" t="s">
        <v>1172</v>
      </c>
      <c r="K1374" s="24">
        <v>101</v>
      </c>
      <c r="L1374" s="24">
        <v>63</v>
      </c>
      <c r="M1374">
        <v>261</v>
      </c>
      <c r="N1374" t="s">
        <v>1432</v>
      </c>
      <c r="O1374">
        <v>84</v>
      </c>
      <c r="P1374">
        <v>151</v>
      </c>
      <c r="Q1374" t="s">
        <v>25</v>
      </c>
      <c r="R1374" t="s">
        <v>25</v>
      </c>
      <c r="S1374" t="s">
        <v>39</v>
      </c>
      <c r="T1374" t="s">
        <v>25</v>
      </c>
      <c r="U1374">
        <f t="shared" si="86"/>
        <v>3</v>
      </c>
      <c r="V1374">
        <v>183.42599999999999</v>
      </c>
      <c r="W1374">
        <v>0.65100000000000002</v>
      </c>
      <c r="X1374" t="s">
        <v>1409</v>
      </c>
      <c r="Y1374">
        <v>101</v>
      </c>
      <c r="Z1374">
        <v>63</v>
      </c>
      <c r="AA1374" t="s">
        <v>35</v>
      </c>
      <c r="AB1374">
        <v>147</v>
      </c>
      <c r="AC1374" s="23">
        <v>1.75</v>
      </c>
      <c r="AD1374" t="str">
        <f>IF(AND('CVD Dataset'!AA1374="Normal",'CVD Dataset'!AB1374&gt;AVERAGE('CVD Dataset'!AB:AB),'CVD Dataset'!AF1374="High"),"High Lipid Category","Normal Category")</f>
        <v>High Lipid Category</v>
      </c>
      <c r="AE1374">
        <v>18.436</v>
      </c>
      <c r="AF1374" t="s">
        <v>32</v>
      </c>
      <c r="AG1374">
        <v>1</v>
      </c>
      <c r="AH1374" t="s">
        <v>1379</v>
      </c>
      <c r="AI1374">
        <f t="shared" si="87"/>
        <v>1</v>
      </c>
      <c r="AJ1374" t="s">
        <v>1391</v>
      </c>
    </row>
    <row r="1375" spans="1:36" x14ac:dyDescent="0.3">
      <c r="A1375" t="s">
        <v>22</v>
      </c>
      <c r="B1375">
        <v>56</v>
      </c>
      <c r="C1375">
        <v>85.436000000000007</v>
      </c>
      <c r="D1375">
        <v>1.8089999999999999</v>
      </c>
      <c r="E1375">
        <v>29.928000000000001</v>
      </c>
      <c r="F1375">
        <f t="shared" si="85"/>
        <v>26.107409026973727</v>
      </c>
      <c r="G1375">
        <f t="shared" si="88"/>
        <v>1</v>
      </c>
      <c r="H1375" t="s">
        <v>1400</v>
      </c>
      <c r="I1375">
        <v>72.209999999999994</v>
      </c>
      <c r="J1375" t="s">
        <v>1173</v>
      </c>
      <c r="K1375" s="24">
        <v>124</v>
      </c>
      <c r="L1375" s="24">
        <v>60</v>
      </c>
      <c r="M1375">
        <v>105</v>
      </c>
      <c r="N1375" t="s">
        <v>1434</v>
      </c>
      <c r="O1375">
        <v>49</v>
      </c>
      <c r="P1375">
        <v>93</v>
      </c>
      <c r="Q1375" t="s">
        <v>25</v>
      </c>
      <c r="R1375" t="s">
        <v>25</v>
      </c>
      <c r="S1375" t="s">
        <v>39</v>
      </c>
      <c r="T1375" t="s">
        <v>24</v>
      </c>
      <c r="U1375">
        <f t="shared" si="86"/>
        <v>2</v>
      </c>
      <c r="V1375">
        <v>180.94900000000001</v>
      </c>
      <c r="W1375">
        <v>0.39900000000000002</v>
      </c>
      <c r="X1375" t="s">
        <v>1408</v>
      </c>
      <c r="Y1375">
        <v>124</v>
      </c>
      <c r="Z1375">
        <v>60</v>
      </c>
      <c r="AA1375" t="s">
        <v>27</v>
      </c>
      <c r="AB1375">
        <v>26</v>
      </c>
      <c r="AC1375" s="23">
        <v>0.53</v>
      </c>
      <c r="AD1375" t="str">
        <f>IF(AND('CVD Dataset'!AA1375="Normal",'CVD Dataset'!AB1375&gt;AVERAGE('CVD Dataset'!AB:AB),'CVD Dataset'!AF1375="High"),"High Lipid Category","Normal Category")</f>
        <v>Normal Category</v>
      </c>
      <c r="AE1375">
        <v>16.286000000000001</v>
      </c>
      <c r="AF1375" t="s">
        <v>54</v>
      </c>
      <c r="AG1375">
        <v>0</v>
      </c>
      <c r="AH1375" t="s">
        <v>1380</v>
      </c>
      <c r="AI1375">
        <f t="shared" si="87"/>
        <v>0</v>
      </c>
      <c r="AJ1375" t="s">
        <v>1391</v>
      </c>
    </row>
    <row r="1376" spans="1:36" x14ac:dyDescent="0.3">
      <c r="A1376" t="s">
        <v>33</v>
      </c>
      <c r="B1376">
        <v>75</v>
      </c>
      <c r="C1376">
        <v>71.018000000000001</v>
      </c>
      <c r="D1376">
        <v>1.8660000000000001</v>
      </c>
      <c r="E1376">
        <v>29.228999999999999</v>
      </c>
      <c r="F1376">
        <f t="shared" si="85"/>
        <v>20.396007301643099</v>
      </c>
      <c r="G1376">
        <f t="shared" si="88"/>
        <v>1</v>
      </c>
      <c r="H1376" t="s">
        <v>1400</v>
      </c>
      <c r="I1376">
        <v>81.180999999999997</v>
      </c>
      <c r="J1376" t="s">
        <v>1174</v>
      </c>
      <c r="K1376" s="24">
        <v>119</v>
      </c>
      <c r="L1376" s="24">
        <v>86</v>
      </c>
      <c r="M1376">
        <v>281</v>
      </c>
      <c r="N1376" t="s">
        <v>1432</v>
      </c>
      <c r="O1376">
        <v>58</v>
      </c>
      <c r="P1376">
        <v>111</v>
      </c>
      <c r="Q1376" t="s">
        <v>24</v>
      </c>
      <c r="R1376" t="s">
        <v>24</v>
      </c>
      <c r="S1376" t="s">
        <v>26</v>
      </c>
      <c r="T1376" t="s">
        <v>25</v>
      </c>
      <c r="U1376">
        <f t="shared" si="86"/>
        <v>2</v>
      </c>
      <c r="V1376">
        <v>186.58</v>
      </c>
      <c r="W1376">
        <v>0.435</v>
      </c>
      <c r="X1376" t="s">
        <v>1408</v>
      </c>
      <c r="Y1376">
        <v>119</v>
      </c>
      <c r="Z1376">
        <v>86</v>
      </c>
      <c r="AA1376" t="s">
        <v>31</v>
      </c>
      <c r="AB1376">
        <v>193</v>
      </c>
      <c r="AC1376" s="23">
        <v>3.33</v>
      </c>
      <c r="AD1376" t="str">
        <f>IF(AND('CVD Dataset'!AA1376="Normal",'CVD Dataset'!AB1376&gt;AVERAGE('CVD Dataset'!AB:AB),'CVD Dataset'!AF1376="High"),"High Lipid Category","Normal Category")</f>
        <v>Normal Category</v>
      </c>
      <c r="AE1376">
        <v>17.416</v>
      </c>
      <c r="AF1376" t="s">
        <v>32</v>
      </c>
      <c r="AG1376">
        <v>0</v>
      </c>
      <c r="AH1376" t="s">
        <v>1379</v>
      </c>
      <c r="AI1376">
        <f t="shared" si="87"/>
        <v>1</v>
      </c>
      <c r="AJ1376" t="s">
        <v>1391</v>
      </c>
    </row>
    <row r="1377" spans="1:36" x14ac:dyDescent="0.3">
      <c r="A1377" t="s">
        <v>33</v>
      </c>
      <c r="B1377">
        <v>76</v>
      </c>
      <c r="C1377">
        <v>88.176000000000002</v>
      </c>
      <c r="D1377">
        <v>1.73</v>
      </c>
      <c r="E1377">
        <v>32.064</v>
      </c>
      <c r="F1377">
        <f t="shared" si="85"/>
        <v>29.461726085067994</v>
      </c>
      <c r="G1377">
        <f t="shared" si="88"/>
        <v>1</v>
      </c>
      <c r="H1377" t="s">
        <v>1399</v>
      </c>
      <c r="I1377">
        <v>108.771</v>
      </c>
      <c r="J1377" t="s">
        <v>1043</v>
      </c>
      <c r="K1377" s="24">
        <v>157</v>
      </c>
      <c r="L1377" s="24">
        <v>65</v>
      </c>
      <c r="M1377">
        <v>253</v>
      </c>
      <c r="N1377" t="s">
        <v>1432</v>
      </c>
      <c r="O1377">
        <v>79</v>
      </c>
      <c r="P1377">
        <v>168</v>
      </c>
      <c r="Q1377" t="s">
        <v>25</v>
      </c>
      <c r="R1377" t="s">
        <v>25</v>
      </c>
      <c r="S1377" t="s">
        <v>26</v>
      </c>
      <c r="T1377" t="s">
        <v>24</v>
      </c>
      <c r="U1377">
        <f t="shared" si="86"/>
        <v>3</v>
      </c>
      <c r="V1377">
        <v>173.04400000000001</v>
      </c>
      <c r="W1377">
        <v>0.629</v>
      </c>
      <c r="X1377" t="s">
        <v>1409</v>
      </c>
      <c r="Y1377">
        <v>157</v>
      </c>
      <c r="Z1377">
        <v>65</v>
      </c>
      <c r="AA1377" t="s">
        <v>40</v>
      </c>
      <c r="AB1377">
        <v>144</v>
      </c>
      <c r="AC1377" s="23">
        <v>1.82</v>
      </c>
      <c r="AD1377" t="str">
        <f>IF(AND('CVD Dataset'!AA1377="Normal",'CVD Dataset'!AB1377&gt;AVERAGE('CVD Dataset'!AB:AB),'CVD Dataset'!AF1377="High"),"High Lipid Category","Normal Category")</f>
        <v>Normal Category</v>
      </c>
      <c r="AE1377">
        <v>21.323</v>
      </c>
      <c r="AF1377" t="s">
        <v>28</v>
      </c>
      <c r="AG1377">
        <v>0</v>
      </c>
      <c r="AH1377" t="s">
        <v>1380</v>
      </c>
      <c r="AI1377">
        <f t="shared" si="87"/>
        <v>0</v>
      </c>
      <c r="AJ1377" t="s">
        <v>1392</v>
      </c>
    </row>
    <row r="1378" spans="1:36" x14ac:dyDescent="0.3">
      <c r="A1378" t="s">
        <v>22</v>
      </c>
      <c r="B1378">
        <v>25</v>
      </c>
      <c r="C1378">
        <v>89.625</v>
      </c>
      <c r="D1378">
        <v>1.6180000000000001</v>
      </c>
      <c r="E1378">
        <v>39.646000000000001</v>
      </c>
      <c r="F1378">
        <f t="shared" si="85"/>
        <v>34.235142043848477</v>
      </c>
      <c r="G1378">
        <f t="shared" si="88"/>
        <v>1</v>
      </c>
      <c r="H1378" t="s">
        <v>1399</v>
      </c>
      <c r="I1378">
        <v>112.02500000000001</v>
      </c>
      <c r="J1378" t="s">
        <v>1175</v>
      </c>
      <c r="K1378" s="24">
        <v>166</v>
      </c>
      <c r="L1378" s="24">
        <v>96</v>
      </c>
      <c r="M1378">
        <v>137</v>
      </c>
      <c r="N1378" t="s">
        <v>1434</v>
      </c>
      <c r="O1378">
        <v>52</v>
      </c>
      <c r="P1378">
        <v>77</v>
      </c>
      <c r="Q1378" t="s">
        <v>25</v>
      </c>
      <c r="R1378" t="s">
        <v>25</v>
      </c>
      <c r="S1378" t="s">
        <v>30</v>
      </c>
      <c r="T1378" t="s">
        <v>24</v>
      </c>
      <c r="U1378">
        <f t="shared" si="86"/>
        <v>2</v>
      </c>
      <c r="V1378">
        <v>161.81</v>
      </c>
      <c r="W1378">
        <v>0.69199999999999995</v>
      </c>
      <c r="X1378" t="s">
        <v>1409</v>
      </c>
      <c r="Y1378">
        <v>166</v>
      </c>
      <c r="Z1378">
        <v>96</v>
      </c>
      <c r="AA1378" t="s">
        <v>40</v>
      </c>
      <c r="AB1378">
        <v>55</v>
      </c>
      <c r="AC1378" s="23">
        <v>1.06</v>
      </c>
      <c r="AD1378" t="str">
        <f>IF(AND('CVD Dataset'!AA1378="Normal",'CVD Dataset'!AB1378&gt;AVERAGE('CVD Dataset'!AB:AB),'CVD Dataset'!AF1378="High"),"High Lipid Category","Normal Category")</f>
        <v>Normal Category</v>
      </c>
      <c r="AE1378">
        <v>20.969000000000001</v>
      </c>
      <c r="AF1378" t="s">
        <v>54</v>
      </c>
      <c r="AG1378">
        <v>0</v>
      </c>
      <c r="AH1378" t="s">
        <v>1380</v>
      </c>
      <c r="AI1378">
        <f t="shared" si="87"/>
        <v>0</v>
      </c>
      <c r="AJ1378" t="s">
        <v>1391</v>
      </c>
    </row>
    <row r="1379" spans="1:36" x14ac:dyDescent="0.3">
      <c r="A1379" t="s">
        <v>22</v>
      </c>
      <c r="B1379">
        <v>49</v>
      </c>
      <c r="C1379">
        <v>72.513999999999996</v>
      </c>
      <c r="D1379">
        <v>1.8089999999999999</v>
      </c>
      <c r="E1379">
        <v>25.928000000000001</v>
      </c>
      <c r="F1379">
        <f t="shared" si="85"/>
        <v>22.158722999461265</v>
      </c>
      <c r="G1379">
        <f t="shared" si="88"/>
        <v>1</v>
      </c>
      <c r="H1379" t="s">
        <v>1400</v>
      </c>
      <c r="I1379">
        <v>90.137</v>
      </c>
      <c r="J1379" t="s">
        <v>1176</v>
      </c>
      <c r="K1379" s="24">
        <v>176</v>
      </c>
      <c r="L1379" s="24">
        <v>92</v>
      </c>
      <c r="M1379">
        <v>251</v>
      </c>
      <c r="N1379" t="s">
        <v>1432</v>
      </c>
      <c r="O1379">
        <v>88</v>
      </c>
      <c r="P1379">
        <v>125</v>
      </c>
      <c r="Q1379" t="s">
        <v>25</v>
      </c>
      <c r="R1379" t="s">
        <v>25</v>
      </c>
      <c r="S1379" t="s">
        <v>30</v>
      </c>
      <c r="T1379" t="s">
        <v>24</v>
      </c>
      <c r="U1379">
        <f t="shared" si="86"/>
        <v>2</v>
      </c>
      <c r="V1379">
        <v>180.946</v>
      </c>
      <c r="W1379">
        <v>0.498</v>
      </c>
      <c r="X1379" t="s">
        <v>1406</v>
      </c>
      <c r="Y1379">
        <v>176</v>
      </c>
      <c r="Z1379">
        <v>92</v>
      </c>
      <c r="AA1379" t="s">
        <v>40</v>
      </c>
      <c r="AB1379">
        <v>133</v>
      </c>
      <c r="AC1379" s="23">
        <v>1.51</v>
      </c>
      <c r="AD1379" t="str">
        <f>IF(AND('CVD Dataset'!AA1379="Normal",'CVD Dataset'!AB1379&gt;AVERAGE('CVD Dataset'!AB:AB),'CVD Dataset'!AF1379="High"),"High Lipid Category","Normal Category")</f>
        <v>Normal Category</v>
      </c>
      <c r="AE1379">
        <v>21.006</v>
      </c>
      <c r="AF1379" t="s">
        <v>28</v>
      </c>
      <c r="AG1379">
        <v>0</v>
      </c>
      <c r="AH1379" t="s">
        <v>1380</v>
      </c>
      <c r="AI1379">
        <f t="shared" si="87"/>
        <v>0</v>
      </c>
      <c r="AJ1379" t="s">
        <v>1391</v>
      </c>
    </row>
    <row r="1380" spans="1:36" x14ac:dyDescent="0.3">
      <c r="A1380" t="s">
        <v>33</v>
      </c>
      <c r="B1380">
        <v>63</v>
      </c>
      <c r="C1380">
        <v>59.067999999999998</v>
      </c>
      <c r="D1380">
        <v>1.556</v>
      </c>
      <c r="E1380">
        <v>29.125</v>
      </c>
      <c r="F1380">
        <f t="shared" si="85"/>
        <v>24.396812074992894</v>
      </c>
      <c r="G1380">
        <f t="shared" si="88"/>
        <v>1</v>
      </c>
      <c r="H1380" t="s">
        <v>1400</v>
      </c>
      <c r="I1380">
        <v>71.025999999999996</v>
      </c>
      <c r="J1380" t="s">
        <v>1177</v>
      </c>
      <c r="K1380" s="24">
        <v>162</v>
      </c>
      <c r="L1380" s="24">
        <v>80</v>
      </c>
      <c r="M1380">
        <v>238</v>
      </c>
      <c r="N1380" t="s">
        <v>1432</v>
      </c>
      <c r="P1380">
        <v>119</v>
      </c>
      <c r="Q1380" t="s">
        <v>25</v>
      </c>
      <c r="R1380" t="s">
        <v>24</v>
      </c>
      <c r="S1380" t="s">
        <v>30</v>
      </c>
      <c r="T1380" t="s">
        <v>24</v>
      </c>
      <c r="U1380">
        <f t="shared" si="86"/>
        <v>1</v>
      </c>
      <c r="V1380">
        <v>155.596</v>
      </c>
      <c r="W1380">
        <v>0.45600000000000002</v>
      </c>
      <c r="X1380" t="s">
        <v>1408</v>
      </c>
      <c r="Y1380">
        <v>162</v>
      </c>
      <c r="Z1380">
        <v>80</v>
      </c>
      <c r="AA1380" t="s">
        <v>31</v>
      </c>
      <c r="AC1380" s="23" t="s">
        <v>1410</v>
      </c>
      <c r="AD1380" t="str">
        <f>IF(AND('CVD Dataset'!AA1380="Normal",'CVD Dataset'!AB1380&gt;AVERAGE('CVD Dataset'!AB:AB),'CVD Dataset'!AF1380="High"),"High Lipid Category","Normal Category")</f>
        <v>Normal Category</v>
      </c>
      <c r="AE1380">
        <v>18.684999999999999</v>
      </c>
      <c r="AF1380" t="s">
        <v>54</v>
      </c>
      <c r="AG1380">
        <v>0</v>
      </c>
      <c r="AH1380" t="s">
        <v>1380</v>
      </c>
      <c r="AI1380">
        <f t="shared" si="87"/>
        <v>0</v>
      </c>
      <c r="AJ1380" t="s">
        <v>1391</v>
      </c>
    </row>
    <row r="1381" spans="1:36" x14ac:dyDescent="0.3">
      <c r="A1381" t="s">
        <v>22</v>
      </c>
      <c r="B1381">
        <v>26</v>
      </c>
      <c r="C1381">
        <v>83.855999999999995</v>
      </c>
      <c r="D1381">
        <v>1.95</v>
      </c>
      <c r="E1381">
        <v>36.851999999999997</v>
      </c>
      <c r="F1381">
        <f t="shared" si="85"/>
        <v>22.052859960552269</v>
      </c>
      <c r="G1381">
        <f t="shared" si="88"/>
        <v>1</v>
      </c>
      <c r="H1381" t="s">
        <v>1399</v>
      </c>
      <c r="I1381">
        <v>77.156999999999996</v>
      </c>
      <c r="J1381" t="s">
        <v>1178</v>
      </c>
      <c r="K1381" s="24">
        <v>96</v>
      </c>
      <c r="L1381" s="24">
        <v>68</v>
      </c>
      <c r="M1381">
        <v>140</v>
      </c>
      <c r="N1381" t="s">
        <v>1434</v>
      </c>
      <c r="O1381">
        <v>32</v>
      </c>
      <c r="P1381">
        <v>174</v>
      </c>
      <c r="Q1381" t="s">
        <v>25</v>
      </c>
      <c r="R1381" t="s">
        <v>25</v>
      </c>
      <c r="S1381" t="s">
        <v>26</v>
      </c>
      <c r="T1381" t="s">
        <v>25</v>
      </c>
      <c r="U1381">
        <f t="shared" si="86"/>
        <v>4</v>
      </c>
      <c r="V1381">
        <v>194.953</v>
      </c>
      <c r="W1381">
        <v>0.39600000000000002</v>
      </c>
      <c r="X1381" t="s">
        <v>1408</v>
      </c>
      <c r="Y1381">
        <v>96</v>
      </c>
      <c r="Z1381">
        <v>68</v>
      </c>
      <c r="AA1381" t="s">
        <v>35</v>
      </c>
      <c r="AB1381">
        <v>78</v>
      </c>
      <c r="AC1381" s="23">
        <v>2.44</v>
      </c>
      <c r="AD1381" t="str">
        <f>IF(AND('CVD Dataset'!AA1381="Normal",'CVD Dataset'!AB1381&gt;AVERAGE('CVD Dataset'!AB:AB),'CVD Dataset'!AF1381="High"),"High Lipid Category","Normal Category")</f>
        <v>Normal Category</v>
      </c>
      <c r="AE1381">
        <v>16.97</v>
      </c>
      <c r="AF1381" t="s">
        <v>32</v>
      </c>
      <c r="AG1381">
        <v>0</v>
      </c>
      <c r="AH1381" t="s">
        <v>1379</v>
      </c>
      <c r="AI1381">
        <f t="shared" si="87"/>
        <v>1</v>
      </c>
      <c r="AJ1381" t="s">
        <v>1391</v>
      </c>
    </row>
    <row r="1382" spans="1:36" x14ac:dyDescent="0.3">
      <c r="A1382" t="s">
        <v>33</v>
      </c>
      <c r="B1382">
        <v>28</v>
      </c>
      <c r="C1382">
        <v>88.733999999999995</v>
      </c>
      <c r="D1382">
        <v>1.863</v>
      </c>
      <c r="E1382">
        <v>22.917999999999999</v>
      </c>
      <c r="F1382">
        <f t="shared" si="85"/>
        <v>25.56609212540506</v>
      </c>
      <c r="G1382">
        <f t="shared" si="88"/>
        <v>1</v>
      </c>
      <c r="H1382" t="s">
        <v>1398</v>
      </c>
      <c r="I1382">
        <v>75.188000000000002</v>
      </c>
      <c r="J1382" t="s">
        <v>1179</v>
      </c>
      <c r="K1382" s="24">
        <v>148</v>
      </c>
      <c r="L1382" s="24">
        <v>84</v>
      </c>
      <c r="M1382">
        <v>120</v>
      </c>
      <c r="N1382" t="s">
        <v>1434</v>
      </c>
      <c r="O1382">
        <v>62</v>
      </c>
      <c r="P1382">
        <v>141</v>
      </c>
      <c r="Q1382" t="s">
        <v>25</v>
      </c>
      <c r="R1382" t="s">
        <v>25</v>
      </c>
      <c r="S1382" t="s">
        <v>30</v>
      </c>
      <c r="T1382" t="s">
        <v>25</v>
      </c>
      <c r="U1382">
        <f t="shared" si="86"/>
        <v>3</v>
      </c>
      <c r="V1382">
        <v>186.33</v>
      </c>
      <c r="W1382">
        <v>0.40400000000000003</v>
      </c>
      <c r="X1382" t="s">
        <v>1408</v>
      </c>
      <c r="Y1382">
        <v>148</v>
      </c>
      <c r="Z1382">
        <v>84</v>
      </c>
      <c r="AA1382" t="s">
        <v>31</v>
      </c>
      <c r="AB1382">
        <v>28</v>
      </c>
      <c r="AC1382" s="23">
        <v>0.45</v>
      </c>
      <c r="AD1382" t="str">
        <f>IF(AND('CVD Dataset'!AA1382="Normal",'CVD Dataset'!AB1382&gt;AVERAGE('CVD Dataset'!AB:AB),'CVD Dataset'!AF1382="High"),"High Lipid Category","Normal Category")</f>
        <v>Normal Category</v>
      </c>
      <c r="AE1382">
        <v>16.384</v>
      </c>
      <c r="AF1382" t="s">
        <v>54</v>
      </c>
      <c r="AG1382">
        <v>0</v>
      </c>
      <c r="AH1382" t="s">
        <v>1380</v>
      </c>
      <c r="AI1382">
        <f t="shared" si="87"/>
        <v>0</v>
      </c>
      <c r="AJ1382" t="s">
        <v>1391</v>
      </c>
    </row>
    <row r="1383" spans="1:36" x14ac:dyDescent="0.3">
      <c r="A1383" t="s">
        <v>22</v>
      </c>
      <c r="B1383">
        <v>52</v>
      </c>
      <c r="C1383">
        <v>99.356999999999999</v>
      </c>
      <c r="D1383">
        <v>1.8979999999999999</v>
      </c>
      <c r="E1383">
        <v>31.597000000000001</v>
      </c>
      <c r="F1383">
        <f t="shared" si="85"/>
        <v>27.580748855486508</v>
      </c>
      <c r="G1383">
        <f t="shared" si="88"/>
        <v>1</v>
      </c>
      <c r="H1383" t="s">
        <v>1399</v>
      </c>
      <c r="I1383">
        <v>92.525999999999996</v>
      </c>
      <c r="J1383" t="s">
        <v>1180</v>
      </c>
      <c r="K1383" s="24">
        <v>142</v>
      </c>
      <c r="L1383" s="24">
        <v>95</v>
      </c>
      <c r="M1383">
        <v>240</v>
      </c>
      <c r="N1383" t="s">
        <v>1432</v>
      </c>
      <c r="O1383">
        <v>49</v>
      </c>
      <c r="P1383">
        <v>164</v>
      </c>
      <c r="Q1383" t="s">
        <v>25</v>
      </c>
      <c r="R1383" t="s">
        <v>24</v>
      </c>
      <c r="S1383" t="s">
        <v>30</v>
      </c>
      <c r="T1383" t="s">
        <v>25</v>
      </c>
      <c r="U1383">
        <f t="shared" si="86"/>
        <v>2</v>
      </c>
      <c r="V1383">
        <v>189.75399999999999</v>
      </c>
      <c r="W1383">
        <v>0.48799999999999999</v>
      </c>
      <c r="X1383" t="s">
        <v>1406</v>
      </c>
      <c r="Y1383">
        <v>142</v>
      </c>
      <c r="Z1383">
        <v>95</v>
      </c>
      <c r="AA1383" t="s">
        <v>40</v>
      </c>
      <c r="AB1383">
        <v>161</v>
      </c>
      <c r="AC1383" s="23">
        <v>3.29</v>
      </c>
      <c r="AD1383" t="str">
        <f>IF(AND('CVD Dataset'!AA1383="Normal",'CVD Dataset'!AB1383&gt;AVERAGE('CVD Dataset'!AB:AB),'CVD Dataset'!AF1383="High"),"High Lipid Category","Normal Category")</f>
        <v>Normal Category</v>
      </c>
      <c r="AE1383">
        <v>18.219000000000001</v>
      </c>
      <c r="AF1383" t="s">
        <v>54</v>
      </c>
      <c r="AG1383">
        <v>0</v>
      </c>
      <c r="AH1383" t="s">
        <v>1380</v>
      </c>
      <c r="AI1383">
        <f t="shared" si="87"/>
        <v>0</v>
      </c>
      <c r="AJ1383" t="s">
        <v>1391</v>
      </c>
    </row>
    <row r="1384" spans="1:36" x14ac:dyDescent="0.3">
      <c r="A1384" t="s">
        <v>33</v>
      </c>
      <c r="B1384">
        <v>64</v>
      </c>
      <c r="C1384">
        <v>100.94</v>
      </c>
      <c r="D1384">
        <v>1.7509999999999999</v>
      </c>
      <c r="E1384">
        <v>22.696999999999999</v>
      </c>
      <c r="F1384">
        <f t="shared" si="85"/>
        <v>32.922363691336045</v>
      </c>
      <c r="G1384">
        <f t="shared" si="88"/>
        <v>1</v>
      </c>
      <c r="H1384" t="s">
        <v>1398</v>
      </c>
      <c r="I1384">
        <v>71.652000000000001</v>
      </c>
      <c r="J1384" t="s">
        <v>1181</v>
      </c>
      <c r="K1384" s="24">
        <v>115</v>
      </c>
      <c r="L1384" s="24">
        <v>113</v>
      </c>
      <c r="M1384">
        <v>128</v>
      </c>
      <c r="N1384" t="s">
        <v>1434</v>
      </c>
      <c r="O1384">
        <v>81</v>
      </c>
      <c r="P1384">
        <v>103</v>
      </c>
      <c r="Q1384" t="s">
        <v>25</v>
      </c>
      <c r="R1384" t="s">
        <v>25</v>
      </c>
      <c r="S1384" t="s">
        <v>30</v>
      </c>
      <c r="T1384" t="s">
        <v>24</v>
      </c>
      <c r="U1384">
        <f t="shared" si="86"/>
        <v>2</v>
      </c>
      <c r="V1384">
        <v>175.10300000000001</v>
      </c>
      <c r="X1384" t="s">
        <v>1410</v>
      </c>
      <c r="Y1384">
        <v>115</v>
      </c>
      <c r="Z1384">
        <v>113</v>
      </c>
      <c r="AA1384" t="s">
        <v>40</v>
      </c>
      <c r="AB1384">
        <v>17</v>
      </c>
      <c r="AC1384" s="23">
        <v>0.21</v>
      </c>
      <c r="AD1384" t="str">
        <f>IF(AND('CVD Dataset'!AA1384="Normal",'CVD Dataset'!AB1384&gt;AVERAGE('CVD Dataset'!AB:AB),'CVD Dataset'!AF1384="High"),"High Lipid Category","Normal Category")</f>
        <v>Normal Category</v>
      </c>
      <c r="AE1384">
        <v>14.849</v>
      </c>
      <c r="AF1384" t="s">
        <v>28</v>
      </c>
      <c r="AG1384">
        <v>0</v>
      </c>
      <c r="AH1384" t="s">
        <v>1380</v>
      </c>
      <c r="AI1384">
        <f t="shared" si="87"/>
        <v>0</v>
      </c>
      <c r="AJ1384" t="s">
        <v>1392</v>
      </c>
    </row>
    <row r="1385" spans="1:36" x14ac:dyDescent="0.3">
      <c r="A1385" t="s">
        <v>33</v>
      </c>
      <c r="B1385">
        <v>31</v>
      </c>
      <c r="C1385">
        <v>61.213000000000001</v>
      </c>
      <c r="D1385">
        <v>1.829</v>
      </c>
      <c r="E1385">
        <v>19.643999999999998</v>
      </c>
      <c r="F1385">
        <f t="shared" si="85"/>
        <v>18.29853215358774</v>
      </c>
      <c r="G1385">
        <f t="shared" si="88"/>
        <v>1</v>
      </c>
      <c r="H1385" t="s">
        <v>1398</v>
      </c>
      <c r="I1385">
        <v>84.102000000000004</v>
      </c>
      <c r="J1385" t="s">
        <v>386</v>
      </c>
      <c r="K1385" s="24">
        <v>108</v>
      </c>
      <c r="L1385" s="24">
        <v>61</v>
      </c>
      <c r="M1385">
        <v>145</v>
      </c>
      <c r="N1385" t="s">
        <v>1434</v>
      </c>
      <c r="O1385">
        <v>70</v>
      </c>
      <c r="P1385">
        <v>168</v>
      </c>
      <c r="Q1385" t="s">
        <v>24</v>
      </c>
      <c r="R1385" t="s">
        <v>24</v>
      </c>
      <c r="S1385" t="s">
        <v>30</v>
      </c>
      <c r="T1385" t="s">
        <v>24</v>
      </c>
      <c r="U1385">
        <f t="shared" si="86"/>
        <v>0</v>
      </c>
      <c r="V1385">
        <v>182.90199999999999</v>
      </c>
      <c r="W1385">
        <v>0.46</v>
      </c>
      <c r="X1385" t="s">
        <v>1408</v>
      </c>
      <c r="Y1385">
        <v>108</v>
      </c>
      <c r="Z1385">
        <v>61</v>
      </c>
      <c r="AA1385" t="s">
        <v>35</v>
      </c>
      <c r="AB1385">
        <v>45</v>
      </c>
      <c r="AC1385" s="23">
        <v>0.64</v>
      </c>
      <c r="AD1385" t="str">
        <f>IF(AND('CVD Dataset'!AA1385="Normal",'CVD Dataset'!AB1385&gt;AVERAGE('CVD Dataset'!AB:AB),'CVD Dataset'!AF1385="High"),"High Lipid Category","Normal Category")</f>
        <v>Normal Category</v>
      </c>
      <c r="AE1385">
        <v>12.228999999999999</v>
      </c>
      <c r="AF1385" t="s">
        <v>28</v>
      </c>
      <c r="AG1385">
        <v>0</v>
      </c>
      <c r="AH1385" t="s">
        <v>1380</v>
      </c>
      <c r="AI1385">
        <f t="shared" si="87"/>
        <v>0</v>
      </c>
      <c r="AJ1385" t="s">
        <v>1391</v>
      </c>
    </row>
    <row r="1386" spans="1:36" x14ac:dyDescent="0.3">
      <c r="A1386" t="s">
        <v>33</v>
      </c>
      <c r="B1386">
        <v>62</v>
      </c>
      <c r="C1386">
        <v>76.988</v>
      </c>
      <c r="D1386">
        <v>1.792</v>
      </c>
      <c r="E1386">
        <v>21.911999999999999</v>
      </c>
      <c r="F1386">
        <f t="shared" si="85"/>
        <v>23.974360251913264</v>
      </c>
      <c r="G1386">
        <f t="shared" si="88"/>
        <v>1</v>
      </c>
      <c r="H1386" t="s">
        <v>1398</v>
      </c>
      <c r="I1386">
        <v>116.937</v>
      </c>
      <c r="J1386" t="s">
        <v>1182</v>
      </c>
      <c r="K1386" s="24">
        <v>103</v>
      </c>
      <c r="L1386" s="24">
        <v>93</v>
      </c>
      <c r="M1386">
        <v>218</v>
      </c>
      <c r="N1386" t="s">
        <v>1432</v>
      </c>
      <c r="O1386">
        <v>71</v>
      </c>
      <c r="P1386">
        <v>88</v>
      </c>
      <c r="Q1386" t="s">
        <v>24</v>
      </c>
      <c r="R1386" t="s">
        <v>24</v>
      </c>
      <c r="S1386" t="s">
        <v>26</v>
      </c>
      <c r="T1386" t="s">
        <v>24</v>
      </c>
      <c r="U1386">
        <f t="shared" si="86"/>
        <v>1</v>
      </c>
      <c r="V1386">
        <v>179.18600000000001</v>
      </c>
      <c r="W1386">
        <v>0.65300000000000002</v>
      </c>
      <c r="X1386" t="s">
        <v>1409</v>
      </c>
      <c r="Y1386">
        <v>103</v>
      </c>
      <c r="Z1386">
        <v>93</v>
      </c>
      <c r="AA1386" t="s">
        <v>40</v>
      </c>
      <c r="AB1386">
        <v>117</v>
      </c>
      <c r="AC1386" s="23">
        <v>1.65</v>
      </c>
      <c r="AD1386" t="str">
        <f>IF(AND('CVD Dataset'!AA1386="Normal",'CVD Dataset'!AB1386&gt;AVERAGE('CVD Dataset'!AB:AB),'CVD Dataset'!AF1386="High"),"High Lipid Category","Normal Category")</f>
        <v>Normal Category</v>
      </c>
      <c r="AE1386">
        <v>13.891999999999999</v>
      </c>
      <c r="AF1386" t="s">
        <v>54</v>
      </c>
      <c r="AG1386">
        <v>0</v>
      </c>
      <c r="AH1386" t="s">
        <v>1380</v>
      </c>
      <c r="AI1386">
        <f t="shared" si="87"/>
        <v>0</v>
      </c>
      <c r="AJ1386" t="s">
        <v>1391</v>
      </c>
    </row>
    <row r="1387" spans="1:36" x14ac:dyDescent="0.3">
      <c r="A1387" t="s">
        <v>22</v>
      </c>
      <c r="B1387">
        <v>64</v>
      </c>
      <c r="C1387">
        <v>57.871000000000002</v>
      </c>
      <c r="D1387">
        <v>1.752</v>
      </c>
      <c r="E1387">
        <v>18.510000000000002</v>
      </c>
      <c r="F1387">
        <f t="shared" si="85"/>
        <v>18.853534642730555</v>
      </c>
      <c r="G1387">
        <f t="shared" si="88"/>
        <v>1</v>
      </c>
      <c r="H1387" t="s">
        <v>1398</v>
      </c>
      <c r="I1387">
        <v>108.94199999999999</v>
      </c>
      <c r="J1387" t="s">
        <v>1183</v>
      </c>
      <c r="K1387" s="24">
        <v>175</v>
      </c>
      <c r="L1387" s="24">
        <v>69</v>
      </c>
      <c r="M1387">
        <v>213</v>
      </c>
      <c r="N1387" t="s">
        <v>1432</v>
      </c>
      <c r="O1387">
        <v>58</v>
      </c>
      <c r="P1387">
        <v>84</v>
      </c>
      <c r="Q1387" t="s">
        <v>25</v>
      </c>
      <c r="R1387" t="s">
        <v>25</v>
      </c>
      <c r="S1387" t="s">
        <v>39</v>
      </c>
      <c r="T1387" t="s">
        <v>25</v>
      </c>
      <c r="U1387">
        <f t="shared" si="86"/>
        <v>3</v>
      </c>
      <c r="V1387">
        <v>175.155</v>
      </c>
      <c r="W1387">
        <v>0.622</v>
      </c>
      <c r="X1387" t="s">
        <v>1409</v>
      </c>
      <c r="Y1387">
        <v>175</v>
      </c>
      <c r="Z1387">
        <v>69</v>
      </c>
      <c r="AA1387" t="s">
        <v>40</v>
      </c>
      <c r="AB1387">
        <v>125</v>
      </c>
      <c r="AC1387" s="23">
        <v>2.16</v>
      </c>
      <c r="AD1387" t="str">
        <f>IF(AND('CVD Dataset'!AA1387="Normal",'CVD Dataset'!AB1387&gt;AVERAGE('CVD Dataset'!AB:AB),'CVD Dataset'!AF1387="High"),"High Lipid Category","Normal Category")</f>
        <v>Normal Category</v>
      </c>
      <c r="AF1387" t="s">
        <v>54</v>
      </c>
      <c r="AG1387">
        <v>0</v>
      </c>
      <c r="AH1387" t="s">
        <v>1380</v>
      </c>
      <c r="AI1387">
        <f t="shared" si="87"/>
        <v>0</v>
      </c>
      <c r="AJ1387" t="s">
        <v>1392</v>
      </c>
    </row>
    <row r="1388" spans="1:36" x14ac:dyDescent="0.3">
      <c r="A1388" t="s">
        <v>33</v>
      </c>
      <c r="B1388">
        <v>27</v>
      </c>
      <c r="C1388">
        <v>116.52500000000001</v>
      </c>
      <c r="D1388">
        <v>1.9379999999999999</v>
      </c>
      <c r="E1388">
        <v>33.296999999999997</v>
      </c>
      <c r="F1388">
        <f t="shared" si="85"/>
        <v>31.024983998270432</v>
      </c>
      <c r="G1388">
        <f t="shared" si="88"/>
        <v>1</v>
      </c>
      <c r="H1388" t="s">
        <v>1399</v>
      </c>
      <c r="I1388">
        <v>117.983</v>
      </c>
      <c r="J1388" t="s">
        <v>1184</v>
      </c>
      <c r="K1388" s="24">
        <v>107</v>
      </c>
      <c r="L1388" s="24">
        <v>92</v>
      </c>
      <c r="M1388">
        <v>133</v>
      </c>
      <c r="N1388" t="s">
        <v>1434</v>
      </c>
      <c r="Q1388" t="s">
        <v>25</v>
      </c>
      <c r="R1388" t="s">
        <v>24</v>
      </c>
      <c r="S1388" t="s">
        <v>39</v>
      </c>
      <c r="T1388" t="s">
        <v>24</v>
      </c>
      <c r="U1388">
        <f t="shared" si="86"/>
        <v>1</v>
      </c>
      <c r="V1388">
        <v>193.809</v>
      </c>
      <c r="W1388">
        <v>0.60899999999999999</v>
      </c>
      <c r="X1388" t="s">
        <v>1409</v>
      </c>
      <c r="Y1388">
        <v>107</v>
      </c>
      <c r="AA1388" t="s">
        <v>40</v>
      </c>
      <c r="AB1388">
        <v>17</v>
      </c>
      <c r="AC1388" s="23" t="s">
        <v>1410</v>
      </c>
      <c r="AD1388" t="str">
        <f>IF(AND('CVD Dataset'!AA1388="Normal",'CVD Dataset'!AB1388&gt;AVERAGE('CVD Dataset'!AB:AB),'CVD Dataset'!AF1388="High"),"High Lipid Category","Normal Category")</f>
        <v>Normal Category</v>
      </c>
      <c r="AE1388">
        <v>14.669</v>
      </c>
      <c r="AF1388" t="s">
        <v>28</v>
      </c>
      <c r="AG1388">
        <v>0</v>
      </c>
      <c r="AH1388" t="s">
        <v>1380</v>
      </c>
      <c r="AI1388">
        <f t="shared" si="87"/>
        <v>0</v>
      </c>
      <c r="AJ1388" t="s">
        <v>1391</v>
      </c>
    </row>
    <row r="1389" spans="1:36" x14ac:dyDescent="0.3">
      <c r="A1389" t="s">
        <v>22</v>
      </c>
      <c r="B1389">
        <v>49</v>
      </c>
      <c r="C1389">
        <v>117.84699999999999</v>
      </c>
      <c r="D1389">
        <v>1.68</v>
      </c>
      <c r="E1389">
        <v>36.276000000000003</v>
      </c>
      <c r="F1389">
        <f t="shared" si="85"/>
        <v>41.754180839002274</v>
      </c>
      <c r="G1389">
        <f t="shared" si="88"/>
        <v>1</v>
      </c>
      <c r="H1389" t="s">
        <v>1399</v>
      </c>
      <c r="I1389">
        <v>81.599000000000004</v>
      </c>
      <c r="J1389" t="s">
        <v>1185</v>
      </c>
      <c r="K1389" s="24">
        <v>118</v>
      </c>
      <c r="L1389" s="24">
        <v>119</v>
      </c>
      <c r="M1389">
        <v>254</v>
      </c>
      <c r="N1389" t="s">
        <v>1432</v>
      </c>
      <c r="O1389">
        <v>66</v>
      </c>
      <c r="P1389">
        <v>131</v>
      </c>
      <c r="Q1389" t="s">
        <v>25</v>
      </c>
      <c r="R1389" t="s">
        <v>25</v>
      </c>
      <c r="S1389" t="s">
        <v>39</v>
      </c>
      <c r="T1389" t="s">
        <v>25</v>
      </c>
      <c r="U1389">
        <f t="shared" si="86"/>
        <v>3</v>
      </c>
      <c r="V1389">
        <v>168.03700000000001</v>
      </c>
      <c r="W1389">
        <v>0.48599999999999999</v>
      </c>
      <c r="X1389" t="s">
        <v>1406</v>
      </c>
      <c r="Y1389">
        <v>118</v>
      </c>
      <c r="Z1389">
        <v>119</v>
      </c>
      <c r="AA1389" t="s">
        <v>40</v>
      </c>
      <c r="AB1389">
        <v>158</v>
      </c>
      <c r="AC1389" s="23">
        <v>2.39</v>
      </c>
      <c r="AD1389" t="str">
        <f>IF(AND('CVD Dataset'!AA1389="Normal",'CVD Dataset'!AB1389&gt;AVERAGE('CVD Dataset'!AB:AB),'CVD Dataset'!AF1389="High"),"High Lipid Category","Normal Category")</f>
        <v>Normal Category</v>
      </c>
      <c r="AE1389">
        <v>20.234999999999999</v>
      </c>
      <c r="AF1389" t="s">
        <v>54</v>
      </c>
      <c r="AG1389">
        <v>0</v>
      </c>
      <c r="AH1389" t="s">
        <v>1380</v>
      </c>
      <c r="AI1389">
        <f t="shared" si="87"/>
        <v>0</v>
      </c>
      <c r="AJ1389" t="s">
        <v>1391</v>
      </c>
    </row>
    <row r="1390" spans="1:36" x14ac:dyDescent="0.3">
      <c r="A1390" t="s">
        <v>33</v>
      </c>
      <c r="B1390">
        <v>56</v>
      </c>
      <c r="C1390">
        <v>80.566999999999993</v>
      </c>
      <c r="D1390">
        <v>1.597</v>
      </c>
      <c r="E1390">
        <v>22.382999999999999</v>
      </c>
      <c r="F1390">
        <f t="shared" si="85"/>
        <v>31.58983519898181</v>
      </c>
      <c r="G1390">
        <f t="shared" si="88"/>
        <v>1</v>
      </c>
      <c r="H1390" t="s">
        <v>1398</v>
      </c>
      <c r="I1390">
        <v>86.290999999999997</v>
      </c>
      <c r="J1390" t="s">
        <v>1186</v>
      </c>
      <c r="K1390" s="24">
        <v>108</v>
      </c>
      <c r="L1390" s="24">
        <v>101</v>
      </c>
      <c r="M1390">
        <v>249</v>
      </c>
      <c r="N1390" t="s">
        <v>1432</v>
      </c>
      <c r="O1390">
        <v>63</v>
      </c>
      <c r="P1390">
        <v>186</v>
      </c>
      <c r="Q1390" t="s">
        <v>25</v>
      </c>
      <c r="R1390" t="s">
        <v>24</v>
      </c>
      <c r="S1390" t="s">
        <v>26</v>
      </c>
      <c r="T1390" t="s">
        <v>25</v>
      </c>
      <c r="U1390">
        <f t="shared" si="86"/>
        <v>3</v>
      </c>
      <c r="V1390">
        <v>159.72300000000001</v>
      </c>
      <c r="W1390">
        <v>0.54</v>
      </c>
      <c r="X1390" t="s">
        <v>1407</v>
      </c>
      <c r="Y1390">
        <v>108</v>
      </c>
      <c r="Z1390">
        <v>101</v>
      </c>
      <c r="AA1390" t="s">
        <v>40</v>
      </c>
      <c r="AB1390">
        <v>156</v>
      </c>
      <c r="AC1390" s="23">
        <v>2.48</v>
      </c>
      <c r="AD1390" t="str">
        <f>IF(AND('CVD Dataset'!AA1390="Normal",'CVD Dataset'!AB1390&gt;AVERAGE('CVD Dataset'!AB:AB),'CVD Dataset'!AF1390="High"),"High Lipid Category","Normal Category")</f>
        <v>Normal Category</v>
      </c>
      <c r="AE1390">
        <v>14.856999999999999</v>
      </c>
      <c r="AF1390" t="s">
        <v>28</v>
      </c>
      <c r="AG1390">
        <v>0</v>
      </c>
      <c r="AH1390" t="s">
        <v>1380</v>
      </c>
      <c r="AI1390">
        <f t="shared" si="87"/>
        <v>0</v>
      </c>
      <c r="AJ1390" t="s">
        <v>1391</v>
      </c>
    </row>
    <row r="1391" spans="1:36" x14ac:dyDescent="0.3">
      <c r="A1391" t="s">
        <v>33</v>
      </c>
      <c r="B1391">
        <v>60</v>
      </c>
      <c r="C1391">
        <v>67.97</v>
      </c>
      <c r="D1391">
        <v>1.841</v>
      </c>
      <c r="E1391">
        <v>34.814999999999998</v>
      </c>
      <c r="F1391">
        <f t="shared" si="85"/>
        <v>20.054400918660921</v>
      </c>
      <c r="G1391">
        <f t="shared" si="88"/>
        <v>1</v>
      </c>
      <c r="H1391" t="s">
        <v>1399</v>
      </c>
      <c r="I1391">
        <v>112.65900000000001</v>
      </c>
      <c r="J1391" t="s">
        <v>1187</v>
      </c>
      <c r="K1391" s="24">
        <v>153</v>
      </c>
      <c r="L1391" s="24">
        <v>103</v>
      </c>
      <c r="M1391">
        <v>262</v>
      </c>
      <c r="N1391" t="s">
        <v>1432</v>
      </c>
      <c r="O1391">
        <v>80</v>
      </c>
      <c r="P1391">
        <v>198</v>
      </c>
      <c r="Q1391" t="s">
        <v>24</v>
      </c>
      <c r="R1391" t="s">
        <v>25</v>
      </c>
      <c r="S1391" t="s">
        <v>26</v>
      </c>
      <c r="T1391" t="s">
        <v>25</v>
      </c>
      <c r="U1391">
        <f t="shared" si="86"/>
        <v>3</v>
      </c>
      <c r="V1391">
        <v>184.12299999999999</v>
      </c>
      <c r="W1391">
        <v>0.61199999999999999</v>
      </c>
      <c r="X1391" t="s">
        <v>1409</v>
      </c>
      <c r="Z1391">
        <v>103</v>
      </c>
      <c r="AA1391" t="s">
        <v>40</v>
      </c>
      <c r="AB1391">
        <v>152</v>
      </c>
      <c r="AC1391" s="23">
        <v>1.9</v>
      </c>
      <c r="AD1391" t="str">
        <f>IF(AND('CVD Dataset'!AA1391="Normal",'CVD Dataset'!AB1391&gt;AVERAGE('CVD Dataset'!AB:AB),'CVD Dataset'!AF1391="High"),"High Lipid Category","Normal Category")</f>
        <v>Normal Category</v>
      </c>
      <c r="AE1391">
        <v>21.853000000000002</v>
      </c>
      <c r="AF1391" t="s">
        <v>32</v>
      </c>
      <c r="AG1391">
        <v>1</v>
      </c>
      <c r="AH1391" t="s">
        <v>1379</v>
      </c>
      <c r="AI1391">
        <f t="shared" si="87"/>
        <v>1</v>
      </c>
      <c r="AJ1391" t="s">
        <v>1392</v>
      </c>
    </row>
    <row r="1392" spans="1:36" x14ac:dyDescent="0.3">
      <c r="A1392" t="s">
        <v>22</v>
      </c>
      <c r="B1392">
        <v>25</v>
      </c>
      <c r="C1392">
        <v>65.816000000000003</v>
      </c>
      <c r="D1392">
        <v>1.8939999999999999</v>
      </c>
      <c r="E1392">
        <v>24.122</v>
      </c>
      <c r="F1392">
        <f t="shared" si="85"/>
        <v>18.347273499708415</v>
      </c>
      <c r="G1392">
        <f t="shared" si="88"/>
        <v>1</v>
      </c>
      <c r="H1392" t="s">
        <v>1398</v>
      </c>
      <c r="I1392">
        <v>112.145</v>
      </c>
      <c r="J1392" t="s">
        <v>73</v>
      </c>
      <c r="K1392" s="24">
        <v>144</v>
      </c>
      <c r="L1392" s="24">
        <v>73</v>
      </c>
      <c r="M1392">
        <v>245</v>
      </c>
      <c r="N1392" t="s">
        <v>1432</v>
      </c>
      <c r="O1392">
        <v>55</v>
      </c>
      <c r="P1392">
        <v>88</v>
      </c>
      <c r="Q1392" t="s">
        <v>25</v>
      </c>
      <c r="R1392" t="s">
        <v>24</v>
      </c>
      <c r="S1392" t="s">
        <v>26</v>
      </c>
      <c r="T1392" t="s">
        <v>24</v>
      </c>
      <c r="U1392">
        <f t="shared" si="86"/>
        <v>2</v>
      </c>
      <c r="V1392">
        <v>189.404</v>
      </c>
      <c r="X1392" t="s">
        <v>1410</v>
      </c>
      <c r="Y1392">
        <v>144</v>
      </c>
      <c r="Z1392">
        <v>73</v>
      </c>
      <c r="AA1392" t="s">
        <v>40</v>
      </c>
      <c r="AB1392">
        <v>160</v>
      </c>
      <c r="AC1392" s="23">
        <v>2.91</v>
      </c>
      <c r="AD1392" t="str">
        <f>IF(AND('CVD Dataset'!AA1392="Normal",'CVD Dataset'!AB1392&gt;AVERAGE('CVD Dataset'!AB:AB),'CVD Dataset'!AF1392="High"),"High Lipid Category","Normal Category")</f>
        <v>Normal Category</v>
      </c>
      <c r="AE1392">
        <v>16.923999999999999</v>
      </c>
      <c r="AF1392" t="s">
        <v>54</v>
      </c>
      <c r="AG1392">
        <v>0</v>
      </c>
      <c r="AH1392" t="s">
        <v>1380</v>
      </c>
      <c r="AI1392">
        <f t="shared" si="87"/>
        <v>0</v>
      </c>
      <c r="AJ1392" t="s">
        <v>1391</v>
      </c>
    </row>
    <row r="1393" spans="1:36" x14ac:dyDescent="0.3">
      <c r="A1393" t="s">
        <v>22</v>
      </c>
      <c r="B1393">
        <v>36</v>
      </c>
      <c r="D1393">
        <v>1.7969999999999999</v>
      </c>
      <c r="E1393">
        <v>26.577999999999999</v>
      </c>
      <c r="F1393">
        <f t="shared" si="85"/>
        <v>0</v>
      </c>
      <c r="G1393">
        <f t="shared" si="88"/>
        <v>1</v>
      </c>
      <c r="H1393" t="s">
        <v>1400</v>
      </c>
      <c r="I1393">
        <v>104.59</v>
      </c>
      <c r="J1393" t="s">
        <v>1188</v>
      </c>
      <c r="K1393" s="24">
        <v>116</v>
      </c>
      <c r="L1393" s="24">
        <v>68</v>
      </c>
      <c r="M1393">
        <v>145</v>
      </c>
      <c r="N1393" t="s">
        <v>1434</v>
      </c>
      <c r="O1393">
        <v>51</v>
      </c>
      <c r="P1393">
        <v>89</v>
      </c>
      <c r="Q1393" t="s">
        <v>25</v>
      </c>
      <c r="R1393" t="s">
        <v>24</v>
      </c>
      <c r="S1393" t="s">
        <v>39</v>
      </c>
      <c r="T1393" t="s">
        <v>25</v>
      </c>
      <c r="U1393">
        <f t="shared" si="86"/>
        <v>2</v>
      </c>
      <c r="V1393">
        <v>179.745</v>
      </c>
      <c r="W1393">
        <v>0.58199999999999996</v>
      </c>
      <c r="X1393" t="s">
        <v>1407</v>
      </c>
      <c r="Y1393">
        <v>116</v>
      </c>
      <c r="Z1393">
        <v>68</v>
      </c>
      <c r="AA1393" t="s">
        <v>35</v>
      </c>
      <c r="AB1393">
        <v>64</v>
      </c>
      <c r="AC1393" s="23">
        <v>1.25</v>
      </c>
      <c r="AD1393" t="str">
        <f>IF(AND('CVD Dataset'!AA1393="Normal",'CVD Dataset'!AB1393&gt;AVERAGE('CVD Dataset'!AB:AB),'CVD Dataset'!AF1393="High"),"High Lipid Category","Normal Category")</f>
        <v>Normal Category</v>
      </c>
      <c r="AE1393">
        <v>14.016</v>
      </c>
      <c r="AF1393" t="s">
        <v>54</v>
      </c>
      <c r="AG1393">
        <v>0</v>
      </c>
      <c r="AH1393" t="s">
        <v>1380</v>
      </c>
      <c r="AI1393">
        <f t="shared" si="87"/>
        <v>0</v>
      </c>
      <c r="AJ1393" t="s">
        <v>1391</v>
      </c>
    </row>
    <row r="1394" spans="1:36" x14ac:dyDescent="0.3">
      <c r="A1394" t="s">
        <v>22</v>
      </c>
      <c r="B1394">
        <v>26</v>
      </c>
      <c r="C1394">
        <v>57.25</v>
      </c>
      <c r="D1394">
        <v>1.859</v>
      </c>
      <c r="E1394">
        <v>29.971</v>
      </c>
      <c r="F1394">
        <f t="shared" si="85"/>
        <v>16.565963932207158</v>
      </c>
      <c r="G1394">
        <f t="shared" si="88"/>
        <v>1</v>
      </c>
      <c r="H1394" t="s">
        <v>1400</v>
      </c>
      <c r="I1394">
        <v>81.215000000000003</v>
      </c>
      <c r="J1394" t="s">
        <v>349</v>
      </c>
      <c r="K1394" s="24">
        <v>111</v>
      </c>
      <c r="L1394" s="24">
        <v>76</v>
      </c>
      <c r="M1394">
        <v>147</v>
      </c>
      <c r="N1394" t="s">
        <v>1434</v>
      </c>
      <c r="Q1394" t="s">
        <v>25</v>
      </c>
      <c r="R1394" t="s">
        <v>25</v>
      </c>
      <c r="S1394" t="s">
        <v>30</v>
      </c>
      <c r="T1394" t="s">
        <v>24</v>
      </c>
      <c r="U1394">
        <f t="shared" si="86"/>
        <v>2</v>
      </c>
      <c r="V1394">
        <v>185.864</v>
      </c>
      <c r="W1394">
        <v>0.437</v>
      </c>
      <c r="X1394" t="s">
        <v>1408</v>
      </c>
      <c r="Y1394">
        <v>111</v>
      </c>
      <c r="Z1394">
        <v>76</v>
      </c>
      <c r="AA1394" t="s">
        <v>35</v>
      </c>
      <c r="AB1394">
        <v>60</v>
      </c>
      <c r="AC1394" s="23" t="s">
        <v>1410</v>
      </c>
      <c r="AD1394" t="str">
        <f>IF(AND('CVD Dataset'!AA1394="Normal",'CVD Dataset'!AB1394&gt;AVERAGE('CVD Dataset'!AB:AB),'CVD Dataset'!AF1394="High"),"High Lipid Category","Normal Category")</f>
        <v>Normal Category</v>
      </c>
      <c r="AE1394">
        <v>16.484000000000002</v>
      </c>
      <c r="AF1394" t="s">
        <v>32</v>
      </c>
      <c r="AG1394">
        <v>0</v>
      </c>
      <c r="AH1394" t="s">
        <v>1379</v>
      </c>
      <c r="AI1394">
        <f t="shared" si="87"/>
        <v>1</v>
      </c>
      <c r="AJ1394" t="s">
        <v>1391</v>
      </c>
    </row>
    <row r="1395" spans="1:36" x14ac:dyDescent="0.3">
      <c r="A1395" t="s">
        <v>33</v>
      </c>
      <c r="B1395">
        <v>78</v>
      </c>
      <c r="C1395">
        <v>118.83</v>
      </c>
      <c r="D1395">
        <v>1.827</v>
      </c>
      <c r="E1395">
        <v>34.781999999999996</v>
      </c>
      <c r="F1395">
        <f t="shared" si="85"/>
        <v>35.599918392512244</v>
      </c>
      <c r="G1395">
        <f t="shared" si="88"/>
        <v>1</v>
      </c>
      <c r="H1395" t="s">
        <v>1399</v>
      </c>
      <c r="I1395">
        <v>113.748</v>
      </c>
      <c r="J1395" t="s">
        <v>1189</v>
      </c>
      <c r="K1395" s="24">
        <v>160</v>
      </c>
      <c r="L1395" s="24">
        <v>82</v>
      </c>
      <c r="M1395">
        <v>217</v>
      </c>
      <c r="N1395" t="s">
        <v>1432</v>
      </c>
      <c r="O1395">
        <v>65</v>
      </c>
      <c r="Q1395" t="s">
        <v>24</v>
      </c>
      <c r="R1395" t="s">
        <v>24</v>
      </c>
      <c r="S1395" t="s">
        <v>39</v>
      </c>
      <c r="T1395" t="s">
        <v>25</v>
      </c>
      <c r="U1395">
        <f t="shared" si="86"/>
        <v>1</v>
      </c>
      <c r="V1395">
        <v>182.65</v>
      </c>
      <c r="W1395">
        <v>0.623</v>
      </c>
      <c r="X1395" t="s">
        <v>1409</v>
      </c>
      <c r="Y1395">
        <v>160</v>
      </c>
      <c r="Z1395">
        <v>82</v>
      </c>
      <c r="AA1395" t="s">
        <v>31</v>
      </c>
      <c r="AB1395">
        <v>122</v>
      </c>
      <c r="AC1395" s="23">
        <v>1.88</v>
      </c>
      <c r="AD1395" t="str">
        <f>IF(AND('CVD Dataset'!AA1395="Normal",'CVD Dataset'!AB1395&gt;AVERAGE('CVD Dataset'!AB:AB),'CVD Dataset'!AF1395="High"),"High Lipid Category","Normal Category")</f>
        <v>Normal Category</v>
      </c>
      <c r="AE1395">
        <v>19.295999999999999</v>
      </c>
      <c r="AF1395" t="s">
        <v>28</v>
      </c>
      <c r="AG1395">
        <v>0</v>
      </c>
      <c r="AH1395" t="s">
        <v>1380</v>
      </c>
      <c r="AI1395">
        <f t="shared" si="87"/>
        <v>0</v>
      </c>
      <c r="AJ1395" t="s">
        <v>1391</v>
      </c>
    </row>
    <row r="1396" spans="1:36" x14ac:dyDescent="0.3">
      <c r="A1396" t="s">
        <v>22</v>
      </c>
      <c r="B1396">
        <v>41</v>
      </c>
      <c r="C1396">
        <v>108.949</v>
      </c>
      <c r="D1396">
        <v>1.5169999999999999</v>
      </c>
      <c r="E1396">
        <v>30.24</v>
      </c>
      <c r="F1396">
        <f t="shared" si="85"/>
        <v>47.342597996166504</v>
      </c>
      <c r="G1396">
        <f t="shared" si="88"/>
        <v>1</v>
      </c>
      <c r="H1396" t="s">
        <v>1399</v>
      </c>
      <c r="I1396">
        <v>101.419</v>
      </c>
      <c r="J1396" t="s">
        <v>319</v>
      </c>
      <c r="K1396" s="24">
        <v>129</v>
      </c>
      <c r="L1396" s="24">
        <v>63</v>
      </c>
      <c r="M1396">
        <v>220</v>
      </c>
      <c r="N1396" t="s">
        <v>1432</v>
      </c>
      <c r="O1396">
        <v>38</v>
      </c>
      <c r="P1396">
        <v>120</v>
      </c>
      <c r="Q1396" t="s">
        <v>25</v>
      </c>
      <c r="R1396" t="s">
        <v>24</v>
      </c>
      <c r="S1396" t="s">
        <v>30</v>
      </c>
      <c r="T1396" t="s">
        <v>25</v>
      </c>
      <c r="U1396">
        <f t="shared" si="86"/>
        <v>2</v>
      </c>
      <c r="V1396">
        <v>151.66399999999999</v>
      </c>
      <c r="W1396">
        <v>0.66900000000000004</v>
      </c>
      <c r="X1396" t="s">
        <v>1409</v>
      </c>
      <c r="Y1396">
        <v>129</v>
      </c>
      <c r="Z1396">
        <v>63</v>
      </c>
      <c r="AA1396" t="s">
        <v>27</v>
      </c>
      <c r="AC1396" s="23">
        <v>0</v>
      </c>
      <c r="AD1396" t="str">
        <f>IF(AND('CVD Dataset'!AA1396="Normal",'CVD Dataset'!AB1396&gt;AVERAGE('CVD Dataset'!AB:AB),'CVD Dataset'!AF1396="High"),"High Lipid Category","Normal Category")</f>
        <v>Normal Category</v>
      </c>
      <c r="AE1396">
        <v>16.898</v>
      </c>
      <c r="AF1396" t="s">
        <v>28</v>
      </c>
      <c r="AG1396">
        <v>0</v>
      </c>
      <c r="AH1396" t="s">
        <v>1380</v>
      </c>
      <c r="AI1396">
        <f t="shared" si="87"/>
        <v>0</v>
      </c>
      <c r="AJ1396" t="s">
        <v>1391</v>
      </c>
    </row>
    <row r="1397" spans="1:36" x14ac:dyDescent="0.3">
      <c r="A1397" t="s">
        <v>33</v>
      </c>
      <c r="B1397">
        <v>60</v>
      </c>
      <c r="C1397">
        <v>102.474</v>
      </c>
      <c r="D1397">
        <v>1.94</v>
      </c>
      <c r="E1397">
        <v>26.036000000000001</v>
      </c>
      <c r="F1397">
        <f t="shared" si="85"/>
        <v>27.227654373472209</v>
      </c>
      <c r="G1397">
        <f t="shared" si="88"/>
        <v>1</v>
      </c>
      <c r="H1397" t="s">
        <v>1400</v>
      </c>
      <c r="I1397">
        <v>76.486999999999995</v>
      </c>
      <c r="J1397" t="s">
        <v>1190</v>
      </c>
      <c r="K1397" s="24">
        <v>162</v>
      </c>
      <c r="L1397" s="24">
        <v>110</v>
      </c>
      <c r="M1397">
        <v>148</v>
      </c>
      <c r="N1397" t="s">
        <v>1434</v>
      </c>
      <c r="O1397">
        <v>48</v>
      </c>
      <c r="Q1397" t="s">
        <v>25</v>
      </c>
      <c r="R1397" t="s">
        <v>24</v>
      </c>
      <c r="S1397" t="s">
        <v>39</v>
      </c>
      <c r="T1397" t="s">
        <v>24</v>
      </c>
      <c r="U1397">
        <f t="shared" si="86"/>
        <v>1</v>
      </c>
      <c r="V1397">
        <v>193.98400000000001</v>
      </c>
      <c r="W1397">
        <v>0.39400000000000002</v>
      </c>
      <c r="X1397" t="s">
        <v>1408</v>
      </c>
      <c r="Y1397">
        <v>162</v>
      </c>
      <c r="Z1397">
        <v>110</v>
      </c>
      <c r="AA1397" t="s">
        <v>40</v>
      </c>
      <c r="AB1397">
        <v>70</v>
      </c>
      <c r="AC1397" s="23">
        <v>1.46</v>
      </c>
      <c r="AD1397" t="str">
        <f>IF(AND('CVD Dataset'!AA1397="Normal",'CVD Dataset'!AB1397&gt;AVERAGE('CVD Dataset'!AB:AB),'CVD Dataset'!AF1397="High"),"High Lipid Category","Normal Category")</f>
        <v>Normal Category</v>
      </c>
      <c r="AE1397">
        <v>16.266999999999999</v>
      </c>
      <c r="AF1397" t="s">
        <v>28</v>
      </c>
      <c r="AG1397">
        <v>0</v>
      </c>
      <c r="AH1397" t="s">
        <v>1380</v>
      </c>
      <c r="AI1397">
        <f t="shared" si="87"/>
        <v>0</v>
      </c>
      <c r="AJ1397" t="s">
        <v>1391</v>
      </c>
    </row>
    <row r="1398" spans="1:36" x14ac:dyDescent="0.3">
      <c r="A1398" t="s">
        <v>33</v>
      </c>
      <c r="B1398">
        <v>52</v>
      </c>
      <c r="C1398">
        <v>102.224</v>
      </c>
      <c r="D1398">
        <v>1.81</v>
      </c>
      <c r="E1398">
        <v>27.765999999999998</v>
      </c>
      <c r="F1398">
        <f t="shared" si="85"/>
        <v>31.202954732761516</v>
      </c>
      <c r="G1398">
        <f t="shared" si="88"/>
        <v>1</v>
      </c>
      <c r="H1398" t="s">
        <v>1400</v>
      </c>
      <c r="I1398">
        <v>83.057000000000002</v>
      </c>
      <c r="J1398" t="s">
        <v>1191</v>
      </c>
      <c r="K1398" s="24">
        <v>97</v>
      </c>
      <c r="L1398" s="24">
        <v>92</v>
      </c>
      <c r="M1398">
        <v>286</v>
      </c>
      <c r="N1398" t="s">
        <v>1432</v>
      </c>
      <c r="O1398">
        <v>72</v>
      </c>
      <c r="P1398">
        <v>150</v>
      </c>
      <c r="Q1398" t="s">
        <v>24</v>
      </c>
      <c r="R1398" t="s">
        <v>25</v>
      </c>
      <c r="S1398" t="s">
        <v>26</v>
      </c>
      <c r="T1398" t="s">
        <v>25</v>
      </c>
      <c r="U1398">
        <f t="shared" si="86"/>
        <v>3</v>
      </c>
      <c r="V1398">
        <v>181.005</v>
      </c>
      <c r="W1398">
        <v>0.45900000000000002</v>
      </c>
      <c r="X1398" t="s">
        <v>1408</v>
      </c>
      <c r="Y1398">
        <v>97</v>
      </c>
      <c r="Z1398">
        <v>92</v>
      </c>
      <c r="AA1398" t="s">
        <v>40</v>
      </c>
      <c r="AB1398">
        <v>184</v>
      </c>
      <c r="AC1398" s="23">
        <v>2.56</v>
      </c>
      <c r="AD1398" t="str">
        <f>IF(AND('CVD Dataset'!AA1398="Normal",'CVD Dataset'!AB1398&gt;AVERAGE('CVD Dataset'!AB:AB),'CVD Dataset'!AF1398="High"),"High Lipid Category","Normal Category")</f>
        <v>Normal Category</v>
      </c>
      <c r="AE1398">
        <v>18.123000000000001</v>
      </c>
      <c r="AF1398" t="s">
        <v>54</v>
      </c>
      <c r="AG1398">
        <v>0</v>
      </c>
      <c r="AH1398" t="s">
        <v>1380</v>
      </c>
      <c r="AI1398">
        <f t="shared" si="87"/>
        <v>0</v>
      </c>
      <c r="AJ1398" t="s">
        <v>1392</v>
      </c>
    </row>
    <row r="1399" spans="1:36" x14ac:dyDescent="0.3">
      <c r="A1399" t="s">
        <v>33</v>
      </c>
      <c r="B1399">
        <v>38</v>
      </c>
      <c r="C1399">
        <v>116.742</v>
      </c>
      <c r="D1399">
        <v>1.6970000000000001</v>
      </c>
      <c r="E1399">
        <v>34.604999999999997</v>
      </c>
      <c r="F1399">
        <f t="shared" si="85"/>
        <v>40.538105131277803</v>
      </c>
      <c r="G1399">
        <f t="shared" si="88"/>
        <v>1</v>
      </c>
      <c r="H1399" t="s">
        <v>1399</v>
      </c>
      <c r="I1399">
        <v>118.754</v>
      </c>
      <c r="J1399" t="s">
        <v>1192</v>
      </c>
      <c r="K1399" s="24">
        <v>177</v>
      </c>
      <c r="L1399" s="24">
        <v>76</v>
      </c>
      <c r="M1399">
        <v>279</v>
      </c>
      <c r="N1399" t="s">
        <v>1432</v>
      </c>
      <c r="O1399">
        <v>56</v>
      </c>
      <c r="Q1399" t="s">
        <v>25</v>
      </c>
      <c r="R1399" t="s">
        <v>25</v>
      </c>
      <c r="S1399" t="s">
        <v>39</v>
      </c>
      <c r="T1399" t="s">
        <v>24</v>
      </c>
      <c r="U1399">
        <f t="shared" si="86"/>
        <v>2</v>
      </c>
      <c r="V1399">
        <v>169.67599999999999</v>
      </c>
      <c r="X1399" t="s">
        <v>1410</v>
      </c>
      <c r="Y1399">
        <v>177</v>
      </c>
      <c r="Z1399">
        <v>76</v>
      </c>
      <c r="AA1399" t="s">
        <v>40</v>
      </c>
      <c r="AB1399">
        <v>193</v>
      </c>
      <c r="AC1399" s="23">
        <v>3.45</v>
      </c>
      <c r="AD1399" t="str">
        <f>IF(AND('CVD Dataset'!AA1399="Normal",'CVD Dataset'!AB1399&gt;AVERAGE('CVD Dataset'!AB:AB),'CVD Dataset'!AF1399="High"),"High Lipid Category","Normal Category")</f>
        <v>Normal Category</v>
      </c>
      <c r="AE1399">
        <v>23.350999999999999</v>
      </c>
      <c r="AF1399" t="s">
        <v>32</v>
      </c>
      <c r="AG1399">
        <v>0</v>
      </c>
      <c r="AH1399" t="s">
        <v>1379</v>
      </c>
      <c r="AI1399">
        <f t="shared" si="87"/>
        <v>1</v>
      </c>
      <c r="AJ1399" t="s">
        <v>1391</v>
      </c>
    </row>
    <row r="1400" spans="1:36" x14ac:dyDescent="0.3">
      <c r="A1400" t="s">
        <v>22</v>
      </c>
      <c r="B1400">
        <v>27</v>
      </c>
      <c r="C1400">
        <v>69.138999999999996</v>
      </c>
      <c r="D1400">
        <v>1.734</v>
      </c>
      <c r="E1400">
        <v>21.824999999999999</v>
      </c>
      <c r="F1400">
        <f t="shared" si="85"/>
        <v>22.994549607616982</v>
      </c>
      <c r="G1400">
        <f t="shared" si="88"/>
        <v>1</v>
      </c>
      <c r="H1400" t="s">
        <v>1398</v>
      </c>
      <c r="I1400">
        <v>95.866</v>
      </c>
      <c r="J1400" t="s">
        <v>1193</v>
      </c>
      <c r="K1400" s="24">
        <v>139</v>
      </c>
      <c r="L1400" s="24">
        <v>113</v>
      </c>
      <c r="M1400">
        <v>176</v>
      </c>
      <c r="N1400" t="s">
        <v>1433</v>
      </c>
      <c r="O1400">
        <v>84</v>
      </c>
      <c r="P1400">
        <v>87</v>
      </c>
      <c r="Q1400" t="s">
        <v>24</v>
      </c>
      <c r="R1400" t="s">
        <v>25</v>
      </c>
      <c r="S1400" t="s">
        <v>39</v>
      </c>
      <c r="T1400" t="s">
        <v>24</v>
      </c>
      <c r="U1400">
        <f t="shared" si="86"/>
        <v>1</v>
      </c>
      <c r="V1400">
        <v>173.37</v>
      </c>
      <c r="W1400">
        <v>0.55300000000000005</v>
      </c>
      <c r="X1400" t="s">
        <v>1407</v>
      </c>
      <c r="Y1400">
        <v>139</v>
      </c>
      <c r="Z1400">
        <v>113</v>
      </c>
      <c r="AA1400" t="s">
        <v>31</v>
      </c>
      <c r="AB1400">
        <v>62</v>
      </c>
      <c r="AC1400" s="23">
        <v>0.74</v>
      </c>
      <c r="AD1400" t="str">
        <f>IF(AND('CVD Dataset'!AA1400="Normal",'CVD Dataset'!AB1400&gt;AVERAGE('CVD Dataset'!AB:AB),'CVD Dataset'!AF1400="High"),"High Lipid Category","Normal Category")</f>
        <v>Normal Category</v>
      </c>
      <c r="AE1400">
        <v>16.835000000000001</v>
      </c>
      <c r="AF1400" t="s">
        <v>32</v>
      </c>
      <c r="AG1400">
        <v>1</v>
      </c>
      <c r="AH1400" t="s">
        <v>1379</v>
      </c>
      <c r="AI1400">
        <f t="shared" si="87"/>
        <v>1</v>
      </c>
      <c r="AJ1400" t="s">
        <v>1391</v>
      </c>
    </row>
    <row r="1401" spans="1:36" x14ac:dyDescent="0.3">
      <c r="A1401" t="s">
        <v>22</v>
      </c>
      <c r="B1401">
        <v>40</v>
      </c>
      <c r="C1401">
        <v>99.555000000000007</v>
      </c>
      <c r="D1401">
        <v>1.5740000000000001</v>
      </c>
      <c r="E1401">
        <v>39.323</v>
      </c>
      <c r="F1401">
        <f t="shared" si="85"/>
        <v>40.18404214611968</v>
      </c>
      <c r="G1401">
        <f t="shared" si="88"/>
        <v>1</v>
      </c>
      <c r="H1401" t="s">
        <v>1399</v>
      </c>
      <c r="I1401">
        <v>88.724999999999994</v>
      </c>
      <c r="J1401" t="s">
        <v>1194</v>
      </c>
      <c r="K1401" s="24">
        <v>115</v>
      </c>
      <c r="L1401" s="24">
        <v>114</v>
      </c>
      <c r="M1401">
        <v>268</v>
      </c>
      <c r="N1401" t="s">
        <v>1432</v>
      </c>
      <c r="O1401">
        <v>48</v>
      </c>
      <c r="P1401">
        <v>115</v>
      </c>
      <c r="Q1401" t="s">
        <v>24</v>
      </c>
      <c r="R1401" t="s">
        <v>25</v>
      </c>
      <c r="S1401" t="s">
        <v>26</v>
      </c>
      <c r="T1401" t="s">
        <v>25</v>
      </c>
      <c r="U1401">
        <f t="shared" si="86"/>
        <v>3</v>
      </c>
      <c r="V1401">
        <v>157.37799999999999</v>
      </c>
      <c r="W1401">
        <v>0.56399999999999995</v>
      </c>
      <c r="X1401" t="s">
        <v>1407</v>
      </c>
      <c r="Y1401">
        <v>115</v>
      </c>
      <c r="Z1401">
        <v>114</v>
      </c>
      <c r="AA1401" t="s">
        <v>40</v>
      </c>
      <c r="AB1401">
        <v>190</v>
      </c>
      <c r="AC1401" s="23">
        <v>3.96</v>
      </c>
      <c r="AD1401" t="str">
        <f>IF(AND('CVD Dataset'!AA1401="Normal",'CVD Dataset'!AB1401&gt;AVERAGE('CVD Dataset'!AB:AB),'CVD Dataset'!AF1401="High"),"High Lipid Category","Normal Category")</f>
        <v>Normal Category</v>
      </c>
      <c r="AE1401">
        <v>20.975000000000001</v>
      </c>
      <c r="AF1401" t="s">
        <v>54</v>
      </c>
      <c r="AG1401">
        <v>0</v>
      </c>
      <c r="AH1401" t="s">
        <v>1380</v>
      </c>
      <c r="AI1401">
        <f t="shared" si="87"/>
        <v>0</v>
      </c>
      <c r="AJ1401" t="s">
        <v>1391</v>
      </c>
    </row>
    <row r="1402" spans="1:36" x14ac:dyDescent="0.3">
      <c r="A1402" t="s">
        <v>33</v>
      </c>
      <c r="C1402">
        <v>75.358000000000004</v>
      </c>
      <c r="D1402">
        <v>1.9039999999999999</v>
      </c>
      <c r="E1402">
        <v>32.084000000000003</v>
      </c>
      <c r="F1402">
        <f t="shared" si="85"/>
        <v>20.787175164183324</v>
      </c>
      <c r="G1402">
        <f t="shared" si="88"/>
        <v>1</v>
      </c>
      <c r="H1402" t="s">
        <v>1399</v>
      </c>
      <c r="I1402">
        <v>91.513000000000005</v>
      </c>
      <c r="J1402" t="s">
        <v>1195</v>
      </c>
      <c r="K1402" s="24">
        <v>145</v>
      </c>
      <c r="L1402" s="24">
        <v>68</v>
      </c>
      <c r="M1402">
        <v>234</v>
      </c>
      <c r="N1402" t="s">
        <v>1432</v>
      </c>
      <c r="O1402">
        <v>84</v>
      </c>
      <c r="P1402">
        <v>141</v>
      </c>
      <c r="Q1402" t="s">
        <v>25</v>
      </c>
      <c r="R1402" t="s">
        <v>24</v>
      </c>
      <c r="S1402" t="s">
        <v>39</v>
      </c>
      <c r="T1402" t="s">
        <v>25</v>
      </c>
      <c r="U1402">
        <f t="shared" si="86"/>
        <v>2</v>
      </c>
      <c r="V1402">
        <v>190.44</v>
      </c>
      <c r="W1402">
        <v>0.48099999999999998</v>
      </c>
      <c r="X1402" t="s">
        <v>1406</v>
      </c>
      <c r="Y1402">
        <v>145</v>
      </c>
      <c r="Z1402">
        <v>68</v>
      </c>
      <c r="AA1402" t="s">
        <v>40</v>
      </c>
      <c r="AB1402">
        <v>120</v>
      </c>
      <c r="AC1402" s="23">
        <v>1.43</v>
      </c>
      <c r="AD1402" t="str">
        <f>IF(AND('CVD Dataset'!AA1402="Normal",'CVD Dataset'!AB1402&gt;AVERAGE('CVD Dataset'!AB:AB),'CVD Dataset'!AF1402="High"),"High Lipid Category","Normal Category")</f>
        <v>Normal Category</v>
      </c>
      <c r="AE1402">
        <v>18.347000000000001</v>
      </c>
      <c r="AF1402" t="s">
        <v>28</v>
      </c>
      <c r="AG1402">
        <v>0</v>
      </c>
      <c r="AH1402" t="s">
        <v>1380</v>
      </c>
      <c r="AI1402">
        <f t="shared" si="87"/>
        <v>0</v>
      </c>
      <c r="AJ1402" t="s">
        <v>1391</v>
      </c>
    </row>
    <row r="1403" spans="1:36" x14ac:dyDescent="0.3">
      <c r="A1403" t="s">
        <v>33</v>
      </c>
      <c r="B1403">
        <v>68</v>
      </c>
      <c r="C1403">
        <v>107.491</v>
      </c>
      <c r="D1403">
        <v>1.976</v>
      </c>
      <c r="E1403">
        <v>29.614000000000001</v>
      </c>
      <c r="F1403">
        <f t="shared" si="85"/>
        <v>27.52949359930502</v>
      </c>
      <c r="G1403">
        <f t="shared" si="88"/>
        <v>1</v>
      </c>
      <c r="H1403" t="s">
        <v>1400</v>
      </c>
      <c r="I1403">
        <v>93.15</v>
      </c>
      <c r="J1403" t="s">
        <v>1196</v>
      </c>
      <c r="K1403" s="24">
        <v>136</v>
      </c>
      <c r="L1403" s="24">
        <v>115</v>
      </c>
      <c r="M1403">
        <v>206</v>
      </c>
      <c r="N1403" t="s">
        <v>1432</v>
      </c>
      <c r="O1403">
        <v>86</v>
      </c>
      <c r="P1403">
        <v>165</v>
      </c>
      <c r="Q1403" t="s">
        <v>25</v>
      </c>
      <c r="R1403" t="s">
        <v>24</v>
      </c>
      <c r="S1403" t="s">
        <v>26</v>
      </c>
      <c r="T1403" t="s">
        <v>25</v>
      </c>
      <c r="U1403">
        <f t="shared" si="86"/>
        <v>3</v>
      </c>
      <c r="V1403">
        <v>197.63300000000001</v>
      </c>
      <c r="W1403">
        <v>0.47099999999999997</v>
      </c>
      <c r="X1403" t="s">
        <v>1406</v>
      </c>
      <c r="Y1403">
        <v>136</v>
      </c>
      <c r="Z1403">
        <v>115</v>
      </c>
      <c r="AA1403" t="s">
        <v>31</v>
      </c>
      <c r="AB1403">
        <v>90</v>
      </c>
      <c r="AC1403" s="23">
        <v>1.05</v>
      </c>
      <c r="AD1403" t="str">
        <f>IF(AND('CVD Dataset'!AA1403="Normal",'CVD Dataset'!AB1403&gt;AVERAGE('CVD Dataset'!AB:AB),'CVD Dataset'!AF1403="High"),"High Lipid Category","Normal Category")</f>
        <v>Normal Category</v>
      </c>
      <c r="AE1403">
        <v>16.843</v>
      </c>
      <c r="AF1403" t="s">
        <v>54</v>
      </c>
      <c r="AG1403">
        <v>0</v>
      </c>
      <c r="AH1403" t="s">
        <v>1380</v>
      </c>
      <c r="AI1403">
        <f t="shared" si="87"/>
        <v>0</v>
      </c>
      <c r="AJ1403" t="s">
        <v>1391</v>
      </c>
    </row>
    <row r="1404" spans="1:36" x14ac:dyDescent="0.3">
      <c r="A1404" t="s">
        <v>22</v>
      </c>
      <c r="B1404">
        <v>30</v>
      </c>
      <c r="C1404">
        <v>71.926000000000002</v>
      </c>
      <c r="D1404">
        <v>1.831</v>
      </c>
      <c r="E1404">
        <v>38.911999999999999</v>
      </c>
      <c r="F1404">
        <f t="shared" si="85"/>
        <v>21.454046622865327</v>
      </c>
      <c r="G1404">
        <f t="shared" si="88"/>
        <v>1</v>
      </c>
      <c r="H1404" t="s">
        <v>1399</v>
      </c>
      <c r="I1404">
        <v>88.626999999999995</v>
      </c>
      <c r="J1404" t="s">
        <v>1197</v>
      </c>
      <c r="K1404" s="24">
        <v>134</v>
      </c>
      <c r="L1404" s="24">
        <v>98</v>
      </c>
      <c r="M1404">
        <v>218</v>
      </c>
      <c r="N1404" t="s">
        <v>1432</v>
      </c>
      <c r="O1404">
        <v>64</v>
      </c>
      <c r="P1404">
        <v>83</v>
      </c>
      <c r="Q1404" t="s">
        <v>25</v>
      </c>
      <c r="R1404" t="s">
        <v>25</v>
      </c>
      <c r="S1404" t="s">
        <v>30</v>
      </c>
      <c r="T1404" t="s">
        <v>24</v>
      </c>
      <c r="U1404">
        <f t="shared" si="86"/>
        <v>2</v>
      </c>
      <c r="V1404">
        <v>183.13900000000001</v>
      </c>
      <c r="W1404">
        <v>0.48399999999999999</v>
      </c>
      <c r="X1404" t="s">
        <v>1406</v>
      </c>
      <c r="Y1404">
        <v>134</v>
      </c>
      <c r="Z1404">
        <v>98</v>
      </c>
      <c r="AA1404" t="s">
        <v>31</v>
      </c>
      <c r="AB1404">
        <v>124</v>
      </c>
      <c r="AC1404" s="23">
        <v>1.94</v>
      </c>
      <c r="AD1404" t="str">
        <f>IF(AND('CVD Dataset'!AA1404="Normal",'CVD Dataset'!AB1404&gt;AVERAGE('CVD Dataset'!AB:AB),'CVD Dataset'!AF1404="High"),"High Lipid Category","Normal Category")</f>
        <v>Normal Category</v>
      </c>
      <c r="AE1404">
        <v>20.841999999999999</v>
      </c>
      <c r="AF1404" t="s">
        <v>28</v>
      </c>
      <c r="AG1404">
        <v>0</v>
      </c>
      <c r="AH1404" t="s">
        <v>1380</v>
      </c>
      <c r="AI1404">
        <f t="shared" si="87"/>
        <v>0</v>
      </c>
      <c r="AJ1404" t="s">
        <v>1391</v>
      </c>
    </row>
    <row r="1405" spans="1:36" x14ac:dyDescent="0.3">
      <c r="A1405" t="s">
        <v>22</v>
      </c>
      <c r="B1405">
        <v>59</v>
      </c>
      <c r="C1405">
        <v>59.642000000000003</v>
      </c>
      <c r="D1405">
        <v>1.6539999999999999</v>
      </c>
      <c r="F1405">
        <f t="shared" si="85"/>
        <v>21.801239602356389</v>
      </c>
      <c r="G1405">
        <f t="shared" si="88"/>
        <v>1</v>
      </c>
      <c r="H1405" t="s">
        <v>1401</v>
      </c>
      <c r="I1405">
        <v>89.134</v>
      </c>
      <c r="J1405" t="s">
        <v>1198</v>
      </c>
      <c r="K1405" s="24">
        <v>110</v>
      </c>
      <c r="L1405" s="24">
        <v>116</v>
      </c>
      <c r="M1405">
        <v>191</v>
      </c>
      <c r="N1405" t="s">
        <v>1432</v>
      </c>
      <c r="O1405">
        <v>35</v>
      </c>
      <c r="P1405">
        <v>112</v>
      </c>
      <c r="Q1405" t="s">
        <v>24</v>
      </c>
      <c r="R1405" t="s">
        <v>25</v>
      </c>
      <c r="S1405" t="s">
        <v>26</v>
      </c>
      <c r="T1405" t="s">
        <v>25</v>
      </c>
      <c r="U1405">
        <f t="shared" si="86"/>
        <v>3</v>
      </c>
      <c r="V1405">
        <v>165.38300000000001</v>
      </c>
      <c r="W1405">
        <v>0.53900000000000003</v>
      </c>
      <c r="X1405" t="s">
        <v>1407</v>
      </c>
      <c r="Y1405">
        <v>110</v>
      </c>
      <c r="Z1405">
        <v>116</v>
      </c>
      <c r="AA1405" t="s">
        <v>40</v>
      </c>
      <c r="AB1405">
        <v>126</v>
      </c>
      <c r="AC1405" s="23">
        <v>3.6</v>
      </c>
      <c r="AD1405" t="str">
        <f>IF(AND('CVD Dataset'!AA1405="Normal",'CVD Dataset'!AB1405&gt;AVERAGE('CVD Dataset'!AB:AB),'CVD Dataset'!AF1405="High"),"High Lipid Category","Normal Category")</f>
        <v>Normal Category</v>
      </c>
      <c r="AE1405">
        <v>17.045999999999999</v>
      </c>
      <c r="AF1405" t="s">
        <v>32</v>
      </c>
      <c r="AG1405">
        <v>0</v>
      </c>
      <c r="AH1405" t="s">
        <v>1379</v>
      </c>
      <c r="AI1405">
        <f t="shared" si="87"/>
        <v>1</v>
      </c>
      <c r="AJ1405" t="s">
        <v>1392</v>
      </c>
    </row>
    <row r="1406" spans="1:36" x14ac:dyDescent="0.3">
      <c r="A1406" t="s">
        <v>33</v>
      </c>
      <c r="B1406">
        <v>40</v>
      </c>
      <c r="C1406">
        <v>71.555999999999997</v>
      </c>
      <c r="D1406">
        <v>1.7050000000000001</v>
      </c>
      <c r="E1406">
        <v>38.381</v>
      </c>
      <c r="F1406">
        <f t="shared" si="85"/>
        <v>24.614855393400465</v>
      </c>
      <c r="G1406">
        <f t="shared" si="88"/>
        <v>1</v>
      </c>
      <c r="H1406" t="s">
        <v>1399</v>
      </c>
      <c r="I1406">
        <v>73.153999999999996</v>
      </c>
      <c r="J1406" t="s">
        <v>1199</v>
      </c>
      <c r="K1406" s="24">
        <v>125</v>
      </c>
      <c r="L1406" s="24">
        <v>112</v>
      </c>
      <c r="M1406">
        <v>246</v>
      </c>
      <c r="N1406" t="s">
        <v>1432</v>
      </c>
      <c r="O1406">
        <v>56</v>
      </c>
      <c r="P1406">
        <v>88</v>
      </c>
      <c r="Q1406" t="s">
        <v>24</v>
      </c>
      <c r="R1406" t="s">
        <v>24</v>
      </c>
      <c r="S1406" t="s">
        <v>26</v>
      </c>
      <c r="T1406" t="s">
        <v>24</v>
      </c>
      <c r="U1406">
        <f t="shared" si="86"/>
        <v>1</v>
      </c>
      <c r="V1406">
        <v>170.506</v>
      </c>
      <c r="W1406">
        <v>0.42899999999999999</v>
      </c>
      <c r="X1406" t="s">
        <v>1408</v>
      </c>
      <c r="Y1406">
        <v>125</v>
      </c>
      <c r="Z1406">
        <v>112</v>
      </c>
      <c r="AA1406" t="s">
        <v>40</v>
      </c>
      <c r="AB1406">
        <v>160</v>
      </c>
      <c r="AC1406" s="23">
        <v>2.86</v>
      </c>
      <c r="AD1406" t="str">
        <f>IF(AND('CVD Dataset'!AA1406="Normal",'CVD Dataset'!AB1406&gt;AVERAGE('CVD Dataset'!AB:AB),'CVD Dataset'!AF1406="High"),"High Lipid Category","Normal Category")</f>
        <v>Normal Category</v>
      </c>
      <c r="AE1406">
        <v>18.846</v>
      </c>
      <c r="AF1406" t="s">
        <v>28</v>
      </c>
      <c r="AG1406">
        <v>0</v>
      </c>
      <c r="AH1406" t="s">
        <v>1380</v>
      </c>
      <c r="AI1406">
        <f t="shared" si="87"/>
        <v>0</v>
      </c>
      <c r="AJ1406" t="s">
        <v>1391</v>
      </c>
    </row>
    <row r="1407" spans="1:36" x14ac:dyDescent="0.3">
      <c r="A1407" t="s">
        <v>33</v>
      </c>
      <c r="B1407">
        <v>55</v>
      </c>
      <c r="C1407">
        <v>88.834000000000003</v>
      </c>
      <c r="D1407">
        <v>1.665</v>
      </c>
      <c r="E1407">
        <v>27.856000000000002</v>
      </c>
      <c r="F1407">
        <f t="shared" si="85"/>
        <v>32.04429654880105</v>
      </c>
      <c r="G1407">
        <f t="shared" si="88"/>
        <v>1</v>
      </c>
      <c r="H1407" t="s">
        <v>1400</v>
      </c>
      <c r="I1407">
        <v>91.37</v>
      </c>
      <c r="J1407" t="s">
        <v>1200</v>
      </c>
      <c r="K1407" s="24">
        <v>120</v>
      </c>
      <c r="L1407" s="24">
        <v>75</v>
      </c>
      <c r="M1407">
        <v>106</v>
      </c>
      <c r="N1407" t="s">
        <v>1434</v>
      </c>
      <c r="P1407">
        <v>87</v>
      </c>
      <c r="Q1407" t="s">
        <v>25</v>
      </c>
      <c r="R1407" t="s">
        <v>24</v>
      </c>
      <c r="S1407" t="s">
        <v>26</v>
      </c>
      <c r="T1407" t="s">
        <v>24</v>
      </c>
      <c r="U1407">
        <f t="shared" si="86"/>
        <v>2</v>
      </c>
      <c r="X1407" t="s">
        <v>1410</v>
      </c>
      <c r="Y1407">
        <v>120</v>
      </c>
      <c r="Z1407">
        <v>75</v>
      </c>
      <c r="AA1407" t="s">
        <v>27</v>
      </c>
      <c r="AB1407">
        <v>39</v>
      </c>
      <c r="AC1407" s="23" t="s">
        <v>1410</v>
      </c>
      <c r="AD1407" t="str">
        <f>IF(AND('CVD Dataset'!AA1407="Normal",'CVD Dataset'!AB1407&gt;AVERAGE('CVD Dataset'!AB:AB),'CVD Dataset'!AF1407="High"),"High Lipid Category","Normal Category")</f>
        <v>Normal Category</v>
      </c>
      <c r="AE1407">
        <v>13.691000000000001</v>
      </c>
      <c r="AF1407" t="s">
        <v>28</v>
      </c>
      <c r="AG1407">
        <v>0</v>
      </c>
      <c r="AH1407" t="s">
        <v>1380</v>
      </c>
      <c r="AI1407">
        <f t="shared" si="87"/>
        <v>0</v>
      </c>
      <c r="AJ1407" t="s">
        <v>1391</v>
      </c>
    </row>
    <row r="1408" spans="1:36" x14ac:dyDescent="0.3">
      <c r="A1408" t="s">
        <v>33</v>
      </c>
      <c r="C1408">
        <v>74.671000000000006</v>
      </c>
      <c r="D1408">
        <v>1.982</v>
      </c>
      <c r="E1408">
        <v>26.564</v>
      </c>
      <c r="F1408">
        <f t="shared" si="85"/>
        <v>19.00836081748858</v>
      </c>
      <c r="G1408">
        <f t="shared" si="88"/>
        <v>1</v>
      </c>
      <c r="H1408" t="s">
        <v>1400</v>
      </c>
      <c r="I1408">
        <v>102.538</v>
      </c>
      <c r="J1408" t="s">
        <v>493</v>
      </c>
      <c r="K1408" s="24">
        <v>135</v>
      </c>
      <c r="L1408" s="24">
        <v>87</v>
      </c>
      <c r="M1408">
        <v>160</v>
      </c>
      <c r="N1408" t="s">
        <v>1433</v>
      </c>
      <c r="O1408">
        <v>88</v>
      </c>
      <c r="P1408">
        <v>126</v>
      </c>
      <c r="Q1408" t="s">
        <v>24</v>
      </c>
      <c r="R1408" t="s">
        <v>24</v>
      </c>
      <c r="S1408" t="s">
        <v>30</v>
      </c>
      <c r="T1408" t="s">
        <v>24</v>
      </c>
      <c r="U1408">
        <f t="shared" si="86"/>
        <v>0</v>
      </c>
      <c r="V1408">
        <v>198.23599999999999</v>
      </c>
      <c r="W1408">
        <v>0.51700000000000002</v>
      </c>
      <c r="X1408" t="s">
        <v>1406</v>
      </c>
      <c r="Y1408">
        <v>135</v>
      </c>
      <c r="Z1408">
        <v>87</v>
      </c>
      <c r="AA1408" t="s">
        <v>31</v>
      </c>
      <c r="AB1408">
        <v>42</v>
      </c>
      <c r="AC1408" s="23">
        <v>0.48</v>
      </c>
      <c r="AD1408" t="str">
        <f>IF(AND('CVD Dataset'!AA1408="Normal",'CVD Dataset'!AB1408&gt;AVERAGE('CVD Dataset'!AB:AB),'CVD Dataset'!AF1408="High"),"High Lipid Category","Normal Category")</f>
        <v>Normal Category</v>
      </c>
      <c r="AE1408">
        <v>15.263</v>
      </c>
      <c r="AF1408" t="s">
        <v>54</v>
      </c>
      <c r="AG1408">
        <v>0</v>
      </c>
      <c r="AH1408" t="s">
        <v>1380</v>
      </c>
      <c r="AI1408">
        <f t="shared" si="87"/>
        <v>0</v>
      </c>
      <c r="AJ1408" t="s">
        <v>1391</v>
      </c>
    </row>
    <row r="1409" spans="1:36" x14ac:dyDescent="0.3">
      <c r="A1409" t="s">
        <v>22</v>
      </c>
      <c r="B1409">
        <v>67</v>
      </c>
      <c r="C1409">
        <v>99.519000000000005</v>
      </c>
      <c r="D1409">
        <v>1.609</v>
      </c>
      <c r="E1409">
        <v>22.722000000000001</v>
      </c>
      <c r="F1409">
        <f t="shared" si="85"/>
        <v>38.440932588249524</v>
      </c>
      <c r="G1409">
        <f t="shared" si="88"/>
        <v>1</v>
      </c>
      <c r="H1409" t="s">
        <v>1398</v>
      </c>
      <c r="I1409">
        <v>111.179</v>
      </c>
      <c r="J1409" t="s">
        <v>1201</v>
      </c>
      <c r="K1409" s="24">
        <v>178</v>
      </c>
      <c r="L1409" s="24">
        <v>100</v>
      </c>
      <c r="M1409">
        <v>235</v>
      </c>
      <c r="N1409" t="s">
        <v>1432</v>
      </c>
      <c r="O1409">
        <v>54</v>
      </c>
      <c r="P1409">
        <v>85</v>
      </c>
      <c r="Q1409" t="s">
        <v>25</v>
      </c>
      <c r="R1409" t="s">
        <v>24</v>
      </c>
      <c r="S1409" t="s">
        <v>26</v>
      </c>
      <c r="T1409" t="s">
        <v>24</v>
      </c>
      <c r="U1409">
        <f t="shared" si="86"/>
        <v>2</v>
      </c>
      <c r="V1409">
        <v>160.893</v>
      </c>
      <c r="W1409">
        <v>0.69099999999999995</v>
      </c>
      <c r="X1409" t="s">
        <v>1409</v>
      </c>
      <c r="Y1409">
        <v>178</v>
      </c>
      <c r="Z1409">
        <v>100</v>
      </c>
      <c r="AA1409" t="s">
        <v>40</v>
      </c>
      <c r="AB1409">
        <v>151</v>
      </c>
      <c r="AC1409" s="23">
        <v>2.8</v>
      </c>
      <c r="AD1409" t="str">
        <f>IF(AND('CVD Dataset'!AA1409="Normal",'CVD Dataset'!AB1409&gt;AVERAGE('CVD Dataset'!AB:AB),'CVD Dataset'!AF1409="High"),"High Lipid Category","Normal Category")</f>
        <v>Normal Category</v>
      </c>
      <c r="AE1409">
        <v>18.143999999999998</v>
      </c>
      <c r="AF1409" t="s">
        <v>54</v>
      </c>
      <c r="AG1409">
        <v>0</v>
      </c>
      <c r="AH1409" t="s">
        <v>1380</v>
      </c>
      <c r="AI1409">
        <f t="shared" si="87"/>
        <v>0</v>
      </c>
      <c r="AJ1409" t="s">
        <v>1391</v>
      </c>
    </row>
    <row r="1410" spans="1:36" x14ac:dyDescent="0.3">
      <c r="A1410" t="s">
        <v>22</v>
      </c>
      <c r="B1410">
        <v>67</v>
      </c>
      <c r="C1410">
        <v>70.894999999999996</v>
      </c>
      <c r="D1410">
        <v>1.6759999999999999</v>
      </c>
      <c r="E1410">
        <v>28.332000000000001</v>
      </c>
      <c r="F1410">
        <f t="shared" si="85"/>
        <v>25.238734684810407</v>
      </c>
      <c r="G1410">
        <f t="shared" si="88"/>
        <v>1</v>
      </c>
      <c r="H1410" t="s">
        <v>1400</v>
      </c>
      <c r="I1410">
        <v>114.88500000000001</v>
      </c>
      <c r="J1410" t="s">
        <v>1202</v>
      </c>
      <c r="K1410" s="24">
        <v>176</v>
      </c>
      <c r="L1410" s="24">
        <v>103</v>
      </c>
      <c r="M1410">
        <v>165</v>
      </c>
      <c r="N1410" t="s">
        <v>1433</v>
      </c>
      <c r="O1410">
        <v>88</v>
      </c>
      <c r="P1410">
        <v>198</v>
      </c>
      <c r="Q1410" t="s">
        <v>24</v>
      </c>
      <c r="R1410" t="s">
        <v>24</v>
      </c>
      <c r="S1410" t="s">
        <v>39</v>
      </c>
      <c r="T1410" t="s">
        <v>24</v>
      </c>
      <c r="U1410">
        <f t="shared" si="86"/>
        <v>0</v>
      </c>
      <c r="V1410">
        <v>167.62200000000001</v>
      </c>
      <c r="W1410">
        <v>0.68500000000000005</v>
      </c>
      <c r="X1410" t="s">
        <v>1409</v>
      </c>
      <c r="Y1410">
        <v>176</v>
      </c>
      <c r="Z1410">
        <v>103</v>
      </c>
      <c r="AA1410" t="s">
        <v>40</v>
      </c>
      <c r="AB1410">
        <v>47</v>
      </c>
      <c r="AC1410" s="23">
        <v>0.53</v>
      </c>
      <c r="AD1410" t="str">
        <f>IF(AND('CVD Dataset'!AA1410="Normal",'CVD Dataset'!AB1410&gt;AVERAGE('CVD Dataset'!AB:AB),'CVD Dataset'!AF1410="High"),"High Lipid Category","Normal Category")</f>
        <v>Normal Category</v>
      </c>
      <c r="AE1410">
        <v>17.765999999999998</v>
      </c>
      <c r="AF1410" t="s">
        <v>32</v>
      </c>
      <c r="AG1410">
        <v>1</v>
      </c>
      <c r="AH1410" t="s">
        <v>1379</v>
      </c>
      <c r="AI1410">
        <f t="shared" si="87"/>
        <v>1</v>
      </c>
      <c r="AJ1410" t="s">
        <v>1391</v>
      </c>
    </row>
    <row r="1411" spans="1:36" x14ac:dyDescent="0.3">
      <c r="A1411" t="s">
        <v>22</v>
      </c>
      <c r="C1411">
        <v>92.667000000000002</v>
      </c>
      <c r="D1411">
        <v>1.7210000000000001</v>
      </c>
      <c r="E1411">
        <v>24.405000000000001</v>
      </c>
      <c r="F1411">
        <f t="shared" ref="F1411:F1474" si="89">IFERROR(C1411/POWER(D1411,2),"")</f>
        <v>31.286959698376787</v>
      </c>
      <c r="G1411">
        <f t="shared" si="88"/>
        <v>1</v>
      </c>
      <c r="H1411" t="s">
        <v>1398</v>
      </c>
      <c r="I1411">
        <v>95.191999999999993</v>
      </c>
      <c r="J1411" t="s">
        <v>1203</v>
      </c>
      <c r="K1411" s="24">
        <v>137</v>
      </c>
      <c r="L1411" s="24">
        <v>84</v>
      </c>
      <c r="M1411">
        <v>133</v>
      </c>
      <c r="N1411" t="s">
        <v>1434</v>
      </c>
      <c r="O1411">
        <v>84</v>
      </c>
      <c r="P1411">
        <v>111</v>
      </c>
      <c r="Q1411" t="s">
        <v>25</v>
      </c>
      <c r="R1411" t="s">
        <v>24</v>
      </c>
      <c r="S1411" t="s">
        <v>26</v>
      </c>
      <c r="T1411" t="s">
        <v>24</v>
      </c>
      <c r="U1411">
        <f t="shared" ref="U1411:U1474" si="90">SUM(IF(Q1411="Y",1,0),IF(R1411="Y",1,0),IF(S1411="Low",1,0),IF(T1411="Y",1,0))</f>
        <v>2</v>
      </c>
      <c r="V1411">
        <v>172.09800000000001</v>
      </c>
      <c r="W1411">
        <v>0.55300000000000005</v>
      </c>
      <c r="X1411" t="s">
        <v>1407</v>
      </c>
      <c r="Y1411">
        <v>137</v>
      </c>
      <c r="Z1411">
        <v>84</v>
      </c>
      <c r="AA1411" t="s">
        <v>31</v>
      </c>
      <c r="AB1411">
        <v>19</v>
      </c>
      <c r="AC1411" s="23">
        <v>0.23</v>
      </c>
      <c r="AD1411" t="str">
        <f>IF(AND('CVD Dataset'!AA1411="Normal",'CVD Dataset'!AB1411&gt;AVERAGE('CVD Dataset'!AB:AB),'CVD Dataset'!AF1411="High"),"High Lipid Category","Normal Category")</f>
        <v>Normal Category</v>
      </c>
      <c r="AF1411" t="s">
        <v>32</v>
      </c>
      <c r="AG1411">
        <v>1</v>
      </c>
      <c r="AH1411" t="s">
        <v>1379</v>
      </c>
      <c r="AI1411">
        <f t="shared" ref="AI1411:AI1474" si="91">IF(AF1411="HIGH",1,0)</f>
        <v>1</v>
      </c>
      <c r="AJ1411" t="s">
        <v>1391</v>
      </c>
    </row>
    <row r="1412" spans="1:36" x14ac:dyDescent="0.3">
      <c r="A1412" t="s">
        <v>33</v>
      </c>
      <c r="B1412">
        <v>75</v>
      </c>
      <c r="C1412">
        <v>107.53400000000001</v>
      </c>
      <c r="D1412">
        <v>1.65</v>
      </c>
      <c r="E1412">
        <v>31.065999999999999</v>
      </c>
      <c r="F1412">
        <f t="shared" si="89"/>
        <v>39.498255280073465</v>
      </c>
      <c r="G1412">
        <f t="shared" si="88"/>
        <v>1</v>
      </c>
      <c r="H1412" t="s">
        <v>1399</v>
      </c>
      <c r="I1412">
        <v>89.564999999999998</v>
      </c>
      <c r="J1412" t="s">
        <v>1088</v>
      </c>
      <c r="K1412" s="24">
        <v>155</v>
      </c>
      <c r="L1412" s="24">
        <v>68</v>
      </c>
      <c r="M1412">
        <v>118</v>
      </c>
      <c r="N1412" t="s">
        <v>1434</v>
      </c>
      <c r="O1412">
        <v>50</v>
      </c>
      <c r="P1412">
        <v>131</v>
      </c>
      <c r="Q1412" t="s">
        <v>25</v>
      </c>
      <c r="R1412" t="s">
        <v>24</v>
      </c>
      <c r="S1412" t="s">
        <v>39</v>
      </c>
      <c r="T1412" t="s">
        <v>25</v>
      </c>
      <c r="U1412">
        <f t="shared" si="90"/>
        <v>2</v>
      </c>
      <c r="V1412">
        <v>164.96199999999999</v>
      </c>
      <c r="W1412">
        <v>0.54300000000000004</v>
      </c>
      <c r="X1412" t="s">
        <v>1407</v>
      </c>
      <c r="Y1412">
        <v>155</v>
      </c>
      <c r="Z1412">
        <v>68</v>
      </c>
      <c r="AA1412" t="s">
        <v>40</v>
      </c>
      <c r="AB1412">
        <v>38</v>
      </c>
      <c r="AC1412" s="23">
        <v>0.76</v>
      </c>
      <c r="AD1412" t="str">
        <f>IF(AND('CVD Dataset'!AA1412="Normal",'CVD Dataset'!AB1412&gt;AVERAGE('CVD Dataset'!AB:AB),'CVD Dataset'!AF1412="High"),"High Lipid Category","Normal Category")</f>
        <v>Normal Category</v>
      </c>
      <c r="AE1412">
        <v>16.323</v>
      </c>
      <c r="AF1412" t="s">
        <v>28</v>
      </c>
      <c r="AG1412">
        <v>0</v>
      </c>
      <c r="AH1412" t="s">
        <v>1380</v>
      </c>
      <c r="AI1412">
        <f t="shared" si="91"/>
        <v>0</v>
      </c>
      <c r="AJ1412" t="s">
        <v>1391</v>
      </c>
    </row>
    <row r="1413" spans="1:36" x14ac:dyDescent="0.3">
      <c r="A1413" t="s">
        <v>22</v>
      </c>
      <c r="B1413">
        <v>44</v>
      </c>
      <c r="C1413">
        <v>112.97799999999999</v>
      </c>
      <c r="D1413">
        <v>1.5069999999999999</v>
      </c>
      <c r="E1413">
        <v>36.380000000000003</v>
      </c>
      <c r="F1413">
        <f t="shared" si="89"/>
        <v>49.747055215453301</v>
      </c>
      <c r="G1413">
        <f t="shared" si="88"/>
        <v>1</v>
      </c>
      <c r="H1413" t="s">
        <v>1399</v>
      </c>
      <c r="I1413">
        <v>118.586</v>
      </c>
      <c r="J1413" t="s">
        <v>1204</v>
      </c>
      <c r="K1413" s="24">
        <v>142</v>
      </c>
      <c r="L1413" s="24">
        <v>101</v>
      </c>
      <c r="M1413">
        <v>168</v>
      </c>
      <c r="N1413" t="s">
        <v>1433</v>
      </c>
      <c r="O1413">
        <v>61</v>
      </c>
      <c r="P1413">
        <v>170</v>
      </c>
      <c r="Q1413" t="s">
        <v>24</v>
      </c>
      <c r="R1413" t="s">
        <v>24</v>
      </c>
      <c r="S1413" t="s">
        <v>39</v>
      </c>
      <c r="T1413" t="s">
        <v>24</v>
      </c>
      <c r="U1413">
        <f t="shared" si="90"/>
        <v>0</v>
      </c>
      <c r="V1413">
        <v>150.721</v>
      </c>
      <c r="W1413">
        <v>0.78700000000000003</v>
      </c>
      <c r="X1413" t="s">
        <v>1409</v>
      </c>
      <c r="Y1413">
        <v>142</v>
      </c>
      <c r="Z1413">
        <v>101</v>
      </c>
      <c r="AA1413" t="s">
        <v>40</v>
      </c>
      <c r="AB1413">
        <v>77</v>
      </c>
      <c r="AC1413" s="23">
        <v>1.26</v>
      </c>
      <c r="AD1413" t="str">
        <f>IF(AND('CVD Dataset'!AA1413="Normal",'CVD Dataset'!AB1413&gt;AVERAGE('CVD Dataset'!AB:AB),'CVD Dataset'!AF1413="High"),"High Lipid Category","Normal Category")</f>
        <v>Normal Category</v>
      </c>
      <c r="AE1413">
        <v>17.736000000000001</v>
      </c>
      <c r="AF1413" t="s">
        <v>32</v>
      </c>
      <c r="AG1413">
        <v>1</v>
      </c>
      <c r="AH1413" t="s">
        <v>1379</v>
      </c>
      <c r="AI1413">
        <f t="shared" si="91"/>
        <v>1</v>
      </c>
      <c r="AJ1413" t="s">
        <v>1391</v>
      </c>
    </row>
    <row r="1414" spans="1:36" x14ac:dyDescent="0.3">
      <c r="A1414" t="s">
        <v>22</v>
      </c>
      <c r="B1414">
        <v>62</v>
      </c>
      <c r="C1414">
        <v>112.81399999999999</v>
      </c>
      <c r="D1414">
        <v>1.7270000000000001</v>
      </c>
      <c r="E1414">
        <v>35.835000000000001</v>
      </c>
      <c r="F1414">
        <f t="shared" si="89"/>
        <v>37.824946547041108</v>
      </c>
      <c r="G1414">
        <f t="shared" si="88"/>
        <v>1</v>
      </c>
      <c r="H1414" t="s">
        <v>1399</v>
      </c>
      <c r="I1414">
        <v>70.332999999999998</v>
      </c>
      <c r="J1414" t="s">
        <v>1205</v>
      </c>
      <c r="K1414" s="24">
        <v>178</v>
      </c>
      <c r="L1414" s="24">
        <v>73</v>
      </c>
      <c r="M1414">
        <v>225</v>
      </c>
      <c r="N1414" t="s">
        <v>1432</v>
      </c>
      <c r="O1414">
        <v>87</v>
      </c>
      <c r="Q1414" t="s">
        <v>24</v>
      </c>
      <c r="R1414" t="s">
        <v>24</v>
      </c>
      <c r="S1414" t="s">
        <v>26</v>
      </c>
      <c r="T1414" t="s">
        <v>24</v>
      </c>
      <c r="U1414">
        <f t="shared" si="90"/>
        <v>1</v>
      </c>
      <c r="V1414">
        <v>172.69</v>
      </c>
      <c r="W1414">
        <v>0.40699999999999997</v>
      </c>
      <c r="X1414" t="s">
        <v>1408</v>
      </c>
      <c r="Y1414">
        <v>178</v>
      </c>
      <c r="Z1414">
        <v>73</v>
      </c>
      <c r="AA1414" t="s">
        <v>40</v>
      </c>
      <c r="AB1414">
        <v>108</v>
      </c>
      <c r="AC1414" s="23">
        <v>1.24</v>
      </c>
      <c r="AD1414" t="str">
        <f>IF(AND('CVD Dataset'!AA1414="Normal",'CVD Dataset'!AB1414&gt;AVERAGE('CVD Dataset'!AB:AB),'CVD Dataset'!AF1414="High"),"High Lipid Category","Normal Category")</f>
        <v>Normal Category</v>
      </c>
      <c r="AE1414">
        <v>20.567</v>
      </c>
      <c r="AF1414" t="s">
        <v>32</v>
      </c>
      <c r="AG1414">
        <v>1</v>
      </c>
      <c r="AH1414" t="s">
        <v>1379</v>
      </c>
      <c r="AI1414">
        <f t="shared" si="91"/>
        <v>1</v>
      </c>
      <c r="AJ1414" t="s">
        <v>1391</v>
      </c>
    </row>
    <row r="1415" spans="1:36" x14ac:dyDescent="0.3">
      <c r="A1415" t="s">
        <v>22</v>
      </c>
      <c r="B1415">
        <v>45</v>
      </c>
      <c r="D1415">
        <v>1.6160000000000001</v>
      </c>
      <c r="E1415">
        <v>39.633000000000003</v>
      </c>
      <c r="F1415">
        <f t="shared" si="89"/>
        <v>0</v>
      </c>
      <c r="G1415">
        <f t="shared" si="88"/>
        <v>1</v>
      </c>
      <c r="H1415" t="s">
        <v>1399</v>
      </c>
      <c r="I1415">
        <v>109.352</v>
      </c>
      <c r="J1415" t="s">
        <v>989</v>
      </c>
      <c r="K1415" s="24">
        <v>175</v>
      </c>
      <c r="L1415" s="24">
        <v>98</v>
      </c>
      <c r="M1415">
        <v>256</v>
      </c>
      <c r="N1415" t="s">
        <v>1432</v>
      </c>
      <c r="O1415">
        <v>75</v>
      </c>
      <c r="P1415">
        <v>160</v>
      </c>
      <c r="Q1415" t="s">
        <v>24</v>
      </c>
      <c r="R1415" t="s">
        <v>25</v>
      </c>
      <c r="S1415" t="s">
        <v>30</v>
      </c>
      <c r="T1415" t="s">
        <v>25</v>
      </c>
      <c r="U1415">
        <f t="shared" si="90"/>
        <v>2</v>
      </c>
      <c r="V1415">
        <v>161.584</v>
      </c>
      <c r="W1415">
        <v>0.67700000000000005</v>
      </c>
      <c r="X1415" t="s">
        <v>1409</v>
      </c>
      <c r="Y1415">
        <v>175</v>
      </c>
      <c r="Z1415">
        <v>98</v>
      </c>
      <c r="AA1415" t="s">
        <v>40</v>
      </c>
      <c r="AB1415">
        <v>151</v>
      </c>
      <c r="AC1415" s="23">
        <v>2.0099999999999998</v>
      </c>
      <c r="AD1415" t="str">
        <f>IF(AND('CVD Dataset'!AA1415="Normal",'CVD Dataset'!AB1415&gt;AVERAGE('CVD Dataset'!AB:AB),'CVD Dataset'!AF1415="High"),"High Lipid Category","Normal Category")</f>
        <v>Normal Category</v>
      </c>
      <c r="AE1415">
        <v>23.797000000000001</v>
      </c>
      <c r="AF1415" t="s">
        <v>54</v>
      </c>
      <c r="AG1415">
        <v>0</v>
      </c>
      <c r="AH1415" t="s">
        <v>1380</v>
      </c>
      <c r="AI1415">
        <f t="shared" si="91"/>
        <v>0</v>
      </c>
      <c r="AJ1415" t="s">
        <v>1391</v>
      </c>
    </row>
    <row r="1416" spans="1:36" x14ac:dyDescent="0.3">
      <c r="A1416" t="s">
        <v>33</v>
      </c>
      <c r="B1416">
        <v>50</v>
      </c>
      <c r="C1416">
        <v>71.126999999999995</v>
      </c>
      <c r="D1416">
        <v>1.754</v>
      </c>
      <c r="E1416">
        <v>31.042000000000002</v>
      </c>
      <c r="F1416">
        <f t="shared" si="89"/>
        <v>23.1193336878469</v>
      </c>
      <c r="G1416">
        <f t="shared" si="88"/>
        <v>1</v>
      </c>
      <c r="H1416" t="s">
        <v>1399</v>
      </c>
      <c r="I1416">
        <v>112.11199999999999</v>
      </c>
      <c r="J1416" t="s">
        <v>1206</v>
      </c>
      <c r="K1416" s="24">
        <v>154</v>
      </c>
      <c r="L1416" s="24">
        <v>99</v>
      </c>
      <c r="M1416">
        <v>170</v>
      </c>
      <c r="N1416" t="s">
        <v>1433</v>
      </c>
      <c r="O1416">
        <v>89</v>
      </c>
      <c r="P1416">
        <v>175</v>
      </c>
      <c r="Q1416" t="s">
        <v>25</v>
      </c>
      <c r="R1416" t="s">
        <v>24</v>
      </c>
      <c r="S1416" t="s">
        <v>26</v>
      </c>
      <c r="T1416" t="s">
        <v>25</v>
      </c>
      <c r="U1416">
        <f t="shared" si="90"/>
        <v>3</v>
      </c>
      <c r="V1416">
        <v>175.351</v>
      </c>
      <c r="W1416">
        <v>0.63900000000000001</v>
      </c>
      <c r="X1416" t="s">
        <v>1409</v>
      </c>
      <c r="Y1416">
        <v>154</v>
      </c>
      <c r="Z1416">
        <v>99</v>
      </c>
      <c r="AA1416" t="s">
        <v>40</v>
      </c>
      <c r="AB1416">
        <v>51</v>
      </c>
      <c r="AC1416" s="23">
        <v>0.56999999999999995</v>
      </c>
      <c r="AD1416" t="str">
        <f>IF(AND('CVD Dataset'!AA1416="Normal",'CVD Dataset'!AB1416&gt;AVERAGE('CVD Dataset'!AB:AB),'CVD Dataset'!AF1416="High"),"High Lipid Category","Normal Category")</f>
        <v>Normal Category</v>
      </c>
      <c r="AE1416">
        <v>17.308</v>
      </c>
      <c r="AF1416" t="s">
        <v>54</v>
      </c>
      <c r="AG1416">
        <v>0</v>
      </c>
      <c r="AH1416" t="s">
        <v>1380</v>
      </c>
      <c r="AI1416">
        <f t="shared" si="91"/>
        <v>0</v>
      </c>
      <c r="AJ1416" t="s">
        <v>1391</v>
      </c>
    </row>
    <row r="1417" spans="1:36" x14ac:dyDescent="0.3">
      <c r="A1417" t="s">
        <v>33</v>
      </c>
      <c r="B1417">
        <v>43</v>
      </c>
      <c r="C1417">
        <v>107.21899999999999</v>
      </c>
      <c r="D1417">
        <v>1.5760000000000001</v>
      </c>
      <c r="E1417">
        <v>22.565000000000001</v>
      </c>
      <c r="F1417">
        <f t="shared" si="89"/>
        <v>43.16774137442345</v>
      </c>
      <c r="G1417">
        <f t="shared" si="88"/>
        <v>1</v>
      </c>
      <c r="H1417" t="s">
        <v>1398</v>
      </c>
      <c r="I1417">
        <v>107.586</v>
      </c>
      <c r="J1417" t="s">
        <v>450</v>
      </c>
      <c r="K1417" s="24">
        <v>112</v>
      </c>
      <c r="L1417" s="24">
        <v>71</v>
      </c>
      <c r="M1417">
        <v>210</v>
      </c>
      <c r="N1417" t="s">
        <v>1432</v>
      </c>
      <c r="O1417">
        <v>70</v>
      </c>
      <c r="P1417">
        <v>81</v>
      </c>
      <c r="Q1417" t="s">
        <v>25</v>
      </c>
      <c r="R1417" t="s">
        <v>24</v>
      </c>
      <c r="S1417" t="s">
        <v>30</v>
      </c>
      <c r="T1417" t="s">
        <v>25</v>
      </c>
      <c r="U1417">
        <f t="shared" si="90"/>
        <v>2</v>
      </c>
      <c r="V1417">
        <v>157.60900000000001</v>
      </c>
      <c r="W1417">
        <v>0.68300000000000005</v>
      </c>
      <c r="X1417" t="s">
        <v>1409</v>
      </c>
      <c r="Y1417">
        <v>112</v>
      </c>
      <c r="Z1417">
        <v>71</v>
      </c>
      <c r="AA1417" t="s">
        <v>35</v>
      </c>
      <c r="AB1417">
        <v>110</v>
      </c>
      <c r="AC1417" s="23">
        <v>1.57</v>
      </c>
      <c r="AD1417" t="str">
        <f>IF(AND('CVD Dataset'!AA1417="Normal",'CVD Dataset'!AB1417&gt;AVERAGE('CVD Dataset'!AB:AB),'CVD Dataset'!AF1417="High"),"High Lipid Category","Normal Category")</f>
        <v>Normal Category</v>
      </c>
      <c r="AE1417">
        <v>14.313000000000001</v>
      </c>
      <c r="AF1417" t="s">
        <v>54</v>
      </c>
      <c r="AG1417">
        <v>0</v>
      </c>
      <c r="AH1417" t="s">
        <v>1380</v>
      </c>
      <c r="AI1417">
        <f t="shared" si="91"/>
        <v>0</v>
      </c>
      <c r="AJ1417" t="s">
        <v>1391</v>
      </c>
    </row>
    <row r="1418" spans="1:36" x14ac:dyDescent="0.3">
      <c r="A1418" t="s">
        <v>33</v>
      </c>
      <c r="B1418">
        <v>47</v>
      </c>
      <c r="C1418">
        <v>62.204000000000001</v>
      </c>
      <c r="D1418">
        <v>1.887</v>
      </c>
      <c r="E1418">
        <v>38.322000000000003</v>
      </c>
      <c r="F1418">
        <f t="shared" si="89"/>
        <v>17.469260151388646</v>
      </c>
      <c r="G1418">
        <f t="shared" si="88"/>
        <v>1</v>
      </c>
      <c r="H1418" t="s">
        <v>1399</v>
      </c>
      <c r="I1418">
        <v>108.822</v>
      </c>
      <c r="J1418" t="s">
        <v>461</v>
      </c>
      <c r="K1418" s="24">
        <v>113</v>
      </c>
      <c r="L1418" s="24">
        <v>79</v>
      </c>
      <c r="M1418">
        <v>164</v>
      </c>
      <c r="N1418" t="s">
        <v>1433</v>
      </c>
      <c r="O1418">
        <v>76</v>
      </c>
      <c r="P1418">
        <v>148</v>
      </c>
      <c r="Q1418" t="s">
        <v>24</v>
      </c>
      <c r="R1418" t="s">
        <v>24</v>
      </c>
      <c r="S1418" t="s">
        <v>26</v>
      </c>
      <c r="T1418" t="s">
        <v>25</v>
      </c>
      <c r="U1418">
        <f t="shared" si="90"/>
        <v>2</v>
      </c>
      <c r="V1418">
        <v>188.68899999999999</v>
      </c>
      <c r="W1418">
        <v>0.57699999999999996</v>
      </c>
      <c r="X1418" t="s">
        <v>1407</v>
      </c>
      <c r="Y1418">
        <v>113</v>
      </c>
      <c r="Z1418">
        <v>79</v>
      </c>
      <c r="AA1418" t="s">
        <v>35</v>
      </c>
      <c r="AB1418">
        <v>58</v>
      </c>
      <c r="AC1418" s="23">
        <v>0.76</v>
      </c>
      <c r="AD1418" t="str">
        <f>IF(AND('CVD Dataset'!AA1418="Normal",'CVD Dataset'!AB1418&gt;AVERAGE('CVD Dataset'!AB:AB),'CVD Dataset'!AF1418="High"),"High Lipid Category","Normal Category")</f>
        <v>Normal Category</v>
      </c>
      <c r="AE1418">
        <v>16.594000000000001</v>
      </c>
      <c r="AF1418" t="s">
        <v>28</v>
      </c>
      <c r="AG1418">
        <v>0</v>
      </c>
      <c r="AH1418" t="s">
        <v>1380</v>
      </c>
      <c r="AI1418">
        <f t="shared" si="91"/>
        <v>0</v>
      </c>
      <c r="AJ1418" t="s">
        <v>1391</v>
      </c>
    </row>
    <row r="1419" spans="1:36" x14ac:dyDescent="0.3">
      <c r="A1419" t="s">
        <v>33</v>
      </c>
      <c r="B1419">
        <v>57</v>
      </c>
      <c r="C1419">
        <v>116.77200000000001</v>
      </c>
      <c r="D1419">
        <v>1.569</v>
      </c>
      <c r="E1419">
        <v>34.125999999999998</v>
      </c>
      <c r="F1419">
        <f t="shared" si="89"/>
        <v>47.434336639503194</v>
      </c>
      <c r="G1419">
        <f t="shared" si="88"/>
        <v>1</v>
      </c>
      <c r="H1419" t="s">
        <v>1399</v>
      </c>
      <c r="I1419">
        <v>90.736999999999995</v>
      </c>
      <c r="J1419" t="s">
        <v>986</v>
      </c>
      <c r="K1419" s="24">
        <v>117</v>
      </c>
      <c r="L1419" s="24">
        <v>116</v>
      </c>
      <c r="M1419">
        <v>254</v>
      </c>
      <c r="N1419" t="s">
        <v>1432</v>
      </c>
      <c r="O1419">
        <v>60</v>
      </c>
      <c r="P1419">
        <v>177</v>
      </c>
      <c r="Q1419" t="s">
        <v>24</v>
      </c>
      <c r="R1419" t="s">
        <v>24</v>
      </c>
      <c r="S1419" t="s">
        <v>26</v>
      </c>
      <c r="T1419" t="s">
        <v>25</v>
      </c>
      <c r="U1419">
        <f t="shared" si="90"/>
        <v>2</v>
      </c>
      <c r="V1419">
        <v>156.85400000000001</v>
      </c>
      <c r="W1419">
        <v>0.57799999999999996</v>
      </c>
      <c r="X1419" t="s">
        <v>1407</v>
      </c>
      <c r="Y1419">
        <v>117</v>
      </c>
      <c r="Z1419">
        <v>116</v>
      </c>
      <c r="AA1419" t="s">
        <v>40</v>
      </c>
      <c r="AB1419">
        <v>164</v>
      </c>
      <c r="AC1419" s="23">
        <v>2.73</v>
      </c>
      <c r="AD1419" t="str">
        <f>IF(AND('CVD Dataset'!AA1419="Normal",'CVD Dataset'!AB1419&gt;AVERAGE('CVD Dataset'!AB:AB),'CVD Dataset'!AF1419="High"),"High Lipid Category","Normal Category")</f>
        <v>Normal Category</v>
      </c>
      <c r="AE1419">
        <v>17.754999999999999</v>
      </c>
      <c r="AF1419" t="s">
        <v>32</v>
      </c>
      <c r="AG1419">
        <v>1</v>
      </c>
      <c r="AH1419" t="s">
        <v>1379</v>
      </c>
      <c r="AI1419">
        <f t="shared" si="91"/>
        <v>1</v>
      </c>
      <c r="AJ1419" t="s">
        <v>1391</v>
      </c>
    </row>
    <row r="1420" spans="1:36" x14ac:dyDescent="0.3">
      <c r="A1420" t="s">
        <v>22</v>
      </c>
      <c r="C1420">
        <v>80.421000000000006</v>
      </c>
      <c r="D1420">
        <v>1.53</v>
      </c>
      <c r="E1420">
        <v>26.79</v>
      </c>
      <c r="F1420">
        <f t="shared" si="89"/>
        <v>34.354735358195569</v>
      </c>
      <c r="G1420">
        <f t="shared" si="88"/>
        <v>1</v>
      </c>
      <c r="H1420" t="s">
        <v>1400</v>
      </c>
      <c r="I1420">
        <v>73.218000000000004</v>
      </c>
      <c r="J1420" t="s">
        <v>609</v>
      </c>
      <c r="K1420" s="24">
        <v>113</v>
      </c>
      <c r="L1420" s="24">
        <v>77</v>
      </c>
      <c r="M1420">
        <v>239</v>
      </c>
      <c r="N1420" t="s">
        <v>1432</v>
      </c>
      <c r="O1420">
        <v>73</v>
      </c>
      <c r="P1420">
        <v>96</v>
      </c>
      <c r="Q1420" t="s">
        <v>25</v>
      </c>
      <c r="R1420" t="s">
        <v>25</v>
      </c>
      <c r="S1420" t="s">
        <v>30</v>
      </c>
      <c r="T1420" t="s">
        <v>25</v>
      </c>
      <c r="U1420">
        <f t="shared" si="90"/>
        <v>3</v>
      </c>
      <c r="V1420">
        <v>152.94999999999999</v>
      </c>
      <c r="W1420">
        <v>0.47899999999999998</v>
      </c>
      <c r="X1420" t="s">
        <v>1406</v>
      </c>
      <c r="Y1420">
        <v>113</v>
      </c>
      <c r="Z1420">
        <v>77</v>
      </c>
      <c r="AA1420" t="s">
        <v>35</v>
      </c>
      <c r="AB1420">
        <v>136</v>
      </c>
      <c r="AC1420" s="23">
        <v>1.86</v>
      </c>
      <c r="AD1420" t="str">
        <f>IF(AND('CVD Dataset'!AA1420="Normal",'CVD Dataset'!AB1420&gt;AVERAGE('CVD Dataset'!AB:AB),'CVD Dataset'!AF1420="High"),"High Lipid Category","Normal Category")</f>
        <v>Normal Category</v>
      </c>
      <c r="AE1420">
        <v>17.788</v>
      </c>
      <c r="AF1420" t="s">
        <v>54</v>
      </c>
      <c r="AG1420">
        <v>0</v>
      </c>
      <c r="AH1420" t="s">
        <v>1380</v>
      </c>
      <c r="AI1420">
        <f t="shared" si="91"/>
        <v>0</v>
      </c>
      <c r="AJ1420" t="s">
        <v>1391</v>
      </c>
    </row>
    <row r="1421" spans="1:36" x14ac:dyDescent="0.3">
      <c r="A1421" t="s">
        <v>22</v>
      </c>
      <c r="B1421">
        <v>30</v>
      </c>
      <c r="C1421">
        <v>60.472000000000001</v>
      </c>
      <c r="D1421">
        <v>1.601</v>
      </c>
      <c r="E1421">
        <v>31.989000000000001</v>
      </c>
      <c r="F1421">
        <f t="shared" si="89"/>
        <v>23.592375315084539</v>
      </c>
      <c r="G1421">
        <f t="shared" si="88"/>
        <v>1</v>
      </c>
      <c r="H1421" t="s">
        <v>1399</v>
      </c>
      <c r="I1421">
        <v>93.816999999999993</v>
      </c>
      <c r="J1421" t="s">
        <v>1207</v>
      </c>
      <c r="K1421" s="24">
        <v>151</v>
      </c>
      <c r="L1421" s="24">
        <v>101</v>
      </c>
      <c r="M1421">
        <v>293</v>
      </c>
      <c r="N1421" t="s">
        <v>1432</v>
      </c>
      <c r="O1421">
        <v>88</v>
      </c>
      <c r="P1421">
        <v>104</v>
      </c>
      <c r="Q1421" t="s">
        <v>25</v>
      </c>
      <c r="R1421" t="s">
        <v>25</v>
      </c>
      <c r="S1421" t="s">
        <v>30</v>
      </c>
      <c r="T1421" t="s">
        <v>25</v>
      </c>
      <c r="U1421">
        <f t="shared" si="90"/>
        <v>3</v>
      </c>
      <c r="W1421">
        <v>0.58599999999999997</v>
      </c>
      <c r="X1421" t="s">
        <v>1409</v>
      </c>
      <c r="Y1421">
        <v>151</v>
      </c>
      <c r="Z1421">
        <v>101</v>
      </c>
      <c r="AA1421" t="s">
        <v>40</v>
      </c>
      <c r="AB1421">
        <v>175</v>
      </c>
      <c r="AC1421" s="23">
        <v>1.99</v>
      </c>
      <c r="AD1421" t="str">
        <f>IF(AND('CVD Dataset'!AA1421="Normal",'CVD Dataset'!AB1421&gt;AVERAGE('CVD Dataset'!AB:AB),'CVD Dataset'!AF1421="High"),"High Lipid Category","Normal Category")</f>
        <v>Normal Category</v>
      </c>
      <c r="AE1421">
        <v>21.808</v>
      </c>
      <c r="AF1421" t="s">
        <v>32</v>
      </c>
      <c r="AG1421">
        <v>1</v>
      </c>
      <c r="AH1421" t="s">
        <v>1379</v>
      </c>
      <c r="AI1421">
        <f t="shared" si="91"/>
        <v>1</v>
      </c>
      <c r="AJ1421" t="s">
        <v>1391</v>
      </c>
    </row>
    <row r="1422" spans="1:36" x14ac:dyDescent="0.3">
      <c r="A1422" t="s">
        <v>33</v>
      </c>
      <c r="B1422">
        <v>79</v>
      </c>
      <c r="C1422">
        <v>118.544</v>
      </c>
      <c r="D1422">
        <v>1.591</v>
      </c>
      <c r="E1422">
        <v>27.881</v>
      </c>
      <c r="F1422">
        <f t="shared" si="89"/>
        <v>46.831623988012396</v>
      </c>
      <c r="G1422">
        <f t="shared" si="88"/>
        <v>1</v>
      </c>
      <c r="H1422" t="s">
        <v>1400</v>
      </c>
      <c r="I1422">
        <v>91.388000000000005</v>
      </c>
      <c r="J1422" t="s">
        <v>1208</v>
      </c>
      <c r="K1422" s="24">
        <v>179</v>
      </c>
      <c r="L1422" s="24">
        <v>74</v>
      </c>
      <c r="M1422">
        <v>215</v>
      </c>
      <c r="N1422" t="s">
        <v>1432</v>
      </c>
      <c r="O1422">
        <v>36</v>
      </c>
      <c r="P1422">
        <v>115</v>
      </c>
      <c r="Q1422" t="s">
        <v>25</v>
      </c>
      <c r="R1422" t="s">
        <v>25</v>
      </c>
      <c r="S1422" t="s">
        <v>39</v>
      </c>
      <c r="T1422" t="s">
        <v>25</v>
      </c>
      <c r="U1422">
        <f t="shared" si="90"/>
        <v>3</v>
      </c>
      <c r="V1422">
        <v>159.11799999999999</v>
      </c>
      <c r="W1422">
        <v>0.57399999999999995</v>
      </c>
      <c r="X1422" t="s">
        <v>1407</v>
      </c>
      <c r="Y1422">
        <v>179</v>
      </c>
      <c r="Z1422">
        <v>74</v>
      </c>
      <c r="AA1422" t="s">
        <v>40</v>
      </c>
      <c r="AB1422">
        <v>149</v>
      </c>
      <c r="AC1422" s="23">
        <v>4.1399999999999997</v>
      </c>
      <c r="AD1422" t="str">
        <f>IF(AND('CVD Dataset'!AA1422="Normal",'CVD Dataset'!AB1422&gt;AVERAGE('CVD Dataset'!AB:AB),'CVD Dataset'!AF1422="High"),"High Lipid Category","Normal Category")</f>
        <v>Normal Category</v>
      </c>
      <c r="AE1422">
        <v>20.826000000000001</v>
      </c>
      <c r="AF1422" t="s">
        <v>54</v>
      </c>
      <c r="AG1422">
        <v>0</v>
      </c>
      <c r="AH1422" t="s">
        <v>1380</v>
      </c>
      <c r="AI1422">
        <f t="shared" si="91"/>
        <v>0</v>
      </c>
      <c r="AJ1422" t="s">
        <v>1392</v>
      </c>
    </row>
    <row r="1423" spans="1:36" x14ac:dyDescent="0.3">
      <c r="A1423" t="s">
        <v>33</v>
      </c>
      <c r="B1423">
        <v>55</v>
      </c>
      <c r="C1423">
        <v>60.109000000000002</v>
      </c>
      <c r="D1423">
        <v>1.9330000000000001</v>
      </c>
      <c r="E1423">
        <v>26.309000000000001</v>
      </c>
      <c r="F1423">
        <f t="shared" si="89"/>
        <v>16.087027153030558</v>
      </c>
      <c r="G1423">
        <f t="shared" ref="G1423:G1486" si="92">IFERROR(IF(ABS(E1423 - F1423) &lt;= 0.1, 0, 1),"")</f>
        <v>1</v>
      </c>
      <c r="H1423" t="s">
        <v>1400</v>
      </c>
      <c r="I1423">
        <v>72.233999999999995</v>
      </c>
      <c r="J1423" t="s">
        <v>1209</v>
      </c>
      <c r="K1423" s="24">
        <v>177</v>
      </c>
      <c r="L1423" s="24">
        <v>107</v>
      </c>
      <c r="M1423">
        <v>110</v>
      </c>
      <c r="N1423" t="s">
        <v>1434</v>
      </c>
      <c r="O1423">
        <v>72</v>
      </c>
      <c r="P1423">
        <v>150</v>
      </c>
      <c r="Q1423" t="s">
        <v>25</v>
      </c>
      <c r="R1423" t="s">
        <v>24</v>
      </c>
      <c r="S1423" t="s">
        <v>39</v>
      </c>
      <c r="T1423" t="s">
        <v>25</v>
      </c>
      <c r="U1423">
        <f t="shared" si="90"/>
        <v>2</v>
      </c>
      <c r="V1423">
        <v>193.29900000000001</v>
      </c>
      <c r="X1423" t="s">
        <v>1410</v>
      </c>
      <c r="Y1423">
        <v>177</v>
      </c>
      <c r="Z1423">
        <v>107</v>
      </c>
      <c r="AA1423" t="s">
        <v>40</v>
      </c>
      <c r="AB1423">
        <v>8</v>
      </c>
      <c r="AC1423" s="23">
        <v>0.11</v>
      </c>
      <c r="AD1423" t="str">
        <f>IF(AND('CVD Dataset'!AA1423="Normal",'CVD Dataset'!AB1423&gt;AVERAGE('CVD Dataset'!AB:AB),'CVD Dataset'!AF1423="High"),"High Lipid Category","Normal Category")</f>
        <v>Normal Category</v>
      </c>
      <c r="AE1423">
        <v>16.312000000000001</v>
      </c>
      <c r="AF1423" t="s">
        <v>28</v>
      </c>
      <c r="AG1423">
        <v>0</v>
      </c>
      <c r="AH1423" t="s">
        <v>1380</v>
      </c>
      <c r="AI1423">
        <f t="shared" si="91"/>
        <v>0</v>
      </c>
      <c r="AJ1423" t="s">
        <v>1391</v>
      </c>
    </row>
    <row r="1424" spans="1:36" x14ac:dyDescent="0.3">
      <c r="A1424" t="s">
        <v>33</v>
      </c>
      <c r="B1424">
        <v>28</v>
      </c>
      <c r="C1424">
        <v>60.411000000000001</v>
      </c>
      <c r="D1424">
        <v>1.762</v>
      </c>
      <c r="E1424">
        <v>19.332999999999998</v>
      </c>
      <c r="F1424">
        <f t="shared" si="89"/>
        <v>19.458269611588317</v>
      </c>
      <c r="G1424">
        <f t="shared" si="92"/>
        <v>1</v>
      </c>
      <c r="H1424" t="s">
        <v>1398</v>
      </c>
      <c r="I1424">
        <v>77.022000000000006</v>
      </c>
      <c r="J1424" t="s">
        <v>1210</v>
      </c>
      <c r="K1424" s="24">
        <v>128</v>
      </c>
      <c r="L1424" s="24">
        <v>110</v>
      </c>
      <c r="M1424">
        <v>132</v>
      </c>
      <c r="N1424" t="s">
        <v>1434</v>
      </c>
      <c r="O1424">
        <v>55</v>
      </c>
      <c r="P1424">
        <v>168</v>
      </c>
      <c r="Q1424" t="s">
        <v>25</v>
      </c>
      <c r="R1424" t="s">
        <v>24</v>
      </c>
      <c r="S1424" t="s">
        <v>26</v>
      </c>
      <c r="T1424" t="s">
        <v>24</v>
      </c>
      <c r="U1424">
        <f t="shared" si="90"/>
        <v>2</v>
      </c>
      <c r="V1424">
        <v>176.23599999999999</v>
      </c>
      <c r="W1424">
        <v>0.437</v>
      </c>
      <c r="X1424" t="s">
        <v>1408</v>
      </c>
      <c r="Y1424">
        <v>128</v>
      </c>
      <c r="Z1424">
        <v>110</v>
      </c>
      <c r="AA1424" t="s">
        <v>40</v>
      </c>
      <c r="AB1424">
        <v>47</v>
      </c>
      <c r="AC1424" s="23">
        <v>0.85</v>
      </c>
      <c r="AD1424" t="str">
        <f>IF(AND('CVD Dataset'!AA1424="Normal",'CVD Dataset'!AB1424&gt;AVERAGE('CVD Dataset'!AB:AB),'CVD Dataset'!AF1424="High"),"High Lipid Category","Normal Category")</f>
        <v>Normal Category</v>
      </c>
      <c r="AE1424">
        <v>12.907</v>
      </c>
      <c r="AF1424" t="s">
        <v>32</v>
      </c>
      <c r="AG1424">
        <v>0</v>
      </c>
      <c r="AH1424" t="s">
        <v>1379</v>
      </c>
      <c r="AI1424">
        <f t="shared" si="91"/>
        <v>1</v>
      </c>
      <c r="AJ1424" t="s">
        <v>1391</v>
      </c>
    </row>
    <row r="1425" spans="1:36" x14ac:dyDescent="0.3">
      <c r="A1425" t="s">
        <v>22</v>
      </c>
      <c r="B1425">
        <v>75</v>
      </c>
      <c r="C1425">
        <v>73.453000000000003</v>
      </c>
      <c r="D1425">
        <v>1.8959999999999999</v>
      </c>
      <c r="E1425">
        <v>23.978999999999999</v>
      </c>
      <c r="F1425">
        <f t="shared" si="89"/>
        <v>20.433034681051829</v>
      </c>
      <c r="G1425">
        <f t="shared" si="92"/>
        <v>1</v>
      </c>
      <c r="H1425" t="s">
        <v>1398</v>
      </c>
      <c r="I1425">
        <v>93.376999999999995</v>
      </c>
      <c r="J1425" t="s">
        <v>1211</v>
      </c>
      <c r="K1425" s="24">
        <v>166</v>
      </c>
      <c r="L1425" s="24">
        <v>111</v>
      </c>
      <c r="M1425">
        <v>275</v>
      </c>
      <c r="N1425" t="s">
        <v>1432</v>
      </c>
      <c r="P1425">
        <v>74</v>
      </c>
      <c r="Q1425" t="s">
        <v>24</v>
      </c>
      <c r="R1425" t="s">
        <v>24</v>
      </c>
      <c r="S1425" t="s">
        <v>39</v>
      </c>
      <c r="T1425" t="s">
        <v>24</v>
      </c>
      <c r="U1425">
        <f t="shared" si="90"/>
        <v>0</v>
      </c>
      <c r="V1425">
        <v>189.56200000000001</v>
      </c>
      <c r="W1425">
        <v>0.49299999999999999</v>
      </c>
      <c r="X1425" t="s">
        <v>1406</v>
      </c>
      <c r="Y1425">
        <v>166</v>
      </c>
      <c r="Z1425">
        <v>111</v>
      </c>
      <c r="AA1425" t="s">
        <v>40</v>
      </c>
      <c r="AB1425">
        <v>208</v>
      </c>
      <c r="AC1425" s="23" t="s">
        <v>1410</v>
      </c>
      <c r="AD1425" t="str">
        <f>IF(AND('CVD Dataset'!AA1425="Normal",'CVD Dataset'!AB1425&gt;AVERAGE('CVD Dataset'!AB:AB),'CVD Dataset'!AF1425="High"),"High Lipid Category","Normal Category")</f>
        <v>Normal Category</v>
      </c>
      <c r="AE1425">
        <v>18.596</v>
      </c>
      <c r="AF1425" t="s">
        <v>32</v>
      </c>
      <c r="AG1425">
        <v>0</v>
      </c>
      <c r="AH1425" t="s">
        <v>1379</v>
      </c>
      <c r="AI1425">
        <f t="shared" si="91"/>
        <v>1</v>
      </c>
      <c r="AJ1425" t="s">
        <v>1391</v>
      </c>
    </row>
    <row r="1426" spans="1:36" x14ac:dyDescent="0.3">
      <c r="A1426" t="s">
        <v>22</v>
      </c>
      <c r="B1426">
        <v>26</v>
      </c>
      <c r="C1426">
        <v>50.716999999999999</v>
      </c>
      <c r="D1426">
        <v>1.8360000000000001</v>
      </c>
      <c r="E1426">
        <v>35.741999999999997</v>
      </c>
      <c r="F1426">
        <f t="shared" si="89"/>
        <v>15.045554653718179</v>
      </c>
      <c r="G1426">
        <f t="shared" si="92"/>
        <v>1</v>
      </c>
      <c r="H1426" t="s">
        <v>1399</v>
      </c>
      <c r="J1426" t="s">
        <v>1212</v>
      </c>
      <c r="K1426" s="24">
        <v>159</v>
      </c>
      <c r="L1426" s="24">
        <v>81</v>
      </c>
      <c r="M1426">
        <v>260</v>
      </c>
      <c r="N1426" t="s">
        <v>1432</v>
      </c>
      <c r="O1426">
        <v>82</v>
      </c>
      <c r="P1426">
        <v>124</v>
      </c>
      <c r="Q1426" t="s">
        <v>25</v>
      </c>
      <c r="R1426" t="s">
        <v>24</v>
      </c>
      <c r="S1426" t="s">
        <v>30</v>
      </c>
      <c r="T1426" t="s">
        <v>24</v>
      </c>
      <c r="U1426">
        <f t="shared" si="90"/>
        <v>1</v>
      </c>
      <c r="V1426">
        <v>183.554</v>
      </c>
      <c r="W1426">
        <v>0.64600000000000002</v>
      </c>
      <c r="X1426" t="s">
        <v>1409</v>
      </c>
      <c r="Y1426">
        <v>159</v>
      </c>
      <c r="Z1426">
        <v>81</v>
      </c>
      <c r="AA1426" t="s">
        <v>31</v>
      </c>
      <c r="AB1426">
        <v>148</v>
      </c>
      <c r="AC1426" s="23">
        <v>1.8</v>
      </c>
      <c r="AD1426" t="str">
        <f>IF(AND('CVD Dataset'!AA1426="Normal",'CVD Dataset'!AB1426&gt;AVERAGE('CVD Dataset'!AB:AB),'CVD Dataset'!AF1426="High"),"High Lipid Category","Normal Category")</f>
        <v>Normal Category</v>
      </c>
      <c r="AE1426">
        <v>20.297999999999998</v>
      </c>
      <c r="AF1426" t="s">
        <v>32</v>
      </c>
      <c r="AG1426">
        <v>1</v>
      </c>
      <c r="AH1426" t="s">
        <v>1379</v>
      </c>
      <c r="AI1426">
        <f t="shared" si="91"/>
        <v>1</v>
      </c>
      <c r="AJ1426" t="s">
        <v>1391</v>
      </c>
    </row>
    <row r="1427" spans="1:36" x14ac:dyDescent="0.3">
      <c r="A1427" t="s">
        <v>22</v>
      </c>
      <c r="B1427">
        <v>47</v>
      </c>
      <c r="C1427">
        <v>115.197</v>
      </c>
      <c r="E1427">
        <v>18.724</v>
      </c>
      <c r="F1427" t="str">
        <f t="shared" si="89"/>
        <v/>
      </c>
      <c r="G1427" t="str">
        <f t="shared" si="92"/>
        <v/>
      </c>
      <c r="H1427" t="s">
        <v>1398</v>
      </c>
      <c r="I1427">
        <v>116.8</v>
      </c>
      <c r="J1427" t="s">
        <v>540</v>
      </c>
      <c r="K1427" s="24">
        <v>102</v>
      </c>
      <c r="L1427" s="24">
        <v>84</v>
      </c>
      <c r="M1427">
        <v>203</v>
      </c>
      <c r="N1427" t="s">
        <v>1432</v>
      </c>
      <c r="O1427">
        <v>45</v>
      </c>
      <c r="P1427">
        <v>123</v>
      </c>
      <c r="Q1427" t="s">
        <v>24</v>
      </c>
      <c r="R1427" t="s">
        <v>25</v>
      </c>
      <c r="S1427" t="s">
        <v>39</v>
      </c>
      <c r="T1427" t="s">
        <v>25</v>
      </c>
      <c r="U1427">
        <f t="shared" si="90"/>
        <v>2</v>
      </c>
      <c r="V1427">
        <v>183.971</v>
      </c>
      <c r="W1427">
        <v>0.63500000000000001</v>
      </c>
      <c r="X1427" t="s">
        <v>1409</v>
      </c>
      <c r="Y1427">
        <v>102</v>
      </c>
      <c r="AA1427" t="s">
        <v>31</v>
      </c>
      <c r="AB1427">
        <v>128</v>
      </c>
      <c r="AC1427" s="23">
        <v>2.84</v>
      </c>
      <c r="AD1427" t="str">
        <f>IF(AND('CVD Dataset'!AA1427="Normal",'CVD Dataset'!AB1427&gt;AVERAGE('CVD Dataset'!AB:AB),'CVD Dataset'!AF1427="High"),"High Lipid Category","Normal Category")</f>
        <v>Normal Category</v>
      </c>
      <c r="AE1427">
        <v>14.904999999999999</v>
      </c>
      <c r="AF1427" t="s">
        <v>54</v>
      </c>
      <c r="AG1427">
        <v>0</v>
      </c>
      <c r="AH1427" t="s">
        <v>1380</v>
      </c>
      <c r="AI1427">
        <f t="shared" si="91"/>
        <v>0</v>
      </c>
      <c r="AJ1427" t="s">
        <v>1391</v>
      </c>
    </row>
    <row r="1428" spans="1:36" x14ac:dyDescent="0.3">
      <c r="A1428" t="s">
        <v>22</v>
      </c>
      <c r="B1428">
        <v>62</v>
      </c>
      <c r="C1428">
        <v>103.37</v>
      </c>
      <c r="D1428">
        <v>1.571</v>
      </c>
      <c r="E1428">
        <v>37.728000000000002</v>
      </c>
      <c r="F1428">
        <f t="shared" si="89"/>
        <v>41.8834208994097</v>
      </c>
      <c r="G1428">
        <f t="shared" si="92"/>
        <v>1</v>
      </c>
      <c r="H1428" t="s">
        <v>1399</v>
      </c>
      <c r="I1428">
        <v>94.123999999999995</v>
      </c>
      <c r="J1428" t="s">
        <v>1213</v>
      </c>
      <c r="K1428" s="24">
        <v>134</v>
      </c>
      <c r="L1428" s="24">
        <v>110</v>
      </c>
      <c r="M1428">
        <v>273</v>
      </c>
      <c r="N1428" t="s">
        <v>1432</v>
      </c>
      <c r="O1428">
        <v>38</v>
      </c>
      <c r="P1428">
        <v>177</v>
      </c>
      <c r="Q1428" t="s">
        <v>25</v>
      </c>
      <c r="R1428" t="s">
        <v>25</v>
      </c>
      <c r="S1428" t="s">
        <v>39</v>
      </c>
      <c r="T1428" t="s">
        <v>25</v>
      </c>
      <c r="U1428">
        <f t="shared" si="90"/>
        <v>3</v>
      </c>
      <c r="V1428">
        <v>157.149</v>
      </c>
      <c r="W1428">
        <v>0.59899999999999998</v>
      </c>
      <c r="X1428" t="s">
        <v>1409</v>
      </c>
      <c r="Y1428">
        <v>134</v>
      </c>
      <c r="Z1428">
        <v>110</v>
      </c>
      <c r="AA1428" t="s">
        <v>31</v>
      </c>
      <c r="AB1428">
        <v>205</v>
      </c>
      <c r="AC1428" s="23">
        <v>5.39</v>
      </c>
      <c r="AD1428" t="str">
        <f>IF(AND('CVD Dataset'!AA1428="Normal",'CVD Dataset'!AB1428&gt;AVERAGE('CVD Dataset'!AB:AB),'CVD Dataset'!AF1428="High"),"High Lipid Category","Normal Category")</f>
        <v>Normal Category</v>
      </c>
      <c r="AE1428">
        <v>21.706</v>
      </c>
      <c r="AF1428" t="s">
        <v>54</v>
      </c>
      <c r="AG1428">
        <v>0</v>
      </c>
      <c r="AH1428" t="s">
        <v>1380</v>
      </c>
      <c r="AI1428">
        <f t="shared" si="91"/>
        <v>0</v>
      </c>
      <c r="AJ1428" t="s">
        <v>1392</v>
      </c>
    </row>
    <row r="1429" spans="1:36" x14ac:dyDescent="0.3">
      <c r="A1429" t="s">
        <v>33</v>
      </c>
      <c r="B1429">
        <v>64</v>
      </c>
      <c r="D1429">
        <v>1.899</v>
      </c>
      <c r="E1429">
        <v>20.602</v>
      </c>
      <c r="F1429">
        <f t="shared" si="89"/>
        <v>0</v>
      </c>
      <c r="G1429">
        <f t="shared" si="92"/>
        <v>1</v>
      </c>
      <c r="H1429" t="s">
        <v>1398</v>
      </c>
      <c r="I1429">
        <v>80.350999999999999</v>
      </c>
      <c r="J1429" t="s">
        <v>1214</v>
      </c>
      <c r="K1429" s="24">
        <v>144</v>
      </c>
      <c r="L1429" s="24">
        <v>77</v>
      </c>
      <c r="M1429">
        <v>296</v>
      </c>
      <c r="N1429" t="s">
        <v>1432</v>
      </c>
      <c r="O1429">
        <v>83</v>
      </c>
      <c r="P1429">
        <v>139</v>
      </c>
      <c r="Q1429" t="s">
        <v>25</v>
      </c>
      <c r="R1429" t="s">
        <v>24</v>
      </c>
      <c r="S1429" t="s">
        <v>39</v>
      </c>
      <c r="T1429" t="s">
        <v>24</v>
      </c>
      <c r="U1429">
        <f t="shared" si="90"/>
        <v>1</v>
      </c>
      <c r="V1429">
        <v>189.89599999999999</v>
      </c>
      <c r="W1429">
        <v>0.42299999999999999</v>
      </c>
      <c r="X1429" t="s">
        <v>1408</v>
      </c>
      <c r="Y1429">
        <v>144</v>
      </c>
      <c r="Z1429">
        <v>77</v>
      </c>
      <c r="AA1429" t="s">
        <v>40</v>
      </c>
      <c r="AB1429">
        <v>183</v>
      </c>
      <c r="AC1429" s="23">
        <v>2.2000000000000002</v>
      </c>
      <c r="AD1429" t="str">
        <f>IF(AND('CVD Dataset'!AA1429="Normal",'CVD Dataset'!AB1429&gt;AVERAGE('CVD Dataset'!AB:AB),'CVD Dataset'!AF1429="High"),"High Lipid Category","Normal Category")</f>
        <v>Normal Category</v>
      </c>
      <c r="AE1429">
        <v>17.239999999999998</v>
      </c>
      <c r="AF1429" t="s">
        <v>28</v>
      </c>
      <c r="AG1429">
        <v>0</v>
      </c>
      <c r="AH1429" t="s">
        <v>1380</v>
      </c>
      <c r="AI1429">
        <f t="shared" si="91"/>
        <v>0</v>
      </c>
      <c r="AJ1429" t="s">
        <v>1391</v>
      </c>
    </row>
    <row r="1430" spans="1:36" x14ac:dyDescent="0.3">
      <c r="A1430" t="s">
        <v>33</v>
      </c>
      <c r="B1430">
        <v>50</v>
      </c>
      <c r="C1430">
        <v>50.427999999999997</v>
      </c>
      <c r="D1430">
        <v>1.7629999999999999</v>
      </c>
      <c r="E1430">
        <v>36.606999999999999</v>
      </c>
      <c r="F1430">
        <f t="shared" si="89"/>
        <v>16.224343013523395</v>
      </c>
      <c r="G1430">
        <f t="shared" si="92"/>
        <v>1</v>
      </c>
      <c r="H1430" t="s">
        <v>1399</v>
      </c>
      <c r="I1430">
        <v>74.566999999999993</v>
      </c>
      <c r="J1430" t="s">
        <v>1215</v>
      </c>
      <c r="K1430" s="24">
        <v>172</v>
      </c>
      <c r="L1430" s="24">
        <v>111</v>
      </c>
      <c r="M1430">
        <v>255</v>
      </c>
      <c r="N1430" t="s">
        <v>1432</v>
      </c>
      <c r="O1430">
        <v>35</v>
      </c>
      <c r="P1430">
        <v>107</v>
      </c>
      <c r="Q1430" t="s">
        <v>24</v>
      </c>
      <c r="R1430" t="s">
        <v>24</v>
      </c>
      <c r="S1430" t="s">
        <v>39</v>
      </c>
      <c r="T1430" t="s">
        <v>24</v>
      </c>
      <c r="U1430">
        <f t="shared" si="90"/>
        <v>0</v>
      </c>
      <c r="V1430">
        <v>176.33600000000001</v>
      </c>
      <c r="W1430">
        <v>0.42299999999999999</v>
      </c>
      <c r="X1430" t="s">
        <v>1408</v>
      </c>
      <c r="Y1430">
        <v>172</v>
      </c>
      <c r="Z1430">
        <v>111</v>
      </c>
      <c r="AA1430" t="s">
        <v>40</v>
      </c>
      <c r="AB1430">
        <v>190</v>
      </c>
      <c r="AC1430" s="23">
        <v>5.43</v>
      </c>
      <c r="AD1430" t="str">
        <f>IF(AND('CVD Dataset'!AA1430="Normal",'CVD Dataset'!AB1430&gt;AVERAGE('CVD Dataset'!AB:AB),'CVD Dataset'!AF1430="High"),"High Lipid Category","Normal Category")</f>
        <v>Normal Category</v>
      </c>
      <c r="AE1430">
        <v>21.021000000000001</v>
      </c>
      <c r="AF1430" t="s">
        <v>54</v>
      </c>
      <c r="AG1430">
        <v>0</v>
      </c>
      <c r="AH1430" t="s">
        <v>1380</v>
      </c>
      <c r="AI1430">
        <f t="shared" si="91"/>
        <v>0</v>
      </c>
      <c r="AJ1430" t="s">
        <v>1391</v>
      </c>
    </row>
    <row r="1431" spans="1:36" x14ac:dyDescent="0.3">
      <c r="A1431" t="s">
        <v>33</v>
      </c>
      <c r="B1431">
        <v>67</v>
      </c>
      <c r="C1431">
        <v>70.423000000000002</v>
      </c>
      <c r="D1431">
        <v>1.7829999999999999</v>
      </c>
      <c r="E1431">
        <v>19.995000000000001</v>
      </c>
      <c r="F1431">
        <f t="shared" si="89"/>
        <v>22.151943528476242</v>
      </c>
      <c r="G1431">
        <f t="shared" si="92"/>
        <v>1</v>
      </c>
      <c r="H1431" t="s">
        <v>1398</v>
      </c>
      <c r="I1431">
        <v>95.591999999999999</v>
      </c>
      <c r="J1431" t="s">
        <v>1216</v>
      </c>
      <c r="K1431" s="24">
        <v>175</v>
      </c>
      <c r="L1431" s="24">
        <v>107</v>
      </c>
      <c r="M1431">
        <v>226</v>
      </c>
      <c r="N1431" t="s">
        <v>1432</v>
      </c>
      <c r="O1431">
        <v>72</v>
      </c>
      <c r="P1431">
        <v>136</v>
      </c>
      <c r="Q1431" t="s">
        <v>25</v>
      </c>
      <c r="R1431" t="s">
        <v>25</v>
      </c>
      <c r="S1431" t="s">
        <v>39</v>
      </c>
      <c r="T1431" t="s">
        <v>24</v>
      </c>
      <c r="U1431">
        <f t="shared" si="90"/>
        <v>2</v>
      </c>
      <c r="V1431">
        <v>178.34800000000001</v>
      </c>
      <c r="W1431">
        <v>0.53600000000000003</v>
      </c>
      <c r="X1431" t="s">
        <v>1407</v>
      </c>
      <c r="Y1431">
        <v>175</v>
      </c>
      <c r="Z1431">
        <v>107</v>
      </c>
      <c r="AA1431" t="s">
        <v>40</v>
      </c>
      <c r="AB1431">
        <v>124</v>
      </c>
      <c r="AC1431" s="23">
        <v>1.72</v>
      </c>
      <c r="AD1431" t="str">
        <f>IF(AND('CVD Dataset'!AA1431="Normal",'CVD Dataset'!AB1431&gt;AVERAGE('CVD Dataset'!AB:AB),'CVD Dataset'!AF1431="High"),"High Lipid Category","Normal Category")</f>
        <v>Normal Category</v>
      </c>
      <c r="AE1431">
        <v>19.268999999999998</v>
      </c>
      <c r="AF1431" t="s">
        <v>54</v>
      </c>
      <c r="AG1431">
        <v>0</v>
      </c>
      <c r="AH1431" t="s">
        <v>1380</v>
      </c>
      <c r="AI1431">
        <f t="shared" si="91"/>
        <v>0</v>
      </c>
      <c r="AJ1431" t="s">
        <v>1392</v>
      </c>
    </row>
    <row r="1432" spans="1:36" x14ac:dyDescent="0.3">
      <c r="A1432" t="s">
        <v>33</v>
      </c>
      <c r="B1432">
        <v>57</v>
      </c>
      <c r="C1432">
        <v>51.844999999999999</v>
      </c>
      <c r="D1432">
        <v>1.7549999999999999</v>
      </c>
      <c r="E1432">
        <v>23.094000000000001</v>
      </c>
      <c r="F1432">
        <f t="shared" si="89"/>
        <v>16.832655579094329</v>
      </c>
      <c r="G1432">
        <f t="shared" si="92"/>
        <v>1</v>
      </c>
      <c r="H1432" t="s">
        <v>1398</v>
      </c>
      <c r="I1432">
        <v>112.218</v>
      </c>
      <c r="J1432" t="s">
        <v>1217</v>
      </c>
      <c r="K1432" s="24">
        <v>164</v>
      </c>
      <c r="L1432" s="24">
        <v>78</v>
      </c>
      <c r="M1432">
        <v>211</v>
      </c>
      <c r="N1432" t="s">
        <v>1432</v>
      </c>
      <c r="O1432">
        <v>30</v>
      </c>
      <c r="P1432">
        <v>79</v>
      </c>
      <c r="Q1432" t="s">
        <v>25</v>
      </c>
      <c r="R1432" t="s">
        <v>25</v>
      </c>
      <c r="S1432" t="s">
        <v>30</v>
      </c>
      <c r="T1432" t="s">
        <v>25</v>
      </c>
      <c r="U1432">
        <f t="shared" si="90"/>
        <v>3</v>
      </c>
      <c r="V1432">
        <v>175.51</v>
      </c>
      <c r="W1432">
        <v>0.63900000000000001</v>
      </c>
      <c r="X1432" t="s">
        <v>1409</v>
      </c>
      <c r="Y1432">
        <v>164</v>
      </c>
      <c r="Z1432">
        <v>78</v>
      </c>
      <c r="AA1432" t="s">
        <v>40</v>
      </c>
      <c r="AB1432">
        <v>151</v>
      </c>
      <c r="AC1432" s="23">
        <v>5.03</v>
      </c>
      <c r="AD1432" t="str">
        <f>IF(AND('CVD Dataset'!AA1432="Normal",'CVD Dataset'!AB1432&gt;AVERAGE('CVD Dataset'!AB:AB),'CVD Dataset'!AF1432="High"),"High Lipid Category","Normal Category")</f>
        <v>Normal Category</v>
      </c>
      <c r="AE1432">
        <v>19.039000000000001</v>
      </c>
      <c r="AF1432" t="s">
        <v>28</v>
      </c>
      <c r="AG1432">
        <v>0</v>
      </c>
      <c r="AH1432" t="s">
        <v>1380</v>
      </c>
      <c r="AI1432">
        <f t="shared" si="91"/>
        <v>0</v>
      </c>
      <c r="AJ1432" t="s">
        <v>1392</v>
      </c>
    </row>
    <row r="1433" spans="1:36" x14ac:dyDescent="0.3">
      <c r="A1433" t="s">
        <v>33</v>
      </c>
      <c r="B1433">
        <v>77</v>
      </c>
      <c r="C1433">
        <v>79.807000000000002</v>
      </c>
      <c r="D1433">
        <v>1.5449999999999999</v>
      </c>
      <c r="E1433">
        <v>38.128</v>
      </c>
      <c r="F1433">
        <f t="shared" si="89"/>
        <v>33.433667431216683</v>
      </c>
      <c r="G1433">
        <f t="shared" si="92"/>
        <v>1</v>
      </c>
      <c r="H1433" t="s">
        <v>1399</v>
      </c>
      <c r="J1433" t="s">
        <v>154</v>
      </c>
      <c r="K1433" s="24">
        <v>128</v>
      </c>
      <c r="L1433" s="24">
        <v>91</v>
      </c>
      <c r="M1433">
        <v>201</v>
      </c>
      <c r="N1433" t="s">
        <v>1432</v>
      </c>
      <c r="O1433">
        <v>44</v>
      </c>
      <c r="P1433">
        <v>147</v>
      </c>
      <c r="Q1433" t="s">
        <v>24</v>
      </c>
      <c r="R1433" t="s">
        <v>25</v>
      </c>
      <c r="S1433" t="s">
        <v>30</v>
      </c>
      <c r="T1433" t="s">
        <v>24</v>
      </c>
      <c r="U1433">
        <f t="shared" si="90"/>
        <v>1</v>
      </c>
      <c r="V1433">
        <v>154.51300000000001</v>
      </c>
      <c r="W1433">
        <v>0.47199999999999998</v>
      </c>
      <c r="X1433" t="s">
        <v>1406</v>
      </c>
      <c r="Y1433">
        <v>128</v>
      </c>
      <c r="Z1433">
        <v>91</v>
      </c>
      <c r="AA1433" t="s">
        <v>40</v>
      </c>
      <c r="AB1433">
        <v>127</v>
      </c>
      <c r="AC1433" s="23">
        <v>2.89</v>
      </c>
      <c r="AD1433" t="str">
        <f>IF(AND('CVD Dataset'!AA1433="Normal",'CVD Dataset'!AB1433&gt;AVERAGE('CVD Dataset'!AB:AB),'CVD Dataset'!AF1433="High"),"High Lipid Category","Normal Category")</f>
        <v>Normal Category</v>
      </c>
      <c r="AF1433" t="s">
        <v>54</v>
      </c>
      <c r="AG1433">
        <v>0</v>
      </c>
      <c r="AH1433" t="s">
        <v>1380</v>
      </c>
      <c r="AI1433">
        <f t="shared" si="91"/>
        <v>0</v>
      </c>
      <c r="AJ1433" t="s">
        <v>1392</v>
      </c>
    </row>
    <row r="1434" spans="1:36" x14ac:dyDescent="0.3">
      <c r="A1434" t="s">
        <v>33</v>
      </c>
      <c r="B1434">
        <v>69</v>
      </c>
      <c r="C1434">
        <v>59.683999999999997</v>
      </c>
      <c r="D1434">
        <v>1.94</v>
      </c>
      <c r="E1434">
        <v>23.914000000000001</v>
      </c>
      <c r="F1434">
        <f t="shared" si="89"/>
        <v>15.858220852375386</v>
      </c>
      <c r="G1434">
        <f t="shared" si="92"/>
        <v>1</v>
      </c>
      <c r="H1434" t="s">
        <v>1398</v>
      </c>
      <c r="I1434">
        <v>117.986</v>
      </c>
      <c r="J1434" t="s">
        <v>1218</v>
      </c>
      <c r="K1434" s="24">
        <v>106</v>
      </c>
      <c r="L1434" s="24">
        <v>115</v>
      </c>
      <c r="M1434">
        <v>206</v>
      </c>
      <c r="N1434" t="s">
        <v>1432</v>
      </c>
      <c r="O1434">
        <v>42</v>
      </c>
      <c r="P1434">
        <v>140</v>
      </c>
      <c r="Q1434" t="s">
        <v>25</v>
      </c>
      <c r="R1434" t="s">
        <v>25</v>
      </c>
      <c r="S1434" t="s">
        <v>30</v>
      </c>
      <c r="T1434" t="s">
        <v>25</v>
      </c>
      <c r="U1434">
        <f t="shared" si="90"/>
        <v>3</v>
      </c>
      <c r="V1434">
        <v>193.98099999999999</v>
      </c>
      <c r="W1434">
        <v>0.60799999999999998</v>
      </c>
      <c r="X1434" t="s">
        <v>1409</v>
      </c>
      <c r="Y1434">
        <v>106</v>
      </c>
      <c r="Z1434">
        <v>115</v>
      </c>
      <c r="AA1434" t="s">
        <v>40</v>
      </c>
      <c r="AB1434">
        <v>134</v>
      </c>
      <c r="AC1434" s="23">
        <v>3.19</v>
      </c>
      <c r="AD1434" t="str">
        <f>IF(AND('CVD Dataset'!AA1434="Normal",'CVD Dataset'!AB1434&gt;AVERAGE('CVD Dataset'!AB:AB),'CVD Dataset'!AF1434="High"),"High Lipid Category","Normal Category")</f>
        <v>Normal Category</v>
      </c>
      <c r="AE1434">
        <v>16.202999999999999</v>
      </c>
      <c r="AF1434" t="s">
        <v>32</v>
      </c>
      <c r="AG1434">
        <v>0</v>
      </c>
      <c r="AH1434" t="s">
        <v>1379</v>
      </c>
      <c r="AI1434">
        <f t="shared" si="91"/>
        <v>1</v>
      </c>
      <c r="AJ1434" t="s">
        <v>1392</v>
      </c>
    </row>
    <row r="1435" spans="1:36" x14ac:dyDescent="0.3">
      <c r="A1435" t="s">
        <v>33</v>
      </c>
      <c r="C1435">
        <v>69.769000000000005</v>
      </c>
      <c r="D1435">
        <v>1.696</v>
      </c>
      <c r="E1435">
        <v>22.06</v>
      </c>
      <c r="F1435">
        <f t="shared" si="89"/>
        <v>24.255531884122465</v>
      </c>
      <c r="G1435">
        <f t="shared" si="92"/>
        <v>1</v>
      </c>
      <c r="H1435" t="s">
        <v>1398</v>
      </c>
      <c r="I1435">
        <v>74.183999999999997</v>
      </c>
      <c r="J1435" t="s">
        <v>1219</v>
      </c>
      <c r="K1435" s="24">
        <v>120</v>
      </c>
      <c r="L1435" s="24">
        <v>76</v>
      </c>
      <c r="M1435">
        <v>197</v>
      </c>
      <c r="N1435" t="s">
        <v>1432</v>
      </c>
      <c r="O1435">
        <v>65</v>
      </c>
      <c r="P1435">
        <v>151</v>
      </c>
      <c r="Q1435" t="s">
        <v>25</v>
      </c>
      <c r="R1435" t="s">
        <v>24</v>
      </c>
      <c r="S1435" t="s">
        <v>26</v>
      </c>
      <c r="T1435" t="s">
        <v>24</v>
      </c>
      <c r="U1435">
        <f t="shared" si="90"/>
        <v>2</v>
      </c>
      <c r="V1435">
        <v>169.56</v>
      </c>
      <c r="W1435">
        <v>0.438</v>
      </c>
      <c r="X1435" t="s">
        <v>1408</v>
      </c>
      <c r="Y1435">
        <v>120</v>
      </c>
      <c r="Z1435">
        <v>76</v>
      </c>
      <c r="AA1435" t="s">
        <v>27</v>
      </c>
      <c r="AC1435" s="23">
        <v>0</v>
      </c>
      <c r="AD1435" t="str">
        <f>IF(AND('CVD Dataset'!AA1435="Normal",'CVD Dataset'!AB1435&gt;AVERAGE('CVD Dataset'!AB:AB),'CVD Dataset'!AF1435="High"),"High Lipid Category","Normal Category")</f>
        <v>Normal Category</v>
      </c>
      <c r="AE1435">
        <v>14.352</v>
      </c>
      <c r="AF1435" t="s">
        <v>28</v>
      </c>
      <c r="AG1435">
        <v>0</v>
      </c>
      <c r="AH1435" t="s">
        <v>1380</v>
      </c>
      <c r="AI1435">
        <f t="shared" si="91"/>
        <v>0</v>
      </c>
      <c r="AJ1435" t="s">
        <v>1391</v>
      </c>
    </row>
    <row r="1436" spans="1:36" x14ac:dyDescent="0.3">
      <c r="A1436" t="s">
        <v>33</v>
      </c>
      <c r="B1436">
        <v>51</v>
      </c>
      <c r="D1436">
        <v>1.917</v>
      </c>
      <c r="E1436">
        <v>26.257000000000001</v>
      </c>
      <c r="F1436">
        <f t="shared" si="89"/>
        <v>0</v>
      </c>
      <c r="G1436">
        <f t="shared" si="92"/>
        <v>1</v>
      </c>
      <c r="H1436" t="s">
        <v>1400</v>
      </c>
      <c r="I1436">
        <v>99.63</v>
      </c>
      <c r="J1436" t="s">
        <v>1220</v>
      </c>
      <c r="K1436" s="24">
        <v>173</v>
      </c>
      <c r="L1436" s="24">
        <v>70</v>
      </c>
      <c r="M1436">
        <v>157</v>
      </c>
      <c r="N1436" t="s">
        <v>1433</v>
      </c>
      <c r="O1436">
        <v>62</v>
      </c>
      <c r="P1436">
        <v>168</v>
      </c>
      <c r="Q1436" t="s">
        <v>24</v>
      </c>
      <c r="R1436" t="s">
        <v>25</v>
      </c>
      <c r="S1436" t="s">
        <v>26</v>
      </c>
      <c r="T1436" t="s">
        <v>24</v>
      </c>
      <c r="U1436">
        <f t="shared" si="90"/>
        <v>2</v>
      </c>
      <c r="V1436">
        <v>191.68799999999999</v>
      </c>
      <c r="W1436">
        <v>0.52</v>
      </c>
      <c r="X1436" t="s">
        <v>1406</v>
      </c>
      <c r="Y1436">
        <v>173</v>
      </c>
      <c r="Z1436">
        <v>70</v>
      </c>
      <c r="AA1436" t="s">
        <v>40</v>
      </c>
      <c r="AB1436">
        <v>65</v>
      </c>
      <c r="AC1436" s="23">
        <v>1.05</v>
      </c>
      <c r="AD1436" t="str">
        <f>IF(AND('CVD Dataset'!AA1436="Normal",'CVD Dataset'!AB1436&gt;AVERAGE('CVD Dataset'!AB:AB),'CVD Dataset'!AF1436="High"),"High Lipid Category","Normal Category")</f>
        <v>Normal Category</v>
      </c>
      <c r="AE1436">
        <v>19.041</v>
      </c>
      <c r="AF1436" t="s">
        <v>28</v>
      </c>
      <c r="AG1436">
        <v>0</v>
      </c>
      <c r="AH1436" t="s">
        <v>1380</v>
      </c>
      <c r="AI1436">
        <f t="shared" si="91"/>
        <v>0</v>
      </c>
      <c r="AJ1436" t="s">
        <v>1392</v>
      </c>
    </row>
    <row r="1437" spans="1:36" x14ac:dyDescent="0.3">
      <c r="A1437" t="s">
        <v>22</v>
      </c>
      <c r="B1437">
        <v>31</v>
      </c>
      <c r="C1437">
        <v>95.747</v>
      </c>
      <c r="D1437">
        <v>1.758</v>
      </c>
      <c r="E1437">
        <v>26.721</v>
      </c>
      <c r="F1437">
        <f t="shared" si="89"/>
        <v>30.980429462065821</v>
      </c>
      <c r="G1437">
        <f t="shared" si="92"/>
        <v>1</v>
      </c>
      <c r="H1437" t="s">
        <v>1400</v>
      </c>
      <c r="I1437">
        <v>74.381</v>
      </c>
      <c r="J1437" t="s">
        <v>1221</v>
      </c>
      <c r="K1437" s="24">
        <v>121</v>
      </c>
      <c r="L1437" s="24">
        <v>96</v>
      </c>
      <c r="M1437">
        <v>161</v>
      </c>
      <c r="N1437" t="s">
        <v>1433</v>
      </c>
      <c r="O1437">
        <v>74</v>
      </c>
      <c r="P1437">
        <v>187</v>
      </c>
      <c r="Q1437" t="s">
        <v>25</v>
      </c>
      <c r="R1437" t="s">
        <v>25</v>
      </c>
      <c r="S1437" t="s">
        <v>30</v>
      </c>
      <c r="T1437" t="s">
        <v>24</v>
      </c>
      <c r="U1437">
        <f t="shared" si="90"/>
        <v>2</v>
      </c>
      <c r="V1437">
        <v>175.804</v>
      </c>
      <c r="W1437">
        <v>0.42299999999999999</v>
      </c>
      <c r="X1437" t="s">
        <v>1408</v>
      </c>
      <c r="Y1437">
        <v>121</v>
      </c>
      <c r="Z1437">
        <v>96</v>
      </c>
      <c r="AA1437" t="s">
        <v>40</v>
      </c>
      <c r="AB1437">
        <v>57</v>
      </c>
      <c r="AC1437" s="23">
        <v>0.77</v>
      </c>
      <c r="AD1437" t="str">
        <f>IF(AND('CVD Dataset'!AA1437="Normal",'CVD Dataset'!AB1437&gt;AVERAGE('CVD Dataset'!AB:AB),'CVD Dataset'!AF1437="High"),"High Lipid Category","Normal Category")</f>
        <v>Normal Category</v>
      </c>
      <c r="AE1437">
        <v>16.614000000000001</v>
      </c>
      <c r="AF1437" t="s">
        <v>28</v>
      </c>
      <c r="AG1437">
        <v>0</v>
      </c>
      <c r="AH1437" t="s">
        <v>1380</v>
      </c>
      <c r="AI1437">
        <f t="shared" si="91"/>
        <v>0</v>
      </c>
      <c r="AJ1437" t="s">
        <v>1391</v>
      </c>
    </row>
    <row r="1438" spans="1:36" x14ac:dyDescent="0.3">
      <c r="A1438" t="s">
        <v>33</v>
      </c>
      <c r="B1438">
        <v>62</v>
      </c>
      <c r="C1438">
        <v>89.04</v>
      </c>
      <c r="D1438">
        <v>1.57</v>
      </c>
      <c r="E1438">
        <v>37.698999999999998</v>
      </c>
      <c r="F1438">
        <f t="shared" si="89"/>
        <v>36.123169296928886</v>
      </c>
      <c r="G1438">
        <f t="shared" si="92"/>
        <v>1</v>
      </c>
      <c r="H1438" t="s">
        <v>1399</v>
      </c>
      <c r="I1438">
        <v>72.102000000000004</v>
      </c>
      <c r="J1438" t="s">
        <v>1222</v>
      </c>
      <c r="K1438" s="24">
        <v>124</v>
      </c>
      <c r="L1438" s="24">
        <v>102</v>
      </c>
      <c r="M1438">
        <v>214</v>
      </c>
      <c r="N1438" t="s">
        <v>1432</v>
      </c>
      <c r="O1438">
        <v>81</v>
      </c>
      <c r="P1438">
        <v>73</v>
      </c>
      <c r="Q1438" t="s">
        <v>25</v>
      </c>
      <c r="R1438" t="s">
        <v>25</v>
      </c>
      <c r="S1438" t="s">
        <v>30</v>
      </c>
      <c r="T1438" t="s">
        <v>24</v>
      </c>
      <c r="U1438">
        <f t="shared" si="90"/>
        <v>2</v>
      </c>
      <c r="V1438">
        <v>156.96799999999999</v>
      </c>
      <c r="W1438">
        <v>0.45900000000000002</v>
      </c>
      <c r="X1438" t="s">
        <v>1408</v>
      </c>
      <c r="Y1438">
        <v>124</v>
      </c>
      <c r="Z1438">
        <v>102</v>
      </c>
      <c r="AA1438" t="s">
        <v>40</v>
      </c>
      <c r="AC1438" s="23">
        <v>0</v>
      </c>
      <c r="AD1438" t="str">
        <f>IF(AND('CVD Dataset'!AA1438="Normal",'CVD Dataset'!AB1438&gt;AVERAGE('CVD Dataset'!AB:AB),'CVD Dataset'!AF1438="High"),"High Lipid Category","Normal Category")</f>
        <v>Normal Category</v>
      </c>
      <c r="AE1438">
        <v>20.02</v>
      </c>
      <c r="AF1438" t="s">
        <v>32</v>
      </c>
      <c r="AG1438">
        <v>1</v>
      </c>
      <c r="AH1438" t="s">
        <v>1379</v>
      </c>
      <c r="AI1438">
        <f t="shared" si="91"/>
        <v>1</v>
      </c>
      <c r="AJ1438" t="s">
        <v>1392</v>
      </c>
    </row>
    <row r="1439" spans="1:36" x14ac:dyDescent="0.3">
      <c r="A1439" t="s">
        <v>33</v>
      </c>
      <c r="B1439">
        <v>62</v>
      </c>
      <c r="C1439">
        <v>71.14</v>
      </c>
      <c r="D1439">
        <v>1.9650000000000001</v>
      </c>
      <c r="E1439">
        <v>36.601999999999997</v>
      </c>
      <c r="F1439">
        <f t="shared" si="89"/>
        <v>18.424204753672733</v>
      </c>
      <c r="G1439">
        <f t="shared" si="92"/>
        <v>1</v>
      </c>
      <c r="H1439" t="s">
        <v>1399</v>
      </c>
      <c r="I1439">
        <v>107.11</v>
      </c>
      <c r="J1439" t="s">
        <v>1223</v>
      </c>
      <c r="K1439" s="24">
        <v>178</v>
      </c>
      <c r="L1439" s="24">
        <v>81</v>
      </c>
      <c r="M1439">
        <v>209</v>
      </c>
      <c r="N1439" t="s">
        <v>1432</v>
      </c>
      <c r="O1439">
        <v>39</v>
      </c>
      <c r="P1439">
        <v>113</v>
      </c>
      <c r="Q1439" t="s">
        <v>24</v>
      </c>
      <c r="R1439" t="s">
        <v>24</v>
      </c>
      <c r="S1439" t="s">
        <v>30</v>
      </c>
      <c r="T1439" t="s">
        <v>25</v>
      </c>
      <c r="U1439">
        <f t="shared" si="90"/>
        <v>1</v>
      </c>
      <c r="W1439">
        <v>0.54500000000000004</v>
      </c>
      <c r="X1439" t="s">
        <v>1407</v>
      </c>
      <c r="Y1439">
        <v>178</v>
      </c>
      <c r="Z1439">
        <v>81</v>
      </c>
      <c r="AA1439" t="s">
        <v>31</v>
      </c>
      <c r="AB1439">
        <v>140</v>
      </c>
      <c r="AC1439" s="23">
        <v>3.59</v>
      </c>
      <c r="AD1439" t="str">
        <f>IF(AND('CVD Dataset'!AA1439="Normal",'CVD Dataset'!AB1439&gt;AVERAGE('CVD Dataset'!AB:AB),'CVD Dataset'!AF1439="High"),"High Lipid Category","Normal Category")</f>
        <v>Normal Category</v>
      </c>
      <c r="AE1439">
        <v>20.399999999999999</v>
      </c>
      <c r="AF1439" t="s">
        <v>28</v>
      </c>
      <c r="AG1439">
        <v>0</v>
      </c>
      <c r="AH1439" t="s">
        <v>1380</v>
      </c>
      <c r="AI1439">
        <f t="shared" si="91"/>
        <v>0</v>
      </c>
      <c r="AJ1439" t="s">
        <v>1391</v>
      </c>
    </row>
    <row r="1440" spans="1:36" x14ac:dyDescent="0.3">
      <c r="A1440" t="s">
        <v>33</v>
      </c>
      <c r="B1440">
        <v>55</v>
      </c>
      <c r="C1440">
        <v>73.143000000000001</v>
      </c>
      <c r="D1440">
        <v>1.9259999999999999</v>
      </c>
      <c r="E1440">
        <v>23.826000000000001</v>
      </c>
      <c r="F1440">
        <f t="shared" si="89"/>
        <v>19.717879290767755</v>
      </c>
      <c r="G1440">
        <f t="shared" si="92"/>
        <v>1</v>
      </c>
      <c r="H1440" t="s">
        <v>1398</v>
      </c>
      <c r="I1440">
        <v>105.997</v>
      </c>
      <c r="J1440" t="s">
        <v>51</v>
      </c>
      <c r="K1440" s="24">
        <v>138</v>
      </c>
      <c r="L1440" s="24">
        <v>99</v>
      </c>
      <c r="M1440">
        <v>298</v>
      </c>
      <c r="N1440" t="s">
        <v>1432</v>
      </c>
      <c r="O1440">
        <v>65</v>
      </c>
      <c r="P1440">
        <v>133</v>
      </c>
      <c r="Q1440" t="s">
        <v>24</v>
      </c>
      <c r="R1440" t="s">
        <v>25</v>
      </c>
      <c r="S1440" t="s">
        <v>30</v>
      </c>
      <c r="T1440" t="s">
        <v>24</v>
      </c>
      <c r="U1440">
        <f t="shared" si="90"/>
        <v>1</v>
      </c>
      <c r="V1440">
        <v>192.58600000000001</v>
      </c>
      <c r="W1440">
        <v>0.55000000000000004</v>
      </c>
      <c r="X1440" t="s">
        <v>1407</v>
      </c>
      <c r="Y1440">
        <v>138</v>
      </c>
      <c r="AA1440" t="s">
        <v>31</v>
      </c>
      <c r="AB1440">
        <v>203</v>
      </c>
      <c r="AC1440" s="23">
        <v>3.12</v>
      </c>
      <c r="AD1440" t="str">
        <f>IF(AND('CVD Dataset'!AA1440="Normal",'CVD Dataset'!AB1440&gt;AVERAGE('CVD Dataset'!AB:AB),'CVD Dataset'!AF1440="High"),"High Lipid Category","Normal Category")</f>
        <v>Normal Category</v>
      </c>
      <c r="AE1440">
        <v>19.625</v>
      </c>
      <c r="AF1440" t="s">
        <v>54</v>
      </c>
      <c r="AG1440">
        <v>0</v>
      </c>
      <c r="AH1440" t="s">
        <v>1380</v>
      </c>
      <c r="AI1440">
        <f t="shared" si="91"/>
        <v>0</v>
      </c>
      <c r="AJ1440" t="s">
        <v>1392</v>
      </c>
    </row>
    <row r="1441" spans="1:36" x14ac:dyDescent="0.3">
      <c r="A1441" t="s">
        <v>33</v>
      </c>
      <c r="B1441">
        <v>47</v>
      </c>
      <c r="C1441">
        <v>110.756</v>
      </c>
      <c r="D1441">
        <v>1.7230000000000001</v>
      </c>
      <c r="E1441">
        <v>34.107999999999997</v>
      </c>
      <c r="F1441">
        <f t="shared" si="89"/>
        <v>37.307548112340328</v>
      </c>
      <c r="G1441">
        <f t="shared" si="92"/>
        <v>1</v>
      </c>
      <c r="H1441" t="s">
        <v>1399</v>
      </c>
      <c r="I1441">
        <v>97.134</v>
      </c>
      <c r="J1441" t="s">
        <v>1129</v>
      </c>
      <c r="K1441" s="24">
        <v>154</v>
      </c>
      <c r="L1441" s="24">
        <v>112</v>
      </c>
      <c r="M1441">
        <v>192</v>
      </c>
      <c r="N1441" t="s">
        <v>1432</v>
      </c>
      <c r="O1441">
        <v>87</v>
      </c>
      <c r="P1441">
        <v>133</v>
      </c>
      <c r="Q1441" t="s">
        <v>24</v>
      </c>
      <c r="R1441" t="s">
        <v>25</v>
      </c>
      <c r="S1441" t="s">
        <v>30</v>
      </c>
      <c r="T1441" t="s">
        <v>25</v>
      </c>
      <c r="U1441">
        <f t="shared" si="90"/>
        <v>2</v>
      </c>
      <c r="V1441">
        <v>172.339</v>
      </c>
      <c r="W1441">
        <v>0.56399999999999995</v>
      </c>
      <c r="X1441" t="s">
        <v>1407</v>
      </c>
      <c r="Y1441">
        <v>154</v>
      </c>
      <c r="Z1441">
        <v>112</v>
      </c>
      <c r="AA1441" t="s">
        <v>40</v>
      </c>
      <c r="AB1441">
        <v>75</v>
      </c>
      <c r="AC1441" s="23">
        <v>0.86</v>
      </c>
      <c r="AD1441" t="str">
        <f>IF(AND('CVD Dataset'!AA1441="Normal",'CVD Dataset'!AB1441&gt;AVERAGE('CVD Dataset'!AB:AB),'CVD Dataset'!AF1441="High"),"High Lipid Category","Normal Category")</f>
        <v>Normal Category</v>
      </c>
      <c r="AE1441">
        <v>20.361999999999998</v>
      </c>
      <c r="AF1441" t="s">
        <v>54</v>
      </c>
      <c r="AG1441">
        <v>0</v>
      </c>
      <c r="AH1441" t="s">
        <v>1380</v>
      </c>
      <c r="AI1441">
        <f t="shared" si="91"/>
        <v>0</v>
      </c>
      <c r="AJ1441" t="s">
        <v>1391</v>
      </c>
    </row>
    <row r="1442" spans="1:36" x14ac:dyDescent="0.3">
      <c r="A1442" t="s">
        <v>33</v>
      </c>
      <c r="B1442">
        <v>26</v>
      </c>
      <c r="C1442">
        <v>66.629000000000005</v>
      </c>
      <c r="D1442">
        <v>1.8420000000000001</v>
      </c>
      <c r="E1442">
        <v>37.856999999999999</v>
      </c>
      <c r="F1442">
        <f t="shared" si="89"/>
        <v>19.63740257780513</v>
      </c>
      <c r="G1442">
        <f t="shared" si="92"/>
        <v>1</v>
      </c>
      <c r="H1442" t="s">
        <v>1399</v>
      </c>
      <c r="I1442">
        <v>112.39100000000001</v>
      </c>
      <c r="J1442" t="s">
        <v>1224</v>
      </c>
      <c r="K1442" s="24">
        <v>108</v>
      </c>
      <c r="L1442" s="24">
        <v>88</v>
      </c>
      <c r="M1442">
        <v>154</v>
      </c>
      <c r="N1442" t="s">
        <v>1433</v>
      </c>
      <c r="O1442">
        <v>35</v>
      </c>
      <c r="P1442">
        <v>113</v>
      </c>
      <c r="Q1442" t="s">
        <v>24</v>
      </c>
      <c r="R1442" t="s">
        <v>25</v>
      </c>
      <c r="S1442" t="s">
        <v>26</v>
      </c>
      <c r="T1442" t="s">
        <v>24</v>
      </c>
      <c r="U1442">
        <f t="shared" si="90"/>
        <v>2</v>
      </c>
      <c r="V1442">
        <v>184.21</v>
      </c>
      <c r="X1442" t="s">
        <v>1410</v>
      </c>
      <c r="Y1442">
        <v>108</v>
      </c>
      <c r="Z1442">
        <v>88</v>
      </c>
      <c r="AA1442" t="s">
        <v>31</v>
      </c>
      <c r="AB1442">
        <v>89</v>
      </c>
      <c r="AC1442" s="23">
        <v>2.54</v>
      </c>
      <c r="AD1442" t="str">
        <f>IF(AND('CVD Dataset'!AA1442="Normal",'CVD Dataset'!AB1442&gt;AVERAGE('CVD Dataset'!AB:AB),'CVD Dataset'!AF1442="High"),"High Lipid Category","Normal Category")</f>
        <v>Normal Category</v>
      </c>
      <c r="AE1442">
        <v>18.050999999999998</v>
      </c>
      <c r="AF1442" t="s">
        <v>32</v>
      </c>
      <c r="AG1442">
        <v>0</v>
      </c>
      <c r="AH1442" t="s">
        <v>1379</v>
      </c>
      <c r="AI1442">
        <f t="shared" si="91"/>
        <v>1</v>
      </c>
      <c r="AJ1442" t="s">
        <v>1391</v>
      </c>
    </row>
    <row r="1443" spans="1:36" x14ac:dyDescent="0.3">
      <c r="A1443" t="s">
        <v>33</v>
      </c>
      <c r="B1443">
        <v>46</v>
      </c>
      <c r="C1443">
        <v>107.048</v>
      </c>
      <c r="D1443">
        <v>1.595</v>
      </c>
      <c r="E1443">
        <v>22.024999999999999</v>
      </c>
      <c r="F1443">
        <f t="shared" si="89"/>
        <v>42.078202847849376</v>
      </c>
      <c r="G1443">
        <f t="shared" si="92"/>
        <v>1</v>
      </c>
      <c r="H1443" t="s">
        <v>1398</v>
      </c>
      <c r="I1443">
        <v>81.302999999999997</v>
      </c>
      <c r="J1443" t="s">
        <v>1225</v>
      </c>
      <c r="K1443" s="24">
        <v>178</v>
      </c>
      <c r="L1443" s="24">
        <v>77</v>
      </c>
      <c r="M1443">
        <v>173</v>
      </c>
      <c r="N1443" t="s">
        <v>1433</v>
      </c>
      <c r="P1443">
        <v>181</v>
      </c>
      <c r="Q1443" t="s">
        <v>24</v>
      </c>
      <c r="R1443" t="s">
        <v>25</v>
      </c>
      <c r="S1443" t="s">
        <v>30</v>
      </c>
      <c r="T1443" t="s">
        <v>24</v>
      </c>
      <c r="U1443">
        <f t="shared" si="90"/>
        <v>1</v>
      </c>
      <c r="V1443">
        <v>159.505</v>
      </c>
      <c r="W1443">
        <v>0.51</v>
      </c>
      <c r="X1443" t="s">
        <v>1406</v>
      </c>
      <c r="Y1443">
        <v>178</v>
      </c>
      <c r="Z1443">
        <v>77</v>
      </c>
      <c r="AA1443" t="s">
        <v>40</v>
      </c>
      <c r="AB1443">
        <v>109</v>
      </c>
      <c r="AC1443" s="23" t="s">
        <v>1410</v>
      </c>
      <c r="AD1443" t="str">
        <f>IF(AND('CVD Dataset'!AA1443="Normal",'CVD Dataset'!AB1443&gt;AVERAGE('CVD Dataset'!AB:AB),'CVD Dataset'!AF1443="High"),"High Lipid Category","Normal Category")</f>
        <v>Normal Category</v>
      </c>
      <c r="AE1443">
        <v>18.765000000000001</v>
      </c>
      <c r="AF1443" t="s">
        <v>54</v>
      </c>
      <c r="AG1443">
        <v>0</v>
      </c>
      <c r="AH1443" t="s">
        <v>1380</v>
      </c>
      <c r="AI1443">
        <f t="shared" si="91"/>
        <v>0</v>
      </c>
      <c r="AJ1443" t="s">
        <v>1391</v>
      </c>
    </row>
    <row r="1444" spans="1:36" x14ac:dyDescent="0.3">
      <c r="A1444" t="s">
        <v>22</v>
      </c>
      <c r="B1444">
        <v>67</v>
      </c>
      <c r="C1444">
        <v>69.983999999999995</v>
      </c>
      <c r="D1444">
        <v>1.6719999999999999</v>
      </c>
      <c r="E1444">
        <v>25.939</v>
      </c>
      <c r="F1444">
        <f t="shared" si="89"/>
        <v>25.033767541951878</v>
      </c>
      <c r="G1444">
        <f t="shared" si="92"/>
        <v>1</v>
      </c>
      <c r="H1444" t="s">
        <v>1400</v>
      </c>
      <c r="I1444">
        <v>91.655000000000001</v>
      </c>
      <c r="J1444" t="s">
        <v>913</v>
      </c>
      <c r="K1444" s="24">
        <v>129</v>
      </c>
      <c r="L1444" s="24">
        <v>113</v>
      </c>
      <c r="M1444">
        <v>136</v>
      </c>
      <c r="N1444" t="s">
        <v>1434</v>
      </c>
      <c r="O1444">
        <v>71</v>
      </c>
      <c r="P1444">
        <v>127</v>
      </c>
      <c r="Q1444" t="s">
        <v>25</v>
      </c>
      <c r="R1444" t="s">
        <v>25</v>
      </c>
      <c r="S1444" t="s">
        <v>26</v>
      </c>
      <c r="T1444" t="s">
        <v>25</v>
      </c>
      <c r="U1444">
        <f t="shared" si="90"/>
        <v>4</v>
      </c>
      <c r="V1444">
        <v>167.15199999999999</v>
      </c>
      <c r="W1444">
        <v>0.54800000000000004</v>
      </c>
      <c r="X1444" t="s">
        <v>1407</v>
      </c>
      <c r="Y1444">
        <v>129</v>
      </c>
      <c r="Z1444">
        <v>113</v>
      </c>
      <c r="AA1444" t="s">
        <v>40</v>
      </c>
      <c r="AB1444">
        <v>35</v>
      </c>
      <c r="AC1444" s="23">
        <v>0.49</v>
      </c>
      <c r="AD1444" t="str">
        <f>IF(AND('CVD Dataset'!AA1444="Normal",'CVD Dataset'!AB1444&gt;AVERAGE('CVD Dataset'!AB:AB),'CVD Dataset'!AF1444="High"),"High Lipid Category","Normal Category")</f>
        <v>Normal Category</v>
      </c>
      <c r="AE1444">
        <v>16.358000000000001</v>
      </c>
      <c r="AF1444" t="s">
        <v>32</v>
      </c>
      <c r="AG1444">
        <v>1</v>
      </c>
      <c r="AH1444" t="s">
        <v>1379</v>
      </c>
      <c r="AI1444">
        <f t="shared" si="91"/>
        <v>1</v>
      </c>
      <c r="AJ1444" t="s">
        <v>1392</v>
      </c>
    </row>
    <row r="1445" spans="1:36" x14ac:dyDescent="0.3">
      <c r="A1445" t="s">
        <v>33</v>
      </c>
      <c r="B1445">
        <v>49</v>
      </c>
      <c r="C1445">
        <v>62.814</v>
      </c>
      <c r="D1445">
        <v>1.8360000000000001</v>
      </c>
      <c r="E1445">
        <v>23.748999999999999</v>
      </c>
      <c r="F1445">
        <f t="shared" si="89"/>
        <v>18.634214760704573</v>
      </c>
      <c r="G1445">
        <f t="shared" si="92"/>
        <v>1</v>
      </c>
      <c r="H1445" t="s">
        <v>1398</v>
      </c>
      <c r="I1445">
        <v>98.415000000000006</v>
      </c>
      <c r="J1445" t="s">
        <v>695</v>
      </c>
      <c r="K1445" s="24">
        <v>150</v>
      </c>
      <c r="L1445" s="24">
        <v>81</v>
      </c>
      <c r="M1445">
        <v>254</v>
      </c>
      <c r="N1445" t="s">
        <v>1432</v>
      </c>
      <c r="O1445">
        <v>44</v>
      </c>
      <c r="P1445">
        <v>143</v>
      </c>
      <c r="Q1445" t="s">
        <v>25</v>
      </c>
      <c r="R1445" t="s">
        <v>25</v>
      </c>
      <c r="S1445" t="s">
        <v>26</v>
      </c>
      <c r="T1445" t="s">
        <v>25</v>
      </c>
      <c r="U1445">
        <f t="shared" si="90"/>
        <v>4</v>
      </c>
      <c r="V1445">
        <v>183.64</v>
      </c>
      <c r="W1445">
        <v>0.53600000000000003</v>
      </c>
      <c r="X1445" t="s">
        <v>1407</v>
      </c>
      <c r="Y1445">
        <v>150</v>
      </c>
      <c r="Z1445">
        <v>81</v>
      </c>
      <c r="AA1445" t="s">
        <v>31</v>
      </c>
      <c r="AB1445">
        <v>180</v>
      </c>
      <c r="AC1445" s="23">
        <v>4.09</v>
      </c>
      <c r="AD1445" t="str">
        <f>IF(AND('CVD Dataset'!AA1445="Normal",'CVD Dataset'!AB1445&gt;AVERAGE('CVD Dataset'!AB:AB),'CVD Dataset'!AF1445="High"),"High Lipid Category","Normal Category")</f>
        <v>Normal Category</v>
      </c>
      <c r="AE1445">
        <v>19.329999999999998</v>
      </c>
      <c r="AF1445" t="s">
        <v>32</v>
      </c>
      <c r="AG1445">
        <v>0</v>
      </c>
      <c r="AH1445" t="s">
        <v>1379</v>
      </c>
      <c r="AI1445">
        <f t="shared" si="91"/>
        <v>1</v>
      </c>
      <c r="AJ1445" t="s">
        <v>1391</v>
      </c>
    </row>
    <row r="1446" spans="1:36" x14ac:dyDescent="0.3">
      <c r="A1446" t="s">
        <v>22</v>
      </c>
      <c r="B1446">
        <v>67</v>
      </c>
      <c r="C1446">
        <v>75.801000000000002</v>
      </c>
      <c r="D1446">
        <v>1.988</v>
      </c>
      <c r="E1446">
        <v>26.556000000000001</v>
      </c>
      <c r="F1446">
        <f t="shared" si="89"/>
        <v>19.179716123703994</v>
      </c>
      <c r="G1446">
        <f t="shared" si="92"/>
        <v>1</v>
      </c>
      <c r="H1446" t="s">
        <v>1400</v>
      </c>
      <c r="I1446">
        <v>102.511</v>
      </c>
      <c r="J1446" t="s">
        <v>1226</v>
      </c>
      <c r="K1446" s="24">
        <v>147</v>
      </c>
      <c r="L1446" s="24">
        <v>116</v>
      </c>
      <c r="M1446">
        <v>108</v>
      </c>
      <c r="N1446" t="s">
        <v>1434</v>
      </c>
      <c r="O1446">
        <v>72</v>
      </c>
      <c r="P1446">
        <v>184</v>
      </c>
      <c r="Q1446" t="s">
        <v>24</v>
      </c>
      <c r="R1446" t="s">
        <v>24</v>
      </c>
      <c r="S1446" t="s">
        <v>30</v>
      </c>
      <c r="T1446" t="s">
        <v>25</v>
      </c>
      <c r="U1446">
        <f t="shared" si="90"/>
        <v>1</v>
      </c>
      <c r="V1446">
        <v>198.804</v>
      </c>
      <c r="W1446">
        <v>0.51600000000000001</v>
      </c>
      <c r="X1446" t="s">
        <v>1406</v>
      </c>
      <c r="Y1446">
        <v>147</v>
      </c>
      <c r="Z1446">
        <v>116</v>
      </c>
      <c r="AA1446" t="s">
        <v>40</v>
      </c>
      <c r="AB1446">
        <v>6</v>
      </c>
      <c r="AC1446" s="23">
        <v>0.08</v>
      </c>
      <c r="AD1446" t="str">
        <f>IF(AND('CVD Dataset'!AA1446="Normal",'CVD Dataset'!AB1446&gt;AVERAGE('CVD Dataset'!AB:AB),'CVD Dataset'!AF1446="High"),"High Lipid Category","Normal Category")</f>
        <v>Normal Category</v>
      </c>
      <c r="AE1446">
        <v>14.821</v>
      </c>
      <c r="AF1446" t="s">
        <v>28</v>
      </c>
      <c r="AG1446">
        <v>0</v>
      </c>
      <c r="AH1446" t="s">
        <v>1380</v>
      </c>
      <c r="AI1446">
        <f t="shared" si="91"/>
        <v>0</v>
      </c>
      <c r="AJ1446" t="s">
        <v>1391</v>
      </c>
    </row>
    <row r="1447" spans="1:36" x14ac:dyDescent="0.3">
      <c r="A1447" t="s">
        <v>33</v>
      </c>
      <c r="B1447">
        <v>49</v>
      </c>
      <c r="C1447">
        <v>93.019000000000005</v>
      </c>
      <c r="D1447">
        <v>1.6459999999999999</v>
      </c>
      <c r="E1447">
        <v>31.42</v>
      </c>
      <c r="F1447">
        <f t="shared" si="89"/>
        <v>34.333019847075796</v>
      </c>
      <c r="G1447">
        <f t="shared" si="92"/>
        <v>1</v>
      </c>
      <c r="H1447" t="s">
        <v>1399</v>
      </c>
      <c r="I1447">
        <v>91.486999999999995</v>
      </c>
      <c r="J1447" t="s">
        <v>1227</v>
      </c>
      <c r="K1447" s="24">
        <v>105</v>
      </c>
      <c r="L1447" s="24">
        <v>104</v>
      </c>
      <c r="M1447">
        <v>238</v>
      </c>
      <c r="N1447" t="s">
        <v>1432</v>
      </c>
      <c r="O1447">
        <v>59</v>
      </c>
      <c r="P1447">
        <v>126</v>
      </c>
      <c r="Q1447" t="s">
        <v>25</v>
      </c>
      <c r="R1447" t="s">
        <v>24</v>
      </c>
      <c r="S1447" t="s">
        <v>39</v>
      </c>
      <c r="T1447" t="s">
        <v>24</v>
      </c>
      <c r="U1447">
        <f t="shared" si="90"/>
        <v>1</v>
      </c>
      <c r="V1447">
        <v>164.59299999999999</v>
      </c>
      <c r="W1447">
        <v>0.55600000000000005</v>
      </c>
      <c r="X1447" t="s">
        <v>1407</v>
      </c>
      <c r="Y1447">
        <v>105</v>
      </c>
      <c r="Z1447">
        <v>104</v>
      </c>
      <c r="AA1447" t="s">
        <v>40</v>
      </c>
      <c r="AB1447">
        <v>149</v>
      </c>
      <c r="AC1447" s="23">
        <v>2.5299999999999998</v>
      </c>
      <c r="AD1447" t="str">
        <f>IF(AND('CVD Dataset'!AA1447="Normal",'CVD Dataset'!AB1447&gt;AVERAGE('CVD Dataset'!AB:AB),'CVD Dataset'!AF1447="High"),"High Lipid Category","Normal Category")</f>
        <v>Normal Category</v>
      </c>
      <c r="AE1447">
        <v>16.294</v>
      </c>
      <c r="AF1447" t="s">
        <v>32</v>
      </c>
      <c r="AG1447">
        <v>0</v>
      </c>
      <c r="AH1447" t="s">
        <v>1379</v>
      </c>
      <c r="AI1447">
        <f t="shared" si="91"/>
        <v>1</v>
      </c>
      <c r="AJ1447" t="s">
        <v>1391</v>
      </c>
    </row>
    <row r="1448" spans="1:36" x14ac:dyDescent="0.3">
      <c r="A1448" t="s">
        <v>22</v>
      </c>
      <c r="B1448">
        <v>75</v>
      </c>
      <c r="C1448">
        <v>55.365000000000002</v>
      </c>
      <c r="D1448">
        <v>1.5369999999999999</v>
      </c>
      <c r="E1448">
        <v>36.322000000000003</v>
      </c>
      <c r="F1448">
        <f t="shared" si="89"/>
        <v>23.436220167128848</v>
      </c>
      <c r="G1448">
        <f t="shared" si="92"/>
        <v>1</v>
      </c>
      <c r="H1448" t="s">
        <v>1399</v>
      </c>
      <c r="I1448">
        <v>116.04900000000001</v>
      </c>
      <c r="J1448" t="s">
        <v>1228</v>
      </c>
      <c r="K1448" s="24">
        <v>139</v>
      </c>
      <c r="L1448" s="24">
        <v>90</v>
      </c>
      <c r="M1448">
        <v>286</v>
      </c>
      <c r="N1448" t="s">
        <v>1432</v>
      </c>
      <c r="O1448">
        <v>78</v>
      </c>
      <c r="P1448">
        <v>125</v>
      </c>
      <c r="Q1448" t="s">
        <v>24</v>
      </c>
      <c r="R1448" t="s">
        <v>24</v>
      </c>
      <c r="S1448" t="s">
        <v>30</v>
      </c>
      <c r="T1448" t="s">
        <v>25</v>
      </c>
      <c r="U1448">
        <f t="shared" si="90"/>
        <v>1</v>
      </c>
      <c r="V1448">
        <v>153.68100000000001</v>
      </c>
      <c r="W1448">
        <v>0.755</v>
      </c>
      <c r="X1448" t="s">
        <v>1409</v>
      </c>
      <c r="Y1448">
        <v>139</v>
      </c>
      <c r="Z1448">
        <v>90</v>
      </c>
      <c r="AA1448" t="s">
        <v>31</v>
      </c>
      <c r="AB1448">
        <v>178</v>
      </c>
      <c r="AC1448" s="23">
        <v>2.2799999999999998</v>
      </c>
      <c r="AD1448" t="str">
        <f>IF(AND('CVD Dataset'!AA1448="Normal",'CVD Dataset'!AB1448&gt;AVERAGE('CVD Dataset'!AB:AB),'CVD Dataset'!AF1448="High"),"High Lipid Category","Normal Category")</f>
        <v>Normal Category</v>
      </c>
      <c r="AE1448">
        <v>19.934000000000001</v>
      </c>
      <c r="AF1448" t="s">
        <v>32</v>
      </c>
      <c r="AG1448">
        <v>1</v>
      </c>
      <c r="AH1448" t="s">
        <v>1379</v>
      </c>
      <c r="AI1448">
        <f t="shared" si="91"/>
        <v>1</v>
      </c>
      <c r="AJ1448" t="s">
        <v>1391</v>
      </c>
    </row>
    <row r="1449" spans="1:36" x14ac:dyDescent="0.3">
      <c r="A1449" t="s">
        <v>22</v>
      </c>
      <c r="B1449">
        <v>58</v>
      </c>
      <c r="C1449">
        <v>94.09</v>
      </c>
      <c r="D1449">
        <v>1.6679999999999999</v>
      </c>
      <c r="E1449">
        <v>35.261000000000003</v>
      </c>
      <c r="F1449">
        <f t="shared" si="89"/>
        <v>33.818269125706635</v>
      </c>
      <c r="G1449">
        <f t="shared" si="92"/>
        <v>1</v>
      </c>
      <c r="H1449" t="s">
        <v>1399</v>
      </c>
      <c r="I1449">
        <v>119.874</v>
      </c>
      <c r="J1449" t="s">
        <v>1229</v>
      </c>
      <c r="K1449" s="24">
        <v>172</v>
      </c>
      <c r="L1449" s="24">
        <v>63</v>
      </c>
      <c r="M1449">
        <v>294</v>
      </c>
      <c r="N1449" t="s">
        <v>1432</v>
      </c>
      <c r="O1449">
        <v>39</v>
      </c>
      <c r="P1449">
        <v>94</v>
      </c>
      <c r="Q1449" t="s">
        <v>24</v>
      </c>
      <c r="R1449" t="s">
        <v>25</v>
      </c>
      <c r="S1449" t="s">
        <v>26</v>
      </c>
      <c r="T1449" t="s">
        <v>24</v>
      </c>
      <c r="U1449">
        <f t="shared" si="90"/>
        <v>2</v>
      </c>
      <c r="V1449">
        <v>166.84200000000001</v>
      </c>
      <c r="W1449">
        <v>0.71799999999999997</v>
      </c>
      <c r="X1449" t="s">
        <v>1409</v>
      </c>
      <c r="Y1449">
        <v>172</v>
      </c>
      <c r="Z1449">
        <v>63</v>
      </c>
      <c r="AA1449" t="s">
        <v>40</v>
      </c>
      <c r="AB1449">
        <v>225</v>
      </c>
      <c r="AC1449" s="23">
        <v>5.77</v>
      </c>
      <c r="AD1449" t="str">
        <f>IF(AND('CVD Dataset'!AA1449="Normal",'CVD Dataset'!AB1449&gt;AVERAGE('CVD Dataset'!AB:AB),'CVD Dataset'!AF1449="High"),"High Lipid Category","Normal Category")</f>
        <v>Normal Category</v>
      </c>
      <c r="AE1449">
        <v>23.532</v>
      </c>
      <c r="AF1449" t="s">
        <v>32</v>
      </c>
      <c r="AG1449">
        <v>0</v>
      </c>
      <c r="AH1449" t="s">
        <v>1379</v>
      </c>
      <c r="AI1449">
        <f t="shared" si="91"/>
        <v>1</v>
      </c>
      <c r="AJ1449" t="s">
        <v>1392</v>
      </c>
    </row>
    <row r="1450" spans="1:36" x14ac:dyDescent="0.3">
      <c r="A1450" t="s">
        <v>22</v>
      </c>
      <c r="B1450">
        <v>37</v>
      </c>
      <c r="C1450">
        <v>76.597999999999999</v>
      </c>
      <c r="D1450">
        <v>1.891</v>
      </c>
      <c r="E1450">
        <v>27.643000000000001</v>
      </c>
      <c r="F1450">
        <f t="shared" si="89"/>
        <v>21.420735197843552</v>
      </c>
      <c r="G1450">
        <f t="shared" si="92"/>
        <v>1</v>
      </c>
      <c r="H1450" t="s">
        <v>1400</v>
      </c>
      <c r="I1450">
        <v>103.955</v>
      </c>
      <c r="J1450" t="s">
        <v>1230</v>
      </c>
      <c r="K1450" s="24">
        <v>91</v>
      </c>
      <c r="L1450" s="24">
        <v>108</v>
      </c>
      <c r="M1450">
        <v>231</v>
      </c>
      <c r="N1450" t="s">
        <v>1432</v>
      </c>
      <c r="O1450">
        <v>53</v>
      </c>
      <c r="P1450">
        <v>138</v>
      </c>
      <c r="Q1450" t="s">
        <v>24</v>
      </c>
      <c r="R1450" t="s">
        <v>24</v>
      </c>
      <c r="S1450" t="s">
        <v>26</v>
      </c>
      <c r="T1450" t="s">
        <v>24</v>
      </c>
      <c r="U1450">
        <f t="shared" si="90"/>
        <v>1</v>
      </c>
      <c r="V1450">
        <v>189.06700000000001</v>
      </c>
      <c r="W1450">
        <v>0.55000000000000004</v>
      </c>
      <c r="X1450" t="s">
        <v>1407</v>
      </c>
      <c r="Y1450">
        <v>91</v>
      </c>
      <c r="Z1450">
        <v>108</v>
      </c>
      <c r="AA1450" t="s">
        <v>40</v>
      </c>
      <c r="AB1450">
        <v>148</v>
      </c>
      <c r="AC1450" s="23">
        <v>2.79</v>
      </c>
      <c r="AD1450" t="str">
        <f>IF(AND('CVD Dataset'!AA1450="Normal",'CVD Dataset'!AB1450&gt;AVERAGE('CVD Dataset'!AB:AB),'CVD Dataset'!AF1450="High"),"High Lipid Category","Normal Category")</f>
        <v>Normal Category</v>
      </c>
      <c r="AE1450">
        <v>14.699</v>
      </c>
      <c r="AF1450" t="s">
        <v>32</v>
      </c>
      <c r="AG1450">
        <v>0</v>
      </c>
      <c r="AH1450" t="s">
        <v>1379</v>
      </c>
      <c r="AI1450">
        <f t="shared" si="91"/>
        <v>1</v>
      </c>
      <c r="AJ1450" t="s">
        <v>1391</v>
      </c>
    </row>
    <row r="1451" spans="1:36" x14ac:dyDescent="0.3">
      <c r="A1451" t="s">
        <v>33</v>
      </c>
      <c r="B1451">
        <v>71</v>
      </c>
      <c r="D1451">
        <v>1.911</v>
      </c>
      <c r="E1451">
        <v>21.324999999999999</v>
      </c>
      <c r="F1451">
        <f t="shared" si="89"/>
        <v>0</v>
      </c>
      <c r="G1451">
        <f t="shared" si="92"/>
        <v>1</v>
      </c>
      <c r="H1451" t="s">
        <v>1398</v>
      </c>
      <c r="I1451">
        <v>114.265</v>
      </c>
      <c r="J1451" t="s">
        <v>787</v>
      </c>
      <c r="K1451" s="24">
        <v>140</v>
      </c>
      <c r="L1451" s="24">
        <v>67</v>
      </c>
      <c r="M1451">
        <v>160</v>
      </c>
      <c r="N1451" t="s">
        <v>1433</v>
      </c>
      <c r="O1451">
        <v>76</v>
      </c>
      <c r="Q1451" t="s">
        <v>25</v>
      </c>
      <c r="R1451" t="s">
        <v>25</v>
      </c>
      <c r="S1451" t="s">
        <v>30</v>
      </c>
      <c r="T1451" t="s">
        <v>24</v>
      </c>
      <c r="U1451">
        <f t="shared" si="90"/>
        <v>2</v>
      </c>
      <c r="V1451">
        <v>191.12799999999999</v>
      </c>
      <c r="W1451">
        <v>0.59799999999999998</v>
      </c>
      <c r="X1451" t="s">
        <v>1409</v>
      </c>
      <c r="Y1451">
        <v>140</v>
      </c>
      <c r="Z1451">
        <v>67</v>
      </c>
      <c r="AA1451" t="s">
        <v>40</v>
      </c>
      <c r="AB1451">
        <v>54</v>
      </c>
      <c r="AC1451" s="23">
        <v>0.71</v>
      </c>
      <c r="AD1451" t="str">
        <f>IF(AND('CVD Dataset'!AA1451="Normal",'CVD Dataset'!AB1451&gt;AVERAGE('CVD Dataset'!AB:AB),'CVD Dataset'!AF1451="High"),"High Lipid Category","Normal Category")</f>
        <v>Normal Category</v>
      </c>
      <c r="AE1451">
        <v>16.465</v>
      </c>
      <c r="AF1451" t="s">
        <v>28</v>
      </c>
      <c r="AG1451">
        <v>0</v>
      </c>
      <c r="AH1451" t="s">
        <v>1380</v>
      </c>
      <c r="AI1451">
        <f t="shared" si="91"/>
        <v>0</v>
      </c>
      <c r="AJ1451" t="s">
        <v>1392</v>
      </c>
    </row>
    <row r="1452" spans="1:36" x14ac:dyDescent="0.3">
      <c r="A1452" t="s">
        <v>33</v>
      </c>
      <c r="B1452">
        <v>41</v>
      </c>
      <c r="C1452">
        <v>112.22</v>
      </c>
      <c r="D1452">
        <v>1.968</v>
      </c>
      <c r="E1452">
        <v>27.899000000000001</v>
      </c>
      <c r="F1452">
        <f t="shared" si="89"/>
        <v>28.974775266045341</v>
      </c>
      <c r="G1452">
        <f t="shared" si="92"/>
        <v>1</v>
      </c>
      <c r="H1452" t="s">
        <v>1400</v>
      </c>
      <c r="I1452">
        <v>108.46899999999999</v>
      </c>
      <c r="J1452" t="s">
        <v>171</v>
      </c>
      <c r="K1452" s="24">
        <v>126</v>
      </c>
      <c r="L1452" s="24">
        <v>64</v>
      </c>
      <c r="M1452">
        <v>203</v>
      </c>
      <c r="N1452" t="s">
        <v>1432</v>
      </c>
      <c r="O1452">
        <v>80</v>
      </c>
      <c r="P1452">
        <v>165</v>
      </c>
      <c r="Q1452" t="s">
        <v>25</v>
      </c>
      <c r="R1452" t="s">
        <v>24</v>
      </c>
      <c r="S1452" t="s">
        <v>39</v>
      </c>
      <c r="T1452" t="s">
        <v>24</v>
      </c>
      <c r="U1452">
        <f t="shared" si="90"/>
        <v>1</v>
      </c>
      <c r="V1452">
        <v>196.75899999999999</v>
      </c>
      <c r="W1452">
        <v>0.55100000000000005</v>
      </c>
      <c r="X1452" t="s">
        <v>1407</v>
      </c>
      <c r="Y1452">
        <v>126</v>
      </c>
      <c r="Z1452">
        <v>64</v>
      </c>
      <c r="AA1452" t="s">
        <v>27</v>
      </c>
      <c r="AB1452">
        <v>93</v>
      </c>
      <c r="AC1452" s="23">
        <v>1.1599999999999999</v>
      </c>
      <c r="AD1452" t="str">
        <f>IF(AND('CVD Dataset'!AA1452="Normal",'CVD Dataset'!AB1452&gt;AVERAGE('CVD Dataset'!AB:AB),'CVD Dataset'!AF1452="High"),"High Lipid Category","Normal Category")</f>
        <v>Normal Category</v>
      </c>
      <c r="AF1452" t="s">
        <v>32</v>
      </c>
      <c r="AG1452">
        <v>1</v>
      </c>
      <c r="AH1452" t="s">
        <v>1379</v>
      </c>
      <c r="AI1452">
        <f t="shared" si="91"/>
        <v>1</v>
      </c>
      <c r="AJ1452" t="s">
        <v>1391</v>
      </c>
    </row>
    <row r="1453" spans="1:36" x14ac:dyDescent="0.3">
      <c r="A1453" t="s">
        <v>22</v>
      </c>
      <c r="B1453">
        <v>67</v>
      </c>
      <c r="C1453">
        <v>96.234999999999999</v>
      </c>
      <c r="D1453">
        <v>1.661</v>
      </c>
      <c r="E1453">
        <v>28.343</v>
      </c>
      <c r="F1453">
        <f t="shared" si="89"/>
        <v>34.88139022465667</v>
      </c>
      <c r="G1453">
        <f t="shared" si="92"/>
        <v>1</v>
      </c>
      <c r="H1453" t="s">
        <v>1400</v>
      </c>
      <c r="I1453">
        <v>118.402</v>
      </c>
      <c r="J1453" t="s">
        <v>1231</v>
      </c>
      <c r="K1453" s="24">
        <v>92</v>
      </c>
      <c r="L1453" s="24">
        <v>107</v>
      </c>
      <c r="M1453">
        <v>179</v>
      </c>
      <c r="N1453" t="s">
        <v>1433</v>
      </c>
      <c r="O1453">
        <v>46</v>
      </c>
      <c r="P1453">
        <v>112</v>
      </c>
      <c r="Q1453" t="s">
        <v>25</v>
      </c>
      <c r="R1453" t="s">
        <v>24</v>
      </c>
      <c r="S1453" t="s">
        <v>39</v>
      </c>
      <c r="T1453" t="s">
        <v>24</v>
      </c>
      <c r="U1453">
        <f t="shared" si="90"/>
        <v>1</v>
      </c>
      <c r="V1453">
        <v>166.09100000000001</v>
      </c>
      <c r="W1453">
        <v>0.71299999999999997</v>
      </c>
      <c r="X1453" t="s">
        <v>1409</v>
      </c>
      <c r="Y1453">
        <v>92</v>
      </c>
      <c r="Z1453">
        <v>107</v>
      </c>
      <c r="AA1453" t="s">
        <v>40</v>
      </c>
      <c r="AB1453">
        <v>103</v>
      </c>
      <c r="AC1453" s="23">
        <v>2.2400000000000002</v>
      </c>
      <c r="AD1453" t="str">
        <f>IF(AND('CVD Dataset'!AA1453="Normal",'CVD Dataset'!AB1453&gt;AVERAGE('CVD Dataset'!AB:AB),'CVD Dataset'!AF1453="High"),"High Lipid Category","Normal Category")</f>
        <v>Normal Category</v>
      </c>
      <c r="AE1453">
        <v>13.849</v>
      </c>
      <c r="AF1453" t="s">
        <v>32</v>
      </c>
      <c r="AG1453">
        <v>0</v>
      </c>
      <c r="AH1453" t="s">
        <v>1379</v>
      </c>
      <c r="AI1453">
        <f t="shared" si="91"/>
        <v>1</v>
      </c>
      <c r="AJ1453" t="s">
        <v>1391</v>
      </c>
    </row>
    <row r="1454" spans="1:36" x14ac:dyDescent="0.3">
      <c r="A1454" t="s">
        <v>22</v>
      </c>
      <c r="B1454">
        <v>44</v>
      </c>
      <c r="C1454">
        <v>56.978000000000002</v>
      </c>
      <c r="D1454">
        <v>1.629</v>
      </c>
      <c r="E1454">
        <v>29.390999999999998</v>
      </c>
      <c r="F1454">
        <f t="shared" si="89"/>
        <v>21.471630864913529</v>
      </c>
      <c r="G1454">
        <f t="shared" si="92"/>
        <v>1</v>
      </c>
      <c r="H1454" t="s">
        <v>1400</v>
      </c>
      <c r="I1454">
        <v>96.63</v>
      </c>
      <c r="J1454" t="s">
        <v>1232</v>
      </c>
      <c r="K1454" s="24">
        <v>148</v>
      </c>
      <c r="L1454" s="24">
        <v>71</v>
      </c>
      <c r="M1454">
        <v>178</v>
      </c>
      <c r="N1454" t="s">
        <v>1433</v>
      </c>
      <c r="P1454">
        <v>167</v>
      </c>
      <c r="Q1454" t="s">
        <v>24</v>
      </c>
      <c r="R1454" t="s">
        <v>25</v>
      </c>
      <c r="S1454" t="s">
        <v>30</v>
      </c>
      <c r="T1454" t="s">
        <v>25</v>
      </c>
      <c r="U1454">
        <f t="shared" si="90"/>
        <v>2</v>
      </c>
      <c r="V1454">
        <v>162.92099999999999</v>
      </c>
      <c r="W1454">
        <v>0.59299999999999997</v>
      </c>
      <c r="X1454" t="s">
        <v>1409</v>
      </c>
      <c r="Y1454">
        <v>148</v>
      </c>
      <c r="Z1454">
        <v>71</v>
      </c>
      <c r="AA1454" t="s">
        <v>40</v>
      </c>
      <c r="AB1454">
        <v>103</v>
      </c>
      <c r="AC1454" s="23" t="s">
        <v>1410</v>
      </c>
      <c r="AD1454" t="str">
        <f>IF(AND('CVD Dataset'!AA1454="Normal",'CVD Dataset'!AB1454&gt;AVERAGE('CVD Dataset'!AB:AB),'CVD Dataset'!AF1454="High"),"High Lipid Category","Normal Category")</f>
        <v>Normal Category</v>
      </c>
      <c r="AE1454">
        <v>18.838000000000001</v>
      </c>
      <c r="AF1454" t="s">
        <v>32</v>
      </c>
      <c r="AG1454">
        <v>0</v>
      </c>
      <c r="AH1454" t="s">
        <v>1379</v>
      </c>
      <c r="AI1454">
        <f t="shared" si="91"/>
        <v>1</v>
      </c>
      <c r="AJ1454" t="s">
        <v>1391</v>
      </c>
    </row>
    <row r="1455" spans="1:36" x14ac:dyDescent="0.3">
      <c r="A1455" t="s">
        <v>22</v>
      </c>
      <c r="B1455">
        <v>73</v>
      </c>
      <c r="C1455">
        <v>66.073999999999998</v>
      </c>
      <c r="E1455">
        <v>27.460999999999999</v>
      </c>
      <c r="F1455" t="str">
        <f t="shared" si="89"/>
        <v/>
      </c>
      <c r="G1455" t="str">
        <f t="shared" si="92"/>
        <v/>
      </c>
      <c r="H1455" t="s">
        <v>1400</v>
      </c>
      <c r="I1455">
        <v>76.599000000000004</v>
      </c>
      <c r="J1455" t="s">
        <v>1233</v>
      </c>
      <c r="K1455" s="24">
        <v>112</v>
      </c>
      <c r="L1455" s="24">
        <v>106</v>
      </c>
      <c r="M1455">
        <v>197</v>
      </c>
      <c r="N1455" t="s">
        <v>1432</v>
      </c>
      <c r="O1455">
        <v>55</v>
      </c>
      <c r="P1455">
        <v>131</v>
      </c>
      <c r="Q1455" t="s">
        <v>24</v>
      </c>
      <c r="R1455" t="s">
        <v>24</v>
      </c>
      <c r="S1455" t="s">
        <v>26</v>
      </c>
      <c r="T1455" t="s">
        <v>25</v>
      </c>
      <c r="U1455">
        <f t="shared" si="90"/>
        <v>2</v>
      </c>
      <c r="V1455">
        <v>195.82</v>
      </c>
      <c r="W1455">
        <v>0.39100000000000001</v>
      </c>
      <c r="X1455" t="s">
        <v>1408</v>
      </c>
      <c r="Y1455">
        <v>112</v>
      </c>
      <c r="Z1455">
        <v>106</v>
      </c>
      <c r="AA1455" t="s">
        <v>40</v>
      </c>
      <c r="AB1455">
        <v>112</v>
      </c>
      <c r="AC1455" s="23">
        <v>2.04</v>
      </c>
      <c r="AD1455" t="str">
        <f>IF(AND('CVD Dataset'!AA1455="Normal",'CVD Dataset'!AB1455&gt;AVERAGE('CVD Dataset'!AB:AB),'CVD Dataset'!AF1455="High"),"High Lipid Category","Normal Category")</f>
        <v>Normal Category</v>
      </c>
      <c r="AF1455" t="s">
        <v>28</v>
      </c>
      <c r="AG1455">
        <v>0</v>
      </c>
      <c r="AH1455" t="s">
        <v>1380</v>
      </c>
      <c r="AI1455">
        <f t="shared" si="91"/>
        <v>0</v>
      </c>
      <c r="AJ1455" t="s">
        <v>1391</v>
      </c>
    </row>
    <row r="1456" spans="1:36" x14ac:dyDescent="0.3">
      <c r="A1456" t="s">
        <v>33</v>
      </c>
      <c r="B1456">
        <v>39</v>
      </c>
      <c r="C1456">
        <v>52.640999999999998</v>
      </c>
      <c r="D1456">
        <v>1.8979999999999999</v>
      </c>
      <c r="E1456">
        <v>33.1</v>
      </c>
      <c r="F1456">
        <f t="shared" si="89"/>
        <v>14.612741935662964</v>
      </c>
      <c r="G1456">
        <f t="shared" si="92"/>
        <v>1</v>
      </c>
      <c r="H1456" t="s">
        <v>1399</v>
      </c>
      <c r="I1456">
        <v>73.69</v>
      </c>
      <c r="J1456" t="s">
        <v>1234</v>
      </c>
      <c r="K1456" s="24">
        <v>120</v>
      </c>
      <c r="L1456" s="24">
        <v>78</v>
      </c>
      <c r="M1456">
        <v>228</v>
      </c>
      <c r="N1456" t="s">
        <v>1432</v>
      </c>
      <c r="O1456">
        <v>38</v>
      </c>
      <c r="P1456">
        <v>112</v>
      </c>
      <c r="Q1456" t="s">
        <v>25</v>
      </c>
      <c r="R1456" t="s">
        <v>25</v>
      </c>
      <c r="S1456" t="s">
        <v>39</v>
      </c>
      <c r="T1456" t="s">
        <v>25</v>
      </c>
      <c r="U1456">
        <f t="shared" si="90"/>
        <v>3</v>
      </c>
      <c r="V1456">
        <v>189.81700000000001</v>
      </c>
      <c r="W1456">
        <v>0.38800000000000001</v>
      </c>
      <c r="X1456" t="s">
        <v>1408</v>
      </c>
      <c r="Y1456">
        <v>120</v>
      </c>
      <c r="AA1456" t="s">
        <v>27</v>
      </c>
      <c r="AB1456">
        <v>160</v>
      </c>
      <c r="AC1456" s="23">
        <v>4.21</v>
      </c>
      <c r="AD1456" t="str">
        <f>IF(AND('CVD Dataset'!AA1456="Normal",'CVD Dataset'!AB1456&gt;AVERAGE('CVD Dataset'!AB:AB),'CVD Dataset'!AF1456="High"),"High Lipid Category","Normal Category")</f>
        <v>Normal Category</v>
      </c>
      <c r="AE1456">
        <v>19.18</v>
      </c>
      <c r="AF1456" t="s">
        <v>28</v>
      </c>
      <c r="AG1456">
        <v>0</v>
      </c>
      <c r="AH1456" t="s">
        <v>1380</v>
      </c>
      <c r="AI1456">
        <f t="shared" si="91"/>
        <v>0</v>
      </c>
      <c r="AJ1456" t="s">
        <v>1391</v>
      </c>
    </row>
    <row r="1457" spans="1:36" x14ac:dyDescent="0.3">
      <c r="A1457" t="s">
        <v>33</v>
      </c>
      <c r="B1457">
        <v>29</v>
      </c>
      <c r="C1457">
        <v>88.179000000000002</v>
      </c>
      <c r="D1457">
        <v>1.802</v>
      </c>
      <c r="E1457">
        <v>28.2</v>
      </c>
      <c r="F1457">
        <f t="shared" si="89"/>
        <v>27.155361966787428</v>
      </c>
      <c r="G1457">
        <f t="shared" si="92"/>
        <v>1</v>
      </c>
      <c r="H1457" t="s">
        <v>1400</v>
      </c>
      <c r="I1457">
        <v>96.090999999999994</v>
      </c>
      <c r="J1457" t="s">
        <v>1235</v>
      </c>
      <c r="K1457" s="24">
        <v>165</v>
      </c>
      <c r="L1457" s="24">
        <v>72</v>
      </c>
      <c r="M1457">
        <v>171</v>
      </c>
      <c r="N1457" t="s">
        <v>1433</v>
      </c>
      <c r="O1457">
        <v>56</v>
      </c>
      <c r="P1457">
        <v>144</v>
      </c>
      <c r="Q1457" t="s">
        <v>25</v>
      </c>
      <c r="R1457" t="s">
        <v>24</v>
      </c>
      <c r="S1457" t="s">
        <v>26</v>
      </c>
      <c r="T1457" t="s">
        <v>25</v>
      </c>
      <c r="U1457">
        <f t="shared" si="90"/>
        <v>3</v>
      </c>
      <c r="V1457">
        <v>180.15799999999999</v>
      </c>
      <c r="W1457">
        <v>0.53300000000000003</v>
      </c>
      <c r="X1457" t="s">
        <v>1407</v>
      </c>
      <c r="Y1457">
        <v>165</v>
      </c>
      <c r="Z1457">
        <v>72</v>
      </c>
      <c r="AA1457" t="s">
        <v>40</v>
      </c>
      <c r="AB1457">
        <v>85</v>
      </c>
      <c r="AC1457" s="23">
        <v>1.52</v>
      </c>
      <c r="AD1457" t="str">
        <f>IF(AND('CVD Dataset'!AA1457="Normal",'CVD Dataset'!AB1457&gt;AVERAGE('CVD Dataset'!AB:AB),'CVD Dataset'!AF1457="High"),"High Lipid Category","Normal Category")</f>
        <v>Normal Category</v>
      </c>
      <c r="AE1457">
        <v>17.309999999999999</v>
      </c>
      <c r="AF1457" t="s">
        <v>28</v>
      </c>
      <c r="AG1457">
        <v>0</v>
      </c>
      <c r="AH1457" t="s">
        <v>1380</v>
      </c>
      <c r="AI1457">
        <f t="shared" si="91"/>
        <v>0</v>
      </c>
      <c r="AJ1457" t="s">
        <v>1391</v>
      </c>
    </row>
    <row r="1458" spans="1:36" x14ac:dyDescent="0.3">
      <c r="A1458" t="s">
        <v>33</v>
      </c>
      <c r="B1458">
        <v>55</v>
      </c>
      <c r="C1458">
        <v>74.451999999999998</v>
      </c>
      <c r="D1458">
        <v>1.643</v>
      </c>
      <c r="E1458">
        <v>37.512</v>
      </c>
      <c r="F1458">
        <f t="shared" si="89"/>
        <v>27.580443268237332</v>
      </c>
      <c r="G1458">
        <f t="shared" si="92"/>
        <v>1</v>
      </c>
      <c r="H1458" t="s">
        <v>1399</v>
      </c>
      <c r="I1458">
        <v>79.587999999999994</v>
      </c>
      <c r="J1458" t="s">
        <v>1236</v>
      </c>
      <c r="K1458" s="24">
        <v>102</v>
      </c>
      <c r="L1458" s="24">
        <v>90</v>
      </c>
      <c r="M1458">
        <v>160</v>
      </c>
      <c r="N1458" t="s">
        <v>1433</v>
      </c>
      <c r="O1458">
        <v>48</v>
      </c>
      <c r="P1458">
        <v>161</v>
      </c>
      <c r="Q1458" t="s">
        <v>25</v>
      </c>
      <c r="R1458" t="s">
        <v>24</v>
      </c>
      <c r="S1458" t="s">
        <v>39</v>
      </c>
      <c r="T1458" t="s">
        <v>24</v>
      </c>
      <c r="U1458">
        <f t="shared" si="90"/>
        <v>1</v>
      </c>
      <c r="V1458">
        <v>164.30600000000001</v>
      </c>
      <c r="W1458">
        <v>0.48399999999999999</v>
      </c>
      <c r="X1458" t="s">
        <v>1406</v>
      </c>
      <c r="Y1458">
        <v>102</v>
      </c>
      <c r="Z1458">
        <v>90</v>
      </c>
      <c r="AA1458" t="s">
        <v>40</v>
      </c>
      <c r="AB1458">
        <v>82</v>
      </c>
      <c r="AC1458" s="23">
        <v>1.71</v>
      </c>
      <c r="AD1458" t="str">
        <f>IF(AND('CVD Dataset'!AA1458="Normal",'CVD Dataset'!AB1458&gt;AVERAGE('CVD Dataset'!AB:AB),'CVD Dataset'!AF1458="High"),"High Lipid Category","Normal Category")</f>
        <v>Normal Category</v>
      </c>
      <c r="AF1458" t="s">
        <v>54</v>
      </c>
      <c r="AG1458">
        <v>0</v>
      </c>
      <c r="AH1458" t="s">
        <v>1380</v>
      </c>
      <c r="AI1458">
        <f t="shared" si="91"/>
        <v>0</v>
      </c>
      <c r="AJ1458" t="s">
        <v>1391</v>
      </c>
    </row>
    <row r="1459" spans="1:36" x14ac:dyDescent="0.3">
      <c r="A1459" t="s">
        <v>33</v>
      </c>
      <c r="B1459">
        <v>46</v>
      </c>
      <c r="C1459">
        <v>61.985999999999997</v>
      </c>
      <c r="D1459">
        <v>1.841</v>
      </c>
      <c r="F1459">
        <f t="shared" si="89"/>
        <v>18.288834711550916</v>
      </c>
      <c r="G1459">
        <f t="shared" si="92"/>
        <v>1</v>
      </c>
      <c r="H1459" t="s">
        <v>1401</v>
      </c>
      <c r="I1459">
        <v>118.99</v>
      </c>
      <c r="J1459" t="s">
        <v>1237</v>
      </c>
      <c r="K1459" s="24">
        <v>169</v>
      </c>
      <c r="L1459" s="24">
        <v>87</v>
      </c>
      <c r="N1459" t="s">
        <v>1434</v>
      </c>
      <c r="O1459">
        <v>61</v>
      </c>
      <c r="P1459">
        <v>155</v>
      </c>
      <c r="Q1459" t="s">
        <v>25</v>
      </c>
      <c r="R1459" t="s">
        <v>24</v>
      </c>
      <c r="S1459" t="s">
        <v>26</v>
      </c>
      <c r="T1459" t="s">
        <v>25</v>
      </c>
      <c r="U1459">
        <f t="shared" si="90"/>
        <v>3</v>
      </c>
      <c r="V1459">
        <v>184.053</v>
      </c>
      <c r="W1459">
        <v>0.64600000000000002</v>
      </c>
      <c r="X1459" t="s">
        <v>1409</v>
      </c>
      <c r="Y1459">
        <v>169</v>
      </c>
      <c r="Z1459">
        <v>87</v>
      </c>
      <c r="AA1459" t="s">
        <v>31</v>
      </c>
      <c r="AB1459">
        <v>31</v>
      </c>
      <c r="AC1459" s="23">
        <v>0.51</v>
      </c>
      <c r="AD1459" t="str">
        <f>IF(AND('CVD Dataset'!AA1459="Normal",'CVD Dataset'!AB1459&gt;AVERAGE('CVD Dataset'!AB:AB),'CVD Dataset'!AF1459="High"),"High Lipid Category","Normal Category")</f>
        <v>Normal Category</v>
      </c>
      <c r="AE1459">
        <v>16.75</v>
      </c>
      <c r="AF1459" t="s">
        <v>32</v>
      </c>
      <c r="AG1459">
        <v>1</v>
      </c>
      <c r="AH1459" t="s">
        <v>1379</v>
      </c>
      <c r="AI1459">
        <f t="shared" si="91"/>
        <v>1</v>
      </c>
      <c r="AJ1459" t="s">
        <v>1391</v>
      </c>
    </row>
    <row r="1460" spans="1:36" x14ac:dyDescent="0.3">
      <c r="A1460" t="s">
        <v>22</v>
      </c>
      <c r="B1460">
        <v>46</v>
      </c>
      <c r="C1460">
        <v>98.034999999999997</v>
      </c>
      <c r="D1460">
        <v>1.86</v>
      </c>
      <c r="E1460">
        <v>24.27</v>
      </c>
      <c r="F1460">
        <f t="shared" si="89"/>
        <v>28.337090993178396</v>
      </c>
      <c r="G1460">
        <f t="shared" si="92"/>
        <v>1</v>
      </c>
      <c r="H1460" t="s">
        <v>1398</v>
      </c>
      <c r="I1460">
        <v>89.5</v>
      </c>
      <c r="J1460" t="s">
        <v>1238</v>
      </c>
      <c r="K1460" s="24">
        <v>117</v>
      </c>
      <c r="L1460" s="24">
        <v>77</v>
      </c>
      <c r="M1460">
        <v>150</v>
      </c>
      <c r="N1460" t="s">
        <v>1433</v>
      </c>
      <c r="P1460">
        <v>174</v>
      </c>
      <c r="Q1460" t="s">
        <v>24</v>
      </c>
      <c r="R1460" t="s">
        <v>24</v>
      </c>
      <c r="S1460" t="s">
        <v>30</v>
      </c>
      <c r="T1460" t="s">
        <v>24</v>
      </c>
      <c r="U1460">
        <f t="shared" si="90"/>
        <v>0</v>
      </c>
      <c r="V1460">
        <v>185.96100000000001</v>
      </c>
      <c r="W1460">
        <v>0.48099999999999998</v>
      </c>
      <c r="X1460" t="s">
        <v>1406</v>
      </c>
      <c r="Y1460">
        <v>117</v>
      </c>
      <c r="Z1460">
        <v>77</v>
      </c>
      <c r="AA1460" t="s">
        <v>35</v>
      </c>
      <c r="AB1460">
        <v>77</v>
      </c>
      <c r="AC1460" s="23" t="s">
        <v>1410</v>
      </c>
      <c r="AD1460" t="str">
        <f>IF(AND('CVD Dataset'!AA1460="Normal",'CVD Dataset'!AB1460&gt;AVERAGE('CVD Dataset'!AB:AB),'CVD Dataset'!AF1460="High"),"High Lipid Category","Normal Category")</f>
        <v>Normal Category</v>
      </c>
      <c r="AE1460">
        <v>13.704000000000001</v>
      </c>
      <c r="AF1460" t="s">
        <v>32</v>
      </c>
      <c r="AG1460">
        <v>0</v>
      </c>
      <c r="AH1460" t="s">
        <v>1379</v>
      </c>
      <c r="AI1460">
        <f t="shared" si="91"/>
        <v>1</v>
      </c>
      <c r="AJ1460" t="s">
        <v>1391</v>
      </c>
    </row>
    <row r="1461" spans="1:36" x14ac:dyDescent="0.3">
      <c r="A1461" t="s">
        <v>22</v>
      </c>
      <c r="B1461">
        <v>76</v>
      </c>
      <c r="C1461">
        <v>114.22799999999999</v>
      </c>
      <c r="D1461">
        <v>1.6180000000000001</v>
      </c>
      <c r="F1461">
        <f t="shared" si="89"/>
        <v>43.633046643065263</v>
      </c>
      <c r="G1461">
        <f t="shared" si="92"/>
        <v>1</v>
      </c>
      <c r="H1461" t="s">
        <v>1401</v>
      </c>
      <c r="I1461">
        <v>77.89</v>
      </c>
      <c r="J1461" t="s">
        <v>1239</v>
      </c>
      <c r="K1461" s="24">
        <v>163</v>
      </c>
      <c r="L1461" s="24">
        <v>82</v>
      </c>
      <c r="M1461">
        <v>137</v>
      </c>
      <c r="N1461" t="s">
        <v>1434</v>
      </c>
      <c r="O1461">
        <v>70</v>
      </c>
      <c r="P1461">
        <v>90</v>
      </c>
      <c r="Q1461" t="s">
        <v>24</v>
      </c>
      <c r="R1461" t="s">
        <v>25</v>
      </c>
      <c r="S1461" t="s">
        <v>39</v>
      </c>
      <c r="T1461" t="s">
        <v>24</v>
      </c>
      <c r="U1461">
        <f t="shared" si="90"/>
        <v>1</v>
      </c>
      <c r="V1461">
        <v>161.76499999999999</v>
      </c>
      <c r="W1461">
        <v>0.48199999999999998</v>
      </c>
      <c r="X1461" t="s">
        <v>1406</v>
      </c>
      <c r="Y1461">
        <v>163</v>
      </c>
      <c r="Z1461">
        <v>82</v>
      </c>
      <c r="AA1461" t="s">
        <v>31</v>
      </c>
      <c r="AB1461">
        <v>37</v>
      </c>
      <c r="AC1461" s="23">
        <v>0.53</v>
      </c>
      <c r="AD1461" t="str">
        <f>IF(AND('CVD Dataset'!AA1461="Normal",'CVD Dataset'!AB1461&gt;AVERAGE('CVD Dataset'!AB:AB),'CVD Dataset'!AF1461="High"),"High Lipid Category","Normal Category")</f>
        <v>Normal Category</v>
      </c>
      <c r="AE1461">
        <v>19.716000000000001</v>
      </c>
      <c r="AF1461" t="s">
        <v>32</v>
      </c>
      <c r="AG1461">
        <v>1</v>
      </c>
      <c r="AH1461" t="s">
        <v>1379</v>
      </c>
      <c r="AI1461">
        <f t="shared" si="91"/>
        <v>1</v>
      </c>
      <c r="AJ1461" t="s">
        <v>1392</v>
      </c>
    </row>
    <row r="1462" spans="1:36" x14ac:dyDescent="0.3">
      <c r="A1462" t="s">
        <v>22</v>
      </c>
      <c r="B1462">
        <v>75</v>
      </c>
      <c r="C1462">
        <v>103.54300000000001</v>
      </c>
      <c r="D1462">
        <v>1.8520000000000001</v>
      </c>
      <c r="E1462">
        <v>29.792999999999999</v>
      </c>
      <c r="F1462">
        <f t="shared" si="89"/>
        <v>30.188308477438433</v>
      </c>
      <c r="G1462">
        <f t="shared" si="92"/>
        <v>1</v>
      </c>
      <c r="H1462" t="s">
        <v>1400</v>
      </c>
      <c r="I1462">
        <v>110.663</v>
      </c>
      <c r="J1462" t="s">
        <v>1240</v>
      </c>
      <c r="K1462" s="24">
        <v>96</v>
      </c>
      <c r="L1462" s="24">
        <v>89</v>
      </c>
      <c r="M1462">
        <v>249</v>
      </c>
      <c r="N1462" t="s">
        <v>1432</v>
      </c>
      <c r="O1462">
        <v>49</v>
      </c>
      <c r="P1462">
        <v>191</v>
      </c>
      <c r="Q1462" t="s">
        <v>25</v>
      </c>
      <c r="R1462" t="s">
        <v>25</v>
      </c>
      <c r="S1462" t="s">
        <v>30</v>
      </c>
      <c r="T1462" t="s">
        <v>25</v>
      </c>
      <c r="U1462">
        <f t="shared" si="90"/>
        <v>3</v>
      </c>
      <c r="V1462">
        <v>185.239</v>
      </c>
      <c r="W1462">
        <v>0.59699999999999998</v>
      </c>
      <c r="X1462" t="s">
        <v>1409</v>
      </c>
      <c r="Y1462">
        <v>96</v>
      </c>
      <c r="Z1462">
        <v>89</v>
      </c>
      <c r="AA1462" t="s">
        <v>31</v>
      </c>
      <c r="AB1462">
        <v>170</v>
      </c>
      <c r="AC1462" s="23">
        <v>3.47</v>
      </c>
      <c r="AD1462" t="str">
        <f>IF(AND('CVD Dataset'!AA1462="Normal",'CVD Dataset'!AB1462&gt;AVERAGE('CVD Dataset'!AB:AB),'CVD Dataset'!AF1462="High"),"High Lipid Category","Normal Category")</f>
        <v>Normal Category</v>
      </c>
      <c r="AE1462">
        <v>17.739000000000001</v>
      </c>
      <c r="AF1462" t="s">
        <v>54</v>
      </c>
      <c r="AG1462">
        <v>0</v>
      </c>
      <c r="AH1462" t="s">
        <v>1380</v>
      </c>
      <c r="AI1462">
        <f t="shared" si="91"/>
        <v>0</v>
      </c>
      <c r="AJ1462" t="s">
        <v>1392</v>
      </c>
    </row>
    <row r="1463" spans="1:36" x14ac:dyDescent="0.3">
      <c r="A1463" t="s">
        <v>22</v>
      </c>
      <c r="B1463">
        <v>41</v>
      </c>
      <c r="C1463">
        <v>114.34699999999999</v>
      </c>
      <c r="D1463">
        <v>1.8720000000000001</v>
      </c>
      <c r="E1463">
        <v>27.49</v>
      </c>
      <c r="F1463">
        <f t="shared" si="89"/>
        <v>32.629700398129877</v>
      </c>
      <c r="G1463">
        <f t="shared" si="92"/>
        <v>1</v>
      </c>
      <c r="H1463" t="s">
        <v>1400</v>
      </c>
      <c r="I1463">
        <v>103.441</v>
      </c>
      <c r="J1463" t="s">
        <v>1241</v>
      </c>
      <c r="K1463" s="24">
        <v>107</v>
      </c>
      <c r="L1463" s="24">
        <v>91</v>
      </c>
      <c r="M1463">
        <v>299</v>
      </c>
      <c r="N1463" t="s">
        <v>1432</v>
      </c>
      <c r="O1463">
        <v>42</v>
      </c>
      <c r="P1463">
        <v>134</v>
      </c>
      <c r="Q1463" t="s">
        <v>24</v>
      </c>
      <c r="R1463" t="s">
        <v>25</v>
      </c>
      <c r="S1463" t="s">
        <v>30</v>
      </c>
      <c r="T1463" t="s">
        <v>24</v>
      </c>
      <c r="U1463">
        <f t="shared" si="90"/>
        <v>1</v>
      </c>
      <c r="V1463">
        <v>187.24199999999999</v>
      </c>
      <c r="W1463">
        <v>0.55200000000000005</v>
      </c>
      <c r="X1463" t="s">
        <v>1407</v>
      </c>
      <c r="Y1463">
        <v>107</v>
      </c>
      <c r="Z1463">
        <v>91</v>
      </c>
      <c r="AA1463" t="s">
        <v>40</v>
      </c>
      <c r="AB1463">
        <v>227</v>
      </c>
      <c r="AC1463" s="23">
        <v>5.4</v>
      </c>
      <c r="AD1463" t="str">
        <f>IF(AND('CVD Dataset'!AA1463="Normal",'CVD Dataset'!AB1463&gt;AVERAGE('CVD Dataset'!AB:AB),'CVD Dataset'!AF1463="High"),"High Lipid Category","Normal Category")</f>
        <v>Normal Category</v>
      </c>
      <c r="AE1463">
        <v>18.827999999999999</v>
      </c>
      <c r="AF1463" t="s">
        <v>28</v>
      </c>
      <c r="AG1463">
        <v>0</v>
      </c>
      <c r="AH1463" t="s">
        <v>1380</v>
      </c>
      <c r="AI1463">
        <f t="shared" si="91"/>
        <v>0</v>
      </c>
      <c r="AJ1463" t="s">
        <v>1391</v>
      </c>
    </row>
    <row r="1464" spans="1:36" x14ac:dyDescent="0.3">
      <c r="A1464" t="s">
        <v>33</v>
      </c>
      <c r="B1464">
        <v>69</v>
      </c>
      <c r="C1464">
        <v>85.474000000000004</v>
      </c>
      <c r="D1464">
        <v>1.879</v>
      </c>
      <c r="E1464">
        <v>36.134999999999998</v>
      </c>
      <c r="F1464">
        <f t="shared" si="89"/>
        <v>24.209201671877715</v>
      </c>
      <c r="G1464">
        <f t="shared" si="92"/>
        <v>1</v>
      </c>
      <c r="H1464" t="s">
        <v>1399</v>
      </c>
      <c r="I1464">
        <v>101.905</v>
      </c>
      <c r="J1464" t="s">
        <v>1242</v>
      </c>
      <c r="K1464" s="24">
        <v>131</v>
      </c>
      <c r="L1464" s="24">
        <v>98</v>
      </c>
      <c r="M1464">
        <v>205</v>
      </c>
      <c r="N1464" t="s">
        <v>1432</v>
      </c>
      <c r="O1464">
        <v>89</v>
      </c>
      <c r="P1464">
        <v>171</v>
      </c>
      <c r="Q1464" t="s">
        <v>25</v>
      </c>
      <c r="R1464" t="s">
        <v>25</v>
      </c>
      <c r="S1464" t="s">
        <v>26</v>
      </c>
      <c r="T1464" t="s">
        <v>25</v>
      </c>
      <c r="U1464">
        <f t="shared" si="90"/>
        <v>4</v>
      </c>
      <c r="V1464">
        <v>187.92400000000001</v>
      </c>
      <c r="W1464">
        <v>0.54200000000000004</v>
      </c>
      <c r="X1464" t="s">
        <v>1407</v>
      </c>
      <c r="Y1464">
        <v>131</v>
      </c>
      <c r="Z1464">
        <v>98</v>
      </c>
      <c r="AA1464" t="s">
        <v>31</v>
      </c>
      <c r="AB1464">
        <v>86</v>
      </c>
      <c r="AC1464" s="23">
        <v>0.97</v>
      </c>
      <c r="AD1464" t="str">
        <f>IF(AND('CVD Dataset'!AA1464="Normal",'CVD Dataset'!AB1464&gt;AVERAGE('CVD Dataset'!AB:AB),'CVD Dataset'!AF1464="High"),"High Lipid Category","Normal Category")</f>
        <v>Normal Category</v>
      </c>
      <c r="AE1464">
        <v>19.876999999999999</v>
      </c>
      <c r="AF1464" t="s">
        <v>54</v>
      </c>
      <c r="AG1464">
        <v>0</v>
      </c>
      <c r="AH1464" t="s">
        <v>1380</v>
      </c>
      <c r="AI1464">
        <f t="shared" si="91"/>
        <v>0</v>
      </c>
      <c r="AJ1464" t="s">
        <v>1392</v>
      </c>
    </row>
    <row r="1465" spans="1:36" x14ac:dyDescent="0.3">
      <c r="A1465" t="s">
        <v>22</v>
      </c>
      <c r="B1465">
        <v>62</v>
      </c>
      <c r="C1465">
        <v>66.498000000000005</v>
      </c>
      <c r="D1465">
        <v>1.6439999999999999</v>
      </c>
      <c r="E1465">
        <v>33.527999999999999</v>
      </c>
      <c r="F1465">
        <f t="shared" si="89"/>
        <v>24.60395687925125</v>
      </c>
      <c r="G1465">
        <f t="shared" si="92"/>
        <v>1</v>
      </c>
      <c r="H1465" t="s">
        <v>1399</v>
      </c>
      <c r="I1465">
        <v>116.551</v>
      </c>
      <c r="J1465" t="s">
        <v>1243</v>
      </c>
      <c r="K1465" s="24">
        <v>179</v>
      </c>
      <c r="L1465" s="24">
        <v>91</v>
      </c>
      <c r="N1465" t="s">
        <v>1434</v>
      </c>
      <c r="O1465">
        <v>53</v>
      </c>
      <c r="P1465">
        <v>193</v>
      </c>
      <c r="Q1465" t="s">
        <v>25</v>
      </c>
      <c r="R1465" t="s">
        <v>24</v>
      </c>
      <c r="S1465" t="s">
        <v>39</v>
      </c>
      <c r="T1465" t="s">
        <v>24</v>
      </c>
      <c r="U1465">
        <f t="shared" si="90"/>
        <v>1</v>
      </c>
      <c r="V1465">
        <v>164.40299999999999</v>
      </c>
      <c r="W1465">
        <v>0.70899999999999996</v>
      </c>
      <c r="X1465" t="s">
        <v>1409</v>
      </c>
      <c r="Y1465">
        <v>179</v>
      </c>
      <c r="Z1465">
        <v>91</v>
      </c>
      <c r="AA1465" t="s">
        <v>40</v>
      </c>
      <c r="AB1465">
        <v>134</v>
      </c>
      <c r="AC1465" s="23">
        <v>2.5299999999999998</v>
      </c>
      <c r="AD1465" t="str">
        <f>IF(AND('CVD Dataset'!AA1465="Normal",'CVD Dataset'!AB1465&gt;AVERAGE('CVD Dataset'!AB:AB),'CVD Dataset'!AF1465="High"),"High Lipid Category","Normal Category")</f>
        <v>Normal Category</v>
      </c>
      <c r="AE1465">
        <v>19.995999999999999</v>
      </c>
      <c r="AF1465" t="s">
        <v>54</v>
      </c>
      <c r="AG1465">
        <v>0</v>
      </c>
      <c r="AH1465" t="s">
        <v>1380</v>
      </c>
      <c r="AI1465">
        <f t="shared" si="91"/>
        <v>0</v>
      </c>
      <c r="AJ1465" t="s">
        <v>1391</v>
      </c>
    </row>
    <row r="1466" spans="1:36" x14ac:dyDescent="0.3">
      <c r="A1466" t="s">
        <v>33</v>
      </c>
      <c r="C1466">
        <v>104.80200000000001</v>
      </c>
      <c r="D1466">
        <v>1.927</v>
      </c>
      <c r="E1466">
        <v>36.368000000000002</v>
      </c>
      <c r="F1466">
        <f t="shared" si="89"/>
        <v>28.223192720063317</v>
      </c>
      <c r="G1466">
        <f t="shared" si="92"/>
        <v>1</v>
      </c>
      <c r="H1466" t="s">
        <v>1399</v>
      </c>
      <c r="I1466">
        <v>70.411000000000001</v>
      </c>
      <c r="J1466" t="s">
        <v>1244</v>
      </c>
      <c r="K1466" s="24">
        <v>90</v>
      </c>
      <c r="L1466" s="24">
        <v>111</v>
      </c>
      <c r="M1466">
        <v>104</v>
      </c>
      <c r="N1466" t="s">
        <v>1434</v>
      </c>
      <c r="O1466">
        <v>31</v>
      </c>
      <c r="P1466">
        <v>78</v>
      </c>
      <c r="Q1466" t="s">
        <v>24</v>
      </c>
      <c r="R1466" t="s">
        <v>25</v>
      </c>
      <c r="S1466" t="s">
        <v>26</v>
      </c>
      <c r="T1466" t="s">
        <v>25</v>
      </c>
      <c r="U1466">
        <f t="shared" si="90"/>
        <v>3</v>
      </c>
      <c r="V1466">
        <v>192.739</v>
      </c>
      <c r="W1466">
        <v>0.36499999999999999</v>
      </c>
      <c r="X1466" t="s">
        <v>1408</v>
      </c>
      <c r="Y1466">
        <v>90</v>
      </c>
      <c r="Z1466">
        <v>111</v>
      </c>
      <c r="AA1466" t="s">
        <v>40</v>
      </c>
      <c r="AB1466">
        <v>43</v>
      </c>
      <c r="AC1466" s="23">
        <v>1.39</v>
      </c>
      <c r="AD1466" t="str">
        <f>IF(AND('CVD Dataset'!AA1466="Normal",'CVD Dataset'!AB1466&gt;AVERAGE('CVD Dataset'!AB:AB),'CVD Dataset'!AF1466="High"),"High Lipid Category","Normal Category")</f>
        <v>Normal Category</v>
      </c>
      <c r="AE1466">
        <v>15.853999999999999</v>
      </c>
      <c r="AF1466" t="s">
        <v>32</v>
      </c>
      <c r="AG1466">
        <v>0</v>
      </c>
      <c r="AH1466" t="s">
        <v>1379</v>
      </c>
      <c r="AI1466">
        <f t="shared" si="91"/>
        <v>1</v>
      </c>
      <c r="AJ1466" t="s">
        <v>1391</v>
      </c>
    </row>
    <row r="1467" spans="1:36" x14ac:dyDescent="0.3">
      <c r="A1467" t="s">
        <v>33</v>
      </c>
      <c r="B1467">
        <v>35</v>
      </c>
      <c r="C1467">
        <v>117.825</v>
      </c>
      <c r="D1467">
        <v>1.5509999999999999</v>
      </c>
      <c r="E1467">
        <v>21.128</v>
      </c>
      <c r="F1467">
        <f t="shared" si="89"/>
        <v>48.979444222046801</v>
      </c>
      <c r="G1467">
        <f t="shared" si="92"/>
        <v>1</v>
      </c>
      <c r="H1467" t="s">
        <v>1398</v>
      </c>
      <c r="I1467">
        <v>74.558999999999997</v>
      </c>
      <c r="J1467" t="s">
        <v>1245</v>
      </c>
      <c r="K1467" s="24">
        <v>110</v>
      </c>
      <c r="L1467" s="24">
        <v>112</v>
      </c>
      <c r="M1467">
        <v>288</v>
      </c>
      <c r="N1467" t="s">
        <v>1432</v>
      </c>
      <c r="O1467">
        <v>49</v>
      </c>
      <c r="Q1467" t="s">
        <v>25</v>
      </c>
      <c r="R1467" t="s">
        <v>25</v>
      </c>
      <c r="S1467" t="s">
        <v>26</v>
      </c>
      <c r="T1467" t="s">
        <v>25</v>
      </c>
      <c r="U1467">
        <f t="shared" si="90"/>
        <v>4</v>
      </c>
      <c r="V1467">
        <v>155.06800000000001</v>
      </c>
      <c r="W1467">
        <v>0.48099999999999998</v>
      </c>
      <c r="X1467" t="s">
        <v>1406</v>
      </c>
      <c r="Y1467">
        <v>110</v>
      </c>
      <c r="Z1467">
        <v>112</v>
      </c>
      <c r="AA1467" t="s">
        <v>40</v>
      </c>
      <c r="AB1467">
        <v>209</v>
      </c>
      <c r="AC1467" s="23">
        <v>4.2699999999999996</v>
      </c>
      <c r="AD1467" t="str">
        <f>IF(AND('CVD Dataset'!AA1467="Normal",'CVD Dataset'!AB1467&gt;AVERAGE('CVD Dataset'!AB:AB),'CVD Dataset'!AF1467="High"),"High Lipid Category","Normal Category")</f>
        <v>Normal Category</v>
      </c>
      <c r="AE1467">
        <v>17.486000000000001</v>
      </c>
      <c r="AF1467" t="s">
        <v>28</v>
      </c>
      <c r="AG1467">
        <v>0</v>
      </c>
      <c r="AH1467" t="s">
        <v>1380</v>
      </c>
      <c r="AI1467">
        <f t="shared" si="91"/>
        <v>0</v>
      </c>
      <c r="AJ1467" t="s">
        <v>1391</v>
      </c>
    </row>
    <row r="1468" spans="1:36" x14ac:dyDescent="0.3">
      <c r="A1468" t="s">
        <v>22</v>
      </c>
      <c r="B1468">
        <v>70</v>
      </c>
      <c r="C1468">
        <v>56.381</v>
      </c>
      <c r="D1468">
        <v>1.9</v>
      </c>
      <c r="E1468">
        <v>33.984000000000002</v>
      </c>
      <c r="F1468">
        <f t="shared" si="89"/>
        <v>15.618005540166205</v>
      </c>
      <c r="G1468">
        <f t="shared" si="92"/>
        <v>1</v>
      </c>
      <c r="H1468" t="s">
        <v>1399</v>
      </c>
      <c r="I1468">
        <v>78.763999999999996</v>
      </c>
      <c r="J1468" t="s">
        <v>1246</v>
      </c>
      <c r="K1468" s="24">
        <v>176</v>
      </c>
      <c r="L1468" s="24">
        <v>95</v>
      </c>
      <c r="M1468">
        <v>215</v>
      </c>
      <c r="N1468" t="s">
        <v>1432</v>
      </c>
      <c r="O1468">
        <v>52</v>
      </c>
      <c r="P1468">
        <v>166</v>
      </c>
      <c r="Q1468" t="s">
        <v>24</v>
      </c>
      <c r="R1468" t="s">
        <v>25</v>
      </c>
      <c r="S1468" t="s">
        <v>30</v>
      </c>
      <c r="T1468" t="s">
        <v>25</v>
      </c>
      <c r="U1468">
        <f t="shared" si="90"/>
        <v>2</v>
      </c>
      <c r="V1468">
        <v>190.04</v>
      </c>
      <c r="W1468">
        <v>0.41399999999999998</v>
      </c>
      <c r="X1468" t="s">
        <v>1408</v>
      </c>
      <c r="Y1468">
        <v>176</v>
      </c>
      <c r="Z1468">
        <v>95</v>
      </c>
      <c r="AA1468" t="s">
        <v>40</v>
      </c>
      <c r="AB1468">
        <v>133</v>
      </c>
      <c r="AC1468" s="23">
        <v>2.56</v>
      </c>
      <c r="AD1468" t="str">
        <f>IF(AND('CVD Dataset'!AA1468="Normal",'CVD Dataset'!AB1468&gt;AVERAGE('CVD Dataset'!AB:AB),'CVD Dataset'!AF1468="High"),"High Lipid Category","Normal Category")</f>
        <v>Normal Category</v>
      </c>
      <c r="AE1468">
        <v>21.896999999999998</v>
      </c>
      <c r="AF1468" t="s">
        <v>28</v>
      </c>
      <c r="AG1468">
        <v>0</v>
      </c>
      <c r="AH1468" t="s">
        <v>1380</v>
      </c>
      <c r="AI1468">
        <f t="shared" si="91"/>
        <v>0</v>
      </c>
      <c r="AJ1468" t="s">
        <v>1392</v>
      </c>
    </row>
    <row r="1469" spans="1:36" x14ac:dyDescent="0.3">
      <c r="A1469" t="s">
        <v>22</v>
      </c>
      <c r="B1469">
        <v>33</v>
      </c>
      <c r="C1469">
        <v>65.016999999999996</v>
      </c>
      <c r="D1469">
        <v>1.5780000000000001</v>
      </c>
      <c r="E1469">
        <v>21.577000000000002</v>
      </c>
      <c r="F1469">
        <f t="shared" si="89"/>
        <v>26.110364148358041</v>
      </c>
      <c r="G1469">
        <f t="shared" si="92"/>
        <v>1</v>
      </c>
      <c r="H1469" t="s">
        <v>1398</v>
      </c>
      <c r="I1469">
        <v>110.809</v>
      </c>
      <c r="J1469" t="s">
        <v>664</v>
      </c>
      <c r="K1469" s="24">
        <v>102</v>
      </c>
      <c r="L1469" s="24">
        <v>73</v>
      </c>
      <c r="M1469">
        <v>121</v>
      </c>
      <c r="N1469" t="s">
        <v>1434</v>
      </c>
      <c r="O1469">
        <v>48</v>
      </c>
      <c r="P1469">
        <v>148</v>
      </c>
      <c r="Q1469" t="s">
        <v>24</v>
      </c>
      <c r="R1469" t="s">
        <v>24</v>
      </c>
      <c r="S1469" t="s">
        <v>26</v>
      </c>
      <c r="T1469" t="s">
        <v>25</v>
      </c>
      <c r="U1469">
        <f t="shared" si="90"/>
        <v>2</v>
      </c>
      <c r="V1469">
        <v>157.827</v>
      </c>
      <c r="W1469">
        <v>0.70199999999999996</v>
      </c>
      <c r="X1469" t="s">
        <v>1409</v>
      </c>
      <c r="Y1469">
        <v>102</v>
      </c>
      <c r="Z1469">
        <v>73</v>
      </c>
      <c r="AA1469" t="s">
        <v>35</v>
      </c>
      <c r="AB1469">
        <v>43</v>
      </c>
      <c r="AC1469" s="23">
        <v>0.9</v>
      </c>
      <c r="AD1469" t="str">
        <f>IF(AND('CVD Dataset'!AA1469="Normal",'CVD Dataset'!AB1469&gt;AVERAGE('CVD Dataset'!AB:AB),'CVD Dataset'!AF1469="High"),"High Lipid Category","Normal Category")</f>
        <v>Normal Category</v>
      </c>
      <c r="AE1469">
        <v>11.835000000000001</v>
      </c>
      <c r="AF1469" t="s">
        <v>28</v>
      </c>
      <c r="AG1469">
        <v>0</v>
      </c>
      <c r="AH1469" t="s">
        <v>1380</v>
      </c>
      <c r="AI1469">
        <f t="shared" si="91"/>
        <v>0</v>
      </c>
      <c r="AJ1469" t="s">
        <v>1391</v>
      </c>
    </row>
    <row r="1470" spans="1:36" x14ac:dyDescent="0.3">
      <c r="A1470" t="s">
        <v>33</v>
      </c>
      <c r="B1470">
        <v>41</v>
      </c>
      <c r="C1470">
        <v>111.548</v>
      </c>
      <c r="D1470">
        <v>1.9119999999999999</v>
      </c>
      <c r="F1470">
        <f t="shared" si="89"/>
        <v>30.513077502144572</v>
      </c>
      <c r="G1470">
        <f t="shared" si="92"/>
        <v>1</v>
      </c>
      <c r="H1470" t="s">
        <v>1401</v>
      </c>
      <c r="I1470">
        <v>88.150999999999996</v>
      </c>
      <c r="J1470" t="s">
        <v>209</v>
      </c>
      <c r="K1470" s="24">
        <v>130</v>
      </c>
      <c r="L1470" s="24">
        <v>71</v>
      </c>
      <c r="M1470">
        <v>102</v>
      </c>
      <c r="N1470" t="s">
        <v>1434</v>
      </c>
      <c r="O1470">
        <v>46</v>
      </c>
      <c r="P1470">
        <v>90</v>
      </c>
      <c r="Q1470" t="s">
        <v>25</v>
      </c>
      <c r="R1470" t="s">
        <v>25</v>
      </c>
      <c r="S1470" t="s">
        <v>26</v>
      </c>
      <c r="T1470" t="s">
        <v>24</v>
      </c>
      <c r="U1470">
        <f t="shared" si="90"/>
        <v>3</v>
      </c>
      <c r="V1470">
        <v>191.18700000000001</v>
      </c>
      <c r="W1470">
        <v>0.46100000000000002</v>
      </c>
      <c r="X1470" t="s">
        <v>1406</v>
      </c>
      <c r="Y1470">
        <v>130</v>
      </c>
      <c r="Z1470">
        <v>71</v>
      </c>
      <c r="AA1470" t="s">
        <v>31</v>
      </c>
      <c r="AB1470">
        <v>26</v>
      </c>
      <c r="AC1470" s="23">
        <v>0.56999999999999995</v>
      </c>
      <c r="AD1470" t="str">
        <f>IF(AND('CVD Dataset'!AA1470="Normal",'CVD Dataset'!AB1470&gt;AVERAGE('CVD Dataset'!AB:AB),'CVD Dataset'!AF1470="High"),"High Lipid Category","Normal Category")</f>
        <v>Normal Category</v>
      </c>
      <c r="AE1470">
        <v>16.672999999999998</v>
      </c>
      <c r="AF1470" t="s">
        <v>28</v>
      </c>
      <c r="AG1470">
        <v>0</v>
      </c>
      <c r="AH1470" t="s">
        <v>1380</v>
      </c>
      <c r="AI1470">
        <f t="shared" si="91"/>
        <v>0</v>
      </c>
      <c r="AJ1470" t="s">
        <v>1391</v>
      </c>
    </row>
    <row r="1471" spans="1:36" x14ac:dyDescent="0.3">
      <c r="A1471" t="s">
        <v>22</v>
      </c>
      <c r="B1471">
        <v>28</v>
      </c>
      <c r="C1471">
        <v>92.683000000000007</v>
      </c>
      <c r="D1471">
        <v>1.839</v>
      </c>
      <c r="E1471">
        <v>31.26</v>
      </c>
      <c r="F1471">
        <f t="shared" si="89"/>
        <v>27.405430227376694</v>
      </c>
      <c r="G1471">
        <f t="shared" si="92"/>
        <v>1</v>
      </c>
      <c r="H1471" t="s">
        <v>1399</v>
      </c>
      <c r="I1471">
        <v>76.347999999999999</v>
      </c>
      <c r="J1471" t="s">
        <v>1247</v>
      </c>
      <c r="K1471" s="24">
        <v>169</v>
      </c>
      <c r="L1471" s="24">
        <v>95</v>
      </c>
      <c r="M1471">
        <v>297</v>
      </c>
      <c r="N1471" t="s">
        <v>1432</v>
      </c>
      <c r="O1471">
        <v>81</v>
      </c>
      <c r="P1471">
        <v>147</v>
      </c>
      <c r="Q1471" t="s">
        <v>24</v>
      </c>
      <c r="R1471" t="s">
        <v>25</v>
      </c>
      <c r="S1471" t="s">
        <v>30</v>
      </c>
      <c r="T1471" t="s">
        <v>24</v>
      </c>
      <c r="U1471">
        <f t="shared" si="90"/>
        <v>1</v>
      </c>
      <c r="V1471">
        <v>183.85300000000001</v>
      </c>
      <c r="W1471">
        <v>0.41499999999999998</v>
      </c>
      <c r="X1471" t="s">
        <v>1408</v>
      </c>
      <c r="Y1471">
        <v>169</v>
      </c>
      <c r="Z1471">
        <v>95</v>
      </c>
      <c r="AA1471" t="s">
        <v>40</v>
      </c>
      <c r="AB1471">
        <v>186</v>
      </c>
      <c r="AC1471" s="23">
        <v>2.2999999999999998</v>
      </c>
      <c r="AD1471" t="str">
        <f>IF(AND('CVD Dataset'!AA1471="Normal",'CVD Dataset'!AB1471&gt;AVERAGE('CVD Dataset'!AB:AB),'CVD Dataset'!AF1471="High"),"High Lipid Category","Normal Category")</f>
        <v>Normal Category</v>
      </c>
      <c r="AE1471">
        <v>22.641999999999999</v>
      </c>
      <c r="AF1471" t="s">
        <v>54</v>
      </c>
      <c r="AG1471">
        <v>0</v>
      </c>
      <c r="AH1471" t="s">
        <v>1380</v>
      </c>
      <c r="AI1471">
        <f t="shared" si="91"/>
        <v>0</v>
      </c>
      <c r="AJ1471" t="s">
        <v>1391</v>
      </c>
    </row>
    <row r="1472" spans="1:36" x14ac:dyDescent="0.3">
      <c r="A1472" t="s">
        <v>22</v>
      </c>
      <c r="B1472">
        <v>75</v>
      </c>
      <c r="C1472">
        <v>109.986</v>
      </c>
      <c r="D1472">
        <v>1.5740000000000001</v>
      </c>
      <c r="E1472">
        <v>35.325000000000003</v>
      </c>
      <c r="F1472">
        <f t="shared" si="89"/>
        <v>44.394375566100337</v>
      </c>
      <c r="G1472">
        <f t="shared" si="92"/>
        <v>1</v>
      </c>
      <c r="H1472" t="s">
        <v>1399</v>
      </c>
      <c r="I1472">
        <v>109.006</v>
      </c>
      <c r="J1472" t="s">
        <v>513</v>
      </c>
      <c r="K1472" s="24">
        <v>119</v>
      </c>
      <c r="L1472" s="24">
        <v>88</v>
      </c>
      <c r="M1472">
        <v>295</v>
      </c>
      <c r="N1472" t="s">
        <v>1432</v>
      </c>
      <c r="O1472">
        <v>77</v>
      </c>
      <c r="P1472">
        <v>134</v>
      </c>
      <c r="Q1472" t="s">
        <v>24</v>
      </c>
      <c r="R1472" t="s">
        <v>24</v>
      </c>
      <c r="S1472" t="s">
        <v>39</v>
      </c>
      <c r="T1472" t="s">
        <v>24</v>
      </c>
      <c r="U1472">
        <f t="shared" si="90"/>
        <v>0</v>
      </c>
      <c r="V1472">
        <v>157.44200000000001</v>
      </c>
      <c r="W1472">
        <v>0.69199999999999995</v>
      </c>
      <c r="X1472" t="s">
        <v>1409</v>
      </c>
      <c r="Y1472">
        <v>119</v>
      </c>
      <c r="Z1472">
        <v>88</v>
      </c>
      <c r="AA1472" t="s">
        <v>31</v>
      </c>
      <c r="AB1472">
        <v>188</v>
      </c>
      <c r="AC1472" s="23">
        <v>2.44</v>
      </c>
      <c r="AD1472" t="str">
        <f>IF(AND('CVD Dataset'!AA1472="Normal",'CVD Dataset'!AB1472&gt;AVERAGE('CVD Dataset'!AB:AB),'CVD Dataset'!AF1472="High"),"High Lipid Category","Normal Category")</f>
        <v>Normal Category</v>
      </c>
      <c r="AE1472">
        <v>18.914999999999999</v>
      </c>
      <c r="AF1472" t="s">
        <v>32</v>
      </c>
      <c r="AG1472">
        <v>1</v>
      </c>
      <c r="AH1472" t="s">
        <v>1379</v>
      </c>
      <c r="AI1472">
        <f t="shared" si="91"/>
        <v>1</v>
      </c>
      <c r="AJ1472" t="s">
        <v>1391</v>
      </c>
    </row>
    <row r="1473" spans="1:36" x14ac:dyDescent="0.3">
      <c r="A1473" t="s">
        <v>33</v>
      </c>
      <c r="B1473">
        <v>51</v>
      </c>
      <c r="C1473">
        <v>62.890999999999998</v>
      </c>
      <c r="D1473">
        <v>1.639</v>
      </c>
      <c r="E1473">
        <v>39.597000000000001</v>
      </c>
      <c r="F1473">
        <f t="shared" si="89"/>
        <v>23.411572928179471</v>
      </c>
      <c r="G1473">
        <f t="shared" si="92"/>
        <v>1</v>
      </c>
      <c r="H1473" t="s">
        <v>1399</v>
      </c>
      <c r="I1473">
        <v>91.942999999999998</v>
      </c>
      <c r="J1473" t="s">
        <v>317</v>
      </c>
      <c r="K1473" s="24">
        <v>100</v>
      </c>
      <c r="L1473" s="24">
        <v>90</v>
      </c>
      <c r="M1473">
        <v>157</v>
      </c>
      <c r="N1473" t="s">
        <v>1433</v>
      </c>
      <c r="O1473">
        <v>55</v>
      </c>
      <c r="P1473">
        <v>128</v>
      </c>
      <c r="Q1473" t="s">
        <v>24</v>
      </c>
      <c r="R1473" t="s">
        <v>24</v>
      </c>
      <c r="S1473" t="s">
        <v>26</v>
      </c>
      <c r="T1473" t="s">
        <v>25</v>
      </c>
      <c r="U1473">
        <f t="shared" si="90"/>
        <v>2</v>
      </c>
      <c r="V1473">
        <v>163.91300000000001</v>
      </c>
      <c r="W1473">
        <v>0.56100000000000005</v>
      </c>
      <c r="X1473" t="s">
        <v>1407</v>
      </c>
      <c r="Y1473">
        <v>100</v>
      </c>
      <c r="Z1473">
        <v>90</v>
      </c>
      <c r="AA1473" t="s">
        <v>40</v>
      </c>
      <c r="AB1473">
        <v>72</v>
      </c>
      <c r="AC1473" s="23">
        <v>1.31</v>
      </c>
      <c r="AD1473" t="str">
        <f>IF(AND('CVD Dataset'!AA1473="Normal",'CVD Dataset'!AB1473&gt;AVERAGE('CVD Dataset'!AB:AB),'CVD Dataset'!AF1473="High"),"High Lipid Category","Normal Category")</f>
        <v>Normal Category</v>
      </c>
      <c r="AE1473">
        <v>16.059000000000001</v>
      </c>
      <c r="AF1473" t="s">
        <v>28</v>
      </c>
      <c r="AG1473">
        <v>0</v>
      </c>
      <c r="AH1473" t="s">
        <v>1380</v>
      </c>
      <c r="AI1473">
        <f t="shared" si="91"/>
        <v>0</v>
      </c>
      <c r="AJ1473" t="s">
        <v>1391</v>
      </c>
    </row>
    <row r="1474" spans="1:36" x14ac:dyDescent="0.3">
      <c r="A1474" t="s">
        <v>33</v>
      </c>
      <c r="B1474">
        <v>64</v>
      </c>
      <c r="C1474">
        <v>58.137999999999998</v>
      </c>
      <c r="D1474">
        <v>1.8640000000000001</v>
      </c>
      <c r="E1474">
        <v>31.123000000000001</v>
      </c>
      <c r="F1474">
        <f t="shared" si="89"/>
        <v>16.732786568181396</v>
      </c>
      <c r="G1474">
        <f t="shared" si="92"/>
        <v>1</v>
      </c>
      <c r="H1474" t="s">
        <v>1399</v>
      </c>
      <c r="I1474">
        <v>85.182000000000002</v>
      </c>
      <c r="J1474" t="s">
        <v>1248</v>
      </c>
      <c r="K1474" s="24">
        <v>149</v>
      </c>
      <c r="L1474" s="24">
        <v>71</v>
      </c>
      <c r="M1474">
        <v>259</v>
      </c>
      <c r="N1474" t="s">
        <v>1432</v>
      </c>
      <c r="O1474">
        <v>78</v>
      </c>
      <c r="P1474">
        <v>147</v>
      </c>
      <c r="Q1474" t="s">
        <v>25</v>
      </c>
      <c r="R1474" t="s">
        <v>25</v>
      </c>
      <c r="S1474" t="s">
        <v>26</v>
      </c>
      <c r="T1474" t="s">
        <v>25</v>
      </c>
      <c r="U1474">
        <f t="shared" si="90"/>
        <v>4</v>
      </c>
      <c r="V1474">
        <v>186.435</v>
      </c>
      <c r="W1474">
        <v>0.45700000000000002</v>
      </c>
      <c r="X1474" t="s">
        <v>1408</v>
      </c>
      <c r="Y1474">
        <v>149</v>
      </c>
      <c r="Z1474">
        <v>71</v>
      </c>
      <c r="AA1474" t="s">
        <v>40</v>
      </c>
      <c r="AB1474">
        <v>151</v>
      </c>
      <c r="AC1474" s="23">
        <v>1.94</v>
      </c>
      <c r="AD1474" t="str">
        <f>IF(AND('CVD Dataset'!AA1474="Normal",'CVD Dataset'!AB1474&gt;AVERAGE('CVD Dataset'!AB:AB),'CVD Dataset'!AF1474="High"),"High Lipid Category","Normal Category")</f>
        <v>Normal Category</v>
      </c>
      <c r="AE1474">
        <v>20.855</v>
      </c>
      <c r="AF1474" t="s">
        <v>32</v>
      </c>
      <c r="AG1474">
        <v>1</v>
      </c>
      <c r="AH1474" t="s">
        <v>1379</v>
      </c>
      <c r="AI1474">
        <f t="shared" si="91"/>
        <v>1</v>
      </c>
      <c r="AJ1474" t="s">
        <v>1392</v>
      </c>
    </row>
    <row r="1475" spans="1:36" x14ac:dyDescent="0.3">
      <c r="A1475" t="s">
        <v>33</v>
      </c>
      <c r="B1475">
        <v>66</v>
      </c>
      <c r="C1475">
        <v>105.196</v>
      </c>
      <c r="E1475">
        <v>26.420999999999999</v>
      </c>
      <c r="F1475" t="str">
        <f t="shared" ref="F1475:F1530" si="93">IFERROR(C1475/POWER(D1475,2),"")</f>
        <v/>
      </c>
      <c r="G1475" t="str">
        <f t="shared" si="92"/>
        <v/>
      </c>
      <c r="H1475" t="s">
        <v>1400</v>
      </c>
      <c r="I1475">
        <v>92.346999999999994</v>
      </c>
      <c r="J1475" t="s">
        <v>1249</v>
      </c>
      <c r="K1475" s="24">
        <v>91</v>
      </c>
      <c r="L1475" s="24">
        <v>97</v>
      </c>
      <c r="M1475">
        <v>275</v>
      </c>
      <c r="N1475" t="s">
        <v>1432</v>
      </c>
      <c r="O1475">
        <v>87</v>
      </c>
      <c r="P1475">
        <v>93</v>
      </c>
      <c r="Q1475" t="s">
        <v>24</v>
      </c>
      <c r="R1475" t="s">
        <v>25</v>
      </c>
      <c r="S1475" t="s">
        <v>30</v>
      </c>
      <c r="T1475" t="s">
        <v>24</v>
      </c>
      <c r="U1475">
        <f t="shared" ref="U1475:U1530" si="94">SUM(IF(Q1475="Y",1,0),IF(R1475="Y",1,0),IF(S1475="Low",1,0),IF(T1475="Y",1,0))</f>
        <v>1</v>
      </c>
      <c r="V1475">
        <v>168.959</v>
      </c>
      <c r="W1475">
        <v>0.54700000000000004</v>
      </c>
      <c r="X1475" t="s">
        <v>1407</v>
      </c>
      <c r="Y1475">
        <v>91</v>
      </c>
      <c r="Z1475">
        <v>97</v>
      </c>
      <c r="AA1475" t="s">
        <v>40</v>
      </c>
      <c r="AB1475">
        <v>158</v>
      </c>
      <c r="AC1475" s="23">
        <v>1.82</v>
      </c>
      <c r="AD1475" t="str">
        <f>IF(AND('CVD Dataset'!AA1475="Normal",'CVD Dataset'!AB1475&gt;AVERAGE('CVD Dataset'!AB:AB),'CVD Dataset'!AF1475="High"),"High Lipid Category","Normal Category")</f>
        <v>Normal Category</v>
      </c>
      <c r="AE1475">
        <v>17.334</v>
      </c>
      <c r="AF1475" t="s">
        <v>28</v>
      </c>
      <c r="AG1475">
        <v>0</v>
      </c>
      <c r="AH1475" t="s">
        <v>1380</v>
      </c>
      <c r="AI1475">
        <f t="shared" ref="AI1475:AI1530" si="95">IF(AF1475="HIGH",1,0)</f>
        <v>0</v>
      </c>
      <c r="AJ1475" t="s">
        <v>1392</v>
      </c>
    </row>
    <row r="1476" spans="1:36" x14ac:dyDescent="0.3">
      <c r="A1476" t="s">
        <v>22</v>
      </c>
      <c r="B1476">
        <v>64</v>
      </c>
      <c r="D1476">
        <v>1.7490000000000001</v>
      </c>
      <c r="E1476">
        <v>35.573999999999998</v>
      </c>
      <c r="F1476">
        <f t="shared" si="93"/>
        <v>0</v>
      </c>
      <c r="G1476">
        <f t="shared" si="92"/>
        <v>1</v>
      </c>
      <c r="H1476" t="s">
        <v>1399</v>
      </c>
      <c r="I1476">
        <v>75.444999999999993</v>
      </c>
      <c r="J1476" t="s">
        <v>1250</v>
      </c>
      <c r="K1476" s="24">
        <v>147</v>
      </c>
      <c r="L1476" s="24">
        <v>105</v>
      </c>
      <c r="M1476">
        <v>169</v>
      </c>
      <c r="N1476" t="s">
        <v>1433</v>
      </c>
      <c r="O1476">
        <v>79</v>
      </c>
      <c r="P1476">
        <v>192</v>
      </c>
      <c r="Q1476" t="s">
        <v>25</v>
      </c>
      <c r="R1476" t="s">
        <v>25</v>
      </c>
      <c r="S1476" t="s">
        <v>39</v>
      </c>
      <c r="T1476" t="s">
        <v>25</v>
      </c>
      <c r="U1476">
        <f t="shared" si="94"/>
        <v>3</v>
      </c>
      <c r="V1476">
        <v>174.90299999999999</v>
      </c>
      <c r="W1476">
        <v>0.43099999999999999</v>
      </c>
      <c r="X1476" t="s">
        <v>1408</v>
      </c>
      <c r="Y1476">
        <v>147</v>
      </c>
      <c r="Z1476">
        <v>105</v>
      </c>
      <c r="AA1476" t="s">
        <v>40</v>
      </c>
      <c r="AB1476">
        <v>60</v>
      </c>
      <c r="AC1476" s="23">
        <v>0.76</v>
      </c>
      <c r="AD1476" t="str">
        <f>IF(AND('CVD Dataset'!AA1476="Normal",'CVD Dataset'!AB1476&gt;AVERAGE('CVD Dataset'!AB:AB),'CVD Dataset'!AF1476="High"),"High Lipid Category","Normal Category")</f>
        <v>Normal Category</v>
      </c>
      <c r="AE1476">
        <v>19.844999999999999</v>
      </c>
      <c r="AF1476" t="s">
        <v>32</v>
      </c>
      <c r="AG1476">
        <v>1</v>
      </c>
      <c r="AH1476" t="s">
        <v>1379</v>
      </c>
      <c r="AI1476">
        <f t="shared" si="95"/>
        <v>1</v>
      </c>
      <c r="AJ1476" t="s">
        <v>1392</v>
      </c>
    </row>
    <row r="1477" spans="1:36" x14ac:dyDescent="0.3">
      <c r="A1477" t="s">
        <v>33</v>
      </c>
      <c r="B1477">
        <v>57</v>
      </c>
      <c r="C1477">
        <v>111.959</v>
      </c>
      <c r="D1477">
        <v>1.772</v>
      </c>
      <c r="E1477">
        <v>32.305999999999997</v>
      </c>
      <c r="F1477">
        <f t="shared" si="93"/>
        <v>35.655914170263287</v>
      </c>
      <c r="G1477">
        <f t="shared" si="92"/>
        <v>1</v>
      </c>
      <c r="H1477" t="s">
        <v>1399</v>
      </c>
      <c r="I1477">
        <v>102.645</v>
      </c>
      <c r="J1477" t="s">
        <v>1251</v>
      </c>
      <c r="K1477" s="24">
        <v>171</v>
      </c>
      <c r="L1477" s="24">
        <v>75</v>
      </c>
      <c r="M1477">
        <v>155</v>
      </c>
      <c r="N1477" t="s">
        <v>1433</v>
      </c>
      <c r="O1477">
        <v>36</v>
      </c>
      <c r="P1477">
        <v>130</v>
      </c>
      <c r="Q1477" t="s">
        <v>25</v>
      </c>
      <c r="R1477" t="s">
        <v>25</v>
      </c>
      <c r="S1477" t="s">
        <v>39</v>
      </c>
      <c r="T1477" t="s">
        <v>25</v>
      </c>
      <c r="U1477">
        <f t="shared" si="94"/>
        <v>3</v>
      </c>
      <c r="V1477">
        <v>177.23400000000001</v>
      </c>
      <c r="W1477">
        <v>0.57899999999999996</v>
      </c>
      <c r="X1477" t="s">
        <v>1407</v>
      </c>
      <c r="Y1477">
        <v>171</v>
      </c>
      <c r="AA1477" t="s">
        <v>40</v>
      </c>
      <c r="AB1477">
        <v>89</v>
      </c>
      <c r="AC1477" s="23">
        <v>2.4700000000000002</v>
      </c>
      <c r="AD1477" t="str">
        <f>IF(AND('CVD Dataset'!AA1477="Normal",'CVD Dataset'!AB1477&gt;AVERAGE('CVD Dataset'!AB:AB),'CVD Dataset'!AF1477="High"),"High Lipid Category","Normal Category")</f>
        <v>Normal Category</v>
      </c>
      <c r="AE1477">
        <v>20.111000000000001</v>
      </c>
      <c r="AF1477" t="s">
        <v>32</v>
      </c>
      <c r="AG1477">
        <v>0</v>
      </c>
      <c r="AH1477" t="s">
        <v>1379</v>
      </c>
      <c r="AI1477">
        <f t="shared" si="95"/>
        <v>1</v>
      </c>
      <c r="AJ1477" t="s">
        <v>1392</v>
      </c>
    </row>
    <row r="1478" spans="1:36" x14ac:dyDescent="0.3">
      <c r="A1478" t="s">
        <v>22</v>
      </c>
      <c r="B1478">
        <v>54</v>
      </c>
      <c r="C1478">
        <v>74.241</v>
      </c>
      <c r="D1478">
        <v>1.5549999999999999</v>
      </c>
      <c r="E1478">
        <v>24.553999999999998</v>
      </c>
      <c r="F1478">
        <f t="shared" si="93"/>
        <v>30.703156501690433</v>
      </c>
      <c r="G1478">
        <f t="shared" si="92"/>
        <v>1</v>
      </c>
      <c r="H1478" t="s">
        <v>1398</v>
      </c>
      <c r="I1478">
        <v>116.941</v>
      </c>
      <c r="J1478" t="s">
        <v>1252</v>
      </c>
      <c r="K1478" s="24">
        <v>104</v>
      </c>
      <c r="L1478" s="24">
        <v>107</v>
      </c>
      <c r="M1478">
        <v>105</v>
      </c>
      <c r="N1478" t="s">
        <v>1434</v>
      </c>
      <c r="O1478">
        <v>85</v>
      </c>
      <c r="P1478">
        <v>122</v>
      </c>
      <c r="Q1478" t="s">
        <v>24</v>
      </c>
      <c r="R1478" t="s">
        <v>24</v>
      </c>
      <c r="S1478" t="s">
        <v>39</v>
      </c>
      <c r="T1478" t="s">
        <v>24</v>
      </c>
      <c r="U1478">
        <f t="shared" si="94"/>
        <v>0</v>
      </c>
      <c r="V1478">
        <v>155.54499999999999</v>
      </c>
      <c r="W1478">
        <v>0.752</v>
      </c>
      <c r="X1478" t="s">
        <v>1409</v>
      </c>
      <c r="Y1478">
        <v>104</v>
      </c>
      <c r="Z1478">
        <v>107</v>
      </c>
      <c r="AA1478" t="s">
        <v>40</v>
      </c>
      <c r="AB1478">
        <v>-10</v>
      </c>
      <c r="AC1478" s="23">
        <v>-0.12</v>
      </c>
      <c r="AD1478" t="str">
        <f>IF(AND('CVD Dataset'!AA1478="Normal",'CVD Dataset'!AB1478&gt;AVERAGE('CVD Dataset'!AB:AB),'CVD Dataset'!AF1478="High"),"High Lipid Category","Normal Category")</f>
        <v>Normal Category</v>
      </c>
      <c r="AE1478">
        <v>12.211</v>
      </c>
      <c r="AF1478" t="s">
        <v>32</v>
      </c>
      <c r="AG1478">
        <v>1</v>
      </c>
      <c r="AH1478" t="s">
        <v>1379</v>
      </c>
      <c r="AI1478">
        <f t="shared" si="95"/>
        <v>1</v>
      </c>
      <c r="AJ1478" t="s">
        <v>1391</v>
      </c>
    </row>
    <row r="1479" spans="1:36" x14ac:dyDescent="0.3">
      <c r="A1479" t="s">
        <v>22</v>
      </c>
      <c r="C1479">
        <v>62.551000000000002</v>
      </c>
      <c r="D1479">
        <v>1.8460000000000001</v>
      </c>
      <c r="E1479">
        <v>36.387</v>
      </c>
      <c r="F1479">
        <f t="shared" si="93"/>
        <v>18.355696308025667</v>
      </c>
      <c r="G1479">
        <f t="shared" si="92"/>
        <v>1</v>
      </c>
      <c r="H1479" t="s">
        <v>1399</v>
      </c>
      <c r="I1479">
        <v>105.20699999999999</v>
      </c>
      <c r="J1479" t="s">
        <v>1253</v>
      </c>
      <c r="K1479" s="24">
        <v>177</v>
      </c>
      <c r="L1479" s="24">
        <v>62</v>
      </c>
      <c r="M1479">
        <v>251</v>
      </c>
      <c r="N1479" t="s">
        <v>1432</v>
      </c>
      <c r="O1479">
        <v>77</v>
      </c>
      <c r="P1479">
        <v>191</v>
      </c>
      <c r="Q1479" t="s">
        <v>25</v>
      </c>
      <c r="R1479" t="s">
        <v>24</v>
      </c>
      <c r="S1479" t="s">
        <v>39</v>
      </c>
      <c r="T1479" t="s">
        <v>24</v>
      </c>
      <c r="U1479">
        <f t="shared" si="94"/>
        <v>1</v>
      </c>
      <c r="V1479">
        <v>184.64699999999999</v>
      </c>
      <c r="W1479">
        <v>0.56999999999999995</v>
      </c>
      <c r="X1479" t="s">
        <v>1407</v>
      </c>
      <c r="Y1479">
        <v>177</v>
      </c>
      <c r="Z1479">
        <v>62</v>
      </c>
      <c r="AA1479" t="s">
        <v>40</v>
      </c>
      <c r="AB1479">
        <v>144</v>
      </c>
      <c r="AC1479" s="23">
        <v>1.87</v>
      </c>
      <c r="AD1479" t="str">
        <f>IF(AND('CVD Dataset'!AA1479="Normal",'CVD Dataset'!AB1479&gt;AVERAGE('CVD Dataset'!AB:AB),'CVD Dataset'!AF1479="High"),"High Lipid Category","Normal Category")</f>
        <v>Normal Category</v>
      </c>
      <c r="AE1479">
        <v>21.146999999999998</v>
      </c>
      <c r="AF1479" t="s">
        <v>28</v>
      </c>
      <c r="AG1479">
        <v>0</v>
      </c>
      <c r="AH1479" t="s">
        <v>1380</v>
      </c>
      <c r="AI1479">
        <f t="shared" si="95"/>
        <v>0</v>
      </c>
      <c r="AJ1479" t="s">
        <v>1391</v>
      </c>
    </row>
    <row r="1480" spans="1:36" x14ac:dyDescent="0.3">
      <c r="A1480" t="s">
        <v>22</v>
      </c>
      <c r="B1480">
        <v>29</v>
      </c>
      <c r="C1480">
        <v>113.154</v>
      </c>
      <c r="D1480">
        <v>1.6579999999999999</v>
      </c>
      <c r="E1480">
        <v>23.254000000000001</v>
      </c>
      <c r="F1480">
        <f t="shared" si="93"/>
        <v>41.16241609566368</v>
      </c>
      <c r="G1480">
        <f t="shared" si="92"/>
        <v>1</v>
      </c>
      <c r="H1480" t="s">
        <v>1398</v>
      </c>
      <c r="I1480">
        <v>100.246</v>
      </c>
      <c r="J1480" t="s">
        <v>1254</v>
      </c>
      <c r="K1480" s="24">
        <v>148</v>
      </c>
      <c r="L1480" s="24">
        <v>81</v>
      </c>
      <c r="M1480">
        <v>250</v>
      </c>
      <c r="N1480" t="s">
        <v>1432</v>
      </c>
      <c r="O1480">
        <v>34</v>
      </c>
      <c r="P1480">
        <v>150</v>
      </c>
      <c r="Q1480" t="s">
        <v>24</v>
      </c>
      <c r="R1480" t="s">
        <v>25</v>
      </c>
      <c r="S1480" t="s">
        <v>30</v>
      </c>
      <c r="T1480" t="s">
        <v>25</v>
      </c>
      <c r="U1480">
        <f t="shared" si="94"/>
        <v>2</v>
      </c>
      <c r="V1480">
        <v>165.81399999999999</v>
      </c>
      <c r="W1480">
        <v>0.60499999999999998</v>
      </c>
      <c r="X1480" t="s">
        <v>1409</v>
      </c>
      <c r="Y1480">
        <v>148</v>
      </c>
      <c r="Z1480">
        <v>81</v>
      </c>
      <c r="AA1480" t="s">
        <v>31</v>
      </c>
      <c r="AB1480">
        <v>186</v>
      </c>
      <c r="AC1480" s="23">
        <v>5.47</v>
      </c>
      <c r="AD1480" t="str">
        <f>IF(AND('CVD Dataset'!AA1480="Normal",'CVD Dataset'!AB1480&gt;AVERAGE('CVD Dataset'!AB:AB),'CVD Dataset'!AF1480="High"),"High Lipid Category","Normal Category")</f>
        <v>Normal Category</v>
      </c>
      <c r="AE1480">
        <v>19.050999999999998</v>
      </c>
      <c r="AF1480" t="s">
        <v>28</v>
      </c>
      <c r="AG1480">
        <v>0</v>
      </c>
      <c r="AH1480" t="s">
        <v>1380</v>
      </c>
      <c r="AI1480">
        <f t="shared" si="95"/>
        <v>0</v>
      </c>
      <c r="AJ1480" t="s">
        <v>1391</v>
      </c>
    </row>
    <row r="1481" spans="1:36" x14ac:dyDescent="0.3">
      <c r="A1481" t="s">
        <v>33</v>
      </c>
      <c r="B1481">
        <v>52</v>
      </c>
      <c r="C1481">
        <v>80.463999999999999</v>
      </c>
      <c r="E1481">
        <v>34.707999999999998</v>
      </c>
      <c r="F1481" t="str">
        <f t="shared" si="93"/>
        <v/>
      </c>
      <c r="G1481" t="str">
        <f t="shared" si="92"/>
        <v/>
      </c>
      <c r="H1481" t="s">
        <v>1399</v>
      </c>
      <c r="I1481">
        <v>115.123</v>
      </c>
      <c r="J1481" t="s">
        <v>1255</v>
      </c>
      <c r="K1481" s="24">
        <v>142</v>
      </c>
      <c r="L1481" s="24">
        <v>107</v>
      </c>
      <c r="M1481">
        <v>281</v>
      </c>
      <c r="N1481" t="s">
        <v>1432</v>
      </c>
      <c r="O1481">
        <v>61</v>
      </c>
      <c r="P1481">
        <v>93</v>
      </c>
      <c r="Q1481" t="s">
        <v>24</v>
      </c>
      <c r="R1481" t="s">
        <v>25</v>
      </c>
      <c r="S1481" t="s">
        <v>39</v>
      </c>
      <c r="T1481" t="s">
        <v>24</v>
      </c>
      <c r="U1481">
        <f t="shared" si="94"/>
        <v>1</v>
      </c>
      <c r="V1481">
        <v>184.43799999999999</v>
      </c>
      <c r="W1481">
        <v>0.624</v>
      </c>
      <c r="X1481" t="s">
        <v>1409</v>
      </c>
      <c r="Y1481">
        <v>142</v>
      </c>
      <c r="Z1481">
        <v>107</v>
      </c>
      <c r="AA1481" t="s">
        <v>40</v>
      </c>
      <c r="AB1481">
        <v>190</v>
      </c>
      <c r="AC1481" s="23">
        <v>3.11</v>
      </c>
      <c r="AD1481" t="str">
        <f>IF(AND('CVD Dataset'!AA1481="Normal",'CVD Dataset'!AB1481&gt;AVERAGE('CVD Dataset'!AB:AB),'CVD Dataset'!AF1481="High"),"High Lipid Category","Normal Category")</f>
        <v>Normal Category</v>
      </c>
      <c r="AE1481">
        <v>21.661999999999999</v>
      </c>
      <c r="AF1481" t="s">
        <v>54</v>
      </c>
      <c r="AG1481">
        <v>0</v>
      </c>
      <c r="AH1481" t="s">
        <v>1380</v>
      </c>
      <c r="AI1481">
        <f t="shared" si="95"/>
        <v>0</v>
      </c>
      <c r="AJ1481" t="s">
        <v>1392</v>
      </c>
    </row>
    <row r="1482" spans="1:36" x14ac:dyDescent="0.3">
      <c r="A1482" t="s">
        <v>22</v>
      </c>
      <c r="B1482">
        <v>72</v>
      </c>
      <c r="C1482">
        <v>63.569000000000003</v>
      </c>
      <c r="D1482">
        <v>1.6160000000000001</v>
      </c>
      <c r="E1482">
        <v>21.219000000000001</v>
      </c>
      <c r="F1482">
        <f t="shared" si="93"/>
        <v>24.3423592049799</v>
      </c>
      <c r="G1482">
        <f t="shared" si="92"/>
        <v>1</v>
      </c>
      <c r="H1482" t="s">
        <v>1398</v>
      </c>
      <c r="I1482">
        <v>80.661000000000001</v>
      </c>
      <c r="J1482" t="s">
        <v>620</v>
      </c>
      <c r="K1482" s="24">
        <v>148</v>
      </c>
      <c r="L1482" s="24">
        <v>98</v>
      </c>
      <c r="M1482">
        <v>166</v>
      </c>
      <c r="N1482" t="s">
        <v>1433</v>
      </c>
      <c r="O1482">
        <v>79</v>
      </c>
      <c r="P1482">
        <v>181</v>
      </c>
      <c r="Q1482" t="s">
        <v>24</v>
      </c>
      <c r="R1482" t="s">
        <v>25</v>
      </c>
      <c r="S1482" t="s">
        <v>26</v>
      </c>
      <c r="T1482" t="s">
        <v>25</v>
      </c>
      <c r="U1482">
        <f t="shared" si="94"/>
        <v>3</v>
      </c>
      <c r="V1482">
        <v>161.607</v>
      </c>
      <c r="W1482">
        <v>0.499</v>
      </c>
      <c r="X1482" t="s">
        <v>1406</v>
      </c>
      <c r="Y1482">
        <v>148</v>
      </c>
      <c r="AA1482" t="s">
        <v>40</v>
      </c>
      <c r="AB1482">
        <v>57</v>
      </c>
      <c r="AC1482" s="23">
        <v>0.72</v>
      </c>
      <c r="AD1482" t="str">
        <f>IF(AND('CVD Dataset'!AA1482="Normal",'CVD Dataset'!AB1482&gt;AVERAGE('CVD Dataset'!AB:AB),'CVD Dataset'!AF1482="High"),"High Lipid Category","Normal Category")</f>
        <v>Normal Category</v>
      </c>
      <c r="AE1482">
        <v>16.963999999999999</v>
      </c>
      <c r="AF1482" t="s">
        <v>32</v>
      </c>
      <c r="AG1482">
        <v>1</v>
      </c>
      <c r="AH1482" t="s">
        <v>1379</v>
      </c>
      <c r="AI1482">
        <f t="shared" si="95"/>
        <v>1</v>
      </c>
      <c r="AJ1482" t="s">
        <v>1392</v>
      </c>
    </row>
    <row r="1483" spans="1:36" x14ac:dyDescent="0.3">
      <c r="A1483" t="s">
        <v>33</v>
      </c>
      <c r="B1483">
        <v>65</v>
      </c>
      <c r="C1483">
        <v>63.04</v>
      </c>
      <c r="D1483">
        <v>1.524</v>
      </c>
      <c r="E1483">
        <v>18.866</v>
      </c>
      <c r="F1483">
        <f t="shared" si="93"/>
        <v>27.142276506775232</v>
      </c>
      <c r="G1483">
        <f t="shared" si="92"/>
        <v>1</v>
      </c>
      <c r="H1483" t="s">
        <v>1398</v>
      </c>
      <c r="I1483">
        <v>72.418999999999997</v>
      </c>
      <c r="J1483" t="s">
        <v>509</v>
      </c>
      <c r="K1483" s="24">
        <v>111</v>
      </c>
      <c r="L1483" s="24">
        <v>83</v>
      </c>
      <c r="M1483">
        <v>187</v>
      </c>
      <c r="N1483" t="s">
        <v>1432</v>
      </c>
      <c r="O1483">
        <v>77</v>
      </c>
      <c r="P1483">
        <v>146</v>
      </c>
      <c r="Q1483" t="s">
        <v>24</v>
      </c>
      <c r="R1483" t="s">
        <v>24</v>
      </c>
      <c r="S1483" t="s">
        <v>30</v>
      </c>
      <c r="T1483" t="s">
        <v>25</v>
      </c>
      <c r="U1483">
        <f t="shared" si="94"/>
        <v>1</v>
      </c>
      <c r="V1483">
        <v>152.416</v>
      </c>
      <c r="X1483" t="s">
        <v>1410</v>
      </c>
      <c r="Y1483">
        <v>111</v>
      </c>
      <c r="Z1483">
        <v>83</v>
      </c>
      <c r="AA1483" t="s">
        <v>31</v>
      </c>
      <c r="AB1483">
        <v>80</v>
      </c>
      <c r="AC1483" s="23">
        <v>1.04</v>
      </c>
      <c r="AD1483" t="str">
        <f>IF(AND('CVD Dataset'!AA1483="Normal",'CVD Dataset'!AB1483&gt;AVERAGE('CVD Dataset'!AB:AB),'CVD Dataset'!AF1483="High"),"High Lipid Category","Normal Category")</f>
        <v>Normal Category</v>
      </c>
      <c r="AE1483">
        <v>13.063000000000001</v>
      </c>
      <c r="AF1483" t="s">
        <v>32</v>
      </c>
      <c r="AG1483">
        <v>1</v>
      </c>
      <c r="AH1483" t="s">
        <v>1379</v>
      </c>
      <c r="AI1483">
        <f t="shared" si="95"/>
        <v>1</v>
      </c>
      <c r="AJ1483" t="s">
        <v>1391</v>
      </c>
    </row>
    <row r="1484" spans="1:36" x14ac:dyDescent="0.3">
      <c r="A1484" t="s">
        <v>22</v>
      </c>
      <c r="B1484">
        <v>25</v>
      </c>
      <c r="C1484">
        <v>55.975000000000001</v>
      </c>
      <c r="D1484">
        <v>1.8320000000000001</v>
      </c>
      <c r="E1484">
        <v>24.033999999999999</v>
      </c>
      <c r="F1484">
        <f t="shared" si="93"/>
        <v>16.677969050933431</v>
      </c>
      <c r="G1484">
        <f t="shared" si="92"/>
        <v>1</v>
      </c>
      <c r="H1484" t="s">
        <v>1398</v>
      </c>
      <c r="I1484">
        <v>115.905</v>
      </c>
      <c r="J1484" t="s">
        <v>1256</v>
      </c>
      <c r="K1484" s="24">
        <v>128</v>
      </c>
      <c r="L1484" s="24">
        <v>99</v>
      </c>
      <c r="M1484">
        <v>270</v>
      </c>
      <c r="N1484" t="s">
        <v>1432</v>
      </c>
      <c r="O1484">
        <v>57</v>
      </c>
      <c r="P1484">
        <v>146</v>
      </c>
      <c r="Q1484" t="s">
        <v>25</v>
      </c>
      <c r="R1484" t="s">
        <v>25</v>
      </c>
      <c r="S1484" t="s">
        <v>39</v>
      </c>
      <c r="T1484" t="s">
        <v>24</v>
      </c>
      <c r="U1484">
        <f t="shared" si="94"/>
        <v>2</v>
      </c>
      <c r="V1484">
        <v>183.17599999999999</v>
      </c>
      <c r="W1484">
        <v>0.63300000000000001</v>
      </c>
      <c r="X1484" t="s">
        <v>1409</v>
      </c>
      <c r="Y1484">
        <v>128</v>
      </c>
      <c r="Z1484">
        <v>99</v>
      </c>
      <c r="AA1484" t="s">
        <v>40</v>
      </c>
      <c r="AC1484" s="23">
        <v>0</v>
      </c>
      <c r="AD1484" t="str">
        <f>IF(AND('CVD Dataset'!AA1484="Normal",'CVD Dataset'!AB1484&gt;AVERAGE('CVD Dataset'!AB:AB),'CVD Dataset'!AF1484="High"),"High Lipid Category","Normal Category")</f>
        <v>Normal Category</v>
      </c>
      <c r="AE1484">
        <v>18.606999999999999</v>
      </c>
      <c r="AF1484" t="s">
        <v>32</v>
      </c>
      <c r="AG1484">
        <v>0</v>
      </c>
      <c r="AH1484" t="s">
        <v>1379</v>
      </c>
      <c r="AI1484">
        <f t="shared" si="95"/>
        <v>1</v>
      </c>
      <c r="AJ1484" t="s">
        <v>1391</v>
      </c>
    </row>
    <row r="1485" spans="1:36" x14ac:dyDescent="0.3">
      <c r="A1485" t="s">
        <v>33</v>
      </c>
      <c r="C1485">
        <v>56.551000000000002</v>
      </c>
      <c r="D1485">
        <v>1.9159999999999999</v>
      </c>
      <c r="E1485">
        <v>23.640999999999998</v>
      </c>
      <c r="F1485">
        <f t="shared" si="93"/>
        <v>15.404559342053078</v>
      </c>
      <c r="G1485">
        <f t="shared" si="92"/>
        <v>1</v>
      </c>
      <c r="H1485" t="s">
        <v>1398</v>
      </c>
      <c r="I1485">
        <v>88.822000000000003</v>
      </c>
      <c r="J1485" t="s">
        <v>1257</v>
      </c>
      <c r="K1485" s="24">
        <v>106</v>
      </c>
      <c r="L1485" s="24">
        <v>79</v>
      </c>
      <c r="N1485" t="s">
        <v>1434</v>
      </c>
      <c r="O1485">
        <v>73</v>
      </c>
      <c r="P1485">
        <v>169</v>
      </c>
      <c r="Q1485" t="s">
        <v>25</v>
      </c>
      <c r="R1485" t="s">
        <v>25</v>
      </c>
      <c r="S1485" t="s">
        <v>26</v>
      </c>
      <c r="T1485" t="s">
        <v>24</v>
      </c>
      <c r="U1485">
        <f t="shared" si="94"/>
        <v>3</v>
      </c>
      <c r="V1485">
        <v>191.62200000000001</v>
      </c>
      <c r="X1485" t="s">
        <v>1410</v>
      </c>
      <c r="Y1485">
        <v>106</v>
      </c>
      <c r="Z1485">
        <v>79</v>
      </c>
      <c r="AA1485" t="s">
        <v>35</v>
      </c>
      <c r="AB1485">
        <v>179</v>
      </c>
      <c r="AC1485" s="23">
        <v>2.4500000000000002</v>
      </c>
      <c r="AD1485" t="str">
        <f>IF(AND('CVD Dataset'!AA1485="Normal",'CVD Dataset'!AB1485&gt;AVERAGE('CVD Dataset'!AB:AB),'CVD Dataset'!AF1485="High"),"High Lipid Category","Normal Category")</f>
        <v>Normal Category</v>
      </c>
      <c r="AE1485">
        <v>17.667999999999999</v>
      </c>
      <c r="AF1485" t="s">
        <v>54</v>
      </c>
      <c r="AG1485">
        <v>0</v>
      </c>
      <c r="AH1485" t="s">
        <v>1380</v>
      </c>
      <c r="AI1485">
        <f t="shared" si="95"/>
        <v>0</v>
      </c>
      <c r="AJ1485" t="s">
        <v>1391</v>
      </c>
    </row>
    <row r="1486" spans="1:36" x14ac:dyDescent="0.3">
      <c r="A1486" t="s">
        <v>33</v>
      </c>
      <c r="B1486">
        <v>71</v>
      </c>
      <c r="C1486">
        <v>86.263999999999996</v>
      </c>
      <c r="D1486">
        <v>1.694</v>
      </c>
      <c r="E1486">
        <v>29.422999999999998</v>
      </c>
      <c r="F1486">
        <f t="shared" si="93"/>
        <v>30.060955466128807</v>
      </c>
      <c r="G1486">
        <f t="shared" si="92"/>
        <v>1</v>
      </c>
      <c r="H1486" t="s">
        <v>1400</v>
      </c>
      <c r="I1486">
        <v>119.233</v>
      </c>
      <c r="J1486" t="s">
        <v>1258</v>
      </c>
      <c r="K1486" s="24">
        <v>170</v>
      </c>
      <c r="L1486" s="24">
        <v>62</v>
      </c>
      <c r="M1486">
        <v>204</v>
      </c>
      <c r="N1486" t="s">
        <v>1432</v>
      </c>
      <c r="O1486">
        <v>65</v>
      </c>
      <c r="P1486">
        <v>82</v>
      </c>
      <c r="Q1486" t="s">
        <v>24</v>
      </c>
      <c r="R1486" t="s">
        <v>24</v>
      </c>
      <c r="S1486" t="s">
        <v>30</v>
      </c>
      <c r="T1486" t="s">
        <v>25</v>
      </c>
      <c r="U1486">
        <f t="shared" si="94"/>
        <v>1</v>
      </c>
      <c r="W1486">
        <v>0.70399999999999996</v>
      </c>
      <c r="X1486" t="s">
        <v>1409</v>
      </c>
      <c r="Y1486">
        <v>170</v>
      </c>
      <c r="AA1486" t="s">
        <v>40</v>
      </c>
      <c r="AB1486">
        <v>109</v>
      </c>
      <c r="AC1486" s="23">
        <v>1.68</v>
      </c>
      <c r="AD1486" t="str">
        <f>IF(AND('CVD Dataset'!AA1486="Normal",'CVD Dataset'!AB1486&gt;AVERAGE('CVD Dataset'!AB:AB),'CVD Dataset'!AF1486="High"),"High Lipid Category","Normal Category")</f>
        <v>Normal Category</v>
      </c>
      <c r="AE1486">
        <v>18.465</v>
      </c>
      <c r="AF1486" t="s">
        <v>28</v>
      </c>
      <c r="AG1486">
        <v>0</v>
      </c>
      <c r="AH1486" t="s">
        <v>1380</v>
      </c>
      <c r="AI1486">
        <f t="shared" si="95"/>
        <v>0</v>
      </c>
      <c r="AJ1486" t="s">
        <v>1391</v>
      </c>
    </row>
    <row r="1487" spans="1:36" x14ac:dyDescent="0.3">
      <c r="A1487" t="s">
        <v>33</v>
      </c>
      <c r="B1487">
        <v>50</v>
      </c>
      <c r="C1487">
        <v>72.364000000000004</v>
      </c>
      <c r="D1487">
        <v>1.9279999999999999</v>
      </c>
      <c r="E1487">
        <v>35.698999999999998</v>
      </c>
      <c r="F1487">
        <f t="shared" si="93"/>
        <v>19.467424803291959</v>
      </c>
      <c r="G1487">
        <f t="shared" ref="G1487:G1530" si="96">IFERROR(IF(ABS(E1487 - F1487) &lt;= 0.1, 0, 1),"")</f>
        <v>1</v>
      </c>
      <c r="H1487" t="s">
        <v>1399</v>
      </c>
      <c r="I1487">
        <v>108.85299999999999</v>
      </c>
      <c r="J1487" t="s">
        <v>1259</v>
      </c>
      <c r="K1487" s="24">
        <v>115</v>
      </c>
      <c r="L1487" s="24">
        <v>115</v>
      </c>
      <c r="M1487">
        <v>199</v>
      </c>
      <c r="N1487" t="s">
        <v>1432</v>
      </c>
      <c r="O1487">
        <v>38</v>
      </c>
      <c r="P1487">
        <v>168</v>
      </c>
      <c r="Q1487" t="s">
        <v>25</v>
      </c>
      <c r="R1487" t="s">
        <v>25</v>
      </c>
      <c r="S1487" t="s">
        <v>39</v>
      </c>
      <c r="T1487" t="s">
        <v>25</v>
      </c>
      <c r="U1487">
        <f t="shared" si="94"/>
        <v>3</v>
      </c>
      <c r="V1487">
        <v>192.79900000000001</v>
      </c>
      <c r="W1487">
        <v>0.56499999999999995</v>
      </c>
      <c r="X1487" t="s">
        <v>1407</v>
      </c>
      <c r="Y1487">
        <v>115</v>
      </c>
      <c r="Z1487">
        <v>115</v>
      </c>
      <c r="AA1487" t="s">
        <v>40</v>
      </c>
      <c r="AB1487">
        <v>131</v>
      </c>
      <c r="AC1487" s="23">
        <v>3.45</v>
      </c>
      <c r="AD1487" t="str">
        <f>IF(AND('CVD Dataset'!AA1487="Normal",'CVD Dataset'!AB1487&gt;AVERAGE('CVD Dataset'!AB:AB),'CVD Dataset'!AF1487="High"),"High Lipid Category","Normal Category")</f>
        <v>Normal Category</v>
      </c>
      <c r="AE1487">
        <v>18.87</v>
      </c>
      <c r="AF1487" t="s">
        <v>54</v>
      </c>
      <c r="AG1487">
        <v>0</v>
      </c>
      <c r="AH1487" t="s">
        <v>1380</v>
      </c>
      <c r="AI1487">
        <f t="shared" si="95"/>
        <v>0</v>
      </c>
      <c r="AJ1487" t="s">
        <v>1391</v>
      </c>
    </row>
    <row r="1488" spans="1:36" x14ac:dyDescent="0.3">
      <c r="A1488" t="s">
        <v>33</v>
      </c>
      <c r="B1488">
        <v>50</v>
      </c>
      <c r="C1488">
        <v>62.459000000000003</v>
      </c>
      <c r="D1488">
        <v>1.579</v>
      </c>
      <c r="E1488">
        <v>20.474</v>
      </c>
      <c r="F1488">
        <f t="shared" si="93"/>
        <v>25.051328772469251</v>
      </c>
      <c r="G1488">
        <f t="shared" si="96"/>
        <v>1</v>
      </c>
      <c r="H1488" t="s">
        <v>1398</v>
      </c>
      <c r="J1488" t="s">
        <v>1260</v>
      </c>
      <c r="K1488" s="24">
        <v>177</v>
      </c>
      <c r="L1488" s="24">
        <v>81</v>
      </c>
      <c r="M1488">
        <v>181</v>
      </c>
      <c r="N1488" t="s">
        <v>1432</v>
      </c>
      <c r="O1488">
        <v>36</v>
      </c>
      <c r="P1488">
        <v>74</v>
      </c>
      <c r="Q1488" t="s">
        <v>25</v>
      </c>
      <c r="R1488" t="s">
        <v>24</v>
      </c>
      <c r="S1488" t="s">
        <v>30</v>
      </c>
      <c r="T1488" t="s">
        <v>25</v>
      </c>
      <c r="U1488">
        <f t="shared" si="94"/>
        <v>2</v>
      </c>
      <c r="W1488">
        <v>0.64800000000000002</v>
      </c>
      <c r="X1488" t="s">
        <v>1409</v>
      </c>
      <c r="Y1488">
        <v>177</v>
      </c>
      <c r="Z1488">
        <v>81</v>
      </c>
      <c r="AA1488" t="s">
        <v>31</v>
      </c>
      <c r="AB1488">
        <v>115</v>
      </c>
      <c r="AC1488" s="23">
        <v>3.19</v>
      </c>
      <c r="AD1488" t="str">
        <f>IF(AND('CVD Dataset'!AA1488="Normal",'CVD Dataset'!AB1488&gt;AVERAGE('CVD Dataset'!AB:AB),'CVD Dataset'!AF1488="High"),"High Lipid Category","Normal Category")</f>
        <v>Normal Category</v>
      </c>
      <c r="AE1488">
        <v>16.565000000000001</v>
      </c>
      <c r="AF1488" t="s">
        <v>32</v>
      </c>
      <c r="AG1488">
        <v>0</v>
      </c>
      <c r="AH1488" t="s">
        <v>1379</v>
      </c>
      <c r="AI1488">
        <f t="shared" si="95"/>
        <v>1</v>
      </c>
      <c r="AJ1488" t="s">
        <v>1391</v>
      </c>
    </row>
    <row r="1489" spans="1:36" x14ac:dyDescent="0.3">
      <c r="A1489" t="s">
        <v>22</v>
      </c>
      <c r="B1489">
        <v>57</v>
      </c>
      <c r="C1489">
        <v>89.650999999999996</v>
      </c>
      <c r="D1489">
        <v>1.603</v>
      </c>
      <c r="E1489">
        <v>27.783000000000001</v>
      </c>
      <c r="F1489">
        <f t="shared" si="93"/>
        <v>34.888965597489737</v>
      </c>
      <c r="G1489">
        <f t="shared" si="96"/>
        <v>1</v>
      </c>
      <c r="H1489" t="s">
        <v>1400</v>
      </c>
      <c r="I1489">
        <v>70.403000000000006</v>
      </c>
      <c r="J1489" t="s">
        <v>1261</v>
      </c>
      <c r="K1489" s="24">
        <v>129</v>
      </c>
      <c r="L1489" s="24">
        <v>108</v>
      </c>
      <c r="N1489" t="s">
        <v>1434</v>
      </c>
      <c r="O1489">
        <v>52</v>
      </c>
      <c r="P1489">
        <v>151</v>
      </c>
      <c r="Q1489" t="s">
        <v>25</v>
      </c>
      <c r="R1489" t="s">
        <v>24</v>
      </c>
      <c r="S1489" t="s">
        <v>39</v>
      </c>
      <c r="T1489" t="s">
        <v>25</v>
      </c>
      <c r="U1489">
        <f t="shared" si="94"/>
        <v>2</v>
      </c>
      <c r="V1489">
        <v>160.32599999999999</v>
      </c>
      <c r="W1489">
        <v>0.439</v>
      </c>
      <c r="X1489" t="s">
        <v>1408</v>
      </c>
      <c r="Y1489">
        <v>129</v>
      </c>
      <c r="Z1489">
        <v>108</v>
      </c>
      <c r="AA1489" t="s">
        <v>40</v>
      </c>
      <c r="AB1489">
        <v>112</v>
      </c>
      <c r="AC1489" s="23">
        <v>2.15</v>
      </c>
      <c r="AD1489" t="str">
        <f>IF(AND('CVD Dataset'!AA1489="Normal",'CVD Dataset'!AB1489&gt;AVERAGE('CVD Dataset'!AB:AB),'CVD Dataset'!AF1489="High"),"High Lipid Category","Normal Category")</f>
        <v>Normal Category</v>
      </c>
      <c r="AF1489" t="s">
        <v>28</v>
      </c>
      <c r="AG1489">
        <v>0</v>
      </c>
      <c r="AH1489" t="s">
        <v>1380</v>
      </c>
      <c r="AI1489">
        <f t="shared" si="95"/>
        <v>0</v>
      </c>
      <c r="AJ1489" t="s">
        <v>1391</v>
      </c>
    </row>
    <row r="1490" spans="1:36" x14ac:dyDescent="0.3">
      <c r="A1490" t="s">
        <v>22</v>
      </c>
      <c r="B1490">
        <v>31</v>
      </c>
      <c r="C1490">
        <v>62.347000000000001</v>
      </c>
      <c r="D1490">
        <v>1.5349999999999999</v>
      </c>
      <c r="E1490">
        <v>32.843000000000004</v>
      </c>
      <c r="F1490">
        <f t="shared" si="93"/>
        <v>26.460546000488073</v>
      </c>
      <c r="G1490">
        <f t="shared" si="96"/>
        <v>1</v>
      </c>
      <c r="H1490" t="s">
        <v>1399</v>
      </c>
      <c r="I1490">
        <v>89.638000000000005</v>
      </c>
      <c r="J1490" t="s">
        <v>1262</v>
      </c>
      <c r="K1490" s="24">
        <v>125</v>
      </c>
      <c r="L1490" s="24">
        <v>86</v>
      </c>
      <c r="M1490">
        <v>177</v>
      </c>
      <c r="N1490" t="s">
        <v>1433</v>
      </c>
      <c r="P1490">
        <v>87</v>
      </c>
      <c r="Q1490" t="s">
        <v>25</v>
      </c>
      <c r="R1490" t="s">
        <v>25</v>
      </c>
      <c r="S1490" t="s">
        <v>26</v>
      </c>
      <c r="T1490" t="s">
        <v>25</v>
      </c>
      <c r="U1490">
        <f t="shared" si="94"/>
        <v>4</v>
      </c>
      <c r="V1490">
        <v>153.51300000000001</v>
      </c>
      <c r="W1490">
        <v>0.58399999999999996</v>
      </c>
      <c r="X1490" t="s">
        <v>1407</v>
      </c>
      <c r="Y1490">
        <v>125</v>
      </c>
      <c r="Z1490">
        <v>86</v>
      </c>
      <c r="AA1490" t="s">
        <v>31</v>
      </c>
      <c r="AB1490">
        <v>90</v>
      </c>
      <c r="AC1490" s="23" t="s">
        <v>1410</v>
      </c>
      <c r="AD1490" t="str">
        <f>IF(AND('CVD Dataset'!AA1490="Normal",'CVD Dataset'!AB1490&gt;AVERAGE('CVD Dataset'!AB:AB),'CVD Dataset'!AF1490="High"),"High Lipid Category","Normal Category")</f>
        <v>Normal Category</v>
      </c>
      <c r="AE1490">
        <v>18.359000000000002</v>
      </c>
      <c r="AF1490" t="s">
        <v>32</v>
      </c>
      <c r="AG1490">
        <v>0</v>
      </c>
      <c r="AH1490" t="s">
        <v>1379</v>
      </c>
      <c r="AI1490">
        <f t="shared" si="95"/>
        <v>1</v>
      </c>
      <c r="AJ1490" t="s">
        <v>1391</v>
      </c>
    </row>
    <row r="1491" spans="1:36" x14ac:dyDescent="0.3">
      <c r="A1491" t="s">
        <v>22</v>
      </c>
      <c r="B1491">
        <v>74</v>
      </c>
      <c r="C1491">
        <v>64.405000000000001</v>
      </c>
      <c r="D1491">
        <v>1.601</v>
      </c>
      <c r="E1491">
        <v>35.043999999999997</v>
      </c>
      <c r="F1491">
        <f t="shared" si="93"/>
        <v>25.126784828813662</v>
      </c>
      <c r="G1491">
        <f t="shared" si="96"/>
        <v>1</v>
      </c>
      <c r="H1491" t="s">
        <v>1399</v>
      </c>
      <c r="I1491">
        <v>109.708</v>
      </c>
      <c r="J1491" t="s">
        <v>1263</v>
      </c>
      <c r="K1491" s="24">
        <v>122</v>
      </c>
      <c r="L1491" s="24">
        <v>85</v>
      </c>
      <c r="M1491">
        <v>171</v>
      </c>
      <c r="N1491" t="s">
        <v>1433</v>
      </c>
      <c r="O1491">
        <v>79</v>
      </c>
      <c r="P1491">
        <v>136</v>
      </c>
      <c r="Q1491" t="s">
        <v>24</v>
      </c>
      <c r="R1491" t="s">
        <v>25</v>
      </c>
      <c r="S1491" t="s">
        <v>39</v>
      </c>
      <c r="T1491" t="s">
        <v>24</v>
      </c>
      <c r="U1491">
        <f t="shared" si="94"/>
        <v>1</v>
      </c>
      <c r="V1491">
        <v>160.13</v>
      </c>
      <c r="W1491">
        <v>0.68500000000000005</v>
      </c>
      <c r="X1491" t="s">
        <v>1409</v>
      </c>
      <c r="Y1491">
        <v>122</v>
      </c>
      <c r="Z1491">
        <v>85</v>
      </c>
      <c r="AA1491" t="s">
        <v>31</v>
      </c>
      <c r="AB1491">
        <v>62</v>
      </c>
      <c r="AC1491" s="23">
        <v>0.78</v>
      </c>
      <c r="AD1491" t="str">
        <f>IF(AND('CVD Dataset'!AA1491="Normal",'CVD Dataset'!AB1491&gt;AVERAGE('CVD Dataset'!AB:AB),'CVD Dataset'!AF1491="High"),"High Lipid Category","Normal Category")</f>
        <v>Normal Category</v>
      </c>
      <c r="AE1491">
        <v>18.529</v>
      </c>
      <c r="AF1491" t="s">
        <v>54</v>
      </c>
      <c r="AG1491">
        <v>0</v>
      </c>
      <c r="AH1491" t="s">
        <v>1380</v>
      </c>
      <c r="AI1491">
        <f t="shared" si="95"/>
        <v>0</v>
      </c>
      <c r="AJ1491" t="s">
        <v>1392</v>
      </c>
    </row>
    <row r="1492" spans="1:36" x14ac:dyDescent="0.3">
      <c r="A1492" t="s">
        <v>22</v>
      </c>
      <c r="B1492">
        <v>32</v>
      </c>
      <c r="D1492">
        <v>1.8979999999999999</v>
      </c>
      <c r="E1492">
        <v>36.837000000000003</v>
      </c>
      <c r="F1492">
        <f t="shared" si="93"/>
        <v>0</v>
      </c>
      <c r="G1492">
        <f t="shared" si="96"/>
        <v>1</v>
      </c>
      <c r="H1492" t="s">
        <v>1399</v>
      </c>
      <c r="I1492">
        <v>72.41</v>
      </c>
      <c r="J1492" t="s">
        <v>1264</v>
      </c>
      <c r="K1492" s="24">
        <v>125</v>
      </c>
      <c r="L1492" s="24">
        <v>111</v>
      </c>
      <c r="M1492">
        <v>233</v>
      </c>
      <c r="N1492" t="s">
        <v>1432</v>
      </c>
      <c r="O1492">
        <v>52</v>
      </c>
      <c r="P1492">
        <v>84</v>
      </c>
      <c r="Q1492" t="s">
        <v>24</v>
      </c>
      <c r="R1492" t="s">
        <v>24</v>
      </c>
      <c r="S1492" t="s">
        <v>30</v>
      </c>
      <c r="T1492" t="s">
        <v>25</v>
      </c>
      <c r="U1492">
        <f t="shared" si="94"/>
        <v>1</v>
      </c>
      <c r="V1492">
        <v>189.815</v>
      </c>
      <c r="W1492">
        <v>0.38100000000000001</v>
      </c>
      <c r="X1492" t="s">
        <v>1408</v>
      </c>
      <c r="Y1492">
        <v>125</v>
      </c>
      <c r="AA1492" t="s">
        <v>40</v>
      </c>
      <c r="AB1492">
        <v>151</v>
      </c>
      <c r="AC1492" s="23">
        <v>2.9</v>
      </c>
      <c r="AD1492" t="str">
        <f>IF(AND('CVD Dataset'!AA1492="Normal",'CVD Dataset'!AB1492&gt;AVERAGE('CVD Dataset'!AB:AB),'CVD Dataset'!AF1492="High"),"High Lipid Category","Normal Category")</f>
        <v>Normal Category</v>
      </c>
      <c r="AE1492">
        <v>18.277000000000001</v>
      </c>
      <c r="AF1492" t="s">
        <v>28</v>
      </c>
      <c r="AG1492">
        <v>0</v>
      </c>
      <c r="AH1492" t="s">
        <v>1380</v>
      </c>
      <c r="AI1492">
        <f t="shared" si="95"/>
        <v>0</v>
      </c>
      <c r="AJ1492" t="s">
        <v>1391</v>
      </c>
    </row>
    <row r="1493" spans="1:36" x14ac:dyDescent="0.3">
      <c r="A1493" t="s">
        <v>33</v>
      </c>
      <c r="B1493">
        <v>40</v>
      </c>
      <c r="C1493">
        <v>114.426</v>
      </c>
      <c r="D1493">
        <v>1.823</v>
      </c>
      <c r="E1493">
        <v>38.582000000000001</v>
      </c>
      <c r="F1493">
        <f t="shared" si="93"/>
        <v>34.431138175004648</v>
      </c>
      <c r="G1493">
        <f t="shared" si="96"/>
        <v>1</v>
      </c>
      <c r="H1493" t="s">
        <v>1399</v>
      </c>
      <c r="I1493">
        <v>105.06699999999999</v>
      </c>
      <c r="J1493" t="s">
        <v>1265</v>
      </c>
      <c r="K1493" s="24">
        <v>171</v>
      </c>
      <c r="L1493" s="24">
        <v>86</v>
      </c>
      <c r="M1493">
        <v>140</v>
      </c>
      <c r="N1493" t="s">
        <v>1434</v>
      </c>
      <c r="O1493">
        <v>54</v>
      </c>
      <c r="P1493">
        <v>116</v>
      </c>
      <c r="Q1493" t="s">
        <v>25</v>
      </c>
      <c r="R1493" t="s">
        <v>25</v>
      </c>
      <c r="S1493" t="s">
        <v>30</v>
      </c>
      <c r="T1493" t="s">
        <v>24</v>
      </c>
      <c r="U1493">
        <f t="shared" si="94"/>
        <v>2</v>
      </c>
      <c r="V1493">
        <v>182.28700000000001</v>
      </c>
      <c r="W1493">
        <v>0.57599999999999996</v>
      </c>
      <c r="X1493" t="s">
        <v>1407</v>
      </c>
      <c r="Y1493">
        <v>171</v>
      </c>
      <c r="Z1493">
        <v>86</v>
      </c>
      <c r="AA1493" t="s">
        <v>31</v>
      </c>
      <c r="AB1493">
        <v>56</v>
      </c>
      <c r="AC1493" s="23">
        <v>1.04</v>
      </c>
      <c r="AD1493" t="str">
        <f>IF(AND('CVD Dataset'!AA1493="Normal",'CVD Dataset'!AB1493&gt;AVERAGE('CVD Dataset'!AB:AB),'CVD Dataset'!AF1493="High"),"High Lipid Category","Normal Category")</f>
        <v>Normal Category</v>
      </c>
      <c r="AE1493">
        <v>21.065999999999999</v>
      </c>
      <c r="AF1493" t="s">
        <v>32</v>
      </c>
      <c r="AG1493">
        <v>0</v>
      </c>
      <c r="AH1493" t="s">
        <v>1379</v>
      </c>
      <c r="AI1493">
        <f t="shared" si="95"/>
        <v>1</v>
      </c>
      <c r="AJ1493" t="s">
        <v>1391</v>
      </c>
    </row>
    <row r="1494" spans="1:36" x14ac:dyDescent="0.3">
      <c r="A1494" t="s">
        <v>33</v>
      </c>
      <c r="B1494">
        <v>67</v>
      </c>
      <c r="C1494">
        <v>87.046000000000006</v>
      </c>
      <c r="D1494">
        <v>1.5249999999999999</v>
      </c>
      <c r="E1494">
        <v>23.282</v>
      </c>
      <c r="F1494">
        <f t="shared" si="93"/>
        <v>37.429078204783671</v>
      </c>
      <c r="G1494">
        <f t="shared" si="96"/>
        <v>1</v>
      </c>
      <c r="H1494" t="s">
        <v>1398</v>
      </c>
      <c r="I1494">
        <v>112.155</v>
      </c>
      <c r="J1494" t="s">
        <v>1266</v>
      </c>
      <c r="K1494" s="24">
        <v>128</v>
      </c>
      <c r="L1494" s="24">
        <v>84</v>
      </c>
      <c r="M1494">
        <v>209</v>
      </c>
      <c r="N1494" t="s">
        <v>1432</v>
      </c>
      <c r="O1494">
        <v>41</v>
      </c>
      <c r="P1494">
        <v>137</v>
      </c>
      <c r="Q1494" t="s">
        <v>24</v>
      </c>
      <c r="R1494" t="s">
        <v>24</v>
      </c>
      <c r="S1494" t="s">
        <v>30</v>
      </c>
      <c r="T1494" t="s">
        <v>24</v>
      </c>
      <c r="U1494">
        <f t="shared" si="94"/>
        <v>0</v>
      </c>
      <c r="V1494">
        <v>152.53800000000001</v>
      </c>
      <c r="W1494">
        <v>0.73499999999999999</v>
      </c>
      <c r="X1494" t="s">
        <v>1409</v>
      </c>
      <c r="Y1494">
        <v>128</v>
      </c>
      <c r="Z1494">
        <v>84</v>
      </c>
      <c r="AA1494" t="s">
        <v>31</v>
      </c>
      <c r="AB1494">
        <v>138</v>
      </c>
      <c r="AC1494" s="23">
        <v>3.37</v>
      </c>
      <c r="AD1494" t="str">
        <f>IF(AND('CVD Dataset'!AA1494="Normal",'CVD Dataset'!AB1494&gt;AVERAGE('CVD Dataset'!AB:AB),'CVD Dataset'!AF1494="High"),"High Lipid Category","Normal Category")</f>
        <v>Normal Category</v>
      </c>
      <c r="AE1494">
        <v>15.236000000000001</v>
      </c>
      <c r="AF1494" t="s">
        <v>32</v>
      </c>
      <c r="AG1494">
        <v>0</v>
      </c>
      <c r="AH1494" t="s">
        <v>1379</v>
      </c>
      <c r="AI1494">
        <f t="shared" si="95"/>
        <v>1</v>
      </c>
      <c r="AJ1494" t="s">
        <v>1391</v>
      </c>
    </row>
    <row r="1495" spans="1:36" x14ac:dyDescent="0.3">
      <c r="A1495" t="s">
        <v>22</v>
      </c>
      <c r="B1495">
        <v>30</v>
      </c>
      <c r="C1495">
        <v>89.635999999999996</v>
      </c>
      <c r="D1495">
        <v>1.752</v>
      </c>
      <c r="E1495">
        <v>23.7</v>
      </c>
      <c r="F1495">
        <f t="shared" si="93"/>
        <v>29.202112132774548</v>
      </c>
      <c r="G1495">
        <f t="shared" si="96"/>
        <v>1</v>
      </c>
      <c r="H1495" t="s">
        <v>1398</v>
      </c>
      <c r="I1495">
        <v>78.406000000000006</v>
      </c>
      <c r="J1495" t="s">
        <v>1267</v>
      </c>
      <c r="K1495" s="24">
        <v>148</v>
      </c>
      <c r="L1495" s="24">
        <v>63</v>
      </c>
      <c r="M1495">
        <v>292</v>
      </c>
      <c r="N1495" t="s">
        <v>1432</v>
      </c>
      <c r="P1495">
        <v>154</v>
      </c>
      <c r="Q1495" t="s">
        <v>24</v>
      </c>
      <c r="R1495" t="s">
        <v>24</v>
      </c>
      <c r="S1495" t="s">
        <v>26</v>
      </c>
      <c r="T1495" t="s">
        <v>24</v>
      </c>
      <c r="U1495">
        <f t="shared" si="94"/>
        <v>1</v>
      </c>
      <c r="V1495">
        <v>175.22300000000001</v>
      </c>
      <c r="W1495">
        <v>0.44700000000000001</v>
      </c>
      <c r="X1495" t="s">
        <v>1408</v>
      </c>
      <c r="Y1495">
        <v>148</v>
      </c>
      <c r="Z1495">
        <v>63</v>
      </c>
      <c r="AA1495" t="s">
        <v>40</v>
      </c>
      <c r="AB1495">
        <v>223</v>
      </c>
      <c r="AC1495" s="23" t="s">
        <v>1410</v>
      </c>
      <c r="AD1495" t="str">
        <f>IF(AND('CVD Dataset'!AA1495="Normal",'CVD Dataset'!AB1495&gt;AVERAGE('CVD Dataset'!AB:AB),'CVD Dataset'!AF1495="High"),"High Lipid Category","Normal Category")</f>
        <v>Normal Category</v>
      </c>
      <c r="AE1495">
        <v>17.98</v>
      </c>
      <c r="AF1495" t="s">
        <v>32</v>
      </c>
      <c r="AG1495">
        <v>0</v>
      </c>
      <c r="AH1495" t="s">
        <v>1379</v>
      </c>
      <c r="AI1495">
        <f t="shared" si="95"/>
        <v>1</v>
      </c>
      <c r="AJ1495" t="s">
        <v>1391</v>
      </c>
    </row>
    <row r="1496" spans="1:36" x14ac:dyDescent="0.3">
      <c r="A1496" t="s">
        <v>33</v>
      </c>
      <c r="B1496">
        <v>79</v>
      </c>
      <c r="C1496">
        <v>71.016000000000005</v>
      </c>
      <c r="D1496">
        <v>1.7689999999999999</v>
      </c>
      <c r="E1496">
        <v>29.196999999999999</v>
      </c>
      <c r="F1496">
        <f t="shared" si="93"/>
        <v>22.693450835490061</v>
      </c>
      <c r="G1496">
        <f t="shared" si="96"/>
        <v>1</v>
      </c>
      <c r="H1496" t="s">
        <v>1400</v>
      </c>
      <c r="I1496">
        <v>85.153999999999996</v>
      </c>
      <c r="J1496" t="s">
        <v>258</v>
      </c>
      <c r="K1496" s="24">
        <v>127</v>
      </c>
      <c r="L1496" s="24">
        <v>84</v>
      </c>
      <c r="M1496">
        <v>173</v>
      </c>
      <c r="N1496" t="s">
        <v>1433</v>
      </c>
      <c r="O1496">
        <v>81</v>
      </c>
      <c r="P1496">
        <v>139</v>
      </c>
      <c r="Q1496" t="s">
        <v>24</v>
      </c>
      <c r="R1496" t="s">
        <v>24</v>
      </c>
      <c r="S1496" t="s">
        <v>26</v>
      </c>
      <c r="T1496" t="s">
        <v>24</v>
      </c>
      <c r="U1496">
        <f t="shared" si="94"/>
        <v>1</v>
      </c>
      <c r="V1496">
        <v>176.90100000000001</v>
      </c>
      <c r="W1496">
        <v>0.48099999999999998</v>
      </c>
      <c r="X1496" t="s">
        <v>1406</v>
      </c>
      <c r="Y1496">
        <v>127</v>
      </c>
      <c r="Z1496">
        <v>84</v>
      </c>
      <c r="AA1496" t="s">
        <v>31</v>
      </c>
      <c r="AB1496">
        <v>62</v>
      </c>
      <c r="AC1496" s="23">
        <v>0.77</v>
      </c>
      <c r="AD1496" t="str">
        <f>IF(AND('CVD Dataset'!AA1496="Normal",'CVD Dataset'!AB1496&gt;AVERAGE('CVD Dataset'!AB:AB),'CVD Dataset'!AF1496="High"),"High Lipid Category","Normal Category")</f>
        <v>Normal Category</v>
      </c>
      <c r="AF1496" t="s">
        <v>54</v>
      </c>
      <c r="AG1496">
        <v>0</v>
      </c>
      <c r="AH1496" t="s">
        <v>1380</v>
      </c>
      <c r="AI1496">
        <f t="shared" si="95"/>
        <v>0</v>
      </c>
      <c r="AJ1496" t="s">
        <v>1391</v>
      </c>
    </row>
    <row r="1497" spans="1:36" x14ac:dyDescent="0.3">
      <c r="A1497" t="s">
        <v>22</v>
      </c>
      <c r="B1497">
        <v>62</v>
      </c>
      <c r="C1497">
        <v>114.762</v>
      </c>
      <c r="D1497">
        <v>1.9079999999999999</v>
      </c>
      <c r="E1497">
        <v>29.827000000000002</v>
      </c>
      <c r="F1497">
        <f t="shared" si="93"/>
        <v>31.524003533615499</v>
      </c>
      <c r="G1497">
        <f t="shared" si="96"/>
        <v>1</v>
      </c>
      <c r="H1497" t="s">
        <v>1400</v>
      </c>
      <c r="I1497">
        <v>75.754000000000005</v>
      </c>
      <c r="J1497" t="s">
        <v>1268</v>
      </c>
      <c r="K1497" s="24">
        <v>105</v>
      </c>
      <c r="L1497" s="24">
        <v>102</v>
      </c>
      <c r="M1497">
        <v>270</v>
      </c>
      <c r="N1497" t="s">
        <v>1432</v>
      </c>
      <c r="O1497">
        <v>53</v>
      </c>
      <c r="P1497">
        <v>189</v>
      </c>
      <c r="Q1497" t="s">
        <v>25</v>
      </c>
      <c r="R1497" t="s">
        <v>24</v>
      </c>
      <c r="S1497" t="s">
        <v>26</v>
      </c>
      <c r="T1497" t="s">
        <v>24</v>
      </c>
      <c r="U1497">
        <f t="shared" si="94"/>
        <v>2</v>
      </c>
      <c r="V1497">
        <v>190.84100000000001</v>
      </c>
      <c r="W1497">
        <v>0.39700000000000002</v>
      </c>
      <c r="X1497" t="s">
        <v>1408</v>
      </c>
      <c r="Y1497">
        <v>105</v>
      </c>
      <c r="Z1497">
        <v>102</v>
      </c>
      <c r="AA1497" t="s">
        <v>40</v>
      </c>
      <c r="AB1497">
        <v>187</v>
      </c>
      <c r="AC1497" s="23">
        <v>3.53</v>
      </c>
      <c r="AD1497" t="str">
        <f>IF(AND('CVD Dataset'!AA1497="Normal",'CVD Dataset'!AB1497&gt;AVERAGE('CVD Dataset'!AB:AB),'CVD Dataset'!AF1497="High"),"High Lipid Category","Normal Category")</f>
        <v>Normal Category</v>
      </c>
      <c r="AE1497">
        <v>16.614999999999998</v>
      </c>
      <c r="AF1497" t="s">
        <v>28</v>
      </c>
      <c r="AG1497">
        <v>0</v>
      </c>
      <c r="AH1497" t="s">
        <v>1380</v>
      </c>
      <c r="AI1497">
        <f t="shared" si="95"/>
        <v>0</v>
      </c>
      <c r="AJ1497" t="s">
        <v>1391</v>
      </c>
    </row>
    <row r="1498" spans="1:36" x14ac:dyDescent="0.3">
      <c r="A1498" t="s">
        <v>33</v>
      </c>
      <c r="B1498">
        <v>47</v>
      </c>
      <c r="C1498">
        <v>85.018000000000001</v>
      </c>
      <c r="D1498">
        <v>1.913</v>
      </c>
      <c r="F1498">
        <f t="shared" si="93"/>
        <v>23.231697503175919</v>
      </c>
      <c r="G1498">
        <f t="shared" si="96"/>
        <v>1</v>
      </c>
      <c r="H1498" t="s">
        <v>1401</v>
      </c>
      <c r="I1498">
        <v>115.545</v>
      </c>
      <c r="J1498" t="s">
        <v>1251</v>
      </c>
      <c r="K1498" s="24">
        <v>171</v>
      </c>
      <c r="L1498" s="24">
        <v>75</v>
      </c>
      <c r="M1498">
        <v>243</v>
      </c>
      <c r="N1498" t="s">
        <v>1432</v>
      </c>
      <c r="O1498">
        <v>82</v>
      </c>
      <c r="P1498">
        <v>157</v>
      </c>
      <c r="Q1498" t="s">
        <v>25</v>
      </c>
      <c r="R1498" t="s">
        <v>24</v>
      </c>
      <c r="S1498" t="s">
        <v>39</v>
      </c>
      <c r="T1498" t="s">
        <v>25</v>
      </c>
      <c r="U1498">
        <f t="shared" si="94"/>
        <v>2</v>
      </c>
      <c r="V1498">
        <v>191.29900000000001</v>
      </c>
      <c r="W1498">
        <v>0.60399999999999998</v>
      </c>
      <c r="X1498" t="s">
        <v>1409</v>
      </c>
      <c r="Y1498">
        <v>171</v>
      </c>
      <c r="Z1498">
        <v>75</v>
      </c>
      <c r="AA1498" t="s">
        <v>40</v>
      </c>
      <c r="AC1498" s="23">
        <v>0</v>
      </c>
      <c r="AD1498" t="str">
        <f>IF(AND('CVD Dataset'!AA1498="Normal",'CVD Dataset'!AB1498&gt;AVERAGE('CVD Dataset'!AB:AB),'CVD Dataset'!AF1498="High"),"High Lipid Category","Normal Category")</f>
        <v>Normal Category</v>
      </c>
      <c r="AE1498">
        <v>17.579000000000001</v>
      </c>
      <c r="AF1498" t="s">
        <v>28</v>
      </c>
      <c r="AG1498">
        <v>0</v>
      </c>
      <c r="AH1498" t="s">
        <v>1380</v>
      </c>
      <c r="AI1498">
        <f t="shared" si="95"/>
        <v>0</v>
      </c>
      <c r="AJ1498" t="s">
        <v>1391</v>
      </c>
    </row>
    <row r="1499" spans="1:36" x14ac:dyDescent="0.3">
      <c r="A1499" t="s">
        <v>22</v>
      </c>
      <c r="B1499">
        <v>33</v>
      </c>
      <c r="C1499">
        <v>117.861</v>
      </c>
      <c r="D1499">
        <v>1.708</v>
      </c>
      <c r="E1499">
        <v>29.817</v>
      </c>
      <c r="F1499">
        <f t="shared" si="93"/>
        <v>40.401211546161065</v>
      </c>
      <c r="G1499">
        <f t="shared" si="96"/>
        <v>1</v>
      </c>
      <c r="H1499" t="s">
        <v>1400</v>
      </c>
      <c r="I1499">
        <v>79.664000000000001</v>
      </c>
      <c r="J1499" t="s">
        <v>1269</v>
      </c>
      <c r="K1499" s="24">
        <v>105</v>
      </c>
      <c r="L1499" s="24">
        <v>118</v>
      </c>
      <c r="M1499">
        <v>154</v>
      </c>
      <c r="N1499" t="s">
        <v>1433</v>
      </c>
      <c r="O1499">
        <v>66</v>
      </c>
      <c r="P1499">
        <v>96</v>
      </c>
      <c r="Q1499" t="s">
        <v>24</v>
      </c>
      <c r="R1499" t="s">
        <v>24</v>
      </c>
      <c r="S1499" t="s">
        <v>39</v>
      </c>
      <c r="T1499" t="s">
        <v>25</v>
      </c>
      <c r="U1499">
        <f t="shared" si="94"/>
        <v>1</v>
      </c>
      <c r="V1499">
        <v>170.84700000000001</v>
      </c>
      <c r="W1499">
        <v>0.46600000000000003</v>
      </c>
      <c r="X1499" t="s">
        <v>1406</v>
      </c>
      <c r="Y1499">
        <v>105</v>
      </c>
      <c r="Z1499">
        <v>118</v>
      </c>
      <c r="AA1499" t="s">
        <v>40</v>
      </c>
      <c r="AB1499">
        <v>58</v>
      </c>
      <c r="AC1499" s="23">
        <v>0.88</v>
      </c>
      <c r="AD1499" t="str">
        <f>IF(AND('CVD Dataset'!AA1499="Normal",'CVD Dataset'!AB1499&gt;AVERAGE('CVD Dataset'!AB:AB),'CVD Dataset'!AF1499="High"),"High Lipid Category","Normal Category")</f>
        <v>Normal Category</v>
      </c>
      <c r="AE1499">
        <v>14.292999999999999</v>
      </c>
      <c r="AF1499" t="s">
        <v>28</v>
      </c>
      <c r="AG1499">
        <v>0</v>
      </c>
      <c r="AH1499" t="s">
        <v>1380</v>
      </c>
      <c r="AI1499">
        <f t="shared" si="95"/>
        <v>0</v>
      </c>
      <c r="AJ1499" t="s">
        <v>1391</v>
      </c>
    </row>
    <row r="1500" spans="1:36" x14ac:dyDescent="0.3">
      <c r="A1500" t="s">
        <v>22</v>
      </c>
      <c r="B1500">
        <v>27</v>
      </c>
      <c r="C1500">
        <v>107.306</v>
      </c>
      <c r="D1500">
        <v>1.516</v>
      </c>
      <c r="E1500">
        <v>33.795999999999999</v>
      </c>
      <c r="F1500">
        <f t="shared" si="93"/>
        <v>46.690185949694033</v>
      </c>
      <c r="G1500">
        <f t="shared" si="96"/>
        <v>1</v>
      </c>
      <c r="H1500" t="s">
        <v>1399</v>
      </c>
      <c r="I1500">
        <v>97.468999999999994</v>
      </c>
      <c r="J1500" t="s">
        <v>507</v>
      </c>
      <c r="K1500" s="24">
        <v>144</v>
      </c>
      <c r="L1500" s="24">
        <v>86</v>
      </c>
      <c r="M1500">
        <v>234</v>
      </c>
      <c r="N1500" t="s">
        <v>1432</v>
      </c>
      <c r="O1500">
        <v>55</v>
      </c>
      <c r="P1500">
        <v>160</v>
      </c>
      <c r="Q1500" t="s">
        <v>25</v>
      </c>
      <c r="R1500" t="s">
        <v>25</v>
      </c>
      <c r="S1500" t="s">
        <v>39</v>
      </c>
      <c r="T1500" t="s">
        <v>25</v>
      </c>
      <c r="U1500">
        <f t="shared" si="94"/>
        <v>3</v>
      </c>
      <c r="V1500">
        <v>151.61600000000001</v>
      </c>
      <c r="W1500">
        <v>0.64300000000000002</v>
      </c>
      <c r="X1500" t="s">
        <v>1409</v>
      </c>
      <c r="Y1500">
        <v>144</v>
      </c>
      <c r="Z1500">
        <v>86</v>
      </c>
      <c r="AA1500" t="s">
        <v>31</v>
      </c>
      <c r="AB1500">
        <v>149</v>
      </c>
      <c r="AC1500" s="23">
        <v>2.71</v>
      </c>
      <c r="AD1500" t="str">
        <f>IF(AND('CVD Dataset'!AA1500="Normal",'CVD Dataset'!AB1500&gt;AVERAGE('CVD Dataset'!AB:AB),'CVD Dataset'!AF1500="High"),"High Lipid Category","Normal Category")</f>
        <v>Normal Category</v>
      </c>
      <c r="AF1500" t="s">
        <v>54</v>
      </c>
      <c r="AG1500">
        <v>0</v>
      </c>
      <c r="AH1500" t="s">
        <v>1380</v>
      </c>
      <c r="AI1500">
        <f t="shared" si="95"/>
        <v>0</v>
      </c>
      <c r="AJ1500" t="s">
        <v>1391</v>
      </c>
    </row>
    <row r="1501" spans="1:36" x14ac:dyDescent="0.3">
      <c r="A1501" t="s">
        <v>22</v>
      </c>
      <c r="B1501">
        <v>59</v>
      </c>
      <c r="C1501">
        <v>91.667000000000002</v>
      </c>
      <c r="D1501">
        <v>1.5109999999999999</v>
      </c>
      <c r="E1501">
        <v>21.881</v>
      </c>
      <c r="F1501">
        <f t="shared" si="93"/>
        <v>40.149865031244524</v>
      </c>
      <c r="G1501">
        <f t="shared" si="96"/>
        <v>1</v>
      </c>
      <c r="H1501" t="s">
        <v>1398</v>
      </c>
      <c r="I1501">
        <v>80.91</v>
      </c>
      <c r="J1501" t="s">
        <v>1270</v>
      </c>
      <c r="K1501" s="24">
        <v>144</v>
      </c>
      <c r="L1501" s="24">
        <v>64</v>
      </c>
      <c r="M1501">
        <v>231</v>
      </c>
      <c r="N1501" t="s">
        <v>1432</v>
      </c>
      <c r="O1501">
        <v>76</v>
      </c>
      <c r="P1501">
        <v>183</v>
      </c>
      <c r="Q1501" t="s">
        <v>24</v>
      </c>
      <c r="R1501" t="s">
        <v>24</v>
      </c>
      <c r="S1501" t="s">
        <v>26</v>
      </c>
      <c r="T1501" t="s">
        <v>24</v>
      </c>
      <c r="U1501">
        <f t="shared" si="94"/>
        <v>1</v>
      </c>
      <c r="V1501">
        <v>151.09700000000001</v>
      </c>
      <c r="W1501">
        <v>0.53500000000000003</v>
      </c>
      <c r="X1501" t="s">
        <v>1407</v>
      </c>
      <c r="Y1501">
        <v>144</v>
      </c>
      <c r="Z1501">
        <v>64</v>
      </c>
      <c r="AA1501" t="s">
        <v>40</v>
      </c>
      <c r="AB1501">
        <v>125</v>
      </c>
      <c r="AC1501" s="23">
        <v>1.64</v>
      </c>
      <c r="AD1501" t="str">
        <f>IF(AND('CVD Dataset'!AA1501="Normal",'CVD Dataset'!AB1501&gt;AVERAGE('CVD Dataset'!AB:AB),'CVD Dataset'!AF1501="High"),"High Lipid Category","Normal Category")</f>
        <v>Normal Category</v>
      </c>
      <c r="AE1501">
        <v>16.196000000000002</v>
      </c>
      <c r="AF1501" t="s">
        <v>32</v>
      </c>
      <c r="AG1501">
        <v>1</v>
      </c>
      <c r="AH1501" t="s">
        <v>1379</v>
      </c>
      <c r="AI1501">
        <f t="shared" si="95"/>
        <v>1</v>
      </c>
      <c r="AJ1501" t="s">
        <v>1391</v>
      </c>
    </row>
    <row r="1502" spans="1:36" x14ac:dyDescent="0.3">
      <c r="A1502" t="s">
        <v>33</v>
      </c>
      <c r="B1502">
        <v>25</v>
      </c>
      <c r="C1502">
        <v>65.382999999999996</v>
      </c>
      <c r="D1502">
        <v>1.504</v>
      </c>
      <c r="E1502">
        <v>28.513000000000002</v>
      </c>
      <c r="F1502">
        <f t="shared" si="93"/>
        <v>28.904746916025349</v>
      </c>
      <c r="G1502">
        <f t="shared" si="96"/>
        <v>1</v>
      </c>
      <c r="H1502" t="s">
        <v>1400</v>
      </c>
      <c r="I1502">
        <v>73.721999999999994</v>
      </c>
      <c r="J1502" t="s">
        <v>639</v>
      </c>
      <c r="K1502" s="24">
        <v>98</v>
      </c>
      <c r="L1502" s="24">
        <v>85</v>
      </c>
      <c r="M1502">
        <v>123</v>
      </c>
      <c r="N1502" t="s">
        <v>1434</v>
      </c>
      <c r="O1502">
        <v>48</v>
      </c>
      <c r="P1502">
        <v>137</v>
      </c>
      <c r="Q1502" t="s">
        <v>25</v>
      </c>
      <c r="R1502" t="s">
        <v>25</v>
      </c>
      <c r="S1502" t="s">
        <v>30</v>
      </c>
      <c r="T1502" t="s">
        <v>25</v>
      </c>
      <c r="U1502">
        <f t="shared" si="94"/>
        <v>3</v>
      </c>
      <c r="V1502">
        <v>150.39099999999999</v>
      </c>
      <c r="W1502">
        <v>0.49</v>
      </c>
      <c r="X1502" t="s">
        <v>1406</v>
      </c>
      <c r="Y1502">
        <v>98</v>
      </c>
      <c r="Z1502">
        <v>85</v>
      </c>
      <c r="AA1502" t="s">
        <v>31</v>
      </c>
      <c r="AB1502">
        <v>45</v>
      </c>
      <c r="AC1502" s="23">
        <v>0.94</v>
      </c>
      <c r="AD1502" t="str">
        <f>IF(AND('CVD Dataset'!AA1502="Normal",'CVD Dataset'!AB1502&gt;AVERAGE('CVD Dataset'!AB:AB),'CVD Dataset'!AF1502="High"),"High Lipid Category","Normal Category")</f>
        <v>Normal Category</v>
      </c>
      <c r="AE1502">
        <v>15.063000000000001</v>
      </c>
      <c r="AF1502" t="s">
        <v>32</v>
      </c>
      <c r="AG1502">
        <v>0</v>
      </c>
      <c r="AH1502" t="s">
        <v>1379</v>
      </c>
      <c r="AI1502">
        <f t="shared" si="95"/>
        <v>1</v>
      </c>
      <c r="AJ1502" t="s">
        <v>1391</v>
      </c>
    </row>
    <row r="1503" spans="1:36" x14ac:dyDescent="0.3">
      <c r="A1503" t="s">
        <v>33</v>
      </c>
      <c r="B1503">
        <v>68</v>
      </c>
      <c r="C1503">
        <v>113.78700000000001</v>
      </c>
      <c r="D1503">
        <v>1.9730000000000001</v>
      </c>
      <c r="E1503">
        <v>38.463999999999999</v>
      </c>
      <c r="F1503">
        <f t="shared" si="93"/>
        <v>29.230650271313515</v>
      </c>
      <c r="G1503">
        <f t="shared" si="96"/>
        <v>1</v>
      </c>
      <c r="H1503" t="s">
        <v>1399</v>
      </c>
      <c r="I1503">
        <v>71.033000000000001</v>
      </c>
      <c r="J1503" t="s">
        <v>1175</v>
      </c>
      <c r="K1503" s="24">
        <v>166</v>
      </c>
      <c r="L1503" s="24">
        <v>96</v>
      </c>
      <c r="M1503">
        <v>236</v>
      </c>
      <c r="N1503" t="s">
        <v>1432</v>
      </c>
      <c r="O1503">
        <v>77</v>
      </c>
      <c r="P1503">
        <v>71</v>
      </c>
      <c r="Q1503" t="s">
        <v>25</v>
      </c>
      <c r="R1503" t="s">
        <v>24</v>
      </c>
      <c r="S1503" t="s">
        <v>39</v>
      </c>
      <c r="T1503" t="s">
        <v>24</v>
      </c>
      <c r="U1503">
        <f t="shared" si="94"/>
        <v>1</v>
      </c>
      <c r="V1503">
        <v>197.28899999999999</v>
      </c>
      <c r="W1503">
        <v>0.36</v>
      </c>
      <c r="X1503" t="s">
        <v>1408</v>
      </c>
      <c r="Y1503">
        <v>166</v>
      </c>
      <c r="Z1503">
        <v>96</v>
      </c>
      <c r="AA1503" t="s">
        <v>40</v>
      </c>
      <c r="AB1503">
        <v>129</v>
      </c>
      <c r="AC1503" s="23">
        <v>1.68</v>
      </c>
      <c r="AD1503" t="str">
        <f>IF(AND('CVD Dataset'!AA1503="Normal",'CVD Dataset'!AB1503&gt;AVERAGE('CVD Dataset'!AB:AB),'CVD Dataset'!AF1503="High"),"High Lipid Category","Normal Category")</f>
        <v>Normal Category</v>
      </c>
      <c r="AE1503">
        <v>20.713000000000001</v>
      </c>
      <c r="AF1503" t="s">
        <v>54</v>
      </c>
      <c r="AG1503">
        <v>0</v>
      </c>
      <c r="AH1503" t="s">
        <v>1380</v>
      </c>
      <c r="AI1503">
        <f t="shared" si="95"/>
        <v>0</v>
      </c>
      <c r="AJ1503" t="s">
        <v>1391</v>
      </c>
    </row>
    <row r="1504" spans="1:36" x14ac:dyDescent="0.3">
      <c r="A1504" t="s">
        <v>22</v>
      </c>
      <c r="B1504">
        <v>52</v>
      </c>
      <c r="C1504">
        <v>80.429000000000002</v>
      </c>
      <c r="D1504">
        <v>1.7430000000000001</v>
      </c>
      <c r="E1504">
        <v>28.158999999999999</v>
      </c>
      <c r="F1504">
        <f t="shared" si="93"/>
        <v>26.473898215598233</v>
      </c>
      <c r="G1504">
        <f t="shared" si="96"/>
        <v>1</v>
      </c>
      <c r="H1504" t="s">
        <v>1400</v>
      </c>
      <c r="I1504">
        <v>82.548000000000002</v>
      </c>
      <c r="J1504" t="s">
        <v>1271</v>
      </c>
      <c r="K1504" s="24">
        <v>146</v>
      </c>
      <c r="L1504" s="24">
        <v>75</v>
      </c>
      <c r="M1504">
        <v>191</v>
      </c>
      <c r="N1504" t="s">
        <v>1432</v>
      </c>
      <c r="O1504">
        <v>44</v>
      </c>
      <c r="P1504">
        <v>165</v>
      </c>
      <c r="Q1504" t="s">
        <v>24</v>
      </c>
      <c r="R1504" t="s">
        <v>25</v>
      </c>
      <c r="S1504" t="s">
        <v>26</v>
      </c>
      <c r="T1504" t="s">
        <v>25</v>
      </c>
      <c r="U1504">
        <f t="shared" si="94"/>
        <v>3</v>
      </c>
      <c r="V1504">
        <v>174.26300000000001</v>
      </c>
      <c r="W1504">
        <v>0.47399999999999998</v>
      </c>
      <c r="X1504" t="s">
        <v>1406</v>
      </c>
      <c r="Y1504">
        <v>146</v>
      </c>
      <c r="AA1504" t="s">
        <v>40</v>
      </c>
      <c r="AB1504">
        <v>117</v>
      </c>
      <c r="AC1504" s="23">
        <v>2.66</v>
      </c>
      <c r="AD1504" t="str">
        <f>IF(AND('CVD Dataset'!AA1504="Normal",'CVD Dataset'!AB1504&gt;AVERAGE('CVD Dataset'!AB:AB),'CVD Dataset'!AF1504="High"),"High Lipid Category","Normal Category")</f>
        <v>Normal Category</v>
      </c>
      <c r="AE1504">
        <v>18.751999999999999</v>
      </c>
      <c r="AF1504" t="s">
        <v>32</v>
      </c>
      <c r="AG1504">
        <v>0</v>
      </c>
      <c r="AH1504" t="s">
        <v>1379</v>
      </c>
      <c r="AI1504">
        <f t="shared" si="95"/>
        <v>1</v>
      </c>
      <c r="AJ1504" t="s">
        <v>1392</v>
      </c>
    </row>
    <row r="1505" spans="1:36" x14ac:dyDescent="0.3">
      <c r="A1505" t="s">
        <v>33</v>
      </c>
      <c r="B1505">
        <v>63</v>
      </c>
      <c r="C1505">
        <v>110.797</v>
      </c>
      <c r="D1505">
        <v>1.768</v>
      </c>
      <c r="E1505">
        <v>32.759</v>
      </c>
      <c r="F1505">
        <f t="shared" si="93"/>
        <v>35.445693679490589</v>
      </c>
      <c r="G1505">
        <f t="shared" si="96"/>
        <v>1</v>
      </c>
      <c r="H1505" t="s">
        <v>1399</v>
      </c>
      <c r="I1505">
        <v>84.932000000000002</v>
      </c>
      <c r="J1505" t="s">
        <v>1272</v>
      </c>
      <c r="K1505" s="24">
        <v>149</v>
      </c>
      <c r="L1505" s="24">
        <v>80</v>
      </c>
      <c r="M1505">
        <v>192</v>
      </c>
      <c r="N1505" t="s">
        <v>1432</v>
      </c>
      <c r="O1505">
        <v>69</v>
      </c>
      <c r="P1505">
        <v>146</v>
      </c>
      <c r="Q1505" t="s">
        <v>25</v>
      </c>
      <c r="R1505" t="s">
        <v>25</v>
      </c>
      <c r="S1505" t="s">
        <v>26</v>
      </c>
      <c r="T1505" t="s">
        <v>25</v>
      </c>
      <c r="U1505">
        <f t="shared" si="94"/>
        <v>4</v>
      </c>
      <c r="V1505">
        <v>176.768</v>
      </c>
      <c r="W1505">
        <v>0.48</v>
      </c>
      <c r="X1505" t="s">
        <v>1406</v>
      </c>
      <c r="Y1505">
        <v>149</v>
      </c>
      <c r="Z1505">
        <v>80</v>
      </c>
      <c r="AA1505" t="s">
        <v>31</v>
      </c>
      <c r="AB1505">
        <v>93</v>
      </c>
      <c r="AC1505" s="23">
        <v>1.35</v>
      </c>
      <c r="AD1505" t="str">
        <f>IF(AND('CVD Dataset'!AA1505="Normal",'CVD Dataset'!AB1505&gt;AVERAGE('CVD Dataset'!AB:AB),'CVD Dataset'!AF1505="High"),"High Lipid Category","Normal Category")</f>
        <v>Normal Category</v>
      </c>
      <c r="AE1505">
        <v>19.841999999999999</v>
      </c>
      <c r="AF1505" t="s">
        <v>28</v>
      </c>
      <c r="AG1505">
        <v>0</v>
      </c>
      <c r="AH1505" t="s">
        <v>1380</v>
      </c>
      <c r="AI1505">
        <f t="shared" si="95"/>
        <v>0</v>
      </c>
      <c r="AJ1505" t="s">
        <v>1392</v>
      </c>
    </row>
    <row r="1506" spans="1:36" x14ac:dyDescent="0.3">
      <c r="A1506" t="s">
        <v>22</v>
      </c>
      <c r="B1506">
        <v>65</v>
      </c>
      <c r="C1506">
        <v>85.447999999999993</v>
      </c>
      <c r="D1506">
        <v>1.548</v>
      </c>
      <c r="E1506">
        <v>29.422999999999998</v>
      </c>
      <c r="F1506">
        <f t="shared" si="93"/>
        <v>35.658247033765328</v>
      </c>
      <c r="G1506">
        <f t="shared" si="96"/>
        <v>1</v>
      </c>
      <c r="H1506" t="s">
        <v>1400</v>
      </c>
      <c r="I1506">
        <v>105.4</v>
      </c>
      <c r="J1506" t="s">
        <v>1273</v>
      </c>
      <c r="K1506" s="24">
        <v>165</v>
      </c>
      <c r="L1506" s="24">
        <v>86</v>
      </c>
      <c r="M1506">
        <v>289</v>
      </c>
      <c r="N1506" t="s">
        <v>1432</v>
      </c>
      <c r="O1506">
        <v>76</v>
      </c>
      <c r="P1506">
        <v>158</v>
      </c>
      <c r="Q1506" t="s">
        <v>25</v>
      </c>
      <c r="R1506" t="s">
        <v>24</v>
      </c>
      <c r="S1506" t="s">
        <v>39</v>
      </c>
      <c r="T1506" t="s">
        <v>25</v>
      </c>
      <c r="U1506">
        <f t="shared" si="94"/>
        <v>2</v>
      </c>
      <c r="V1506">
        <v>154.81200000000001</v>
      </c>
      <c r="W1506">
        <v>0.68100000000000005</v>
      </c>
      <c r="X1506" t="s">
        <v>1409</v>
      </c>
      <c r="Y1506">
        <v>165</v>
      </c>
      <c r="Z1506">
        <v>86</v>
      </c>
      <c r="AA1506" t="s">
        <v>31</v>
      </c>
      <c r="AB1506">
        <v>183</v>
      </c>
      <c r="AC1506" s="23">
        <v>2.41</v>
      </c>
      <c r="AD1506" t="str">
        <f>IF(AND('CVD Dataset'!AA1506="Normal",'CVD Dataset'!AB1506&gt;AVERAGE('CVD Dataset'!AB:AB),'CVD Dataset'!AF1506="High"),"High Lipid Category","Normal Category")</f>
        <v>Normal Category</v>
      </c>
      <c r="AE1506">
        <v>19.914999999999999</v>
      </c>
      <c r="AF1506" t="s">
        <v>28</v>
      </c>
      <c r="AG1506">
        <v>0</v>
      </c>
      <c r="AH1506" t="s">
        <v>1380</v>
      </c>
      <c r="AI1506">
        <f t="shared" si="95"/>
        <v>0</v>
      </c>
      <c r="AJ1506" t="s">
        <v>1391</v>
      </c>
    </row>
    <row r="1507" spans="1:36" x14ac:dyDescent="0.3">
      <c r="A1507" t="s">
        <v>22</v>
      </c>
      <c r="B1507">
        <v>62</v>
      </c>
      <c r="C1507">
        <v>67.028999999999996</v>
      </c>
      <c r="D1507">
        <v>1.6240000000000001</v>
      </c>
      <c r="E1507">
        <v>21.408000000000001</v>
      </c>
      <c r="F1507">
        <f t="shared" si="93"/>
        <v>25.415033730495761</v>
      </c>
      <c r="G1507">
        <f t="shared" si="96"/>
        <v>1</v>
      </c>
      <c r="H1507" t="s">
        <v>1398</v>
      </c>
      <c r="I1507">
        <v>114.26900000000001</v>
      </c>
      <c r="J1507" t="s">
        <v>1274</v>
      </c>
      <c r="K1507" s="24">
        <v>124</v>
      </c>
      <c r="L1507" s="24">
        <v>86</v>
      </c>
      <c r="M1507">
        <v>290</v>
      </c>
      <c r="N1507" t="s">
        <v>1432</v>
      </c>
      <c r="O1507">
        <v>49</v>
      </c>
      <c r="P1507">
        <v>187</v>
      </c>
      <c r="Q1507" t="s">
        <v>24</v>
      </c>
      <c r="R1507" t="s">
        <v>25</v>
      </c>
      <c r="S1507" t="s">
        <v>26</v>
      </c>
      <c r="T1507" t="s">
        <v>24</v>
      </c>
      <c r="U1507">
        <f t="shared" si="94"/>
        <v>2</v>
      </c>
      <c r="V1507">
        <v>162.35900000000001</v>
      </c>
      <c r="W1507">
        <v>0.70399999999999996</v>
      </c>
      <c r="X1507" t="s">
        <v>1409</v>
      </c>
      <c r="Y1507">
        <v>124</v>
      </c>
      <c r="Z1507">
        <v>86</v>
      </c>
      <c r="AA1507" t="s">
        <v>31</v>
      </c>
      <c r="AB1507">
        <v>211</v>
      </c>
      <c r="AC1507" s="23">
        <v>4.3099999999999996</v>
      </c>
      <c r="AD1507" t="str">
        <f>IF(AND('CVD Dataset'!AA1507="Normal",'CVD Dataset'!AB1507&gt;AVERAGE('CVD Dataset'!AB:AB),'CVD Dataset'!AF1507="High"),"High Lipid Category","Normal Category")</f>
        <v>Normal Category</v>
      </c>
      <c r="AF1507" t="s">
        <v>54</v>
      </c>
      <c r="AG1507">
        <v>0</v>
      </c>
      <c r="AH1507" t="s">
        <v>1380</v>
      </c>
      <c r="AI1507">
        <f t="shared" si="95"/>
        <v>0</v>
      </c>
      <c r="AJ1507" t="s">
        <v>1392</v>
      </c>
    </row>
    <row r="1508" spans="1:36" x14ac:dyDescent="0.3">
      <c r="A1508" t="s">
        <v>22</v>
      </c>
      <c r="B1508">
        <v>30</v>
      </c>
      <c r="C1508">
        <v>61.326000000000001</v>
      </c>
      <c r="D1508">
        <v>1.651</v>
      </c>
      <c r="E1508">
        <v>33.648000000000003</v>
      </c>
      <c r="F1508">
        <f t="shared" si="93"/>
        <v>22.498340854669873</v>
      </c>
      <c r="G1508">
        <f t="shared" si="96"/>
        <v>1</v>
      </c>
      <c r="H1508" t="s">
        <v>1399</v>
      </c>
      <c r="I1508">
        <v>90.445999999999998</v>
      </c>
      <c r="J1508" t="s">
        <v>1275</v>
      </c>
      <c r="K1508" s="24">
        <v>142</v>
      </c>
      <c r="L1508" s="24">
        <v>114</v>
      </c>
      <c r="M1508">
        <v>116</v>
      </c>
      <c r="N1508" t="s">
        <v>1434</v>
      </c>
      <c r="O1508">
        <v>89</v>
      </c>
      <c r="P1508">
        <v>139</v>
      </c>
      <c r="Q1508" t="s">
        <v>25</v>
      </c>
      <c r="R1508" t="s">
        <v>25</v>
      </c>
      <c r="S1508" t="s">
        <v>39</v>
      </c>
      <c r="T1508" t="s">
        <v>25</v>
      </c>
      <c r="U1508">
        <f t="shared" si="94"/>
        <v>3</v>
      </c>
      <c r="V1508">
        <v>165.10499999999999</v>
      </c>
      <c r="W1508">
        <v>0.54800000000000004</v>
      </c>
      <c r="X1508" t="s">
        <v>1407</v>
      </c>
      <c r="Y1508">
        <v>142</v>
      </c>
      <c r="Z1508">
        <v>114</v>
      </c>
      <c r="AA1508" t="s">
        <v>40</v>
      </c>
      <c r="AB1508">
        <v>-3</v>
      </c>
      <c r="AC1508" s="23">
        <v>-0.03</v>
      </c>
      <c r="AD1508" t="str">
        <f>IF(AND('CVD Dataset'!AA1508="Normal",'CVD Dataset'!AB1508&gt;AVERAGE('CVD Dataset'!AB:AB),'CVD Dataset'!AF1508="High"),"High Lipid Category","Normal Category")</f>
        <v>Normal Category</v>
      </c>
      <c r="AE1508">
        <v>18.149999999999999</v>
      </c>
      <c r="AF1508" t="s">
        <v>28</v>
      </c>
      <c r="AG1508">
        <v>0</v>
      </c>
      <c r="AH1508" t="s">
        <v>1380</v>
      </c>
      <c r="AI1508">
        <f t="shared" si="95"/>
        <v>0</v>
      </c>
      <c r="AJ1508" t="s">
        <v>1391</v>
      </c>
    </row>
    <row r="1509" spans="1:36" x14ac:dyDescent="0.3">
      <c r="A1509" t="s">
        <v>22</v>
      </c>
      <c r="B1509">
        <v>44</v>
      </c>
      <c r="C1509">
        <v>52.875999999999998</v>
      </c>
      <c r="D1509">
        <v>1.728</v>
      </c>
      <c r="E1509">
        <v>27.186</v>
      </c>
      <c r="F1509">
        <f t="shared" si="93"/>
        <v>17.708065414951989</v>
      </c>
      <c r="G1509">
        <f t="shared" si="96"/>
        <v>1</v>
      </c>
      <c r="H1509" t="s">
        <v>1400</v>
      </c>
      <c r="I1509">
        <v>77.87</v>
      </c>
      <c r="J1509" t="s">
        <v>1276</v>
      </c>
      <c r="K1509" s="24">
        <v>95</v>
      </c>
      <c r="L1509" s="24">
        <v>65</v>
      </c>
      <c r="M1509">
        <v>242</v>
      </c>
      <c r="N1509" t="s">
        <v>1432</v>
      </c>
      <c r="O1509">
        <v>77</v>
      </c>
      <c r="P1509">
        <v>164</v>
      </c>
      <c r="Q1509" t="s">
        <v>25</v>
      </c>
      <c r="R1509" t="s">
        <v>24</v>
      </c>
      <c r="S1509" t="s">
        <v>39</v>
      </c>
      <c r="T1509" t="s">
        <v>25</v>
      </c>
      <c r="U1509">
        <f t="shared" si="94"/>
        <v>2</v>
      </c>
      <c r="V1509">
        <v>172.846</v>
      </c>
      <c r="W1509">
        <v>0.45100000000000001</v>
      </c>
      <c r="X1509" t="s">
        <v>1408</v>
      </c>
      <c r="Y1509">
        <v>95</v>
      </c>
      <c r="Z1509">
        <v>65</v>
      </c>
      <c r="AA1509" t="s">
        <v>35</v>
      </c>
      <c r="AB1509">
        <v>135</v>
      </c>
      <c r="AC1509" s="23">
        <v>1.75</v>
      </c>
      <c r="AD1509" t="str">
        <f>IF(AND('CVD Dataset'!AA1509="Normal",'CVD Dataset'!AB1509&gt;AVERAGE('CVD Dataset'!AB:AB),'CVD Dataset'!AF1509="High"),"High Lipid Category","Normal Category")</f>
        <v>Normal Category</v>
      </c>
      <c r="AF1509" t="s">
        <v>54</v>
      </c>
      <c r="AG1509">
        <v>0</v>
      </c>
      <c r="AH1509" t="s">
        <v>1380</v>
      </c>
      <c r="AI1509">
        <f t="shared" si="95"/>
        <v>0</v>
      </c>
      <c r="AJ1509" t="s">
        <v>1391</v>
      </c>
    </row>
    <row r="1510" spans="1:36" x14ac:dyDescent="0.3">
      <c r="A1510" t="s">
        <v>22</v>
      </c>
      <c r="B1510">
        <v>43</v>
      </c>
      <c r="C1510">
        <v>68.89</v>
      </c>
      <c r="D1510">
        <v>1.6870000000000001</v>
      </c>
      <c r="E1510">
        <v>37.372</v>
      </c>
      <c r="F1510">
        <f t="shared" si="93"/>
        <v>24.206166686987803</v>
      </c>
      <c r="G1510">
        <f t="shared" si="96"/>
        <v>1</v>
      </c>
      <c r="H1510" t="s">
        <v>1399</v>
      </c>
      <c r="I1510">
        <v>98.302000000000007</v>
      </c>
      <c r="J1510" t="s">
        <v>1277</v>
      </c>
      <c r="K1510" s="24">
        <v>164</v>
      </c>
      <c r="L1510" s="24">
        <v>101</v>
      </c>
      <c r="M1510">
        <v>276</v>
      </c>
      <c r="N1510" t="s">
        <v>1432</v>
      </c>
      <c r="O1510">
        <v>63</v>
      </c>
      <c r="P1510">
        <v>115</v>
      </c>
      <c r="Q1510" t="s">
        <v>25</v>
      </c>
      <c r="R1510" t="s">
        <v>25</v>
      </c>
      <c r="S1510" t="s">
        <v>39</v>
      </c>
      <c r="T1510" t="s">
        <v>24</v>
      </c>
      <c r="U1510">
        <f t="shared" si="94"/>
        <v>2</v>
      </c>
      <c r="V1510">
        <v>168.66300000000001</v>
      </c>
      <c r="W1510">
        <v>0.58299999999999996</v>
      </c>
      <c r="X1510" t="s">
        <v>1407</v>
      </c>
      <c r="Y1510">
        <v>164</v>
      </c>
      <c r="Z1510">
        <v>101</v>
      </c>
      <c r="AA1510" t="s">
        <v>40</v>
      </c>
      <c r="AB1510">
        <v>183</v>
      </c>
      <c r="AC1510" s="23">
        <v>2.9</v>
      </c>
      <c r="AD1510" t="str">
        <f>IF(AND('CVD Dataset'!AA1510="Normal",'CVD Dataset'!AB1510&gt;AVERAGE('CVD Dataset'!AB:AB),'CVD Dataset'!AF1510="High"),"High Lipid Category","Normal Category")</f>
        <v>Normal Category</v>
      </c>
      <c r="AE1510">
        <v>23.193999999999999</v>
      </c>
      <c r="AF1510" t="s">
        <v>28</v>
      </c>
      <c r="AG1510">
        <v>0</v>
      </c>
      <c r="AH1510" t="s">
        <v>1380</v>
      </c>
      <c r="AI1510">
        <f t="shared" si="95"/>
        <v>0</v>
      </c>
      <c r="AJ1510" t="s">
        <v>1391</v>
      </c>
    </row>
    <row r="1511" spans="1:36" x14ac:dyDescent="0.3">
      <c r="A1511" t="s">
        <v>22</v>
      </c>
      <c r="B1511">
        <v>48</v>
      </c>
      <c r="C1511">
        <v>117.474</v>
      </c>
      <c r="D1511">
        <v>1.587</v>
      </c>
      <c r="E1511">
        <v>25.332999999999998</v>
      </c>
      <c r="F1511">
        <f t="shared" si="93"/>
        <v>46.643153314441655</v>
      </c>
      <c r="G1511">
        <f t="shared" si="96"/>
        <v>1</v>
      </c>
      <c r="H1511" t="s">
        <v>1400</v>
      </c>
      <c r="I1511">
        <v>99.730999999999995</v>
      </c>
      <c r="J1511" t="s">
        <v>1278</v>
      </c>
      <c r="K1511" s="24">
        <v>129</v>
      </c>
      <c r="L1511" s="24">
        <v>101</v>
      </c>
      <c r="M1511">
        <v>176</v>
      </c>
      <c r="N1511" t="s">
        <v>1433</v>
      </c>
      <c r="O1511">
        <v>51</v>
      </c>
      <c r="P1511">
        <v>139</v>
      </c>
      <c r="Q1511" t="s">
        <v>24</v>
      </c>
      <c r="R1511" t="s">
        <v>24</v>
      </c>
      <c r="S1511" t="s">
        <v>39</v>
      </c>
      <c r="T1511" t="s">
        <v>24</v>
      </c>
      <c r="U1511">
        <f t="shared" si="94"/>
        <v>0</v>
      </c>
      <c r="V1511">
        <v>158.74199999999999</v>
      </c>
      <c r="W1511">
        <v>0.628</v>
      </c>
      <c r="X1511" t="s">
        <v>1409</v>
      </c>
      <c r="Z1511">
        <v>101</v>
      </c>
      <c r="AA1511" t="s">
        <v>40</v>
      </c>
      <c r="AB1511">
        <v>95</v>
      </c>
      <c r="AC1511" s="23">
        <v>1.86</v>
      </c>
      <c r="AD1511" t="str">
        <f>IF(AND('CVD Dataset'!AA1511="Normal",'CVD Dataset'!AB1511&gt;AVERAGE('CVD Dataset'!AB:AB),'CVD Dataset'!AF1511="High"),"High Lipid Category","Normal Category")</f>
        <v>Normal Category</v>
      </c>
      <c r="AE1511">
        <v>15.037000000000001</v>
      </c>
      <c r="AF1511" t="s">
        <v>28</v>
      </c>
      <c r="AG1511">
        <v>0</v>
      </c>
      <c r="AH1511" t="s">
        <v>1380</v>
      </c>
      <c r="AI1511">
        <f t="shared" si="95"/>
        <v>0</v>
      </c>
      <c r="AJ1511" t="s">
        <v>1391</v>
      </c>
    </row>
    <row r="1512" spans="1:36" x14ac:dyDescent="0.3">
      <c r="A1512" t="s">
        <v>33</v>
      </c>
      <c r="B1512">
        <v>46</v>
      </c>
      <c r="C1512">
        <v>90.748000000000005</v>
      </c>
      <c r="D1512">
        <v>1.7050000000000001</v>
      </c>
      <c r="E1512">
        <v>30.866</v>
      </c>
      <c r="F1512">
        <f t="shared" si="93"/>
        <v>31.216793801222895</v>
      </c>
      <c r="G1512">
        <f t="shared" si="96"/>
        <v>1</v>
      </c>
      <c r="H1512" t="s">
        <v>1399</v>
      </c>
      <c r="I1512">
        <v>108.768</v>
      </c>
      <c r="J1512" t="s">
        <v>1279</v>
      </c>
      <c r="K1512" s="24">
        <v>105</v>
      </c>
      <c r="L1512" s="24">
        <v>113</v>
      </c>
      <c r="M1512">
        <v>198</v>
      </c>
      <c r="N1512" t="s">
        <v>1432</v>
      </c>
      <c r="O1512">
        <v>51</v>
      </c>
      <c r="P1512">
        <v>157</v>
      </c>
      <c r="Q1512" t="s">
        <v>24</v>
      </c>
      <c r="R1512" t="s">
        <v>24</v>
      </c>
      <c r="S1512" t="s">
        <v>39</v>
      </c>
      <c r="T1512" t="s">
        <v>24</v>
      </c>
      <c r="U1512">
        <f t="shared" si="94"/>
        <v>0</v>
      </c>
      <c r="V1512">
        <v>170.518</v>
      </c>
      <c r="W1512">
        <v>0.63800000000000001</v>
      </c>
      <c r="X1512" t="s">
        <v>1409</v>
      </c>
      <c r="Y1512">
        <v>105</v>
      </c>
      <c r="Z1512">
        <v>113</v>
      </c>
      <c r="AA1512" t="s">
        <v>40</v>
      </c>
      <c r="AB1512">
        <v>117</v>
      </c>
      <c r="AC1512" s="23">
        <v>2.29</v>
      </c>
      <c r="AD1512" t="str">
        <f>IF(AND('CVD Dataset'!AA1512="Normal",'CVD Dataset'!AB1512&gt;AVERAGE('CVD Dataset'!AB:AB),'CVD Dataset'!AF1512="High"),"High Lipid Category","Normal Category")</f>
        <v>Normal Category</v>
      </c>
      <c r="AE1512">
        <v>15.382999999999999</v>
      </c>
      <c r="AF1512" t="s">
        <v>28</v>
      </c>
      <c r="AG1512">
        <v>0</v>
      </c>
      <c r="AH1512" t="s">
        <v>1380</v>
      </c>
      <c r="AI1512">
        <f t="shared" si="95"/>
        <v>0</v>
      </c>
      <c r="AJ1512" t="s">
        <v>1391</v>
      </c>
    </row>
    <row r="1513" spans="1:36" x14ac:dyDescent="0.3">
      <c r="A1513" t="s">
        <v>33</v>
      </c>
      <c r="B1513">
        <v>47</v>
      </c>
      <c r="C1513">
        <v>89.86</v>
      </c>
      <c r="D1513">
        <v>1.65</v>
      </c>
      <c r="F1513">
        <f t="shared" si="93"/>
        <v>33.006427915518827</v>
      </c>
      <c r="G1513">
        <f t="shared" si="96"/>
        <v>1</v>
      </c>
      <c r="H1513" t="s">
        <v>1401</v>
      </c>
      <c r="I1513">
        <v>98.950999999999993</v>
      </c>
      <c r="J1513" t="s">
        <v>1280</v>
      </c>
      <c r="K1513" s="24">
        <v>142</v>
      </c>
      <c r="L1513" s="24">
        <v>118</v>
      </c>
      <c r="N1513" t="s">
        <v>1434</v>
      </c>
      <c r="O1513">
        <v>33</v>
      </c>
      <c r="P1513">
        <v>186</v>
      </c>
      <c r="Q1513" t="s">
        <v>24</v>
      </c>
      <c r="R1513" t="s">
        <v>25</v>
      </c>
      <c r="S1513" t="s">
        <v>26</v>
      </c>
      <c r="T1513" t="s">
        <v>24</v>
      </c>
      <c r="U1513">
        <f t="shared" si="94"/>
        <v>2</v>
      </c>
      <c r="V1513">
        <v>165.01400000000001</v>
      </c>
      <c r="W1513">
        <v>0.6</v>
      </c>
      <c r="X1513" t="s">
        <v>1409</v>
      </c>
      <c r="Y1513">
        <v>142</v>
      </c>
      <c r="Z1513">
        <v>118</v>
      </c>
      <c r="AA1513" t="s">
        <v>40</v>
      </c>
      <c r="AB1513">
        <v>209</v>
      </c>
      <c r="AC1513" s="23">
        <v>6.33</v>
      </c>
      <c r="AD1513" t="str">
        <f>IF(AND('CVD Dataset'!AA1513="Normal",'CVD Dataset'!AB1513&gt;AVERAGE('CVD Dataset'!AB:AB),'CVD Dataset'!AF1513="High"),"High Lipid Category","Normal Category")</f>
        <v>Normal Category</v>
      </c>
      <c r="AE1513">
        <v>18.942</v>
      </c>
      <c r="AF1513" t="s">
        <v>32</v>
      </c>
      <c r="AG1513">
        <v>0</v>
      </c>
      <c r="AH1513" t="s">
        <v>1379</v>
      </c>
      <c r="AI1513">
        <f t="shared" si="95"/>
        <v>1</v>
      </c>
      <c r="AJ1513" t="s">
        <v>1391</v>
      </c>
    </row>
    <row r="1514" spans="1:36" x14ac:dyDescent="0.3">
      <c r="A1514" t="s">
        <v>33</v>
      </c>
      <c r="B1514">
        <v>32</v>
      </c>
      <c r="C1514">
        <v>59.01</v>
      </c>
      <c r="D1514">
        <v>1.51</v>
      </c>
      <c r="E1514">
        <v>32.725000000000001</v>
      </c>
      <c r="F1514">
        <f t="shared" si="93"/>
        <v>25.880443840182448</v>
      </c>
      <c r="G1514">
        <f t="shared" si="96"/>
        <v>1</v>
      </c>
      <c r="H1514" t="s">
        <v>1399</v>
      </c>
      <c r="I1514">
        <v>111.55500000000001</v>
      </c>
      <c r="J1514" t="s">
        <v>1281</v>
      </c>
      <c r="K1514" s="24">
        <v>169</v>
      </c>
      <c r="L1514" s="24">
        <v>65</v>
      </c>
      <c r="M1514">
        <v>298</v>
      </c>
      <c r="N1514" t="s">
        <v>1432</v>
      </c>
      <c r="O1514">
        <v>49</v>
      </c>
      <c r="P1514">
        <v>96</v>
      </c>
      <c r="Q1514" t="s">
        <v>24</v>
      </c>
      <c r="R1514" t="s">
        <v>25</v>
      </c>
      <c r="S1514" t="s">
        <v>30</v>
      </c>
      <c r="T1514" t="s">
        <v>24</v>
      </c>
      <c r="U1514">
        <f t="shared" si="94"/>
        <v>1</v>
      </c>
      <c r="V1514">
        <v>151.01</v>
      </c>
      <c r="W1514">
        <v>0.73899999999999999</v>
      </c>
      <c r="X1514" t="s">
        <v>1409</v>
      </c>
      <c r="Y1514">
        <v>169</v>
      </c>
      <c r="Z1514">
        <v>65</v>
      </c>
      <c r="AA1514" t="s">
        <v>40</v>
      </c>
      <c r="AB1514">
        <v>219</v>
      </c>
      <c r="AC1514" s="23">
        <v>4.47</v>
      </c>
      <c r="AD1514" t="str">
        <f>IF(AND('CVD Dataset'!AA1514="Normal",'CVD Dataset'!AB1514&gt;AVERAGE('CVD Dataset'!AB:AB),'CVD Dataset'!AF1514="High"),"High Lipid Category","Normal Category")</f>
        <v>Normal Category</v>
      </c>
      <c r="AE1514">
        <v>22.954999999999998</v>
      </c>
      <c r="AF1514" t="s">
        <v>28</v>
      </c>
      <c r="AG1514">
        <v>0</v>
      </c>
      <c r="AH1514" t="s">
        <v>1380</v>
      </c>
      <c r="AI1514">
        <f t="shared" si="95"/>
        <v>0</v>
      </c>
      <c r="AJ1514" t="s">
        <v>1391</v>
      </c>
    </row>
    <row r="1515" spans="1:36" x14ac:dyDescent="0.3">
      <c r="A1515" t="s">
        <v>22</v>
      </c>
      <c r="B1515">
        <v>48</v>
      </c>
      <c r="C1515">
        <v>99.706999999999994</v>
      </c>
      <c r="D1515">
        <v>1.968</v>
      </c>
      <c r="E1515">
        <v>30.760999999999999</v>
      </c>
      <c r="F1515">
        <f t="shared" si="93"/>
        <v>25.743966471676909</v>
      </c>
      <c r="G1515">
        <f t="shared" si="96"/>
        <v>1</v>
      </c>
      <c r="H1515" t="s">
        <v>1399</v>
      </c>
      <c r="J1515" t="s">
        <v>1282</v>
      </c>
      <c r="K1515" s="24">
        <v>154</v>
      </c>
      <c r="L1515" s="24">
        <v>87</v>
      </c>
      <c r="M1515">
        <v>224</v>
      </c>
      <c r="N1515" t="s">
        <v>1432</v>
      </c>
      <c r="O1515">
        <v>46</v>
      </c>
      <c r="P1515">
        <v>177</v>
      </c>
      <c r="Q1515" t="s">
        <v>24</v>
      </c>
      <c r="R1515" t="s">
        <v>24</v>
      </c>
      <c r="S1515" t="s">
        <v>39</v>
      </c>
      <c r="T1515" t="s">
        <v>24</v>
      </c>
      <c r="U1515">
        <f t="shared" si="94"/>
        <v>0</v>
      </c>
      <c r="V1515">
        <v>196.75700000000001</v>
      </c>
      <c r="W1515">
        <v>0.44600000000000001</v>
      </c>
      <c r="X1515" t="s">
        <v>1408</v>
      </c>
      <c r="Y1515">
        <v>154</v>
      </c>
      <c r="Z1515">
        <v>87</v>
      </c>
      <c r="AA1515" t="s">
        <v>31</v>
      </c>
      <c r="AB1515">
        <v>148</v>
      </c>
      <c r="AC1515" s="23">
        <v>3.22</v>
      </c>
      <c r="AD1515" t="str">
        <f>IF(AND('CVD Dataset'!AA1515="Normal",'CVD Dataset'!AB1515&gt;AVERAGE('CVD Dataset'!AB:AB),'CVD Dataset'!AF1515="High"),"High Lipid Category","Normal Category")</f>
        <v>Normal Category</v>
      </c>
      <c r="AE1515">
        <v>18.332000000000001</v>
      </c>
      <c r="AF1515" t="s">
        <v>28</v>
      </c>
      <c r="AG1515">
        <v>0</v>
      </c>
      <c r="AH1515" t="s">
        <v>1380</v>
      </c>
      <c r="AI1515">
        <f t="shared" si="95"/>
        <v>0</v>
      </c>
      <c r="AJ1515" t="s">
        <v>1391</v>
      </c>
    </row>
    <row r="1516" spans="1:36" x14ac:dyDescent="0.3">
      <c r="A1516" t="s">
        <v>22</v>
      </c>
      <c r="B1516">
        <v>49</v>
      </c>
      <c r="C1516">
        <v>100.23399999999999</v>
      </c>
      <c r="D1516">
        <v>1.52</v>
      </c>
      <c r="E1516">
        <v>30.731999999999999</v>
      </c>
      <c r="F1516">
        <f t="shared" si="93"/>
        <v>43.383829639889193</v>
      </c>
      <c r="G1516">
        <f t="shared" si="96"/>
        <v>1</v>
      </c>
      <c r="H1516" t="s">
        <v>1399</v>
      </c>
      <c r="I1516">
        <v>115.40900000000001</v>
      </c>
      <c r="J1516" t="s">
        <v>1283</v>
      </c>
      <c r="K1516" s="24">
        <v>97</v>
      </c>
      <c r="L1516" s="24">
        <v>96</v>
      </c>
      <c r="M1516">
        <v>127</v>
      </c>
      <c r="N1516" t="s">
        <v>1434</v>
      </c>
      <c r="O1516">
        <v>61</v>
      </c>
      <c r="P1516">
        <v>164</v>
      </c>
      <c r="Q1516" t="s">
        <v>24</v>
      </c>
      <c r="R1516" t="s">
        <v>24</v>
      </c>
      <c r="S1516" t="s">
        <v>39</v>
      </c>
      <c r="T1516" t="s">
        <v>25</v>
      </c>
      <c r="U1516">
        <f t="shared" si="94"/>
        <v>1</v>
      </c>
      <c r="V1516">
        <v>151.965</v>
      </c>
      <c r="W1516">
        <v>0.75900000000000001</v>
      </c>
      <c r="X1516" t="s">
        <v>1409</v>
      </c>
      <c r="Y1516">
        <v>97</v>
      </c>
      <c r="Z1516">
        <v>96</v>
      </c>
      <c r="AA1516" t="s">
        <v>40</v>
      </c>
      <c r="AB1516">
        <v>36</v>
      </c>
      <c r="AC1516" s="23">
        <v>0.59</v>
      </c>
      <c r="AD1516" t="str">
        <f>IF(AND('CVD Dataset'!AA1516="Normal",'CVD Dataset'!AB1516&gt;AVERAGE('CVD Dataset'!AB:AB),'CVD Dataset'!AF1516="High"),"High Lipid Category","Normal Category")</f>
        <v>Normal Category</v>
      </c>
      <c r="AE1516">
        <v>13.536</v>
      </c>
      <c r="AF1516" t="s">
        <v>32</v>
      </c>
      <c r="AG1516">
        <v>1</v>
      </c>
      <c r="AH1516" t="s">
        <v>1379</v>
      </c>
      <c r="AI1516">
        <f t="shared" si="95"/>
        <v>1</v>
      </c>
      <c r="AJ1516" t="s">
        <v>1391</v>
      </c>
    </row>
    <row r="1517" spans="1:36" x14ac:dyDescent="0.3">
      <c r="A1517" t="s">
        <v>33</v>
      </c>
      <c r="B1517">
        <v>30</v>
      </c>
      <c r="C1517">
        <v>88.03</v>
      </c>
      <c r="D1517">
        <v>1.9870000000000001</v>
      </c>
      <c r="E1517">
        <v>22.225000000000001</v>
      </c>
      <c r="F1517">
        <f t="shared" si="93"/>
        <v>22.296411323831375</v>
      </c>
      <c r="G1517">
        <f t="shared" si="96"/>
        <v>0</v>
      </c>
      <c r="H1517" t="s">
        <v>1398</v>
      </c>
      <c r="I1517">
        <v>107.69</v>
      </c>
      <c r="J1517" t="s">
        <v>1284</v>
      </c>
      <c r="K1517" s="24">
        <v>174</v>
      </c>
      <c r="L1517" s="24">
        <v>82</v>
      </c>
      <c r="M1517">
        <v>204</v>
      </c>
      <c r="N1517" t="s">
        <v>1432</v>
      </c>
      <c r="O1517">
        <v>50</v>
      </c>
      <c r="P1517">
        <v>119</v>
      </c>
      <c r="Q1517" t="s">
        <v>25</v>
      </c>
      <c r="R1517" t="s">
        <v>25</v>
      </c>
      <c r="S1517" t="s">
        <v>39</v>
      </c>
      <c r="T1517" t="s">
        <v>25</v>
      </c>
      <c r="U1517">
        <f t="shared" si="94"/>
        <v>3</v>
      </c>
      <c r="V1517">
        <v>198.666</v>
      </c>
      <c r="X1517" t="s">
        <v>1410</v>
      </c>
      <c r="Y1517">
        <v>174</v>
      </c>
      <c r="AA1517" t="s">
        <v>31</v>
      </c>
      <c r="AB1517">
        <v>124</v>
      </c>
      <c r="AC1517" s="23">
        <v>2.48</v>
      </c>
      <c r="AD1517" t="str">
        <f>IF(AND('CVD Dataset'!AA1517="Normal",'CVD Dataset'!AB1517&gt;AVERAGE('CVD Dataset'!AB:AB),'CVD Dataset'!AF1517="High"),"High Lipid Category","Normal Category")</f>
        <v>Normal Category</v>
      </c>
      <c r="AE1517">
        <v>19.225000000000001</v>
      </c>
      <c r="AF1517" t="s">
        <v>32</v>
      </c>
      <c r="AG1517">
        <v>0</v>
      </c>
      <c r="AH1517" t="s">
        <v>1379</v>
      </c>
      <c r="AI1517">
        <f t="shared" si="95"/>
        <v>1</v>
      </c>
      <c r="AJ1517" t="s">
        <v>1391</v>
      </c>
    </row>
    <row r="1518" spans="1:36" x14ac:dyDescent="0.3">
      <c r="A1518" t="s">
        <v>22</v>
      </c>
      <c r="B1518">
        <v>50</v>
      </c>
      <c r="C1518">
        <v>95.67</v>
      </c>
      <c r="D1518">
        <v>1.631</v>
      </c>
      <c r="E1518">
        <v>37.857999999999997</v>
      </c>
      <c r="F1518">
        <f t="shared" si="93"/>
        <v>35.963988645800008</v>
      </c>
      <c r="G1518">
        <f t="shared" si="96"/>
        <v>1</v>
      </c>
      <c r="H1518" t="s">
        <v>1399</v>
      </c>
      <c r="I1518">
        <v>70.183999999999997</v>
      </c>
      <c r="J1518" t="s">
        <v>347</v>
      </c>
      <c r="K1518" s="24">
        <v>116</v>
      </c>
      <c r="L1518" s="24">
        <v>72</v>
      </c>
      <c r="M1518">
        <v>166</v>
      </c>
      <c r="N1518" t="s">
        <v>1433</v>
      </c>
      <c r="O1518">
        <v>44</v>
      </c>
      <c r="P1518">
        <v>77</v>
      </c>
      <c r="Q1518" t="s">
        <v>24</v>
      </c>
      <c r="R1518" t="s">
        <v>24</v>
      </c>
      <c r="S1518" t="s">
        <v>30</v>
      </c>
      <c r="T1518" t="s">
        <v>24</v>
      </c>
      <c r="U1518">
        <f t="shared" si="94"/>
        <v>0</v>
      </c>
      <c r="V1518">
        <v>163.102</v>
      </c>
      <c r="W1518">
        <v>0.43</v>
      </c>
      <c r="X1518" t="s">
        <v>1408</v>
      </c>
      <c r="Y1518">
        <v>116</v>
      </c>
      <c r="Z1518">
        <v>72</v>
      </c>
      <c r="AA1518" t="s">
        <v>35</v>
      </c>
      <c r="AB1518">
        <v>92</v>
      </c>
      <c r="AC1518" s="23">
        <v>2.09</v>
      </c>
      <c r="AD1518" t="str">
        <f>IF(AND('CVD Dataset'!AA1518="Normal",'CVD Dataset'!AB1518&gt;AVERAGE('CVD Dataset'!AB:AB),'CVD Dataset'!AF1518="High"),"High Lipid Category","Normal Category")</f>
        <v>Normal Category</v>
      </c>
      <c r="AE1518">
        <v>16.692</v>
      </c>
      <c r="AF1518" t="s">
        <v>54</v>
      </c>
      <c r="AG1518">
        <v>0</v>
      </c>
      <c r="AH1518" t="s">
        <v>1380</v>
      </c>
      <c r="AI1518">
        <f t="shared" si="95"/>
        <v>0</v>
      </c>
      <c r="AJ1518" t="s">
        <v>1391</v>
      </c>
    </row>
    <row r="1519" spans="1:36" x14ac:dyDescent="0.3">
      <c r="A1519" t="s">
        <v>22</v>
      </c>
      <c r="B1519">
        <v>69</v>
      </c>
      <c r="C1519">
        <v>104.387</v>
      </c>
      <c r="E1519">
        <v>23.105</v>
      </c>
      <c r="F1519" t="str">
        <f t="shared" si="93"/>
        <v/>
      </c>
      <c r="G1519" t="str">
        <f t="shared" si="96"/>
        <v/>
      </c>
      <c r="H1519" t="s">
        <v>1398</v>
      </c>
      <c r="I1519">
        <v>114.05</v>
      </c>
      <c r="J1519" t="s">
        <v>607</v>
      </c>
      <c r="K1519" s="24">
        <v>91</v>
      </c>
      <c r="L1519" s="24">
        <v>69</v>
      </c>
      <c r="M1519">
        <v>167</v>
      </c>
      <c r="N1519" t="s">
        <v>1433</v>
      </c>
      <c r="O1519">
        <v>47</v>
      </c>
      <c r="P1519">
        <v>188</v>
      </c>
      <c r="Q1519" t="s">
        <v>24</v>
      </c>
      <c r="R1519" t="s">
        <v>24</v>
      </c>
      <c r="S1519" t="s">
        <v>26</v>
      </c>
      <c r="T1519" t="s">
        <v>25</v>
      </c>
      <c r="U1519">
        <f t="shared" si="94"/>
        <v>2</v>
      </c>
      <c r="V1519">
        <v>172.429</v>
      </c>
      <c r="W1519">
        <v>0.66100000000000003</v>
      </c>
      <c r="X1519" t="s">
        <v>1409</v>
      </c>
      <c r="Y1519">
        <v>91</v>
      </c>
      <c r="Z1519">
        <v>69</v>
      </c>
      <c r="AA1519" t="s">
        <v>35</v>
      </c>
      <c r="AB1519">
        <v>90</v>
      </c>
      <c r="AC1519" s="23">
        <v>1.91</v>
      </c>
      <c r="AD1519" t="str">
        <f>IF(AND('CVD Dataset'!AA1519="Normal",'CVD Dataset'!AB1519&gt;AVERAGE('CVD Dataset'!AB:AB),'CVD Dataset'!AF1519="High"),"High Lipid Category","Normal Category")</f>
        <v>Normal Category</v>
      </c>
      <c r="AE1519">
        <v>12.510999999999999</v>
      </c>
      <c r="AF1519" t="s">
        <v>32</v>
      </c>
      <c r="AG1519">
        <v>0</v>
      </c>
      <c r="AH1519" t="s">
        <v>1379</v>
      </c>
      <c r="AI1519">
        <f t="shared" si="95"/>
        <v>1</v>
      </c>
      <c r="AJ1519" t="s">
        <v>1391</v>
      </c>
    </row>
    <row r="1520" spans="1:36" x14ac:dyDescent="0.3">
      <c r="A1520" t="s">
        <v>33</v>
      </c>
      <c r="B1520">
        <v>54</v>
      </c>
      <c r="C1520">
        <v>105.97499999999999</v>
      </c>
      <c r="E1520">
        <v>22.39</v>
      </c>
      <c r="F1520" t="str">
        <f t="shared" si="93"/>
        <v/>
      </c>
      <c r="G1520" t="str">
        <f t="shared" si="96"/>
        <v/>
      </c>
      <c r="H1520" t="s">
        <v>1398</v>
      </c>
      <c r="I1520">
        <v>87.486999999999995</v>
      </c>
      <c r="J1520" t="s">
        <v>1285</v>
      </c>
      <c r="K1520" s="24">
        <v>175</v>
      </c>
      <c r="L1520" s="24">
        <v>80</v>
      </c>
      <c r="M1520">
        <v>254</v>
      </c>
      <c r="N1520" t="s">
        <v>1432</v>
      </c>
      <c r="O1520">
        <v>75</v>
      </c>
      <c r="P1520">
        <v>78</v>
      </c>
      <c r="Q1520" t="s">
        <v>24</v>
      </c>
      <c r="R1520" t="s">
        <v>24</v>
      </c>
      <c r="S1520" t="s">
        <v>39</v>
      </c>
      <c r="T1520" t="s">
        <v>24</v>
      </c>
      <c r="U1520">
        <f t="shared" si="94"/>
        <v>0</v>
      </c>
      <c r="V1520">
        <v>197.45500000000001</v>
      </c>
      <c r="W1520">
        <v>0.443</v>
      </c>
      <c r="X1520" t="s">
        <v>1408</v>
      </c>
      <c r="Y1520">
        <v>175</v>
      </c>
      <c r="Z1520">
        <v>80</v>
      </c>
      <c r="AA1520" t="s">
        <v>31</v>
      </c>
      <c r="AB1520">
        <v>149</v>
      </c>
      <c r="AC1520" s="23">
        <v>1.99</v>
      </c>
      <c r="AD1520" t="str">
        <f>IF(AND('CVD Dataset'!AA1520="Normal",'CVD Dataset'!AB1520&gt;AVERAGE('CVD Dataset'!AB:AB),'CVD Dataset'!AF1520="High"),"High Lipid Category","Normal Category")</f>
        <v>Normal Category</v>
      </c>
      <c r="AE1520">
        <v>18.308</v>
      </c>
      <c r="AF1520" t="s">
        <v>32</v>
      </c>
      <c r="AG1520">
        <v>1</v>
      </c>
      <c r="AH1520" t="s">
        <v>1379</v>
      </c>
      <c r="AI1520">
        <f t="shared" si="95"/>
        <v>1</v>
      </c>
      <c r="AJ1520" t="s">
        <v>1391</v>
      </c>
    </row>
    <row r="1521" spans="1:36" x14ac:dyDescent="0.3">
      <c r="A1521" t="s">
        <v>22</v>
      </c>
      <c r="B1521">
        <v>53</v>
      </c>
      <c r="C1521">
        <v>101.53</v>
      </c>
      <c r="D1521">
        <v>1.7270000000000001</v>
      </c>
      <c r="E1521">
        <v>35.423000000000002</v>
      </c>
      <c r="F1521">
        <f t="shared" si="93"/>
        <v>34.041580148927295</v>
      </c>
      <c r="G1521">
        <f t="shared" si="96"/>
        <v>1</v>
      </c>
      <c r="H1521" t="s">
        <v>1399</v>
      </c>
      <c r="I1521">
        <v>110.121</v>
      </c>
      <c r="J1521" t="s">
        <v>247</v>
      </c>
      <c r="K1521" s="24">
        <v>143</v>
      </c>
      <c r="L1521" s="24">
        <v>67</v>
      </c>
      <c r="M1521">
        <v>174</v>
      </c>
      <c r="N1521" t="s">
        <v>1433</v>
      </c>
      <c r="O1521">
        <v>38</v>
      </c>
      <c r="P1521">
        <v>161</v>
      </c>
      <c r="Q1521" t="s">
        <v>25</v>
      </c>
      <c r="R1521" t="s">
        <v>25</v>
      </c>
      <c r="S1521" t="s">
        <v>30</v>
      </c>
      <c r="T1521" t="s">
        <v>25</v>
      </c>
      <c r="U1521">
        <f t="shared" si="94"/>
        <v>3</v>
      </c>
      <c r="V1521">
        <v>172.65700000000001</v>
      </c>
      <c r="W1521">
        <v>0.63800000000000001</v>
      </c>
      <c r="X1521" t="s">
        <v>1409</v>
      </c>
      <c r="Y1521">
        <v>143</v>
      </c>
      <c r="Z1521">
        <v>67</v>
      </c>
      <c r="AA1521" t="s">
        <v>40</v>
      </c>
      <c r="AB1521">
        <v>106</v>
      </c>
      <c r="AC1521" s="23">
        <v>2.79</v>
      </c>
      <c r="AD1521" t="str">
        <f>IF(AND('CVD Dataset'!AA1521="Normal",'CVD Dataset'!AB1521&gt;AVERAGE('CVD Dataset'!AB:AB),'CVD Dataset'!AF1521="High"),"High Lipid Category","Normal Category")</f>
        <v>Normal Category</v>
      </c>
      <c r="AE1521">
        <v>19.715</v>
      </c>
      <c r="AF1521" t="s">
        <v>32</v>
      </c>
      <c r="AG1521">
        <v>0</v>
      </c>
      <c r="AH1521" t="s">
        <v>1379</v>
      </c>
      <c r="AI1521">
        <f t="shared" si="95"/>
        <v>1</v>
      </c>
      <c r="AJ1521" t="s">
        <v>1392</v>
      </c>
    </row>
    <row r="1522" spans="1:36" x14ac:dyDescent="0.3">
      <c r="A1522" t="s">
        <v>33</v>
      </c>
      <c r="B1522">
        <v>29</v>
      </c>
      <c r="C1522">
        <v>89.388000000000005</v>
      </c>
      <c r="D1522">
        <v>1.716</v>
      </c>
      <c r="E1522">
        <v>26.207999999999998</v>
      </c>
      <c r="F1522">
        <f t="shared" si="93"/>
        <v>30.356007628734908</v>
      </c>
      <c r="G1522">
        <f t="shared" si="96"/>
        <v>1</v>
      </c>
      <c r="H1522" t="s">
        <v>1400</v>
      </c>
      <c r="I1522">
        <v>78.400000000000006</v>
      </c>
      <c r="J1522" t="s">
        <v>1235</v>
      </c>
      <c r="K1522" s="24">
        <v>165</v>
      </c>
      <c r="L1522" s="24">
        <v>72</v>
      </c>
      <c r="M1522">
        <v>223</v>
      </c>
      <c r="N1522" t="s">
        <v>1432</v>
      </c>
      <c r="O1522">
        <v>49</v>
      </c>
      <c r="P1522">
        <v>94</v>
      </c>
      <c r="Q1522" t="s">
        <v>24</v>
      </c>
      <c r="R1522" t="s">
        <v>25</v>
      </c>
      <c r="S1522" t="s">
        <v>26</v>
      </c>
      <c r="T1522" t="s">
        <v>24</v>
      </c>
      <c r="U1522">
        <f t="shared" si="94"/>
        <v>2</v>
      </c>
      <c r="V1522">
        <v>171.63499999999999</v>
      </c>
      <c r="W1522">
        <v>0.45700000000000002</v>
      </c>
      <c r="X1522" t="s">
        <v>1408</v>
      </c>
      <c r="Y1522">
        <v>165</v>
      </c>
      <c r="Z1522">
        <v>72</v>
      </c>
      <c r="AA1522" t="s">
        <v>40</v>
      </c>
      <c r="AB1522">
        <v>144</v>
      </c>
      <c r="AC1522" s="23">
        <v>2.94</v>
      </c>
      <c r="AD1522" t="str">
        <f>IF(AND('CVD Dataset'!AA1522="Normal",'CVD Dataset'!AB1522&gt;AVERAGE('CVD Dataset'!AB:AB),'CVD Dataset'!AF1522="High"),"High Lipid Category","Normal Category")</f>
        <v>Normal Category</v>
      </c>
      <c r="AE1522">
        <v>19.952000000000002</v>
      </c>
      <c r="AF1522" t="s">
        <v>54</v>
      </c>
      <c r="AG1522">
        <v>0</v>
      </c>
      <c r="AH1522" t="s">
        <v>1380</v>
      </c>
      <c r="AI1522">
        <f t="shared" si="95"/>
        <v>0</v>
      </c>
      <c r="AJ1522" t="s">
        <v>1391</v>
      </c>
    </row>
    <row r="1523" spans="1:36" x14ac:dyDescent="0.3">
      <c r="A1523" t="s">
        <v>22</v>
      </c>
      <c r="B1523">
        <v>48</v>
      </c>
      <c r="C1523">
        <v>116.29900000000001</v>
      </c>
      <c r="D1523">
        <v>1.665</v>
      </c>
      <c r="E1523">
        <v>23.504000000000001</v>
      </c>
      <c r="F1523">
        <f t="shared" si="93"/>
        <v>41.95150105060015</v>
      </c>
      <c r="G1523">
        <f t="shared" si="96"/>
        <v>1</v>
      </c>
      <c r="H1523" t="s">
        <v>1398</v>
      </c>
      <c r="I1523">
        <v>107.21899999999999</v>
      </c>
      <c r="J1523" t="s">
        <v>201</v>
      </c>
      <c r="K1523" s="24">
        <v>97</v>
      </c>
      <c r="L1523" s="24">
        <v>74</v>
      </c>
      <c r="M1523">
        <v>216</v>
      </c>
      <c r="N1523" t="s">
        <v>1432</v>
      </c>
      <c r="O1523">
        <v>82</v>
      </c>
      <c r="P1523">
        <v>168</v>
      </c>
      <c r="Q1523" t="s">
        <v>25</v>
      </c>
      <c r="R1523" t="s">
        <v>25</v>
      </c>
      <c r="S1523" t="s">
        <v>39</v>
      </c>
      <c r="T1523" t="s">
        <v>24</v>
      </c>
      <c r="U1523">
        <f t="shared" si="94"/>
        <v>2</v>
      </c>
      <c r="V1523">
        <v>166.47399999999999</v>
      </c>
      <c r="W1523">
        <v>0.64400000000000002</v>
      </c>
      <c r="X1523" t="s">
        <v>1409</v>
      </c>
      <c r="Y1523">
        <v>97</v>
      </c>
      <c r="Z1523">
        <v>74</v>
      </c>
      <c r="AA1523" t="s">
        <v>35</v>
      </c>
      <c r="AB1523">
        <v>104</v>
      </c>
      <c r="AC1523" s="23">
        <v>1.27</v>
      </c>
      <c r="AD1523" t="str">
        <f>IF(AND('CVD Dataset'!AA1523="Normal",'CVD Dataset'!AB1523&gt;AVERAGE('CVD Dataset'!AB:AB),'CVD Dataset'!AF1523="High"),"High Lipid Category","Normal Category")</f>
        <v>Normal Category</v>
      </c>
      <c r="AE1523">
        <v>15.871</v>
      </c>
      <c r="AF1523" t="s">
        <v>54</v>
      </c>
      <c r="AG1523">
        <v>0</v>
      </c>
      <c r="AH1523" t="s">
        <v>1380</v>
      </c>
      <c r="AI1523">
        <f t="shared" si="95"/>
        <v>0</v>
      </c>
      <c r="AJ1523" t="s">
        <v>1391</v>
      </c>
    </row>
    <row r="1524" spans="1:36" x14ac:dyDescent="0.3">
      <c r="A1524" t="s">
        <v>22</v>
      </c>
      <c r="B1524">
        <v>41</v>
      </c>
      <c r="C1524">
        <v>117.36499999999999</v>
      </c>
      <c r="D1524">
        <v>1.748</v>
      </c>
      <c r="E1524">
        <v>38.31</v>
      </c>
      <c r="F1524">
        <f t="shared" si="93"/>
        <v>38.411011734888909</v>
      </c>
      <c r="G1524">
        <f t="shared" si="96"/>
        <v>1</v>
      </c>
      <c r="H1524" t="s">
        <v>1399</v>
      </c>
      <c r="I1524">
        <v>118.246</v>
      </c>
      <c r="J1524" t="s">
        <v>1286</v>
      </c>
      <c r="K1524" s="24">
        <v>105</v>
      </c>
      <c r="L1524" s="24">
        <v>87</v>
      </c>
      <c r="M1524">
        <v>200</v>
      </c>
      <c r="N1524" t="s">
        <v>1432</v>
      </c>
      <c r="O1524">
        <v>35</v>
      </c>
      <c r="P1524">
        <v>87</v>
      </c>
      <c r="Q1524" t="s">
        <v>25</v>
      </c>
      <c r="R1524" t="s">
        <v>25</v>
      </c>
      <c r="S1524" t="s">
        <v>30</v>
      </c>
      <c r="T1524" t="s">
        <v>24</v>
      </c>
      <c r="U1524">
        <f t="shared" si="94"/>
        <v>2</v>
      </c>
      <c r="V1524">
        <v>174.81399999999999</v>
      </c>
      <c r="W1524">
        <v>0.67600000000000005</v>
      </c>
      <c r="X1524" t="s">
        <v>1409</v>
      </c>
      <c r="Y1524">
        <v>105</v>
      </c>
      <c r="Z1524">
        <v>87</v>
      </c>
      <c r="AA1524" t="s">
        <v>31</v>
      </c>
      <c r="AB1524">
        <v>135</v>
      </c>
      <c r="AC1524" s="23">
        <v>3.86</v>
      </c>
      <c r="AD1524" t="str">
        <f>IF(AND('CVD Dataset'!AA1524="Normal",'CVD Dataset'!AB1524&gt;AVERAGE('CVD Dataset'!AB:AB),'CVD Dataset'!AF1524="High"),"High Lipid Category","Normal Category")</f>
        <v>Normal Category</v>
      </c>
      <c r="AE1524">
        <v>18.911999999999999</v>
      </c>
      <c r="AF1524" t="s">
        <v>28</v>
      </c>
      <c r="AG1524">
        <v>0</v>
      </c>
      <c r="AH1524" t="s">
        <v>1380</v>
      </c>
      <c r="AI1524">
        <f t="shared" si="95"/>
        <v>0</v>
      </c>
      <c r="AJ1524" t="s">
        <v>1391</v>
      </c>
    </row>
    <row r="1525" spans="1:36" x14ac:dyDescent="0.3">
      <c r="A1525" t="s">
        <v>33</v>
      </c>
      <c r="B1525">
        <v>63</v>
      </c>
      <c r="C1525">
        <v>91.625</v>
      </c>
      <c r="D1525">
        <v>1.702</v>
      </c>
      <c r="E1525">
        <v>35.277999999999999</v>
      </c>
      <c r="F1525">
        <f t="shared" si="93"/>
        <v>31.629685681185197</v>
      </c>
      <c r="G1525">
        <f t="shared" si="96"/>
        <v>1</v>
      </c>
      <c r="H1525" t="s">
        <v>1399</v>
      </c>
      <c r="J1525" t="s">
        <v>1287</v>
      </c>
      <c r="K1525" s="24">
        <v>162</v>
      </c>
      <c r="L1525" s="24">
        <v>60</v>
      </c>
      <c r="M1525">
        <v>189</v>
      </c>
      <c r="N1525" t="s">
        <v>1432</v>
      </c>
      <c r="O1525">
        <v>76</v>
      </c>
      <c r="P1525">
        <v>153</v>
      </c>
      <c r="Q1525" t="s">
        <v>24</v>
      </c>
      <c r="R1525" t="s">
        <v>25</v>
      </c>
      <c r="S1525" t="s">
        <v>39</v>
      </c>
      <c r="T1525" t="s">
        <v>24</v>
      </c>
      <c r="U1525">
        <f t="shared" si="94"/>
        <v>1</v>
      </c>
      <c r="W1525">
        <v>0.60099999999999998</v>
      </c>
      <c r="X1525" t="s">
        <v>1409</v>
      </c>
      <c r="Y1525">
        <v>162</v>
      </c>
      <c r="Z1525">
        <v>60</v>
      </c>
      <c r="AA1525" t="s">
        <v>40</v>
      </c>
      <c r="AB1525">
        <v>83</v>
      </c>
      <c r="AC1525" s="23">
        <v>1.0900000000000001</v>
      </c>
      <c r="AD1525" t="str">
        <f>IF(AND('CVD Dataset'!AA1525="Normal",'CVD Dataset'!AB1525&gt;AVERAGE('CVD Dataset'!AB:AB),'CVD Dataset'!AF1525="High"),"High Lipid Category","Normal Category")</f>
        <v>Normal Category</v>
      </c>
      <c r="AE1525">
        <v>20.936</v>
      </c>
      <c r="AF1525" t="s">
        <v>28</v>
      </c>
      <c r="AG1525">
        <v>0</v>
      </c>
      <c r="AH1525" t="s">
        <v>1380</v>
      </c>
      <c r="AI1525">
        <f t="shared" si="95"/>
        <v>0</v>
      </c>
      <c r="AJ1525" t="s">
        <v>1392</v>
      </c>
    </row>
    <row r="1526" spans="1:36" x14ac:dyDescent="0.3">
      <c r="A1526" t="s">
        <v>22</v>
      </c>
      <c r="B1526">
        <v>40</v>
      </c>
      <c r="C1526">
        <v>72.069999999999993</v>
      </c>
      <c r="D1526">
        <v>1.889</v>
      </c>
      <c r="F1526">
        <f t="shared" si="93"/>
        <v>20.197173965010432</v>
      </c>
      <c r="G1526">
        <f t="shared" si="96"/>
        <v>1</v>
      </c>
      <c r="H1526" t="s">
        <v>1401</v>
      </c>
      <c r="I1526">
        <v>95.325999999999993</v>
      </c>
      <c r="J1526" t="s">
        <v>675</v>
      </c>
      <c r="K1526" s="24">
        <v>119</v>
      </c>
      <c r="L1526" s="24">
        <v>66</v>
      </c>
      <c r="M1526">
        <v>157</v>
      </c>
      <c r="N1526" t="s">
        <v>1433</v>
      </c>
      <c r="O1526">
        <v>60</v>
      </c>
      <c r="P1526">
        <v>93</v>
      </c>
      <c r="Q1526" t="s">
        <v>24</v>
      </c>
      <c r="R1526" t="s">
        <v>24</v>
      </c>
      <c r="S1526" t="s">
        <v>39</v>
      </c>
      <c r="T1526" t="s">
        <v>25</v>
      </c>
      <c r="U1526">
        <f t="shared" si="94"/>
        <v>1</v>
      </c>
      <c r="V1526">
        <v>188.89400000000001</v>
      </c>
      <c r="W1526">
        <v>0.505</v>
      </c>
      <c r="X1526" t="s">
        <v>1406</v>
      </c>
      <c r="Y1526">
        <v>119</v>
      </c>
      <c r="Z1526">
        <v>66</v>
      </c>
      <c r="AA1526" t="s">
        <v>35</v>
      </c>
      <c r="AB1526">
        <v>67</v>
      </c>
      <c r="AC1526" s="23">
        <v>1.1200000000000001</v>
      </c>
      <c r="AD1526" t="str">
        <f>IF(AND('CVD Dataset'!AA1526="Normal",'CVD Dataset'!AB1526&gt;AVERAGE('CVD Dataset'!AB:AB),'CVD Dataset'!AF1526="High"),"High Lipid Category","Normal Category")</f>
        <v>Normal Category</v>
      </c>
      <c r="AE1526">
        <v>14.3</v>
      </c>
      <c r="AF1526" t="s">
        <v>54</v>
      </c>
      <c r="AG1526">
        <v>0</v>
      </c>
      <c r="AH1526" t="s">
        <v>1380</v>
      </c>
      <c r="AI1526">
        <f t="shared" si="95"/>
        <v>0</v>
      </c>
      <c r="AJ1526" t="s">
        <v>1391</v>
      </c>
    </row>
    <row r="1527" spans="1:36" x14ac:dyDescent="0.3">
      <c r="A1527" t="s">
        <v>22</v>
      </c>
      <c r="B1527">
        <v>78</v>
      </c>
      <c r="C1527">
        <v>85.876999999999995</v>
      </c>
      <c r="D1527">
        <v>1.825</v>
      </c>
      <c r="E1527">
        <v>24.425999999999998</v>
      </c>
      <c r="F1527">
        <f t="shared" si="93"/>
        <v>25.784049540251452</v>
      </c>
      <c r="G1527">
        <f t="shared" si="96"/>
        <v>1</v>
      </c>
      <c r="H1527" t="s">
        <v>1398</v>
      </c>
      <c r="I1527">
        <v>112.34</v>
      </c>
      <c r="J1527" t="s">
        <v>1288</v>
      </c>
      <c r="K1527" s="24">
        <v>102</v>
      </c>
      <c r="L1527" s="24">
        <v>115</v>
      </c>
      <c r="M1527">
        <v>241</v>
      </c>
      <c r="N1527" t="s">
        <v>1432</v>
      </c>
      <c r="O1527">
        <v>84</v>
      </c>
      <c r="Q1527" t="s">
        <v>25</v>
      </c>
      <c r="R1527" t="s">
        <v>24</v>
      </c>
      <c r="S1527" t="s">
        <v>26</v>
      </c>
      <c r="T1527" t="s">
        <v>24</v>
      </c>
      <c r="U1527">
        <f t="shared" si="94"/>
        <v>2</v>
      </c>
      <c r="V1527">
        <v>182.48500000000001</v>
      </c>
      <c r="W1527">
        <v>0.61599999999999999</v>
      </c>
      <c r="X1527" t="s">
        <v>1409</v>
      </c>
      <c r="Y1527">
        <v>102</v>
      </c>
      <c r="Z1527">
        <v>115</v>
      </c>
      <c r="AA1527" t="s">
        <v>40</v>
      </c>
      <c r="AB1527">
        <v>127</v>
      </c>
      <c r="AC1527" s="23">
        <v>1.51</v>
      </c>
      <c r="AD1527" t="str">
        <f>IF(AND('CVD Dataset'!AA1527="Normal",'CVD Dataset'!AB1527&gt;AVERAGE('CVD Dataset'!AB:AB),'CVD Dataset'!AF1527="High"),"High Lipid Category","Normal Category")</f>
        <v>Normal Category</v>
      </c>
      <c r="AE1527">
        <v>14.805</v>
      </c>
      <c r="AF1527" t="s">
        <v>28</v>
      </c>
      <c r="AG1527">
        <v>0</v>
      </c>
      <c r="AH1527" t="s">
        <v>1380</v>
      </c>
      <c r="AI1527">
        <f t="shared" si="95"/>
        <v>0</v>
      </c>
      <c r="AJ1527" t="s">
        <v>1391</v>
      </c>
    </row>
    <row r="1528" spans="1:36" x14ac:dyDescent="0.3">
      <c r="A1528" t="s">
        <v>33</v>
      </c>
      <c r="B1528">
        <v>39</v>
      </c>
      <c r="C1528">
        <v>98.626000000000005</v>
      </c>
      <c r="D1528">
        <v>1.5209999999999999</v>
      </c>
      <c r="E1528">
        <v>20.055</v>
      </c>
      <c r="F1528">
        <f t="shared" si="93"/>
        <v>42.631733422205286</v>
      </c>
      <c r="G1528">
        <f t="shared" si="96"/>
        <v>1</v>
      </c>
      <c r="H1528" t="s">
        <v>1398</v>
      </c>
      <c r="I1528">
        <v>77.192999999999998</v>
      </c>
      <c r="J1528" t="s">
        <v>1289</v>
      </c>
      <c r="K1528" s="24">
        <v>150</v>
      </c>
      <c r="L1528" s="24">
        <v>90</v>
      </c>
      <c r="M1528">
        <v>237</v>
      </c>
      <c r="N1528" t="s">
        <v>1432</v>
      </c>
      <c r="O1528">
        <v>82</v>
      </c>
      <c r="P1528">
        <v>147</v>
      </c>
      <c r="Q1528" t="s">
        <v>24</v>
      </c>
      <c r="R1528" t="s">
        <v>25</v>
      </c>
      <c r="S1528" t="s">
        <v>30</v>
      </c>
      <c r="T1528" t="s">
        <v>24</v>
      </c>
      <c r="U1528">
        <f t="shared" si="94"/>
        <v>1</v>
      </c>
      <c r="V1528">
        <v>152.119</v>
      </c>
      <c r="W1528">
        <v>0.50700000000000001</v>
      </c>
      <c r="X1528" t="s">
        <v>1406</v>
      </c>
      <c r="Y1528">
        <v>150</v>
      </c>
      <c r="Z1528">
        <v>90</v>
      </c>
      <c r="AA1528" t="s">
        <v>40</v>
      </c>
      <c r="AB1528">
        <v>125</v>
      </c>
      <c r="AC1528" s="23">
        <v>1.52</v>
      </c>
      <c r="AD1528" t="str">
        <f>IF(AND('CVD Dataset'!AA1528="Normal",'CVD Dataset'!AB1528&gt;AVERAGE('CVD Dataset'!AB:AB),'CVD Dataset'!AF1528="High"),"High Lipid Category","Normal Category")</f>
        <v>Normal Category</v>
      </c>
      <c r="AE1528">
        <v>18.251000000000001</v>
      </c>
      <c r="AF1528" t="s">
        <v>28</v>
      </c>
      <c r="AG1528">
        <v>0</v>
      </c>
      <c r="AH1528" t="s">
        <v>1380</v>
      </c>
      <c r="AI1528">
        <f t="shared" si="95"/>
        <v>0</v>
      </c>
      <c r="AJ1528" t="s">
        <v>1391</v>
      </c>
    </row>
    <row r="1529" spans="1:36" x14ac:dyDescent="0.3">
      <c r="A1529" t="s">
        <v>33</v>
      </c>
      <c r="B1529">
        <v>71</v>
      </c>
      <c r="C1529">
        <v>116.163</v>
      </c>
      <c r="D1529">
        <v>1.841</v>
      </c>
      <c r="E1529">
        <v>29.279</v>
      </c>
      <c r="F1529">
        <f t="shared" si="93"/>
        <v>34.27364092856272</v>
      </c>
      <c r="G1529">
        <f t="shared" si="96"/>
        <v>1</v>
      </c>
      <c r="H1529" t="s">
        <v>1400</v>
      </c>
      <c r="I1529">
        <v>114.197</v>
      </c>
      <c r="J1529" t="s">
        <v>550</v>
      </c>
      <c r="K1529" s="24">
        <v>112</v>
      </c>
      <c r="L1529" s="24">
        <v>63</v>
      </c>
      <c r="M1529">
        <v>193</v>
      </c>
      <c r="N1529" t="s">
        <v>1432</v>
      </c>
      <c r="O1529">
        <v>84</v>
      </c>
      <c r="P1529">
        <v>123</v>
      </c>
      <c r="Q1529" t="s">
        <v>24</v>
      </c>
      <c r="R1529" t="s">
        <v>24</v>
      </c>
      <c r="S1529" t="s">
        <v>30</v>
      </c>
      <c r="T1529" t="s">
        <v>25</v>
      </c>
      <c r="U1529">
        <f t="shared" si="94"/>
        <v>1</v>
      </c>
      <c r="V1529">
        <v>184.059</v>
      </c>
      <c r="W1529">
        <v>0.62</v>
      </c>
      <c r="X1529" t="s">
        <v>1409</v>
      </c>
      <c r="Y1529">
        <v>112</v>
      </c>
      <c r="Z1529">
        <v>63</v>
      </c>
      <c r="AA1529" t="s">
        <v>35</v>
      </c>
      <c r="AB1529">
        <v>79</v>
      </c>
      <c r="AC1529" s="23">
        <v>0.94</v>
      </c>
      <c r="AD1529" t="str">
        <f>IF(AND('CVD Dataset'!AA1529="Normal",'CVD Dataset'!AB1529&gt;AVERAGE('CVD Dataset'!AB:AB),'CVD Dataset'!AF1529="High"),"High Lipid Category","Normal Category")</f>
        <v>Normal Category</v>
      </c>
      <c r="AE1529">
        <v>15.316000000000001</v>
      </c>
      <c r="AF1529" t="s">
        <v>28</v>
      </c>
      <c r="AG1529">
        <v>0</v>
      </c>
      <c r="AH1529" t="s">
        <v>1380</v>
      </c>
      <c r="AI1529">
        <f t="shared" si="95"/>
        <v>0</v>
      </c>
      <c r="AJ1529" t="s">
        <v>1391</v>
      </c>
    </row>
    <row r="1530" spans="1:36" x14ac:dyDescent="0.3">
      <c r="A1530" t="s">
        <v>22</v>
      </c>
      <c r="B1530">
        <v>78</v>
      </c>
      <c r="C1530">
        <v>111.627</v>
      </c>
      <c r="D1530">
        <v>1.867</v>
      </c>
      <c r="E1530">
        <v>22.016999999999999</v>
      </c>
      <c r="F1530">
        <f t="shared" si="93"/>
        <v>32.024371652204202</v>
      </c>
      <c r="G1530">
        <f t="shared" si="96"/>
        <v>1</v>
      </c>
      <c r="H1530" t="s">
        <v>1398</v>
      </c>
      <c r="I1530">
        <v>97.691999999999993</v>
      </c>
      <c r="J1530" t="s">
        <v>443</v>
      </c>
      <c r="K1530" s="24">
        <v>134</v>
      </c>
      <c r="L1530" s="24">
        <v>67</v>
      </c>
      <c r="M1530">
        <v>218</v>
      </c>
      <c r="N1530" t="s">
        <v>1432</v>
      </c>
      <c r="O1530">
        <v>68</v>
      </c>
      <c r="P1530">
        <v>166</v>
      </c>
      <c r="Q1530" t="s">
        <v>24</v>
      </c>
      <c r="R1530" t="s">
        <v>24</v>
      </c>
      <c r="S1530" t="s">
        <v>30</v>
      </c>
      <c r="T1530" t="s">
        <v>24</v>
      </c>
      <c r="U1530">
        <f t="shared" si="94"/>
        <v>0</v>
      </c>
      <c r="V1530">
        <v>186.73500000000001</v>
      </c>
      <c r="W1530">
        <v>0.52300000000000002</v>
      </c>
      <c r="X1530" t="s">
        <v>1407</v>
      </c>
      <c r="Y1530">
        <v>134</v>
      </c>
      <c r="Z1530">
        <v>67</v>
      </c>
      <c r="AA1530" t="s">
        <v>31</v>
      </c>
      <c r="AB1530">
        <v>120</v>
      </c>
      <c r="AC1530" s="23">
        <v>1.76</v>
      </c>
      <c r="AD1530" t="str">
        <f>IF(AND('CVD Dataset'!AA1530="Normal",'CVD Dataset'!AB1530&gt;AVERAGE('CVD Dataset'!AB:AB),'CVD Dataset'!AF1530="High"),"High Lipid Category","Normal Category")</f>
        <v>Normal Category</v>
      </c>
      <c r="AE1530">
        <v>15.462999999999999</v>
      </c>
      <c r="AF1530" t="s">
        <v>32</v>
      </c>
      <c r="AG1530">
        <v>1</v>
      </c>
      <c r="AH1530" t="s">
        <v>1379</v>
      </c>
      <c r="AI1530">
        <f t="shared" si="95"/>
        <v>1</v>
      </c>
      <c r="AJ1530" t="s">
        <v>1391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87EB2-1A49-4CDC-9699-4B5EB5CC3EF5}">
  <dimension ref="A1:A225"/>
  <sheetViews>
    <sheetView tabSelected="1" topLeftCell="A204" workbookViewId="0">
      <selection activeCell="A216" sqref="A216"/>
    </sheetView>
  </sheetViews>
  <sheetFormatPr defaultRowHeight="14.4" x14ac:dyDescent="0.3"/>
  <cols>
    <col min="1" max="1" width="106.33203125" customWidth="1"/>
  </cols>
  <sheetData>
    <row r="1" spans="1:1" ht="31.2" x14ac:dyDescent="0.3">
      <c r="A1" s="1" t="s">
        <v>1290</v>
      </c>
    </row>
    <row r="3" spans="1:1" x14ac:dyDescent="0.3">
      <c r="A3" t="s">
        <v>1291</v>
      </c>
    </row>
    <row r="7" spans="1:1" ht="23.4" x14ac:dyDescent="0.3">
      <c r="A7" s="2" t="s">
        <v>1292</v>
      </c>
    </row>
    <row r="9" spans="1:1" x14ac:dyDescent="0.3">
      <c r="A9" t="s">
        <v>1293</v>
      </c>
    </row>
    <row r="11" spans="1:1" x14ac:dyDescent="0.3">
      <c r="A11" t="s">
        <v>1294</v>
      </c>
    </row>
    <row r="12" spans="1:1" x14ac:dyDescent="0.3">
      <c r="A12" t="s">
        <v>1295</v>
      </c>
    </row>
    <row r="14" spans="1:1" x14ac:dyDescent="0.3">
      <c r="A14" t="s">
        <v>1296</v>
      </c>
    </row>
    <row r="15" spans="1:1" x14ac:dyDescent="0.3">
      <c r="A15" t="s">
        <v>1297</v>
      </c>
    </row>
    <row r="19" spans="1:1" x14ac:dyDescent="0.3">
      <c r="A19" t="s">
        <v>1298</v>
      </c>
    </row>
    <row r="21" spans="1:1" x14ac:dyDescent="0.3">
      <c r="A21" t="s">
        <v>1299</v>
      </c>
    </row>
    <row r="22" spans="1:1" x14ac:dyDescent="0.3">
      <c r="A22" t="s">
        <v>1300</v>
      </c>
    </row>
    <row r="24" spans="1:1" x14ac:dyDescent="0.3">
      <c r="A24" t="s">
        <v>1301</v>
      </c>
    </row>
    <row r="25" spans="1:1" x14ac:dyDescent="0.3">
      <c r="A25" t="s">
        <v>1302</v>
      </c>
    </row>
    <row r="29" spans="1:1" x14ac:dyDescent="0.3">
      <c r="A29" t="s">
        <v>1303</v>
      </c>
    </row>
    <row r="31" spans="1:1" x14ac:dyDescent="0.3">
      <c r="A31" t="s">
        <v>1299</v>
      </c>
    </row>
    <row r="32" spans="1:1" x14ac:dyDescent="0.3">
      <c r="A32" t="s">
        <v>1304</v>
      </c>
    </row>
    <row r="34" spans="1:1" x14ac:dyDescent="0.3">
      <c r="A34" t="s">
        <v>1301</v>
      </c>
    </row>
    <row r="35" spans="1:1" x14ac:dyDescent="0.3">
      <c r="A35" t="s">
        <v>1305</v>
      </c>
    </row>
    <row r="39" spans="1:1" x14ac:dyDescent="0.3">
      <c r="A39" t="s">
        <v>1306</v>
      </c>
    </row>
    <row r="41" spans="1:1" x14ac:dyDescent="0.3">
      <c r="A41" t="s">
        <v>1299</v>
      </c>
    </row>
    <row r="42" spans="1:1" x14ac:dyDescent="0.3">
      <c r="A42" t="s">
        <v>1307</v>
      </c>
    </row>
    <row r="44" spans="1:1" x14ac:dyDescent="0.3">
      <c r="A44" t="s">
        <v>1301</v>
      </c>
    </row>
    <row r="45" spans="1:1" x14ac:dyDescent="0.3">
      <c r="A45" t="s">
        <v>1308</v>
      </c>
    </row>
    <row r="49" spans="1:1" ht="23.4" x14ac:dyDescent="0.3">
      <c r="A49" s="2" t="s">
        <v>1309</v>
      </c>
    </row>
    <row r="51" spans="1:1" x14ac:dyDescent="0.3">
      <c r="A51" t="s">
        <v>1310</v>
      </c>
    </row>
    <row r="53" spans="1:1" x14ac:dyDescent="0.3">
      <c r="A53" t="s">
        <v>1299</v>
      </c>
    </row>
    <row r="54" spans="1:1" x14ac:dyDescent="0.3">
      <c r="A54" t="s">
        <v>1311</v>
      </c>
    </row>
    <row r="56" spans="1:1" x14ac:dyDescent="0.3">
      <c r="A56" t="s">
        <v>1301</v>
      </c>
    </row>
    <row r="57" spans="1:1" x14ac:dyDescent="0.3">
      <c r="A57" t="s">
        <v>1312</v>
      </c>
    </row>
    <row r="61" spans="1:1" x14ac:dyDescent="0.3">
      <c r="A61" t="s">
        <v>1313</v>
      </c>
    </row>
    <row r="63" spans="1:1" x14ac:dyDescent="0.3">
      <c r="A63" t="s">
        <v>1299</v>
      </c>
    </row>
    <row r="64" spans="1:1" x14ac:dyDescent="0.3">
      <c r="A64" t="s">
        <v>1314</v>
      </c>
    </row>
    <row r="66" spans="1:1" x14ac:dyDescent="0.3">
      <c r="A66" t="s">
        <v>1301</v>
      </c>
    </row>
    <row r="67" spans="1:1" x14ac:dyDescent="0.3">
      <c r="A67" t="s">
        <v>1315</v>
      </c>
    </row>
    <row r="71" spans="1:1" x14ac:dyDescent="0.3">
      <c r="A71" t="s">
        <v>1316</v>
      </c>
    </row>
    <row r="73" spans="1:1" x14ac:dyDescent="0.3">
      <c r="A73" t="s">
        <v>1299</v>
      </c>
    </row>
    <row r="74" spans="1:1" x14ac:dyDescent="0.3">
      <c r="A74" t="s">
        <v>1317</v>
      </c>
    </row>
    <row r="76" spans="1:1" x14ac:dyDescent="0.3">
      <c r="A76" t="s">
        <v>1301</v>
      </c>
    </row>
    <row r="77" spans="1:1" x14ac:dyDescent="0.3">
      <c r="A77" t="s">
        <v>1318</v>
      </c>
    </row>
    <row r="81" spans="1:1" x14ac:dyDescent="0.3">
      <c r="A81" t="s">
        <v>1319</v>
      </c>
    </row>
    <row r="83" spans="1:1" x14ac:dyDescent="0.3">
      <c r="A83" t="s">
        <v>1299</v>
      </c>
    </row>
    <row r="84" spans="1:1" x14ac:dyDescent="0.3">
      <c r="A84" t="s">
        <v>1320</v>
      </c>
    </row>
    <row r="86" spans="1:1" x14ac:dyDescent="0.3">
      <c r="A86" t="s">
        <v>1301</v>
      </c>
    </row>
    <row r="87" spans="1:1" x14ac:dyDescent="0.3">
      <c r="A87" t="s">
        <v>1321</v>
      </c>
    </row>
    <row r="91" spans="1:1" ht="23.4" x14ac:dyDescent="0.3">
      <c r="A91" s="2" t="s">
        <v>1322</v>
      </c>
    </row>
    <row r="93" spans="1:1" x14ac:dyDescent="0.3">
      <c r="A93" t="s">
        <v>1323</v>
      </c>
    </row>
    <row r="95" spans="1:1" x14ac:dyDescent="0.3">
      <c r="A95" t="s">
        <v>1299</v>
      </c>
    </row>
    <row r="96" spans="1:1" x14ac:dyDescent="0.3">
      <c r="A96" t="s">
        <v>1324</v>
      </c>
    </row>
    <row r="98" spans="1:1" x14ac:dyDescent="0.3">
      <c r="A98" t="s">
        <v>1301</v>
      </c>
    </row>
    <row r="99" spans="1:1" x14ac:dyDescent="0.3">
      <c r="A99" t="s">
        <v>1325</v>
      </c>
    </row>
    <row r="103" spans="1:1" x14ac:dyDescent="0.3">
      <c r="A103" t="s">
        <v>1326</v>
      </c>
    </row>
    <row r="105" spans="1:1" x14ac:dyDescent="0.3">
      <c r="A105" t="s">
        <v>1299</v>
      </c>
    </row>
    <row r="106" spans="1:1" x14ac:dyDescent="0.3">
      <c r="A106" t="s">
        <v>1327</v>
      </c>
    </row>
    <row r="108" spans="1:1" x14ac:dyDescent="0.3">
      <c r="A108" t="s">
        <v>1301</v>
      </c>
    </row>
    <row r="109" spans="1:1" x14ac:dyDescent="0.3">
      <c r="A109" t="s">
        <v>1328</v>
      </c>
    </row>
    <row r="113" spans="1:1" x14ac:dyDescent="0.3">
      <c r="A113" t="s">
        <v>1329</v>
      </c>
    </row>
    <row r="115" spans="1:1" x14ac:dyDescent="0.3">
      <c r="A115" t="s">
        <v>1299</v>
      </c>
    </row>
    <row r="116" spans="1:1" x14ac:dyDescent="0.3">
      <c r="A116" t="s">
        <v>1330</v>
      </c>
    </row>
    <row r="118" spans="1:1" x14ac:dyDescent="0.3">
      <c r="A118" t="s">
        <v>1301</v>
      </c>
    </row>
    <row r="119" spans="1:1" x14ac:dyDescent="0.3">
      <c r="A119" t="s">
        <v>1331</v>
      </c>
    </row>
    <row r="123" spans="1:1" x14ac:dyDescent="0.3">
      <c r="A123" t="s">
        <v>1332</v>
      </c>
    </row>
    <row r="125" spans="1:1" x14ac:dyDescent="0.3">
      <c r="A125" t="s">
        <v>1299</v>
      </c>
    </row>
    <row r="126" spans="1:1" x14ac:dyDescent="0.3">
      <c r="A126" t="s">
        <v>1333</v>
      </c>
    </row>
    <row r="128" spans="1:1" x14ac:dyDescent="0.3">
      <c r="A128" t="s">
        <v>1301</v>
      </c>
    </row>
    <row r="129" spans="1:1" x14ac:dyDescent="0.3">
      <c r="A129" t="s">
        <v>1334</v>
      </c>
    </row>
    <row r="133" spans="1:1" ht="23.4" x14ac:dyDescent="0.3">
      <c r="A133" s="2" t="s">
        <v>1335</v>
      </c>
    </row>
    <row r="135" spans="1:1" x14ac:dyDescent="0.3">
      <c r="A135" t="s">
        <v>1336</v>
      </c>
    </row>
    <row r="137" spans="1:1" x14ac:dyDescent="0.3">
      <c r="A137" t="s">
        <v>1299</v>
      </c>
    </row>
    <row r="138" spans="1:1" x14ac:dyDescent="0.3">
      <c r="A138" t="s">
        <v>1337</v>
      </c>
    </row>
    <row r="140" spans="1:1" x14ac:dyDescent="0.3">
      <c r="A140" t="s">
        <v>1301</v>
      </c>
    </row>
    <row r="141" spans="1:1" x14ac:dyDescent="0.3">
      <c r="A141" t="s">
        <v>1338</v>
      </c>
    </row>
    <row r="145" spans="1:1" x14ac:dyDescent="0.3">
      <c r="A145" t="s">
        <v>1339</v>
      </c>
    </row>
    <row r="147" spans="1:1" x14ac:dyDescent="0.3">
      <c r="A147" t="s">
        <v>1299</v>
      </c>
    </row>
    <row r="148" spans="1:1" x14ac:dyDescent="0.3">
      <c r="A148" t="s">
        <v>1340</v>
      </c>
    </row>
    <row r="150" spans="1:1" x14ac:dyDescent="0.3">
      <c r="A150" t="s">
        <v>1301</v>
      </c>
    </row>
    <row r="151" spans="1:1" x14ac:dyDescent="0.3">
      <c r="A151" t="s">
        <v>1341</v>
      </c>
    </row>
    <row r="155" spans="1:1" x14ac:dyDescent="0.3">
      <c r="A155" t="s">
        <v>1342</v>
      </c>
    </row>
    <row r="157" spans="1:1" x14ac:dyDescent="0.3">
      <c r="A157" t="s">
        <v>1299</v>
      </c>
    </row>
    <row r="158" spans="1:1" x14ac:dyDescent="0.3">
      <c r="A158" t="s">
        <v>1343</v>
      </c>
    </row>
    <row r="160" spans="1:1" x14ac:dyDescent="0.3">
      <c r="A160" t="s">
        <v>1301</v>
      </c>
    </row>
    <row r="161" spans="1:1" x14ac:dyDescent="0.3">
      <c r="A161" t="s">
        <v>1344</v>
      </c>
    </row>
    <row r="165" spans="1:1" x14ac:dyDescent="0.3">
      <c r="A165" t="s">
        <v>1345</v>
      </c>
    </row>
    <row r="167" spans="1:1" x14ac:dyDescent="0.3">
      <c r="A167" t="s">
        <v>1299</v>
      </c>
    </row>
    <row r="168" spans="1:1" x14ac:dyDescent="0.3">
      <c r="A168" t="s">
        <v>1346</v>
      </c>
    </row>
    <row r="170" spans="1:1" x14ac:dyDescent="0.3">
      <c r="A170" t="s">
        <v>1301</v>
      </c>
    </row>
    <row r="171" spans="1:1" x14ac:dyDescent="0.3">
      <c r="A171" t="s">
        <v>1347</v>
      </c>
    </row>
    <row r="175" spans="1:1" ht="23.4" x14ac:dyDescent="0.3">
      <c r="A175" s="2" t="s">
        <v>1348</v>
      </c>
    </row>
    <row r="177" spans="1:1" x14ac:dyDescent="0.3">
      <c r="A177" t="s">
        <v>1349</v>
      </c>
    </row>
    <row r="179" spans="1:1" x14ac:dyDescent="0.3">
      <c r="A179" t="s">
        <v>1299</v>
      </c>
    </row>
    <row r="180" spans="1:1" x14ac:dyDescent="0.3">
      <c r="A180" t="s">
        <v>1350</v>
      </c>
    </row>
    <row r="182" spans="1:1" x14ac:dyDescent="0.3">
      <c r="A182" t="s">
        <v>1301</v>
      </c>
    </row>
    <row r="183" spans="1:1" x14ac:dyDescent="0.3">
      <c r="A183" t="s">
        <v>1351</v>
      </c>
    </row>
    <row r="187" spans="1:1" x14ac:dyDescent="0.3">
      <c r="A187" t="s">
        <v>1352</v>
      </c>
    </row>
    <row r="189" spans="1:1" x14ac:dyDescent="0.3">
      <c r="A189" t="s">
        <v>1299</v>
      </c>
    </row>
    <row r="190" spans="1:1" x14ac:dyDescent="0.3">
      <c r="A190" t="s">
        <v>1353</v>
      </c>
    </row>
    <row r="192" spans="1:1" x14ac:dyDescent="0.3">
      <c r="A192" t="s">
        <v>1301</v>
      </c>
    </row>
    <row r="193" spans="1:1" x14ac:dyDescent="0.3">
      <c r="A193" t="s">
        <v>1354</v>
      </c>
    </row>
    <row r="197" spans="1:1" x14ac:dyDescent="0.3">
      <c r="A197" t="s">
        <v>1355</v>
      </c>
    </row>
    <row r="199" spans="1:1" x14ac:dyDescent="0.3">
      <c r="A199" t="s">
        <v>1299</v>
      </c>
    </row>
    <row r="200" spans="1:1" x14ac:dyDescent="0.3">
      <c r="A200" t="s">
        <v>1356</v>
      </c>
    </row>
    <row r="202" spans="1:1" x14ac:dyDescent="0.3">
      <c r="A202" t="s">
        <v>1301</v>
      </c>
    </row>
    <row r="203" spans="1:1" x14ac:dyDescent="0.3">
      <c r="A203" t="s">
        <v>1357</v>
      </c>
    </row>
    <row r="207" spans="1:1" ht="23.4" x14ac:dyDescent="0.3">
      <c r="A207" s="2" t="s">
        <v>1358</v>
      </c>
    </row>
    <row r="209" spans="1:1" x14ac:dyDescent="0.3">
      <c r="A209" t="s">
        <v>1462</v>
      </c>
    </row>
    <row r="211" spans="1:1" x14ac:dyDescent="0.3">
      <c r="A211" t="s">
        <v>1299</v>
      </c>
    </row>
    <row r="212" spans="1:1" x14ac:dyDescent="0.3">
      <c r="A212" t="s">
        <v>1359</v>
      </c>
    </row>
    <row r="214" spans="1:1" x14ac:dyDescent="0.3">
      <c r="A214" t="s">
        <v>1301</v>
      </c>
    </row>
    <row r="215" spans="1:1" x14ac:dyDescent="0.3">
      <c r="A215" t="s">
        <v>1360</v>
      </c>
    </row>
    <row r="219" spans="1:1" x14ac:dyDescent="0.3">
      <c r="A219" t="s">
        <v>1465</v>
      </c>
    </row>
    <row r="221" spans="1:1" x14ac:dyDescent="0.3">
      <c r="A221" t="s">
        <v>1299</v>
      </c>
    </row>
    <row r="222" spans="1:1" x14ac:dyDescent="0.3">
      <c r="A222" t="s">
        <v>1361</v>
      </c>
    </row>
    <row r="224" spans="1:1" x14ac:dyDescent="0.3">
      <c r="A224" t="s">
        <v>1301</v>
      </c>
    </row>
    <row r="225" spans="1:1" x14ac:dyDescent="0.3">
      <c r="A225" t="s">
        <v>1362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CVD Risk by Age Band</vt:lpstr>
      <vt:lpstr>CVD Risk by Sex</vt:lpstr>
      <vt:lpstr>Sex &amp; Smoking Risk Profile</vt:lpstr>
      <vt:lpstr>High-Risk Cohort Analysis</vt:lpstr>
      <vt:lpstr>BMI &amp; CVD Risk Analysis</vt:lpstr>
      <vt:lpstr>Central Obesity vs. LDL Trend</vt:lpstr>
      <vt:lpstr>Waist vs. BMI Risk Audit</vt:lpstr>
      <vt:lpstr>Hidden Risk Factor Analysis</vt:lpstr>
      <vt:lpstr>BP Category &amp; Risk Pivot</vt:lpstr>
      <vt:lpstr>BP Severity vs. Risk Score</vt:lpstr>
      <vt:lpstr>LDL-Driven Risk (Normal BP)</vt:lpstr>
      <vt:lpstr>SBP vs. Risk Score Scatter</vt:lpstr>
      <vt:lpstr>Cholesterol-Risk Distribution</vt:lpstr>
      <vt:lpstr>Ratio vs. LDL Risk Analysis</vt:lpstr>
      <vt:lpstr>Diabetic vs. Non-Diabetic Audit</vt:lpstr>
      <vt:lpstr>High HDL |  High Risk Audit</vt:lpstr>
      <vt:lpstr>Lifestyle Risk Index Analysis</vt:lpstr>
      <vt:lpstr>Activity Level &amp; Risk Analysis</vt:lpstr>
      <vt:lpstr>Smoking Risk by Age Cohort</vt:lpstr>
      <vt:lpstr>BMI Validation Audit</vt:lpstr>
      <vt:lpstr>Metric Correlation Matrix</vt:lpstr>
      <vt:lpstr>CVD Dataset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anos</dc:creator>
  <cp:lastModifiedBy>UTKARSH THAKUR</cp:lastModifiedBy>
  <dcterms:created xsi:type="dcterms:W3CDTF">2026-02-13T12:04:11Z</dcterms:created>
  <dcterms:modified xsi:type="dcterms:W3CDTF">2026-02-19T16:29:21Z</dcterms:modified>
</cp:coreProperties>
</file>